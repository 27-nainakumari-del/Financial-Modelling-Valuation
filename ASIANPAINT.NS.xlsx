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ina\Downloads\CSA Advisor\"/>
    </mc:Choice>
  </mc:AlternateContent>
  <xr:revisionPtr revIDLastSave="0" documentId="13_ncr:1_{5E182034-3706-4367-880C-8D6FF54F3C9E}" xr6:coauthVersionLast="47" xr6:coauthVersionMax="47" xr10:uidLastSave="{00000000-0000-0000-0000-000000000000}"/>
  <bookViews>
    <workbookView xWindow="-110" yWindow="-110" windowWidth="19420" windowHeight="11500" tabRatio="500" firstSheet="17" activeTab="19" xr2:uid="{00000000-000D-0000-FFFF-FFFF00000000}"/>
  </bookViews>
  <sheets>
    <sheet name="Company Overview" sheetId="1" r:id="rId1"/>
    <sheet name="Promoters" sheetId="2" r:id="rId2"/>
    <sheet name="Public" sheetId="3" r:id="rId3"/>
    <sheet name="Balance Sheet" sheetId="4" r:id="rId4"/>
    <sheet name="Profit &amp; Loss" sheetId="5" r:id="rId5"/>
    <sheet name="Cash Flow" sheetId="6" r:id="rId6"/>
    <sheet name="Stock Analysis" sheetId="7" r:id="rId7"/>
    <sheet name="Historical Analysis" sheetId="8" r:id="rId8"/>
    <sheet name="Ratio Analysis" sheetId="9" r:id="rId9"/>
    <sheet name="Fixed Assets Schedule" sheetId="10" r:id="rId10"/>
    <sheet name="Working Capital Changes" sheetId="11" r:id="rId11"/>
    <sheet name="Assumption" sheetId="12" r:id="rId12"/>
    <sheet name="FCFF" sheetId="13" r:id="rId13"/>
    <sheet name="WACC" sheetId="14" r:id="rId14"/>
    <sheet name="COC" sheetId="15" r:id="rId15"/>
    <sheet name="Relative Valuation" sheetId="16" r:id="rId16"/>
    <sheet name="Peer Comps." sheetId="17" r:id="rId17"/>
    <sheet name="Growth Scenerio" sheetId="18" r:id="rId18"/>
    <sheet name="Growth Rate Analysis" sheetId="19" r:id="rId19"/>
    <sheet name="DCF Valuation"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5" i="8" l="1"/>
  <c r="D20" i="8"/>
  <c r="G8" i="8"/>
  <c r="G14" i="8"/>
  <c r="F17" i="8"/>
  <c r="E17" i="8"/>
  <c r="D17" i="8"/>
  <c r="C17" i="8"/>
  <c r="C11" i="8"/>
  <c r="D11" i="8"/>
  <c r="E11" i="8"/>
  <c r="F11" i="8"/>
  <c r="G11" i="8"/>
  <c r="G17" i="8" s="1"/>
  <c r="C8" i="8"/>
  <c r="C28" i="20"/>
  <c r="C27" i="20"/>
  <c r="C26" i="20"/>
  <c r="C22" i="19"/>
  <c r="C20" i="19"/>
  <c r="C6" i="18"/>
  <c r="C21" i="18" s="1"/>
  <c r="G17" i="16"/>
  <c r="F17" i="16"/>
  <c r="E17" i="16"/>
  <c r="G15" i="16"/>
  <c r="F15" i="16"/>
  <c r="E15" i="16"/>
  <c r="Q10" i="16"/>
  <c r="E10" i="16"/>
  <c r="H10" i="16" s="1"/>
  <c r="O10" i="16" s="1"/>
  <c r="Q9" i="16"/>
  <c r="E9" i="16"/>
  <c r="H9" i="16" s="1"/>
  <c r="O9" i="16" s="1"/>
  <c r="Q8" i="16"/>
  <c r="P8" i="16"/>
  <c r="O8" i="16"/>
  <c r="H8" i="16"/>
  <c r="E8" i="16"/>
  <c r="Q7" i="16"/>
  <c r="E7" i="16"/>
  <c r="H7" i="16" s="1"/>
  <c r="M6" i="16"/>
  <c r="L6" i="16"/>
  <c r="K6" i="16"/>
  <c r="J6" i="16"/>
  <c r="G6" i="16"/>
  <c r="F6" i="16"/>
  <c r="D6" i="16"/>
  <c r="C6" i="16"/>
  <c r="E6" i="16" s="1"/>
  <c r="H6" i="16" s="1"/>
  <c r="K23" i="15"/>
  <c r="E23" i="15"/>
  <c r="K22" i="15"/>
  <c r="J17" i="15"/>
  <c r="G17" i="15"/>
  <c r="J16" i="15"/>
  <c r="G16" i="15"/>
  <c r="F14" i="15"/>
  <c r="E14" i="15"/>
  <c r="H13" i="15"/>
  <c r="K13" i="15" s="1"/>
  <c r="F13" i="15"/>
  <c r="E13" i="15"/>
  <c r="F12" i="15"/>
  <c r="I12" i="15" s="1"/>
  <c r="E12" i="15"/>
  <c r="F11" i="15"/>
  <c r="E11" i="15"/>
  <c r="I11" i="15" s="1"/>
  <c r="K10" i="15"/>
  <c r="I10" i="15"/>
  <c r="H10" i="15"/>
  <c r="F10" i="15"/>
  <c r="E10" i="15"/>
  <c r="C20" i="14"/>
  <c r="C22" i="14" s="1"/>
  <c r="C16" i="14"/>
  <c r="C14" i="14"/>
  <c r="C13" i="14"/>
  <c r="C15" i="14" s="1"/>
  <c r="C10" i="14"/>
  <c r="G6" i="13"/>
  <c r="F6" i="13"/>
  <c r="E6" i="13"/>
  <c r="D6" i="13"/>
  <c r="E5" i="13"/>
  <c r="D5" i="13"/>
  <c r="C5" i="13"/>
  <c r="G4" i="13"/>
  <c r="G5" i="13" s="1"/>
  <c r="F4" i="13"/>
  <c r="F5" i="13" s="1"/>
  <c r="E4" i="13"/>
  <c r="D4" i="13"/>
  <c r="C4" i="13"/>
  <c r="C42" i="12"/>
  <c r="G41" i="12"/>
  <c r="F41" i="12"/>
  <c r="E41" i="12"/>
  <c r="D41" i="12"/>
  <c r="C41" i="12"/>
  <c r="G40" i="12"/>
  <c r="F40" i="12"/>
  <c r="E40" i="12"/>
  <c r="D40" i="12"/>
  <c r="C40" i="12"/>
  <c r="G39" i="12"/>
  <c r="F39" i="12"/>
  <c r="E39" i="12"/>
  <c r="E42" i="12" s="1"/>
  <c r="D39" i="12"/>
  <c r="D42" i="12" s="1"/>
  <c r="C39" i="12"/>
  <c r="G20" i="12"/>
  <c r="F20" i="12"/>
  <c r="E20" i="12"/>
  <c r="D20" i="12"/>
  <c r="C20" i="12"/>
  <c r="G18" i="12"/>
  <c r="F18" i="12"/>
  <c r="E18" i="12"/>
  <c r="D18" i="12"/>
  <c r="C18" i="12"/>
  <c r="G16" i="12"/>
  <c r="F16" i="12"/>
  <c r="E16" i="12"/>
  <c r="D16" i="12"/>
  <c r="C16" i="12"/>
  <c r="G15" i="12"/>
  <c r="F15" i="12"/>
  <c r="E15" i="12"/>
  <c r="D15" i="12"/>
  <c r="C15" i="12"/>
  <c r="G13" i="12"/>
  <c r="F13" i="12"/>
  <c r="E13" i="12"/>
  <c r="D13" i="12"/>
  <c r="C13" i="12"/>
  <c r="G10" i="12"/>
  <c r="F10" i="12"/>
  <c r="E10" i="12"/>
  <c r="D10" i="12"/>
  <c r="C10" i="12"/>
  <c r="G9" i="12"/>
  <c r="F9" i="12"/>
  <c r="E9" i="12"/>
  <c r="D9" i="12"/>
  <c r="C9" i="12"/>
  <c r="G8" i="12"/>
  <c r="F8" i="12"/>
  <c r="E8" i="12"/>
  <c r="D8" i="12"/>
  <c r="C8" i="12"/>
  <c r="G7" i="12"/>
  <c r="F7" i="12"/>
  <c r="E7" i="12"/>
  <c r="D7" i="12"/>
  <c r="D11" i="12" s="1"/>
  <c r="D12" i="12" s="1"/>
  <c r="C7" i="12"/>
  <c r="G6" i="12"/>
  <c r="F6" i="12"/>
  <c r="E6" i="12"/>
  <c r="E11" i="12" s="1"/>
  <c r="E12" i="12" s="1"/>
  <c r="D6" i="12"/>
  <c r="C6" i="12"/>
  <c r="C11" i="12" s="1"/>
  <c r="D5" i="12"/>
  <c r="G4" i="12"/>
  <c r="F4" i="12"/>
  <c r="E4" i="12"/>
  <c r="E5" i="12" s="1"/>
  <c r="D4" i="12"/>
  <c r="C4" i="12"/>
  <c r="C12" i="12" s="1"/>
  <c r="D7" i="11"/>
  <c r="D8" i="11" s="1"/>
  <c r="C7" i="11"/>
  <c r="G6" i="11"/>
  <c r="F6" i="11"/>
  <c r="E6" i="11"/>
  <c r="D6" i="11"/>
  <c r="C6" i="11"/>
  <c r="G5" i="11"/>
  <c r="F5" i="11"/>
  <c r="E5" i="11"/>
  <c r="E7" i="11" s="1"/>
  <c r="E8" i="11" s="1"/>
  <c r="D5" i="11"/>
  <c r="C5" i="11"/>
  <c r="G4" i="11"/>
  <c r="G7" i="11" s="1"/>
  <c r="F4" i="11"/>
  <c r="F7" i="11" s="1"/>
  <c r="F8" i="11" s="1"/>
  <c r="E4" i="11"/>
  <c r="D4" i="11"/>
  <c r="C4" i="11"/>
  <c r="G11" i="10"/>
  <c r="E10" i="10"/>
  <c r="E7" i="13" s="1"/>
  <c r="C8" i="10"/>
  <c r="G7" i="10"/>
  <c r="F7" i="10"/>
  <c r="F10" i="10" s="1"/>
  <c r="E7" i="10"/>
  <c r="D7" i="10"/>
  <c r="C7" i="10"/>
  <c r="C6" i="10" s="1"/>
  <c r="G5" i="10"/>
  <c r="G10" i="10" s="1"/>
  <c r="G7" i="13" s="1"/>
  <c r="F5" i="10"/>
  <c r="E5" i="10"/>
  <c r="D5" i="10"/>
  <c r="D4" i="10"/>
  <c r="D8" i="10" s="1"/>
  <c r="E4" i="10" s="1"/>
  <c r="G56" i="9"/>
  <c r="F56" i="9"/>
  <c r="E56" i="9"/>
  <c r="D56" i="9"/>
  <c r="C56" i="9"/>
  <c r="G55" i="9"/>
  <c r="F55" i="9"/>
  <c r="E55" i="9"/>
  <c r="D55" i="9"/>
  <c r="C55" i="9"/>
  <c r="H55" i="9" s="1"/>
  <c r="G54" i="9"/>
  <c r="F54" i="9"/>
  <c r="E54" i="9"/>
  <c r="D54" i="9"/>
  <c r="C54" i="9"/>
  <c r="H51" i="9"/>
  <c r="G51" i="9"/>
  <c r="F51" i="9"/>
  <c r="E51" i="9"/>
  <c r="D51" i="9"/>
  <c r="G50" i="9"/>
  <c r="F50" i="9"/>
  <c r="E50" i="9"/>
  <c r="H50" i="9" s="1"/>
  <c r="D50" i="9"/>
  <c r="G49" i="9"/>
  <c r="F49" i="9"/>
  <c r="H49" i="9" s="1"/>
  <c r="E49" i="9"/>
  <c r="D49" i="9"/>
  <c r="G46" i="9"/>
  <c r="F46" i="9"/>
  <c r="E46" i="9"/>
  <c r="D46" i="9"/>
  <c r="C46" i="9"/>
  <c r="H46" i="9" s="1"/>
  <c r="G45" i="9"/>
  <c r="F45" i="9"/>
  <c r="E45" i="9"/>
  <c r="D45" i="9"/>
  <c r="C45" i="9"/>
  <c r="G42" i="9"/>
  <c r="F42" i="9"/>
  <c r="E42" i="9"/>
  <c r="D42" i="9"/>
  <c r="C42" i="9"/>
  <c r="H42" i="9" s="1"/>
  <c r="G41" i="9"/>
  <c r="F41" i="9"/>
  <c r="E41" i="9"/>
  <c r="D41" i="9"/>
  <c r="C41" i="9"/>
  <c r="G40" i="9"/>
  <c r="F40" i="9"/>
  <c r="E40" i="9"/>
  <c r="D40" i="9"/>
  <c r="C40" i="9"/>
  <c r="G39" i="9"/>
  <c r="F39" i="9"/>
  <c r="E39" i="9"/>
  <c r="D39" i="9"/>
  <c r="C39" i="9"/>
  <c r="H39" i="9" s="1"/>
  <c r="G38" i="9"/>
  <c r="F38" i="9"/>
  <c r="E38" i="9"/>
  <c r="D38" i="9"/>
  <c r="C38" i="9"/>
  <c r="G35" i="9"/>
  <c r="F35" i="9"/>
  <c r="E35" i="9"/>
  <c r="D35" i="9"/>
  <c r="C35" i="9"/>
  <c r="H35" i="9" s="1"/>
  <c r="G34" i="9"/>
  <c r="F34" i="9"/>
  <c r="E34" i="9"/>
  <c r="D34" i="9"/>
  <c r="C34" i="9"/>
  <c r="G33" i="9"/>
  <c r="F33" i="9"/>
  <c r="E33" i="9"/>
  <c r="D33" i="9"/>
  <c r="C33" i="9"/>
  <c r="G30" i="9"/>
  <c r="F30" i="9"/>
  <c r="E30" i="9"/>
  <c r="D30" i="9"/>
  <c r="C30" i="9"/>
  <c r="G29" i="9"/>
  <c r="F29" i="9"/>
  <c r="E29" i="9"/>
  <c r="D29" i="9"/>
  <c r="C29" i="9"/>
  <c r="G28" i="9"/>
  <c r="F28" i="9"/>
  <c r="E28" i="9"/>
  <c r="D28" i="9"/>
  <c r="C28" i="9"/>
  <c r="H28" i="9" s="1"/>
  <c r="G27" i="9"/>
  <c r="F27" i="9"/>
  <c r="E27" i="9"/>
  <c r="D27" i="9"/>
  <c r="C27" i="9"/>
  <c r="G26" i="9"/>
  <c r="F26" i="9"/>
  <c r="E26" i="9"/>
  <c r="D26" i="9"/>
  <c r="C26" i="9"/>
  <c r="H26" i="9" s="1"/>
  <c r="G25" i="9"/>
  <c r="F25" i="9"/>
  <c r="E25" i="9"/>
  <c r="D25" i="9"/>
  <c r="C25" i="9"/>
  <c r="G24" i="9"/>
  <c r="F24" i="9"/>
  <c r="E24" i="9"/>
  <c r="D24" i="9"/>
  <c r="C24" i="9"/>
  <c r="G23" i="9"/>
  <c r="F23" i="9"/>
  <c r="E23" i="9"/>
  <c r="D23" i="9"/>
  <c r="C23" i="9"/>
  <c r="H23" i="9" s="1"/>
  <c r="G22" i="9"/>
  <c r="F22" i="9"/>
  <c r="E22" i="9"/>
  <c r="D22" i="9"/>
  <c r="C22" i="9"/>
  <c r="G19" i="9"/>
  <c r="F19" i="9"/>
  <c r="E19" i="9"/>
  <c r="D19" i="9"/>
  <c r="H19" i="9" s="1"/>
  <c r="G18" i="9"/>
  <c r="F18" i="9"/>
  <c r="E18" i="9"/>
  <c r="H18" i="9" s="1"/>
  <c r="D18" i="9"/>
  <c r="C18" i="9"/>
  <c r="H17" i="9"/>
  <c r="G17" i="9"/>
  <c r="F17" i="9"/>
  <c r="E17" i="9"/>
  <c r="D17" i="9"/>
  <c r="C17" i="9"/>
  <c r="G16" i="9"/>
  <c r="F16" i="9"/>
  <c r="E16" i="9"/>
  <c r="H16" i="9" s="1"/>
  <c r="D16" i="9"/>
  <c r="C16" i="9"/>
  <c r="G15" i="9"/>
  <c r="F15" i="9"/>
  <c r="H15" i="9" s="1"/>
  <c r="E15" i="9"/>
  <c r="D15" i="9"/>
  <c r="C15" i="9"/>
  <c r="G14" i="9"/>
  <c r="F14" i="9"/>
  <c r="E14" i="9"/>
  <c r="H14" i="9" s="1"/>
  <c r="D14" i="9"/>
  <c r="C14" i="9"/>
  <c r="G13" i="9"/>
  <c r="F13" i="9"/>
  <c r="E13" i="9"/>
  <c r="D13" i="9"/>
  <c r="H13" i="9" s="1"/>
  <c r="C13" i="9"/>
  <c r="G12" i="9"/>
  <c r="F12" i="9"/>
  <c r="E12" i="9"/>
  <c r="H12" i="9" s="1"/>
  <c r="D12" i="9"/>
  <c r="C12" i="9"/>
  <c r="H11" i="9"/>
  <c r="G11" i="9"/>
  <c r="F11" i="9"/>
  <c r="E11" i="9"/>
  <c r="D11" i="9"/>
  <c r="C11" i="9"/>
  <c r="G10" i="9"/>
  <c r="F10" i="9"/>
  <c r="E10" i="9"/>
  <c r="H10" i="9" s="1"/>
  <c r="D10" i="9"/>
  <c r="C10" i="9"/>
  <c r="H9" i="9"/>
  <c r="G9" i="9"/>
  <c r="F9" i="9"/>
  <c r="E9" i="9"/>
  <c r="D9" i="9"/>
  <c r="C9" i="9"/>
  <c r="G8" i="9"/>
  <c r="F8" i="9"/>
  <c r="E8" i="9"/>
  <c r="H8" i="9" s="1"/>
  <c r="D8" i="9"/>
  <c r="C8" i="9"/>
  <c r="G7" i="9"/>
  <c r="F7" i="9"/>
  <c r="H7" i="9" s="1"/>
  <c r="E7" i="9"/>
  <c r="D7" i="9"/>
  <c r="C7" i="9"/>
  <c r="G6" i="9"/>
  <c r="F6" i="9"/>
  <c r="E6" i="9"/>
  <c r="H6" i="9" s="1"/>
  <c r="D6" i="9"/>
  <c r="C6" i="9"/>
  <c r="G5" i="9"/>
  <c r="F5" i="9"/>
  <c r="E5" i="9"/>
  <c r="H5" i="9" s="1"/>
  <c r="D5" i="9"/>
  <c r="G61" i="8"/>
  <c r="F61" i="8"/>
  <c r="E61" i="8"/>
  <c r="D61" i="8"/>
  <c r="C61" i="8"/>
  <c r="G59" i="8"/>
  <c r="F59" i="8"/>
  <c r="E59" i="8"/>
  <c r="D59" i="8"/>
  <c r="C59" i="8"/>
  <c r="G58" i="8"/>
  <c r="F58" i="8"/>
  <c r="E58" i="8"/>
  <c r="D58" i="8"/>
  <c r="C58" i="8"/>
  <c r="G57" i="8"/>
  <c r="F57" i="8"/>
  <c r="E57" i="8"/>
  <c r="D57" i="8"/>
  <c r="C57" i="8"/>
  <c r="G56" i="8"/>
  <c r="F56" i="8"/>
  <c r="E56" i="8"/>
  <c r="D56" i="8"/>
  <c r="C56" i="8"/>
  <c r="G54" i="8"/>
  <c r="F54" i="8"/>
  <c r="E54" i="8"/>
  <c r="D54" i="8"/>
  <c r="C54" i="8"/>
  <c r="G53" i="8"/>
  <c r="F53" i="8"/>
  <c r="E53" i="8"/>
  <c r="D53" i="8"/>
  <c r="C53" i="8"/>
  <c r="G52" i="8"/>
  <c r="F52" i="8"/>
  <c r="E52" i="8"/>
  <c r="D52" i="8"/>
  <c r="C52" i="8"/>
  <c r="G51" i="8"/>
  <c r="F51" i="8"/>
  <c r="E51" i="8"/>
  <c r="D51" i="8"/>
  <c r="C51" i="8"/>
  <c r="G50" i="8"/>
  <c r="F50" i="8"/>
  <c r="E50" i="8"/>
  <c r="D50" i="8"/>
  <c r="C50" i="8"/>
  <c r="G48" i="8"/>
  <c r="F48" i="8"/>
  <c r="E48" i="8"/>
  <c r="D48" i="8"/>
  <c r="C48" i="8"/>
  <c r="G47" i="8"/>
  <c r="F47" i="8"/>
  <c r="E47" i="8"/>
  <c r="D47" i="8"/>
  <c r="C47" i="8"/>
  <c r="G46" i="8"/>
  <c r="F46" i="8"/>
  <c r="E46" i="8"/>
  <c r="D46" i="8"/>
  <c r="C46" i="8"/>
  <c r="G45" i="8"/>
  <c r="F45" i="8"/>
  <c r="E45" i="8"/>
  <c r="D45" i="8"/>
  <c r="C45" i="8"/>
  <c r="G44" i="8"/>
  <c r="F44" i="8"/>
  <c r="E44" i="8"/>
  <c r="D44" i="8"/>
  <c r="C44" i="8"/>
  <c r="G43" i="8"/>
  <c r="F43" i="8"/>
  <c r="E43" i="8"/>
  <c r="D43" i="8"/>
  <c r="C43" i="8"/>
  <c r="G42" i="8"/>
  <c r="F42" i="8"/>
  <c r="E42" i="8"/>
  <c r="D42" i="8"/>
  <c r="C42" i="8"/>
  <c r="G41" i="8"/>
  <c r="F41" i="8"/>
  <c r="E41" i="8"/>
  <c r="D41" i="8"/>
  <c r="C41" i="8"/>
  <c r="G40" i="8"/>
  <c r="F40" i="8"/>
  <c r="E40" i="8"/>
  <c r="D40" i="8"/>
  <c r="C40" i="8"/>
  <c r="G39" i="8"/>
  <c r="F39" i="8"/>
  <c r="E39" i="8"/>
  <c r="D39" i="8"/>
  <c r="C39" i="8"/>
  <c r="G35" i="8"/>
  <c r="F35" i="8"/>
  <c r="E35" i="8"/>
  <c r="D35" i="8"/>
  <c r="G34" i="8"/>
  <c r="F34" i="8"/>
  <c r="E34" i="8"/>
  <c r="D34" i="8"/>
  <c r="C34" i="8"/>
  <c r="G32" i="8"/>
  <c r="F32" i="8"/>
  <c r="E32" i="8"/>
  <c r="D32" i="8"/>
  <c r="C32" i="8"/>
  <c r="G31" i="8"/>
  <c r="F31" i="8"/>
  <c r="E31" i="8"/>
  <c r="D31" i="8"/>
  <c r="C31" i="8"/>
  <c r="G29" i="8"/>
  <c r="F29" i="8"/>
  <c r="E29" i="8"/>
  <c r="D29" i="8"/>
  <c r="C29" i="8"/>
  <c r="G28" i="8"/>
  <c r="F28" i="8"/>
  <c r="E28" i="8"/>
  <c r="D28" i="8"/>
  <c r="C28" i="8"/>
  <c r="G26" i="8"/>
  <c r="F26" i="8"/>
  <c r="E26" i="8"/>
  <c r="D26" i="8"/>
  <c r="C26" i="8"/>
  <c r="G25" i="8"/>
  <c r="F25" i="8"/>
  <c r="E25" i="8"/>
  <c r="D25" i="8"/>
  <c r="G23" i="8"/>
  <c r="F23" i="8"/>
  <c r="E23" i="8"/>
  <c r="D23" i="8"/>
  <c r="C23" i="8"/>
  <c r="G21" i="8"/>
  <c r="F21" i="8"/>
  <c r="E21" i="8"/>
  <c r="D21" i="8"/>
  <c r="C21" i="8"/>
  <c r="G20" i="8"/>
  <c r="F20" i="8"/>
  <c r="E20" i="8"/>
  <c r="C20" i="8"/>
  <c r="G18" i="8"/>
  <c r="F18" i="8"/>
  <c r="E18" i="8"/>
  <c r="D18" i="8"/>
  <c r="C18" i="8"/>
  <c r="G15" i="8"/>
  <c r="F15" i="8"/>
  <c r="E15" i="8"/>
  <c r="D15" i="8"/>
  <c r="C15" i="8"/>
  <c r="F14" i="8"/>
  <c r="E14" i="8"/>
  <c r="D14" i="8"/>
  <c r="C14" i="8"/>
  <c r="G12" i="8"/>
  <c r="F12" i="8"/>
  <c r="E12" i="8"/>
  <c r="D12" i="8"/>
  <c r="C12" i="8"/>
  <c r="G9" i="8"/>
  <c r="F9" i="8"/>
  <c r="E9" i="8"/>
  <c r="D9" i="8"/>
  <c r="C9" i="8"/>
  <c r="F8" i="8"/>
  <c r="E8" i="8"/>
  <c r="D8" i="8"/>
  <c r="G6" i="8"/>
  <c r="F6" i="8"/>
  <c r="E6" i="8"/>
  <c r="D6" i="8"/>
  <c r="G5" i="8"/>
  <c r="C8" i="19" s="1"/>
  <c r="F8" i="19" s="1"/>
  <c r="F5" i="8"/>
  <c r="C7" i="19" s="1"/>
  <c r="F7" i="19" s="1"/>
  <c r="E5" i="8"/>
  <c r="C6" i="19" s="1"/>
  <c r="D5" i="8"/>
  <c r="C5" i="19" s="1"/>
  <c r="C5" i="8"/>
  <c r="C4" i="19" s="1"/>
  <c r="F4" i="19" s="1"/>
  <c r="L14" i="6"/>
  <c r="K14" i="6"/>
  <c r="J14" i="6"/>
  <c r="I14" i="6"/>
  <c r="L13" i="6"/>
  <c r="K13" i="6"/>
  <c r="J13" i="6"/>
  <c r="I13" i="6"/>
  <c r="L12" i="6"/>
  <c r="K12" i="6"/>
  <c r="J12" i="6"/>
  <c r="I12" i="6"/>
  <c r="L11" i="6"/>
  <c r="K11" i="6"/>
  <c r="J11" i="6"/>
  <c r="I11" i="6"/>
  <c r="L9" i="6"/>
  <c r="K9" i="6"/>
  <c r="J9" i="6"/>
  <c r="I9" i="6"/>
  <c r="L8" i="6"/>
  <c r="K8" i="6"/>
  <c r="J8" i="6"/>
  <c r="I8" i="6"/>
  <c r="L7" i="6"/>
  <c r="K7" i="6"/>
  <c r="J7" i="6"/>
  <c r="I7" i="6"/>
  <c r="L42" i="5"/>
  <c r="K42" i="5"/>
  <c r="J42" i="5"/>
  <c r="L40" i="5"/>
  <c r="K40" i="5"/>
  <c r="J40" i="5"/>
  <c r="I40" i="5"/>
  <c r="L39" i="5"/>
  <c r="K39" i="5"/>
  <c r="J39" i="5"/>
  <c r="I39" i="5"/>
  <c r="L36" i="5"/>
  <c r="K36" i="5"/>
  <c r="J36" i="5"/>
  <c r="I36" i="5"/>
  <c r="L35" i="5"/>
  <c r="K35" i="5"/>
  <c r="J35" i="5"/>
  <c r="I35" i="5"/>
  <c r="L34" i="5"/>
  <c r="K34" i="5"/>
  <c r="J34" i="5"/>
  <c r="I34" i="5"/>
  <c r="L33" i="5"/>
  <c r="K33" i="5"/>
  <c r="J33" i="5"/>
  <c r="I33" i="5"/>
  <c r="L32" i="5"/>
  <c r="K32" i="5"/>
  <c r="J32" i="5"/>
  <c r="I32" i="5"/>
  <c r="L31" i="5"/>
  <c r="K31" i="5"/>
  <c r="J31" i="5"/>
  <c r="I31" i="5"/>
  <c r="L30" i="5"/>
  <c r="K30" i="5"/>
  <c r="J30" i="5"/>
  <c r="I30" i="5"/>
  <c r="L29" i="5"/>
  <c r="K29" i="5"/>
  <c r="J29" i="5"/>
  <c r="L28" i="5"/>
  <c r="K28" i="5"/>
  <c r="J28" i="5"/>
  <c r="L27" i="5"/>
  <c r="K27" i="5"/>
  <c r="J27" i="5"/>
  <c r="I27" i="5"/>
  <c r="L25" i="5"/>
  <c r="K25" i="5"/>
  <c r="J25" i="5"/>
  <c r="I25" i="5"/>
  <c r="L24" i="5"/>
  <c r="J24" i="5"/>
  <c r="I24" i="5"/>
  <c r="L23" i="5"/>
  <c r="K23" i="5"/>
  <c r="J23" i="5"/>
  <c r="I23" i="5"/>
  <c r="L22" i="5"/>
  <c r="K22" i="5"/>
  <c r="J22" i="5"/>
  <c r="I22" i="5"/>
  <c r="L21" i="5"/>
  <c r="K21" i="5"/>
  <c r="J21" i="5"/>
  <c r="I21" i="5"/>
  <c r="L20" i="5"/>
  <c r="K20" i="5"/>
  <c r="J20" i="5"/>
  <c r="I20" i="5"/>
  <c r="L19" i="5"/>
  <c r="K19" i="5"/>
  <c r="J19" i="5"/>
  <c r="I19" i="5"/>
  <c r="L18" i="5"/>
  <c r="K18" i="5"/>
  <c r="J18" i="5"/>
  <c r="I18" i="5"/>
  <c r="L17" i="5"/>
  <c r="K17" i="5"/>
  <c r="J17" i="5"/>
  <c r="I17" i="5"/>
  <c r="L16" i="5"/>
  <c r="K16" i="5"/>
  <c r="J16" i="5"/>
  <c r="I16" i="5"/>
  <c r="L15" i="5"/>
  <c r="K15" i="5"/>
  <c r="J15" i="5"/>
  <c r="I15" i="5"/>
  <c r="L13" i="5"/>
  <c r="K13" i="5"/>
  <c r="J13" i="5"/>
  <c r="I13" i="5"/>
  <c r="L12" i="5"/>
  <c r="K12" i="5"/>
  <c r="J12" i="5"/>
  <c r="I12" i="5"/>
  <c r="L11" i="5"/>
  <c r="K11" i="5"/>
  <c r="J11" i="5"/>
  <c r="I11" i="5"/>
  <c r="L10" i="5"/>
  <c r="K10" i="5"/>
  <c r="J10" i="5"/>
  <c r="I10" i="5"/>
  <c r="L9" i="5"/>
  <c r="K9" i="5"/>
  <c r="J9" i="5"/>
  <c r="I9" i="5"/>
  <c r="L8" i="5"/>
  <c r="K8" i="5"/>
  <c r="J8" i="5"/>
  <c r="I8" i="5"/>
  <c r="L58" i="4"/>
  <c r="J58" i="4"/>
  <c r="L57" i="4"/>
  <c r="K57" i="4"/>
  <c r="J57" i="4"/>
  <c r="L55" i="4"/>
  <c r="K55" i="4"/>
  <c r="J55" i="4"/>
  <c r="L54" i="4"/>
  <c r="K54" i="4"/>
  <c r="J54" i="4"/>
  <c r="L52" i="4"/>
  <c r="K52" i="4"/>
  <c r="J52" i="4"/>
  <c r="L50" i="4"/>
  <c r="K50" i="4"/>
  <c r="J50" i="4"/>
  <c r="L47" i="4"/>
  <c r="K47" i="4"/>
  <c r="J47" i="4"/>
  <c r="I47" i="4"/>
  <c r="L46" i="4"/>
  <c r="K46" i="4"/>
  <c r="J46" i="4"/>
  <c r="I46" i="4"/>
  <c r="L45" i="4"/>
  <c r="K45" i="4"/>
  <c r="J45" i="4"/>
  <c r="I45" i="4"/>
  <c r="I44" i="4"/>
  <c r="L43" i="4"/>
  <c r="K43" i="4"/>
  <c r="J43" i="4"/>
  <c r="I43" i="4"/>
  <c r="L42" i="4"/>
  <c r="K42" i="4"/>
  <c r="J42" i="4"/>
  <c r="I42" i="4"/>
  <c r="L41" i="4"/>
  <c r="K41" i="4"/>
  <c r="J41" i="4"/>
  <c r="I41" i="4"/>
  <c r="L40" i="4"/>
  <c r="K40" i="4"/>
  <c r="J40" i="4"/>
  <c r="I40" i="4"/>
  <c r="L38" i="4"/>
  <c r="K38" i="4"/>
  <c r="J38" i="4"/>
  <c r="I38" i="4"/>
  <c r="L37" i="4"/>
  <c r="K37" i="4"/>
  <c r="J37" i="4"/>
  <c r="I37" i="4"/>
  <c r="I36" i="4"/>
  <c r="L35" i="4"/>
  <c r="K35" i="4"/>
  <c r="J35" i="4"/>
  <c r="I35" i="4"/>
  <c r="L34" i="4"/>
  <c r="K34" i="4"/>
  <c r="J34" i="4"/>
  <c r="I34" i="4"/>
  <c r="L33" i="4"/>
  <c r="K33" i="4"/>
  <c r="J33" i="4"/>
  <c r="I33" i="4"/>
  <c r="L32" i="4"/>
  <c r="K32" i="4"/>
  <c r="J32" i="4"/>
  <c r="I32" i="4"/>
  <c r="L31" i="4"/>
  <c r="K31" i="4"/>
  <c r="J31" i="4"/>
  <c r="I31" i="4"/>
  <c r="L30" i="4"/>
  <c r="K30" i="4"/>
  <c r="J30" i="4"/>
  <c r="I30" i="4"/>
  <c r="L27" i="4"/>
  <c r="K27" i="4"/>
  <c r="J27" i="4"/>
  <c r="I27" i="4"/>
  <c r="L26" i="4"/>
  <c r="K26" i="4"/>
  <c r="J26" i="4"/>
  <c r="I26" i="4"/>
  <c r="L25" i="4"/>
  <c r="K25" i="4"/>
  <c r="J25" i="4"/>
  <c r="I25" i="4"/>
  <c r="L24" i="4"/>
  <c r="K24" i="4"/>
  <c r="J24" i="4"/>
  <c r="I24" i="4"/>
  <c r="L23" i="4"/>
  <c r="K23" i="4"/>
  <c r="J23" i="4"/>
  <c r="I23" i="4"/>
  <c r="L22" i="4"/>
  <c r="K22" i="4"/>
  <c r="J22" i="4"/>
  <c r="I22" i="4"/>
  <c r="L20" i="4"/>
  <c r="K20" i="4"/>
  <c r="J20" i="4"/>
  <c r="I20" i="4"/>
  <c r="L19" i="4"/>
  <c r="K19" i="4"/>
  <c r="J19" i="4"/>
  <c r="I19" i="4"/>
  <c r="L18" i="4"/>
  <c r="K18" i="4"/>
  <c r="J18" i="4"/>
  <c r="I18" i="4"/>
  <c r="L17" i="4"/>
  <c r="K17" i="4"/>
  <c r="J17" i="4"/>
  <c r="I17" i="4"/>
  <c r="L16" i="4"/>
  <c r="K16" i="4"/>
  <c r="J16" i="4"/>
  <c r="I16" i="4"/>
  <c r="L14" i="4"/>
  <c r="K14" i="4"/>
  <c r="J14" i="4"/>
  <c r="I14" i="4"/>
  <c r="L13" i="4"/>
  <c r="K13" i="4"/>
  <c r="J13" i="4"/>
  <c r="I13" i="4"/>
  <c r="L12" i="4"/>
  <c r="K12" i="4"/>
  <c r="J12" i="4"/>
  <c r="I12" i="4"/>
  <c r="L11" i="4"/>
  <c r="K11" i="4"/>
  <c r="J11" i="4"/>
  <c r="I11" i="4"/>
  <c r="L10" i="4"/>
  <c r="K10" i="4"/>
  <c r="J10" i="4"/>
  <c r="I10" i="4"/>
  <c r="L9" i="4"/>
  <c r="K9" i="4"/>
  <c r="J9" i="4"/>
  <c r="I9" i="4"/>
  <c r="M23" i="7"/>
  <c r="L23" i="7"/>
  <c r="M22" i="7"/>
  <c r="L22" i="7"/>
  <c r="M21" i="7"/>
  <c r="L21" i="7"/>
  <c r="M20" i="7"/>
  <c r="L20" i="7"/>
  <c r="M19" i="7"/>
  <c r="L19" i="7"/>
  <c r="C28" i="12" l="1"/>
  <c r="C14" i="12"/>
  <c r="C17" i="14"/>
  <c r="E22" i="15"/>
  <c r="E24" i="15" s="1"/>
  <c r="K41" i="15" s="1"/>
  <c r="D28" i="12"/>
  <c r="D14" i="12"/>
  <c r="F7" i="13"/>
  <c r="F9" i="13" s="1"/>
  <c r="F12" i="13" s="1"/>
  <c r="F11" i="10"/>
  <c r="E9" i="11"/>
  <c r="E8" i="13"/>
  <c r="P6" i="16"/>
  <c r="O6" i="16"/>
  <c r="F9" i="11"/>
  <c r="F8" i="13"/>
  <c r="P7" i="16"/>
  <c r="O7" i="16"/>
  <c r="C12" i="20"/>
  <c r="G8" i="11"/>
  <c r="D9" i="11"/>
  <c r="D8" i="13"/>
  <c r="C24" i="12"/>
  <c r="O10" i="18" s="1"/>
  <c r="E6" i="10"/>
  <c r="E8" i="10"/>
  <c r="F4" i="10" s="1"/>
  <c r="E14" i="12"/>
  <c r="E28" i="12"/>
  <c r="D5" i="19"/>
  <c r="G5" i="19"/>
  <c r="F5" i="19"/>
  <c r="C13" i="19" s="1"/>
  <c r="P10" i="16"/>
  <c r="D7" i="19"/>
  <c r="H24" i="9"/>
  <c r="H40" i="9"/>
  <c r="H12" i="15"/>
  <c r="K12" i="15" s="1"/>
  <c r="F12" i="12"/>
  <c r="F5" i="12"/>
  <c r="G6" i="19"/>
  <c r="C31" i="15"/>
  <c r="F6" i="19"/>
  <c r="C6" i="13"/>
  <c r="C10" i="13" s="1"/>
  <c r="H29" i="9"/>
  <c r="C23" i="19"/>
  <c r="F11" i="12"/>
  <c r="Q6" i="16"/>
  <c r="G12" i="12"/>
  <c r="G5" i="12"/>
  <c r="C25" i="12"/>
  <c r="E10" i="13"/>
  <c r="P9" i="16"/>
  <c r="I5" i="12"/>
  <c r="O5" i="18" s="1"/>
  <c r="D6" i="19"/>
  <c r="G7" i="19"/>
  <c r="D8" i="19"/>
  <c r="C12" i="19"/>
  <c r="H33" i="9"/>
  <c r="E9" i="13"/>
  <c r="E12" i="13" s="1"/>
  <c r="G42" i="12"/>
  <c r="H22" i="9"/>
  <c r="H38" i="9"/>
  <c r="H56" i="9"/>
  <c r="E11" i="10"/>
  <c r="G11" i="12"/>
  <c r="I13" i="15"/>
  <c r="I17" i="15" s="1"/>
  <c r="C11" i="18"/>
  <c r="G8" i="19"/>
  <c r="H27" i="9"/>
  <c r="H45" i="9"/>
  <c r="D6" i="10"/>
  <c r="C5" i="20"/>
  <c r="H34" i="9"/>
  <c r="H54" i="9"/>
  <c r="D25" i="12"/>
  <c r="C24" i="19"/>
  <c r="H25" i="9"/>
  <c r="H41" i="9"/>
  <c r="F42" i="12"/>
  <c r="I14" i="15"/>
  <c r="H30" i="9"/>
  <c r="I16" i="15"/>
  <c r="E31" i="15" s="1"/>
  <c r="H11" i="15"/>
  <c r="H17" i="15" s="1"/>
  <c r="D10" i="10"/>
  <c r="C24" i="14"/>
  <c r="C31" i="20"/>
  <c r="H14" i="15"/>
  <c r="K14" i="15" s="1"/>
  <c r="D7" i="18" l="1"/>
  <c r="D44" i="12"/>
  <c r="D29" i="12"/>
  <c r="D17" i="12"/>
  <c r="D38" i="12"/>
  <c r="D45" i="12" s="1"/>
  <c r="C14" i="19"/>
  <c r="C11" i="19"/>
  <c r="D12" i="18"/>
  <c r="G8" i="13"/>
  <c r="G9" i="13" s="1"/>
  <c r="G9" i="11"/>
  <c r="G28" i="12"/>
  <c r="G14" i="12"/>
  <c r="D12" i="11"/>
  <c r="D11" i="11"/>
  <c r="F14" i="12"/>
  <c r="F28" i="12"/>
  <c r="O19" i="16"/>
  <c r="O18" i="16"/>
  <c r="O12" i="16"/>
  <c r="O15" i="16"/>
  <c r="O13" i="16"/>
  <c r="E14" i="16" s="1"/>
  <c r="E16" i="16" s="1"/>
  <c r="E18" i="16" s="1"/>
  <c r="O16" i="16"/>
  <c r="R4" i="20"/>
  <c r="R3" i="19"/>
  <c r="P19" i="16"/>
  <c r="P16" i="16"/>
  <c r="P12" i="16"/>
  <c r="P15" i="16"/>
  <c r="P18" i="16"/>
  <c r="P13" i="16"/>
  <c r="F14" i="16" s="1"/>
  <c r="F16" i="16" s="1"/>
  <c r="F18" i="16" s="1"/>
  <c r="D7" i="13"/>
  <c r="D9" i="13" s="1"/>
  <c r="D11" i="10"/>
  <c r="K11" i="15"/>
  <c r="H16" i="15"/>
  <c r="K42" i="15"/>
  <c r="Q19" i="16"/>
  <c r="Q16" i="16"/>
  <c r="Q13" i="16"/>
  <c r="G14" i="16" s="1"/>
  <c r="G16" i="16" s="1"/>
  <c r="G18" i="16" s="1"/>
  <c r="Q12" i="16"/>
  <c r="Q18" i="16"/>
  <c r="Q15" i="16"/>
  <c r="C16" i="18"/>
  <c r="E17" i="12"/>
  <c r="E29" i="12"/>
  <c r="E44" i="12"/>
  <c r="E38" i="12"/>
  <c r="E45" i="12" s="1"/>
  <c r="C17" i="12"/>
  <c r="C38" i="12"/>
  <c r="C45" i="12" s="1"/>
  <c r="C44" i="12"/>
  <c r="C29" i="12"/>
  <c r="C27" i="14"/>
  <c r="C28" i="14" s="1"/>
  <c r="C32" i="15"/>
  <c r="C33" i="15" s="1"/>
  <c r="C29" i="14"/>
  <c r="C32" i="14" s="1"/>
  <c r="F6" i="10"/>
  <c r="F8" i="10"/>
  <c r="G4" i="10" s="1"/>
  <c r="F10" i="13"/>
  <c r="D33" i="15" l="1"/>
  <c r="E33" i="15" s="1"/>
  <c r="E32" i="15" s="1"/>
  <c r="D31" i="15"/>
  <c r="D12" i="13"/>
  <c r="D10" i="13"/>
  <c r="M8" i="20"/>
  <c r="J8" i="20"/>
  <c r="G8" i="20"/>
  <c r="I8" i="20"/>
  <c r="H8" i="20"/>
  <c r="F8" i="20"/>
  <c r="E8" i="20"/>
  <c r="K8" i="20"/>
  <c r="F17" i="12"/>
  <c r="F38" i="12"/>
  <c r="F45" i="12" s="1"/>
  <c r="F29" i="12"/>
  <c r="L8" i="20" s="1"/>
  <c r="F44" i="12"/>
  <c r="C30" i="12"/>
  <c r="C21" i="12"/>
  <c r="C31" i="12" s="1"/>
  <c r="C19" i="12"/>
  <c r="C34" i="12"/>
  <c r="G38" i="12"/>
  <c r="G45" i="12" s="1"/>
  <c r="G44" i="12"/>
  <c r="G29" i="12"/>
  <c r="G17" i="12"/>
  <c r="D30" i="12"/>
  <c r="D21" i="12"/>
  <c r="D31" i="12" s="1"/>
  <c r="D19" i="12"/>
  <c r="D34" i="12"/>
  <c r="D32" i="15"/>
  <c r="D22" i="18"/>
  <c r="E12" i="18"/>
  <c r="O6" i="18"/>
  <c r="O7" i="18" s="1"/>
  <c r="O8" i="18" s="1"/>
  <c r="E7" i="18" s="1"/>
  <c r="F7" i="18" s="1"/>
  <c r="G7" i="18" s="1"/>
  <c r="H7" i="18" s="1"/>
  <c r="I7" i="18" s="1"/>
  <c r="J7" i="18" s="1"/>
  <c r="K7" i="18" s="1"/>
  <c r="L7" i="18" s="1"/>
  <c r="M7" i="18" s="1"/>
  <c r="O6" i="20"/>
  <c r="O11" i="18"/>
  <c r="O12" i="18" s="1"/>
  <c r="O13" i="18" s="1"/>
  <c r="I27" i="20"/>
  <c r="O16" i="18"/>
  <c r="I30" i="20"/>
  <c r="I29" i="20"/>
  <c r="I28" i="20"/>
  <c r="I26" i="20"/>
  <c r="G8" i="10"/>
  <c r="G6" i="10"/>
  <c r="E21" i="12"/>
  <c r="E31" i="12" s="1"/>
  <c r="E30" i="12"/>
  <c r="E19" i="12"/>
  <c r="E34" i="12"/>
  <c r="K17" i="15"/>
  <c r="K30" i="15" s="1"/>
  <c r="K16" i="15"/>
  <c r="D6" i="18"/>
  <c r="D11" i="18"/>
  <c r="D14" i="10"/>
  <c r="D13" i="10"/>
  <c r="G12" i="13"/>
  <c r="G10" i="13"/>
  <c r="C47" i="12" l="1"/>
  <c r="O15" i="18" s="1"/>
  <c r="E11" i="18"/>
  <c r="E6" i="18"/>
  <c r="F6" i="18" s="1"/>
  <c r="G6" i="18" s="1"/>
  <c r="H6" i="18" s="1"/>
  <c r="I6" i="18" s="1"/>
  <c r="J6" i="18" s="1"/>
  <c r="K6" i="18" s="1"/>
  <c r="L6" i="18" s="1"/>
  <c r="M6" i="18" s="1"/>
  <c r="O8" i="20"/>
  <c r="D8" i="20"/>
  <c r="F19" i="12"/>
  <c r="F21" i="12"/>
  <c r="F31" i="12" s="1"/>
  <c r="F30" i="12"/>
  <c r="F34" i="12"/>
  <c r="E22" i="18"/>
  <c r="E6" i="20" s="1"/>
  <c r="F12" i="18"/>
  <c r="D6" i="20"/>
  <c r="D21" i="18"/>
  <c r="C14" i="13"/>
  <c r="C13" i="13"/>
  <c r="G30" i="12"/>
  <c r="G21" i="12"/>
  <c r="G31" i="12" s="1"/>
  <c r="G19" i="12"/>
  <c r="G34" i="12"/>
  <c r="D35" i="15"/>
  <c r="K39" i="15"/>
  <c r="E35" i="15"/>
  <c r="K31" i="15" s="1"/>
  <c r="K33" i="15" s="1"/>
  <c r="K24" i="15" s="1"/>
  <c r="K25" i="15" s="1"/>
  <c r="K38" i="15" s="1"/>
  <c r="K44" i="15" s="1"/>
  <c r="R5" i="20" s="1"/>
  <c r="M20" i="20" l="1"/>
  <c r="L20" i="20"/>
  <c r="L25" i="20"/>
  <c r="K25" i="20"/>
  <c r="K20" i="20"/>
  <c r="H20" i="20"/>
  <c r="G20" i="20"/>
  <c r="F20" i="20"/>
  <c r="E20" i="20"/>
  <c r="M25" i="20"/>
  <c r="J25" i="20"/>
  <c r="J20" i="20"/>
  <c r="I20" i="20"/>
  <c r="D20" i="20"/>
  <c r="R6" i="20"/>
  <c r="O16" i="20" s="1"/>
  <c r="F22" i="18"/>
  <c r="F6" i="20" s="1"/>
  <c r="G12" i="18"/>
  <c r="D5" i="20"/>
  <c r="E21" i="18"/>
  <c r="D7" i="20"/>
  <c r="F11" i="18"/>
  <c r="G11" i="18" s="1"/>
  <c r="D17" i="18"/>
  <c r="O17" i="18"/>
  <c r="W18" i="18" l="1"/>
  <c r="V18" i="18"/>
  <c r="S18" i="18"/>
  <c r="R18" i="18"/>
  <c r="Q18" i="18"/>
  <c r="P18" i="18"/>
  <c r="U18" i="18"/>
  <c r="O18" i="18"/>
  <c r="T18" i="18"/>
  <c r="E17" i="18"/>
  <c r="F17" i="18" s="1"/>
  <c r="G17" i="18" s="1"/>
  <c r="D16" i="18"/>
  <c r="E16" i="18" s="1"/>
  <c r="F16" i="18" s="1"/>
  <c r="G16" i="18" s="1"/>
  <c r="E5" i="20"/>
  <c r="F21" i="18"/>
  <c r="D11" i="20"/>
  <c r="D12" i="20"/>
  <c r="H11" i="18"/>
  <c r="D9" i="20"/>
  <c r="D10" i="20"/>
  <c r="H12" i="18"/>
  <c r="G22" i="18"/>
  <c r="G6" i="20" s="1"/>
  <c r="E11" i="20" l="1"/>
  <c r="E7" i="20"/>
  <c r="I11" i="18"/>
  <c r="F5" i="20"/>
  <c r="G21" i="18"/>
  <c r="H17" i="18"/>
  <c r="I17" i="18" s="1"/>
  <c r="J17" i="18" s="1"/>
  <c r="K17" i="18" s="1"/>
  <c r="L17" i="18" s="1"/>
  <c r="M17" i="18" s="1"/>
  <c r="I12" i="18"/>
  <c r="H22" i="18"/>
  <c r="H6" i="20" s="1"/>
  <c r="H16" i="18"/>
  <c r="I16" i="18" s="1"/>
  <c r="J16" i="18" s="1"/>
  <c r="K16" i="18" s="1"/>
  <c r="L16" i="18" s="1"/>
  <c r="M16" i="18" s="1"/>
  <c r="D13" i="20"/>
  <c r="D14" i="20" s="1"/>
  <c r="E12" i="20"/>
  <c r="D16" i="20" l="1"/>
  <c r="D15" i="20"/>
  <c r="F12" i="20"/>
  <c r="E13" i="20"/>
  <c r="E14" i="20" s="1"/>
  <c r="E16" i="20" s="1"/>
  <c r="I22" i="18"/>
  <c r="I6" i="20" s="1"/>
  <c r="J12" i="18"/>
  <c r="E9" i="20"/>
  <c r="E10" i="20"/>
  <c r="H21" i="18"/>
  <c r="G5" i="20"/>
  <c r="F11" i="20"/>
  <c r="F7" i="20"/>
  <c r="E15" i="20" l="1"/>
  <c r="E22" i="20" s="1"/>
  <c r="G11" i="20"/>
  <c r="G7" i="20"/>
  <c r="J22" i="18"/>
  <c r="J6" i="20" s="1"/>
  <c r="K12" i="18"/>
  <c r="G12" i="20"/>
  <c r="F13" i="20"/>
  <c r="I21" i="18"/>
  <c r="H5" i="20"/>
  <c r="J11" i="18"/>
  <c r="K11" i="18" s="1"/>
  <c r="F9" i="20"/>
  <c r="F10" i="20" s="1"/>
  <c r="F15" i="20" s="1"/>
  <c r="D22" i="20"/>
  <c r="F14" i="20"/>
  <c r="F22" i="20" l="1"/>
  <c r="H11" i="20"/>
  <c r="H7" i="20"/>
  <c r="G9" i="20"/>
  <c r="G10" i="20" s="1"/>
  <c r="G15" i="20" s="1"/>
  <c r="F16" i="20"/>
  <c r="H12" i="20"/>
  <c r="G13" i="20"/>
  <c r="G14" i="20" s="1"/>
  <c r="J21" i="18"/>
  <c r="I5" i="20"/>
  <c r="L12" i="18"/>
  <c r="K22" i="18"/>
  <c r="K6" i="20" s="1"/>
  <c r="G22" i="20" l="1"/>
  <c r="G16" i="20"/>
  <c r="M12" i="18"/>
  <c r="M22" i="18" s="1"/>
  <c r="M6" i="20" s="1"/>
  <c r="L22" i="18"/>
  <c r="L6" i="20" s="1"/>
  <c r="H13" i="20"/>
  <c r="I12" i="20"/>
  <c r="H9" i="20"/>
  <c r="H10" i="20" s="1"/>
  <c r="H15" i="20" s="1"/>
  <c r="I11" i="20"/>
  <c r="I7" i="20"/>
  <c r="H14" i="20"/>
  <c r="J5" i="20"/>
  <c r="K21" i="18"/>
  <c r="L11" i="18"/>
  <c r="H22" i="20" l="1"/>
  <c r="M11" i="18"/>
  <c r="K5" i="20"/>
  <c r="L21" i="18"/>
  <c r="H16" i="20"/>
  <c r="I14" i="20"/>
  <c r="J11" i="20"/>
  <c r="J7" i="20"/>
  <c r="I9" i="20"/>
  <c r="I10" i="20" s="1"/>
  <c r="I15" i="20" s="1"/>
  <c r="I13" i="20"/>
  <c r="J12" i="20"/>
  <c r="I22" i="20" l="1"/>
  <c r="J14" i="20"/>
  <c r="L5" i="20"/>
  <c r="M21" i="18"/>
  <c r="M5" i="20" s="1"/>
  <c r="K11" i="20"/>
  <c r="K7" i="20"/>
  <c r="J10" i="20"/>
  <c r="J15" i="20" s="1"/>
  <c r="J22" i="20" s="1"/>
  <c r="J9" i="20"/>
  <c r="J13" i="20"/>
  <c r="K12" i="20"/>
  <c r="I16" i="20"/>
  <c r="K9" i="20" l="1"/>
  <c r="K10" i="20"/>
  <c r="O5" i="20"/>
  <c r="O7" i="20" s="1"/>
  <c r="M11" i="20"/>
  <c r="M7" i="20"/>
  <c r="K13" i="20"/>
  <c r="L12" i="20"/>
  <c r="K14" i="20"/>
  <c r="K16" i="20" s="1"/>
  <c r="L11" i="20"/>
  <c r="L7" i="20"/>
  <c r="J16" i="20"/>
  <c r="M9" i="20" l="1"/>
  <c r="M10" i="20"/>
  <c r="M12" i="20"/>
  <c r="M13" i="20" s="1"/>
  <c r="L13" i="20"/>
  <c r="L9" i="20"/>
  <c r="L10" i="20"/>
  <c r="M14" i="20"/>
  <c r="M16" i="20" s="1"/>
  <c r="L14" i="20"/>
  <c r="L16" i="20" s="1"/>
  <c r="O9" i="20"/>
  <c r="O10" i="20"/>
  <c r="K15" i="20"/>
  <c r="K22" i="20" l="1"/>
  <c r="O14" i="20"/>
  <c r="O15" i="20" s="1"/>
  <c r="L15" i="20"/>
  <c r="L22" i="20" s="1"/>
  <c r="M15" i="20"/>
  <c r="M22" i="20" s="1"/>
  <c r="C22" i="20" s="1"/>
  <c r="M18" i="20" l="1"/>
  <c r="M23" i="20" s="1"/>
  <c r="J26" i="20"/>
  <c r="K27" i="20"/>
  <c r="L29" i="20"/>
  <c r="M26" i="20"/>
  <c r="L26" i="20"/>
  <c r="K29" i="20"/>
  <c r="L30" i="20"/>
  <c r="C25" i="20"/>
  <c r="C29" i="20" s="1"/>
  <c r="C32" i="20" s="1"/>
  <c r="I25" i="20" s="1"/>
  <c r="J27" i="20"/>
  <c r="M30" i="20"/>
  <c r="M27" i="20"/>
  <c r="M28" i="20"/>
  <c r="L28" i="20"/>
  <c r="K28" i="20"/>
  <c r="J28" i="20"/>
  <c r="L27" i="20"/>
  <c r="K26" i="20"/>
  <c r="J30" i="20"/>
  <c r="J29" i="20"/>
  <c r="K30" i="20"/>
  <c r="M29" i="20"/>
</calcChain>
</file>

<file path=xl/sharedStrings.xml><?xml version="1.0" encoding="utf-8"?>
<sst xmlns="http://schemas.openxmlformats.org/spreadsheetml/2006/main" count="1736" uniqueCount="729">
  <si>
    <t>ASIAN PAINTS LIMITED</t>
  </si>
  <si>
    <t>COMPANY OVERVIEW</t>
  </si>
  <si>
    <t>ABOUT THE COMPANY</t>
  </si>
  <si>
    <t>Source</t>
  </si>
  <si>
    <t>Asian Paints Limited (NSE: ASIANPAINT | BSE: 500820) is India's largest paint company and one of the leading players in the decorative and industrial coatings space across Asia, the Middle East and Africa. Originally set up in 1942 in a garage in Mumbai by four friends - Champaklal Choksey, Chimanlal Choksi, Suryakant Dani and Arvind Vakil - the company has grown into a multi-brand group with operations spanning 15+ countries and 27 manufacturing facilities, serving customers in more than 60 countries. Beyond its core decorative and industrial paints business, Asian Paints has steadily expanded into the home decor and improvement space, covering waterproofing, adhesives, wall coverings, modular kitchens, bath fittings and interior design services. The company commands a market share of over 50% in the organised Indian decorative paints segment and continues to invest in backward integration through a large multi-year capex programme aimed at securing raw material supply and improving cost efficiency.</t>
  </si>
  <si>
    <t>REGISTERED OFFICE</t>
  </si>
  <si>
    <t>Address</t>
  </si>
  <si>
    <t>6A &amp; 6B, Shantinagar, Santacruz (East), Mumbai - 400055, Maharashtra, India</t>
  </si>
  <si>
    <t>S.No</t>
  </si>
  <si>
    <t>Name of Entity</t>
  </si>
  <si>
    <t>Type</t>
  </si>
  <si>
    <t>Country / Region of Operation</t>
  </si>
  <si>
    <t>Primary Business</t>
  </si>
  <si>
    <t>Remarks</t>
  </si>
  <si>
    <t>Berger International Limited (Asian Paints Berger)</t>
  </si>
  <si>
    <t>Subsidiary</t>
  </si>
  <si>
    <t>UAE, Bahrain, Oman, Qatar</t>
  </si>
  <si>
    <t>Decorative &amp; industrial paints</t>
  </si>
  <si>
    <t>Middle East operations</t>
  </si>
  <si>
    <t>SCIB Paints S.A.E.</t>
  </si>
  <si>
    <t>Egypt</t>
  </si>
  <si>
    <t>Africa operations</t>
  </si>
  <si>
    <t>Taubmans Paints (Fiji) Limited</t>
  </si>
  <si>
    <t>Fiji, Samoa</t>
  </si>
  <si>
    <t>Decorative paints</t>
  </si>
  <si>
    <t>South Pacific operations</t>
  </si>
  <si>
    <t>Apco Coatings (Fiji) Limited</t>
  </si>
  <si>
    <t>Fiji, Solomon Islands, Vanuatu</t>
  </si>
  <si>
    <t>Protective &amp; marine coatings</t>
  </si>
  <si>
    <t>Asian Paints (Causeway) Limited</t>
  </si>
  <si>
    <t>Sri Lanka</t>
  </si>
  <si>
    <t>Asia operations</t>
  </si>
  <si>
    <t>Kadisco Asian Paints Industries S.C.</t>
  </si>
  <si>
    <t>Associate</t>
  </si>
  <si>
    <t>Ethiopia</t>
  </si>
  <si>
    <t>Decorative, industrial &amp; automotive paints, adhesives</t>
  </si>
  <si>
    <t>Asian Paints (Nepal) Private Limited</t>
  </si>
  <si>
    <t>Nepal</t>
  </si>
  <si>
    <t>Asian Paints International Pte. Limited</t>
  </si>
  <si>
    <t>Singapore</t>
  </si>
  <si>
    <t>Holding company</t>
  </si>
  <si>
    <t>Holding entity for international subsidiaries</t>
  </si>
  <si>
    <t>PPG Asian Paints Private Limited</t>
  </si>
  <si>
    <t>Joint Venture (50:50 with PPG Inc.)</t>
  </si>
  <si>
    <t>India</t>
  </si>
  <si>
    <t>Automotive coatings</t>
  </si>
  <si>
    <t>JV with PPG Industries Inc.</t>
  </si>
  <si>
    <t>Asian PPG Industrial Coatings Private Limited</t>
  </si>
  <si>
    <t>Protective, powder &amp; industrial coatings</t>
  </si>
  <si>
    <t>Sleek International Private Limited</t>
  </si>
  <si>
    <t>Modular kitchens</t>
  </si>
  <si>
    <t>Home decor segment</t>
  </si>
  <si>
    <t>Weatherseal Fenestration Private Limited</t>
  </si>
  <si>
    <t>uPVC windows &amp; doors</t>
  </si>
  <si>
    <t>Home improvement segment</t>
  </si>
  <si>
    <t>Ess Ess Bath Products Private Limited</t>
  </si>
  <si>
    <t>Bath fittings &amp; sanitaryware</t>
  </si>
  <si>
    <t>Maxbhumi Developers Limited</t>
  </si>
  <si>
    <t>Real estate</t>
  </si>
  <si>
    <t>Support entity</t>
  </si>
  <si>
    <t>Shareholding Pattern</t>
  </si>
  <si>
    <t>Asian Paints Ltd</t>
  </si>
  <si>
    <t>Scrip Code : 500820</t>
  </si>
  <si>
    <t>Quarter Ending : Mar-26</t>
  </si>
  <si>
    <t>Statement showing shareholding pattern of the Promoter and Promoter Group</t>
  </si>
  <si>
    <t>Category of shareholder</t>
  </si>
  <si>
    <t>Entity Type</t>
  </si>
  <si>
    <t>Nos. of shareholders</t>
  </si>
  <si>
    <t>No. of fully paid up equity shares held</t>
  </si>
  <si>
    <t>Total nos. shares held</t>
  </si>
  <si>
    <t>Shareholding as a % of total no. of shares (calculated as per SCRR, 1957)As a % of (A+B+C2)</t>
  </si>
  <si>
    <t>Number of Voting Rights held in each class of securities</t>
  </si>
  <si>
    <t>Total No. Of shares on fully diluted basis (including warrants, ESOP, Convertible Securities etc.)</t>
  </si>
  <si>
    <t>Shareholding , as a % assuming full conversion of convertible securities ( as a percentage of diluted share capital)As a % of (A+B+C2)</t>
  </si>
  <si>
    <t>Number of Shares pledged or otherwise encumbered</t>
  </si>
  <si>
    <t>Total Number of Shares encumbered</t>
  </si>
  <si>
    <t>Number of equity shares held in dematerialized form</t>
  </si>
  <si>
    <t>Class eg: X</t>
  </si>
  <si>
    <t>Total</t>
  </si>
  <si>
    <t>No.(a)</t>
  </si>
  <si>
    <t>As a % of total Shares held(b)</t>
  </si>
  <si>
    <t>A1) Indian</t>
  </si>
  <si>
    <t>-</t>
  </si>
  <si>
    <t>Individuals/Hindu undivided Family</t>
  </si>
  <si>
    <t>Dipika Amar Vakil</t>
  </si>
  <si>
    <t>Promoter Group</t>
  </si>
  <si>
    <t>Late Abhay Arvind Vakil</t>
  </si>
  <si>
    <t>Promoter</t>
  </si>
  <si>
    <t>Vivek Abhay Vakil</t>
  </si>
  <si>
    <t>Bhairavi Abhay Vakil</t>
  </si>
  <si>
    <t>Nehal Abhay Vakil</t>
  </si>
  <si>
    <t>Prafullika Shailesh Choksi</t>
  </si>
  <si>
    <t>Satyen Ashwin Gandhi</t>
  </si>
  <si>
    <t>Hiren Ashwin Gandhi</t>
  </si>
  <si>
    <t>Vishal Shailesh Choksi</t>
  </si>
  <si>
    <t>Hasit A Dani</t>
  </si>
  <si>
    <t>VAKIL HUF (VARUN AMAR VAKIL)</t>
  </si>
  <si>
    <t>Amrita Amar Vakil</t>
  </si>
  <si>
    <t>Jigish Shailesh Choksi</t>
  </si>
  <si>
    <t>Manish Mahendra Choksi</t>
  </si>
  <si>
    <t>Varun Amar Vakil</t>
  </si>
  <si>
    <t>AMAR ARVIND VAKIL HUF (VARUN AMAR VAKIL)</t>
  </si>
  <si>
    <t>ABHAY ARVIND VAKIL HUF (VIVEK ABHAY VAKIL)</t>
  </si>
  <si>
    <t>Rupal Anant Bhat</t>
  </si>
  <si>
    <t>SHAILESH CHIMANLAL CHOKSI HUF (JIGISH SHAILESH CHOKSI)</t>
  </si>
  <si>
    <t>Mahendra Chimanlal Choksi</t>
  </si>
  <si>
    <t>Jalaj A Dani</t>
  </si>
  <si>
    <t>Late Asha Subhash Gujarathi</t>
  </si>
  <si>
    <t>Rita Mahendra Choksi</t>
  </si>
  <si>
    <t>Rupen Ashwin Choksi</t>
  </si>
  <si>
    <t>Ashish Ashwin Choksi</t>
  </si>
  <si>
    <t>Urvashi Ashwin Choksi</t>
  </si>
  <si>
    <t>Rhea Amit Sethi</t>
  </si>
  <si>
    <t>MAHENDRA CHIMANLAL CHOKSI HUF (MAHENDRA CHIMANLAL CHOKSI)</t>
  </si>
  <si>
    <t>Ami Manish Choksi</t>
  </si>
  <si>
    <t>Vita Jalaj Dani</t>
  </si>
  <si>
    <t>Ishwara Hasit Dani</t>
  </si>
  <si>
    <t>HASIT ASHWIN DANI HUF (HASIT ASHWIN DANI)</t>
  </si>
  <si>
    <t>JALAJ A DANI HUF (JALAJ ASHWIN DANI)</t>
  </si>
  <si>
    <t>Richa Manish Choksi</t>
  </si>
  <si>
    <t>Mudit Jalaj Dani</t>
  </si>
  <si>
    <t>Late Amar Arvind Vakil</t>
  </si>
  <si>
    <t>Smiti Jalaj Dani</t>
  </si>
  <si>
    <t>Binita Ashish Choksi</t>
  </si>
  <si>
    <t>Anay Rupen Choksi</t>
  </si>
  <si>
    <t>Aashay Ashish Choksi</t>
  </si>
  <si>
    <t>Nysha Rupen Choksi (Minor)</t>
  </si>
  <si>
    <t>Druhi Ashish Choksi</t>
  </si>
  <si>
    <t>Ashwin Ramanlal Gandhi</t>
  </si>
  <si>
    <t>Meghna Satyen Gandhi</t>
  </si>
  <si>
    <t>Vaibhavi Hiren Gandhi</t>
  </si>
  <si>
    <t>Shubhlakshmi Hasit Dani</t>
  </si>
  <si>
    <t>Late Chandanben Chhotalal Shah</t>
  </si>
  <si>
    <t>Hrishav Varun Vakil (Minor)</t>
  </si>
  <si>
    <t>Nyra Varun Vakil (Minor)</t>
  </si>
  <si>
    <t>Ragini Varun Vakil</t>
  </si>
  <si>
    <t>MANISH MAHENDRA CHOKSI HUF (MANISH MAHENDRA CHOKSI)</t>
  </si>
  <si>
    <t>ASHISH ASHWIN CHOKSI HUF (ASHISH ASHWIN CHOKSI)</t>
  </si>
  <si>
    <t>ASHWIN SURYAKANT DANI HUF (ASHWIN SURYAKANT DANI)</t>
  </si>
  <si>
    <t>Anant Raghuvir Bhat</t>
  </si>
  <si>
    <t>Arhaan Anant Bhat</t>
  </si>
  <si>
    <t>Rehaan Anant Bhat (Minor)</t>
  </si>
  <si>
    <t>Priyanka Jigish Choksi</t>
  </si>
  <si>
    <t>Aryan Jigish Choksi N/G Jigish Shailesh Choksi (Minor)</t>
  </si>
  <si>
    <t>Gayatri Subhash Gujarathi</t>
  </si>
  <si>
    <t>Amreen Sethi (Minor)</t>
  </si>
  <si>
    <t>Any Other (specify)</t>
  </si>
  <si>
    <t>Sattva Holding and Trading Private Limited</t>
  </si>
  <si>
    <t>Smiti Holding and Trading Company Private Limited</t>
  </si>
  <si>
    <t>Geetanjali Trading and Investments Private Limited</t>
  </si>
  <si>
    <t>Elcid Investments Limited</t>
  </si>
  <si>
    <t>Shubhit Holdings Private Limited</t>
  </si>
  <si>
    <t>Sudhanva Investments and Trading Company Private Limited</t>
  </si>
  <si>
    <t>Rupen Investment &amp; Industries Private Limited</t>
  </si>
  <si>
    <t>Satyadharma Investments and Trading Company Private Ltd.</t>
  </si>
  <si>
    <t>Castle Investment &amp; Industries Private Limited</t>
  </si>
  <si>
    <t>Lyon Investment &amp; Industries Private Limited</t>
  </si>
  <si>
    <t>Jaldhar Investments and Trading Company Private Limited</t>
  </si>
  <si>
    <t>Tru Trading and Investments Pvt Limited</t>
  </si>
  <si>
    <t>Nehal Trading and Investments Private Limited</t>
  </si>
  <si>
    <t>Asteroids Trading and Investments Private Limited</t>
  </si>
  <si>
    <t>Jalaj Trading &amp; Investment Company Private Limited</t>
  </si>
  <si>
    <t>Unnati Trading and Investments Private Limited</t>
  </si>
  <si>
    <t>Doli Trading and Investments Private Limited</t>
  </si>
  <si>
    <t>Centaurus Trading and Investments Pvt Ltd</t>
  </si>
  <si>
    <t>Suptaswar Investments and Trading Company Limited</t>
  </si>
  <si>
    <t>Lambodar Investments and Trading Company Limited</t>
  </si>
  <si>
    <t>Murahar Investments and Trading Company Limited</t>
  </si>
  <si>
    <t>Upnishad Holdings Private Limited</t>
  </si>
  <si>
    <t>Hiren Holdings Private Limited</t>
  </si>
  <si>
    <t>ELF Trading and Chemical Manufacturing Private Limited</t>
  </si>
  <si>
    <t>Rayirth Holding and Trading Company Private Limited</t>
  </si>
  <si>
    <t>Vikatmev Containers Ltd</t>
  </si>
  <si>
    <t>Dani Finlease Private Limited</t>
  </si>
  <si>
    <t>S C Dani Research Foundation Private Limited</t>
  </si>
  <si>
    <t>Haish Holding and Trading Company Private Limited</t>
  </si>
  <si>
    <t>Avinash Holding and Trading Company Private Limited</t>
  </si>
  <si>
    <t>Canes Venatici Trading Private Limited</t>
  </si>
  <si>
    <t>Hydra Trading Private Limited</t>
  </si>
  <si>
    <t>Hitech Specialities Solutions Private Limited</t>
  </si>
  <si>
    <t>Rituh Holding and Trading Company Private Limited</t>
  </si>
  <si>
    <t>Hitech Corporation Limited</t>
  </si>
  <si>
    <t>Homevilla Yoga Private Limited</t>
  </si>
  <si>
    <t>Riash Renewable Materials Private Limited</t>
  </si>
  <si>
    <t>Stack Pack Limited</t>
  </si>
  <si>
    <t>Dipika Chemicals Private Limited</t>
  </si>
  <si>
    <t>Cronus Merchandise LLP</t>
  </si>
  <si>
    <t>Mefree LLP</t>
  </si>
  <si>
    <t>ACC AP TRUST (Urvashi Ashwin Choksi, Ashish Ashwin Choksi, Rupen Ashwin Choksi)</t>
  </si>
  <si>
    <t>DANI FOUNDATION (Jalaj Dani, Vita Dani, Mudit Dani, Smiti Dani)</t>
  </si>
  <si>
    <t>PARAM-ARTH CHARITABLE TRUST (Hasit Dani, Shubhlakshmi Dani, Priyadarshini Kanodia)</t>
  </si>
  <si>
    <t>ASHIYANA TRUST (Ina Ashwin Dani - Managing Trustee, Percy Jal Dajee - Trustee)</t>
  </si>
  <si>
    <t>CRONUS TRUST (Jalaj Dani, Vita Dani)</t>
  </si>
  <si>
    <t>ISHWARA TRUST (Hasit Dani, Shubhlakshmi Dani)</t>
  </si>
  <si>
    <t>NARADIYA TRUST (Malav Ashwin Dani - Managing Trustee, Ina Ashwin Dani)</t>
  </si>
  <si>
    <t>RIG Trust (Jalaj Dani, Vita Dani)</t>
  </si>
  <si>
    <t>INAASHWIN TRUST (Ina Dani and Malav Dani-Managing Trustees,Viraf Mehta,Gautam Doshi,Vaishali Sharma)</t>
  </si>
  <si>
    <t>Advaita Charitable Trust (Malav Ashwin Dani, Ina Ashwin Dani, Percy Jal Dajee)</t>
  </si>
  <si>
    <t>Sab Ka Mangal Ho Foundation (Ina Ashwin Dani, Malav Ashwin Dani, Percy Dajee, Mehernosh Mehta)</t>
  </si>
  <si>
    <t>Dani Charitable Foundation (Ina Ashwin Dani, Jalaj Dani, Malav Ashwin Dani, Hasit Dani)</t>
  </si>
  <si>
    <t>Homevilla Charitable Trust (Ina Ashwin Dani, Mahendra Sheth, Percy Jal Dajee, Homi Daruwalla)</t>
  </si>
  <si>
    <t>Ashwin Ina Charitable Trust (Ina Ashwin Dani, Malav Ashwin Dani, Percy Jal Dajee)</t>
  </si>
  <si>
    <t>Sub Total A1</t>
  </si>
  <si>
    <t>A2) Foreign</t>
  </si>
  <si>
    <t>Individuals (NonResident Individuals/ Foreign Individuals)</t>
  </si>
  <si>
    <t>Malav A Dani</t>
  </si>
  <si>
    <t>Ina Ashwin Dani</t>
  </si>
  <si>
    <t>Sub Total A2</t>
  </si>
  <si>
    <t>A=A1+A2</t>
  </si>
  <si>
    <t>Shareholding Pattern Public Shareholder</t>
  </si>
  <si>
    <t>Statement showing shareholding pattern of the Public shareholder</t>
  </si>
  <si>
    <t>Category &amp; Name of the Shareholders</t>
  </si>
  <si>
    <t>No. of shareholder</t>
  </si>
  <si>
    <t>Total no. shares held</t>
  </si>
  <si>
    <t>Shareholding % calculated as per SCRR, 1957 As a % of (A+B+C2)</t>
  </si>
  <si>
    <t>No. of Voting Rights</t>
  </si>
  <si>
    <t>Total as a % of Total Voting right</t>
  </si>
  <si>
    <t>No. of equity shares held in dematerialized form(Not Applicable)</t>
  </si>
  <si>
    <t>Sub-categorization of shares (XV)</t>
  </si>
  <si>
    <t>Shareholding (No. of shares) under</t>
  </si>
  <si>
    <t>SubCategory_I</t>
  </si>
  <si>
    <t>SubCategory_II</t>
  </si>
  <si>
    <t>SubCategory_III</t>
  </si>
  <si>
    <t>Institutions</t>
  </si>
  <si>
    <t>B2) Institutions (Domestic)</t>
  </si>
  <si>
    <t>Mutual Funds/</t>
  </si>
  <si>
    <t>UTI Mutual Fund</t>
  </si>
  <si>
    <t>ICICI Prudential Mutual Fund</t>
  </si>
  <si>
    <t>SBI Mutual Fund</t>
  </si>
  <si>
    <t>Venture Capital Funds</t>
  </si>
  <si>
    <t>Alternate Investment Funds</t>
  </si>
  <si>
    <t>Banks</t>
  </si>
  <si>
    <t>Insurance Companies</t>
  </si>
  <si>
    <t>Life Insurance Corporation of India</t>
  </si>
  <si>
    <t>Provident Funds/ Pension Funds</t>
  </si>
  <si>
    <t>Asset reconstruction companies</t>
  </si>
  <si>
    <t>Sovereign Wealth Funds</t>
  </si>
  <si>
    <t>NBFCs registered with RBI</t>
  </si>
  <si>
    <t>Other Financial Institutions</t>
  </si>
  <si>
    <t>Any Other(Institutions (Domestic))</t>
  </si>
  <si>
    <t>Sub Total B1</t>
  </si>
  <si>
    <t>B19) Institutions (Foreign)</t>
  </si>
  <si>
    <t>Foreign Direct Investment</t>
  </si>
  <si>
    <t>Foreign Venture Capital Investors</t>
  </si>
  <si>
    <t>Foreign Portfolio Investors Category I</t>
  </si>
  <si>
    <t>Foreign Portfolio Investors Category II</t>
  </si>
  <si>
    <t>Overseas Depositories (holding DRs) (balancing figure)</t>
  </si>
  <si>
    <t>Any Other(Institutions (Foreign))</t>
  </si>
  <si>
    <t>Sub Total B2</t>
  </si>
  <si>
    <t>B28) Central Government/ State Government(s)/ President of India</t>
  </si>
  <si>
    <t>Central Government / President of India</t>
  </si>
  <si>
    <t>State Government / Governor</t>
  </si>
  <si>
    <t>Shareholding by Companies or Bodies Corporate where Central / State Government is a promoter</t>
  </si>
  <si>
    <t>Sub Total B3</t>
  </si>
  <si>
    <t>B33) Non-Institutions</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</si>
  <si>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</si>
  <si>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</si>
  <si>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</si>
  <si>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</si>
  <si>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</si>
  <si>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Investor Education and Protection Fund (IEPF)</t>
  </si>
  <si>
    <t>Resident Individuals holding nominal share capital up to Rs. 2 lakhs</t>
  </si>
  <si>
    <t>Resident Individuals holding nominal share capital in excess of Rs. 2 lakhs</t>
  </si>
  <si>
    <t>Non Resident Indians (NRIs)</t>
  </si>
  <si>
    <t>Foreign Nationals</t>
  </si>
  <si>
    <t>Foreign Companies</t>
  </si>
  <si>
    <t>Bodies Corporate</t>
  </si>
  <si>
    <t>Trusts</t>
  </si>
  <si>
    <t>Unclaimed or Suspense or Escrow Account</t>
  </si>
  <si>
    <t>LLP</t>
  </si>
  <si>
    <t>HUF</t>
  </si>
  <si>
    <t>Clearing Members</t>
  </si>
  <si>
    <t>Independent Director or his relatives</t>
  </si>
  <si>
    <t>Sub Total B4</t>
  </si>
  <si>
    <t>B=B1+B2+B3+B4</t>
  </si>
  <si>
    <t>Asian Paints</t>
  </si>
  <si>
    <t>Consolidated Balance Sheet</t>
  </si>
  <si>
    <t>Mar 26</t>
  </si>
  <si>
    <t>12 mths</t>
  </si>
  <si>
    <t>EQUITIES AND LIABILITIES</t>
  </si>
  <si>
    <t>SHAREHOLDER'S FUNDS</t>
  </si>
  <si>
    <t>Changes in %</t>
  </si>
  <si>
    <t>Equity Share Capital</t>
  </si>
  <si>
    <t>Total Share Capital</t>
  </si>
  <si>
    <t>Reserves and Surplus</t>
  </si>
  <si>
    <t>Total Reserves and Surplus</t>
  </si>
  <si>
    <t>Total Shareholders Funds</t>
  </si>
  <si>
    <t>Minority Interest</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</si>
  <si>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</si>
  <si>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</si>
  <si>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</si>
  <si>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</si>
  <si>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</si>
  <si>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</si>
  <si>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</si>
  <si>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</si>
  <si>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</si>
  <si>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</si>
  <si>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</si>
  <si>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</si>
  <si>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</si>
  <si>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</si>
  <si>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</si>
  <si>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</si>
  <si>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</si>
  <si>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</si>
  <si>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</si>
  <si>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</si>
  <si>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</si>
  <si>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</si>
  <si>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</si>
  <si>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</si>
  <si>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</si>
  <si>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</si>
  <si>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</si>
  <si>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</si>
  <si>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</si>
  <si>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</si>
  <si>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</si>
  <si>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</si>
  <si>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</si>
  <si>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OTHER ADDITIONAL INFORMATION</t>
  </si>
  <si>
    <t>CONTINGENT LIABILITIES, COMMITMENTS</t>
  </si>
  <si>
    <t>Contingent Liabilities</t>
  </si>
  <si>
    <t>BONUS DETAILS</t>
  </si>
  <si>
    <t>Bonus Equity Share Capital</t>
  </si>
  <si>
    <t>NON-CURRENT INVESTMENTS</t>
  </si>
  <si>
    <t>Non-Current Investments Quoted Market Value</t>
  </si>
  <si>
    <t>Non-Current Investments Unquoted Book Value</t>
  </si>
  <si>
    <t>CURRENT INVESTMENTS</t>
  </si>
  <si>
    <t>Current Investments Quoted Market Value</t>
  </si>
  <si>
    <t>Current Investments Unquoted Book Value</t>
  </si>
  <si>
    <t>Consolidated Profit &amp; Loss account</t>
  </si>
  <si>
    <t>INCOME</t>
  </si>
  <si>
    <t>Chnages in %</t>
  </si>
  <si>
    <t>Revenue From Operations [Gross]</t>
  </si>
  <si>
    <t>Revenue From Operations [Net]</t>
  </si>
  <si>
    <t>Other Operating Revenues</t>
  </si>
  <si>
    <t>Total Operating Revenues</t>
  </si>
  <si>
    <t>Other Income</t>
  </si>
  <si>
    <t>Total Revenue</t>
  </si>
  <si>
    <t>EXPENSES</t>
  </si>
  <si>
    <t>Cost Of Materials Consumed</t>
  </si>
  <si>
    <t>Purchase Of Stock-In Trade</t>
  </si>
  <si>
    <t>Changes In Inventories Of FG,WIP And Stock-In Trade</t>
  </si>
  <si>
    <t>Employee Benefit Expenses</t>
  </si>
  <si>
    <t>Finance Costs</t>
  </si>
  <si>
    <t>Depreciation And Amortisation Expenses</t>
  </si>
  <si>
    <t>Other Expenses</t>
  </si>
  <si>
    <t>Total Expenses</t>
  </si>
  <si>
    <t>Profit/Loss Before Exceptional, ExtraOrdinary Items And Tax</t>
  </si>
  <si>
    <t>Exceptional Items</t>
  </si>
  <si>
    <t>Profit/Loss Before Tax</t>
  </si>
  <si>
    <t>Tax Expenses-Continued Operations</t>
  </si>
  <si>
    <t>Current Tax</t>
  </si>
  <si>
    <t>Deferred Tax</t>
  </si>
  <si>
    <t>Tax For Earlier Years</t>
  </si>
  <si>
    <t>Total Tax Expenses</t>
  </si>
  <si>
    <t>Profit/Loss After Tax And Before ExtraOrdinary Items</t>
  </si>
  <si>
    <t>Profit/Loss From Continuing Operations</t>
  </si>
  <si>
    <t>Profit/Loss For The Period</t>
  </si>
  <si>
    <t>Share Of Profit/Loss Of Associates</t>
  </si>
  <si>
    <t>Consolidated Profit/Loss After MI And Associates</t>
  </si>
  <si>
    <t>EARNINGS PER SHARE</t>
  </si>
  <si>
    <t>Basic EPS (Rs.)</t>
  </si>
  <si>
    <t>Diluted EPS (Rs.)</t>
  </si>
  <si>
    <t>DIVIDEND AND DIVIDEND PERCENTAGE</t>
  </si>
  <si>
    <t>Equity Share Dividend</t>
  </si>
  <si>
    <t>Consolidated Cash Flow</t>
  </si>
  <si>
    <t>Mar '26</t>
  </si>
  <si>
    <t>Mar '25</t>
  </si>
  <si>
    <t>Mar '24</t>
  </si>
  <si>
    <t>Mar '23</t>
  </si>
  <si>
    <t>Mar '22</t>
  </si>
  <si>
    <t>Change in %</t>
  </si>
  <si>
    <t>Net Profit Before Tax</t>
  </si>
  <si>
    <t>Net Cash From Operating Activities</t>
  </si>
  <si>
    <t>Net Cash (used in)/from</t>
  </si>
  <si>
    <t>Investing Activities</t>
  </si>
  <si>
    <t>Net Cash (used in)/from Financing Activities</t>
  </si>
  <si>
    <t>Net (decrease)/increase In Cash and Cash Equivalents</t>
  </si>
  <si>
    <t>Opening Cash &amp; Cash Equivalents</t>
  </si>
  <si>
    <t>Closing Cash &amp; Cash Equivalents</t>
  </si>
  <si>
    <t xml:space="preserve">     Recommendation - Asian Paints Ltd: </t>
  </si>
  <si>
    <t>Financial Year</t>
  </si>
  <si>
    <t>Historical Financial Statement</t>
  </si>
  <si>
    <t>Years</t>
  </si>
  <si>
    <t>Income statement</t>
  </si>
  <si>
    <t>Revenue from Operations</t>
  </si>
  <si>
    <t>Revenue Growth</t>
  </si>
  <si>
    <t>Total Operating Expenses (ex Finance &amp; Depr)</t>
  </si>
  <si>
    <t>Opex % Revenue</t>
  </si>
  <si>
    <t>EBITDA</t>
  </si>
  <si>
    <t>EBITDA Margins</t>
  </si>
  <si>
    <t>Depreciation &amp; Amortisation</t>
  </si>
  <si>
    <t>Depreciation % of Sales</t>
  </si>
  <si>
    <t>EBIT</t>
  </si>
  <si>
    <t>EBIT Margin</t>
  </si>
  <si>
    <t>Finance Costs % of Sales</t>
  </si>
  <si>
    <t xml:space="preserve">Profit Before Tax </t>
  </si>
  <si>
    <t>PBT % Sales</t>
  </si>
  <si>
    <t>Effective Tax Rate</t>
  </si>
  <si>
    <t xml:space="preserve">Net Profit </t>
  </si>
  <si>
    <t>Net Margins</t>
  </si>
  <si>
    <t>Basic EPS (₹)</t>
  </si>
  <si>
    <t>EPS Growth %</t>
  </si>
  <si>
    <t>Balance Sheet</t>
  </si>
  <si>
    <t>Reserves &amp; Surplus</t>
  </si>
  <si>
    <t>Total Borrowings</t>
  </si>
  <si>
    <t>Other Liabilities</t>
  </si>
  <si>
    <t>Total Liabilities</t>
  </si>
  <si>
    <t>Fixed Assets (Net Block)</t>
  </si>
  <si>
    <t>Capital Work in Progress</t>
  </si>
  <si>
    <t>Total Non Current Assets</t>
  </si>
  <si>
    <t>Cash &amp; Bank</t>
  </si>
  <si>
    <t xml:space="preserve">RATIO ANALYSIS  </t>
  </si>
  <si>
    <t>Ratio</t>
  </si>
  <si>
    <t>5Y Avg</t>
  </si>
  <si>
    <t>Income Statement Ratios</t>
  </si>
  <si>
    <t>Sales Growth</t>
  </si>
  <si>
    <t>Finance Costs % Revenue</t>
  </si>
  <si>
    <t>Depreciation</t>
  </si>
  <si>
    <t xml:space="preserve">PBT </t>
  </si>
  <si>
    <t xml:space="preserve">PBT Margin </t>
  </si>
  <si>
    <t>Earnings Per Share</t>
  </si>
  <si>
    <t>Balance Statement Ratios</t>
  </si>
  <si>
    <t>Total Equity incl. Minority Interest</t>
  </si>
  <si>
    <t>Gross Debt</t>
  </si>
  <si>
    <t>Cash &amp; Equivalents</t>
  </si>
  <si>
    <t>Net Debt</t>
  </si>
  <si>
    <t>Return Ratios</t>
  </si>
  <si>
    <t>RoE: PAT / Equity (%)</t>
  </si>
  <si>
    <t>RoA: PAT / Total Assets (%)</t>
  </si>
  <si>
    <t>RoCE: EBIT / Capital Employed (%)</t>
  </si>
  <si>
    <t>Leverage &amp; Coverage Ratios</t>
  </si>
  <si>
    <t>Gross Debt / Equity (x)</t>
  </si>
  <si>
    <t>Net Debt / Equity (x)</t>
  </si>
  <si>
    <t>Net Debt / EBITDA (x)</t>
  </si>
  <si>
    <t>Interest Coverage: EBIT / Finance (x)</t>
  </si>
  <si>
    <t>Gross Debt / Total Assets (%)</t>
  </si>
  <si>
    <t>Asset &amp; Efficiency Ratios</t>
  </si>
  <si>
    <t>Asset Turnover: Revenue / Total Assets (x)</t>
  </si>
  <si>
    <t>Fixed Asset Turnover (x)</t>
  </si>
  <si>
    <t>Growth Ratios</t>
  </si>
  <si>
    <t>Revenue Growth YoY (%)</t>
  </si>
  <si>
    <t>EBITDA Growth YoY (%)</t>
  </si>
  <si>
    <t>PAT Growth YoY (%)</t>
  </si>
  <si>
    <t>Per Share Data</t>
  </si>
  <si>
    <t>Book Value per Share (₹)</t>
  </si>
  <si>
    <t>Net Debt per Share (₹)</t>
  </si>
  <si>
    <t>Fixed Assets Schedule</t>
  </si>
  <si>
    <t xml:space="preserve">Particular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</si>
  <si>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</si>
  <si>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</si>
  <si>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</si>
  <si>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</si>
  <si>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</si>
  <si>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</si>
  <si>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Net Capex / Sales %</t>
  </si>
  <si>
    <t>Median Capex / Sales %</t>
  </si>
  <si>
    <t>Average  Capex / Sales %</t>
  </si>
  <si>
    <t>Change In Working Capital</t>
  </si>
  <si>
    <t xml:space="preserve">Inventory </t>
  </si>
  <si>
    <t xml:space="preserve">Trade Receivables </t>
  </si>
  <si>
    <t>Trade Payable</t>
  </si>
  <si>
    <t xml:space="preserve">Non Cash working Capital </t>
  </si>
  <si>
    <t xml:space="preserve">Change in Working Capital </t>
  </si>
  <si>
    <t>Change in Working Capital / Sales percentage</t>
  </si>
  <si>
    <t>Median Change in Working Capital / Sales percentage</t>
  </si>
  <si>
    <t>Average Change in Working Capital / Sales percentage</t>
  </si>
  <si>
    <t>Asian Paints Ltd.</t>
  </si>
  <si>
    <t xml:space="preserve">Particulars </t>
  </si>
  <si>
    <t>Mar-26</t>
  </si>
  <si>
    <t>Revenue from operations</t>
  </si>
  <si>
    <t>Median of Revenue Growth</t>
  </si>
  <si>
    <t>Revenue growth in %</t>
  </si>
  <si>
    <t>Less: Cost Of Materials Consumed</t>
  </si>
  <si>
    <t>Less: Employee Benefit Expenses</t>
  </si>
  <si>
    <t>Less: Changes In Inventories</t>
  </si>
  <si>
    <t>Less: Other Expenses</t>
  </si>
  <si>
    <t>Less: Purchase Of Stock-In Trade</t>
  </si>
  <si>
    <t>Less: Depreciation And Amortization</t>
  </si>
  <si>
    <t>ADD: Other Income / Non-Operating Income</t>
  </si>
  <si>
    <t>Less: Finance Costs / Interest Expenses</t>
  </si>
  <si>
    <t>PBT</t>
  </si>
  <si>
    <t>Less: Total Tax Expenses</t>
  </si>
  <si>
    <t>Tax Rate</t>
  </si>
  <si>
    <t>Less: Minority Interest</t>
  </si>
  <si>
    <t>Net Profit - PAT</t>
  </si>
  <si>
    <t>Historical Growth</t>
  </si>
  <si>
    <t>Average Growth</t>
  </si>
  <si>
    <t>CAGR</t>
  </si>
  <si>
    <t>RRI</t>
  </si>
  <si>
    <t>Margins</t>
  </si>
  <si>
    <t>EBT</t>
  </si>
  <si>
    <t>Net Profit</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</si>
  <si>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</si>
  <si>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</si>
  <si>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</si>
  <si>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</si>
  <si>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</si>
  <si>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</si>
  <si>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</si>
  <si>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</si>
  <si>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</si>
  <si>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</si>
  <si>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t>
  </si>
  <si>
    <t>FCFF</t>
  </si>
  <si>
    <t>Particulars</t>
  </si>
  <si>
    <t>Less: Tax on EBIT</t>
  </si>
  <si>
    <t>EBIT*(1-tax)</t>
  </si>
  <si>
    <t>Less: Net capital expenditure</t>
  </si>
  <si>
    <t>Less: Change in WC</t>
  </si>
  <si>
    <t>Reinvestment</t>
  </si>
  <si>
    <t>Free Cah Flow to Firm (FCFF)</t>
  </si>
  <si>
    <t>Reinvestment Rate %</t>
  </si>
  <si>
    <t xml:space="preserve">Medium Reinvestment Rate </t>
  </si>
  <si>
    <t xml:space="preserve">Average Reinvestment Rate </t>
  </si>
  <si>
    <t>WACC Calculation</t>
  </si>
  <si>
    <t>Cost Of Capital</t>
  </si>
  <si>
    <t>As On Date:</t>
  </si>
  <si>
    <t>June 2026</t>
  </si>
  <si>
    <t>Cost of equity using CAPM:</t>
  </si>
  <si>
    <t>Risk-free rate</t>
  </si>
  <si>
    <t xml:space="preserve">India Default Spread </t>
  </si>
  <si>
    <t>Beta</t>
  </si>
  <si>
    <t>Equity Risk Premium (ERP)</t>
  </si>
  <si>
    <t>Cost of equity</t>
  </si>
  <si>
    <t>Cost of debt:</t>
  </si>
  <si>
    <t>Finance Cost (₹ Cr.)</t>
  </si>
  <si>
    <t>Total Debt (₹ Cr.)</t>
  </si>
  <si>
    <t>Pre-Tax Cost of Debt</t>
  </si>
  <si>
    <t>Marginal Tax Rate %</t>
  </si>
  <si>
    <t>Post-Tax Cost of Debt</t>
  </si>
  <si>
    <t>WACC Calculation :</t>
  </si>
  <si>
    <t>Equity Share Capital (₹ Cr.)</t>
  </si>
  <si>
    <t>Face Value (₹)</t>
  </si>
  <si>
    <t>Shares Outstanding (Cr.)</t>
  </si>
  <si>
    <t>Share Price (₹, as on date)</t>
  </si>
  <si>
    <t>Market Value of Equity (₹ Cr.)</t>
  </si>
  <si>
    <t>Capital Structure Weights</t>
  </si>
  <si>
    <t>Total Capital (Equity + Debt) (₹ Cr.)</t>
  </si>
  <si>
    <t>Weight of Debt (Wd)</t>
  </si>
  <si>
    <t>Weight of Equity (We)</t>
  </si>
  <si>
    <t>WACC</t>
  </si>
  <si>
    <t xml:space="preserve">WACC </t>
  </si>
  <si>
    <t>Weighted Average Cost of Capital</t>
  </si>
  <si>
    <t>All Figures are in INR unless stated otherwise</t>
  </si>
  <si>
    <t>Peer Comp</t>
  </si>
  <si>
    <t>S.No.</t>
  </si>
  <si>
    <t>Name</t>
  </si>
  <si>
    <t>CMP Rs.</t>
  </si>
  <si>
    <t>Mar Cap Rs.Cr.</t>
  </si>
  <si>
    <t>Debt Rs.Cr.</t>
  </si>
  <si>
    <t>Debt / Eq</t>
  </si>
  <si>
    <t>Debt/</t>
  </si>
  <si>
    <t>Levered/</t>
  </si>
  <si>
    <t>Unlevered/</t>
  </si>
  <si>
    <t>Name of the company</t>
  </si>
  <si>
    <t>Country</t>
  </si>
  <si>
    <t>Total Equity</t>
  </si>
  <si>
    <t>Total Debt</t>
  </si>
  <si>
    <t>Tax Rate 1</t>
  </si>
  <si>
    <t>Equity</t>
  </si>
  <si>
    <t>Capital</t>
  </si>
  <si>
    <t>beta 2</t>
  </si>
  <si>
    <t>Berger Paints</t>
  </si>
  <si>
    <t>Kansai Nerolac</t>
  </si>
  <si>
    <t>JSW Dulux</t>
  </si>
  <si>
    <t>Indigo Paints</t>
  </si>
  <si>
    <t>Average</t>
  </si>
  <si>
    <t>Median</t>
  </si>
  <si>
    <t>Cost of Debt</t>
  </si>
  <si>
    <t>Cost of Equity</t>
  </si>
  <si>
    <t>Pre-tax Cost of Debt</t>
  </si>
  <si>
    <t>Risk Free Rate</t>
  </si>
  <si>
    <t>Equity Risk Premium</t>
  </si>
  <si>
    <t>After Tax Cost of Debt</t>
  </si>
  <si>
    <t>Levered Beta</t>
  </si>
  <si>
    <t>Capital Structure</t>
  </si>
  <si>
    <t>Current</t>
  </si>
  <si>
    <t>Target</t>
  </si>
  <si>
    <t>Comps Median Unlevered Beta</t>
  </si>
  <si>
    <t>Target Debt / Equity</t>
  </si>
  <si>
    <t>Market Capitalisation</t>
  </si>
  <si>
    <t>Total Capital</t>
  </si>
  <si>
    <t>Debt / Equity</t>
  </si>
  <si>
    <t>Equity Weight</t>
  </si>
  <si>
    <t>Debt Weight</t>
  </si>
  <si>
    <t>Relative Valuation</t>
  </si>
  <si>
    <t>Comparable Company Valuation</t>
  </si>
  <si>
    <t>Company Name</t>
  </si>
  <si>
    <t>Market Data</t>
  </si>
  <si>
    <t>Financials (FY26, ₹ Cr.)</t>
  </si>
  <si>
    <t>Valuation Multiples</t>
  </si>
  <si>
    <t>No. of Shares (Cr.)</t>
  </si>
  <si>
    <t>Share Price (₹)</t>
  </si>
  <si>
    <t>Equity Value (₹ Cr.)</t>
  </si>
  <si>
    <t>Debt (₹ Cr.)</t>
  </si>
  <si>
    <t>Cash (₹ Cr.)</t>
  </si>
  <si>
    <t>Enterprise Value (₹ Cr.)</t>
  </si>
  <si>
    <t>Revenue (₹ Cr.)</t>
  </si>
  <si>
    <t>EBITDA (₹ Cr.)</t>
  </si>
  <si>
    <t>Net Profit (₹ Cr.)</t>
  </si>
  <si>
    <t>EPS (₹)</t>
  </si>
  <si>
    <t>EV/Revenue</t>
  </si>
  <si>
    <t>EV/EBITDA</t>
  </si>
  <si>
    <t>P/E Ratio</t>
  </si>
  <si>
    <t>M&amp;M Industry Comparable Comps</t>
  </si>
  <si>
    <t>P/E</t>
  </si>
  <si>
    <t>Implied Enterprise Value</t>
  </si>
  <si>
    <t>Max</t>
  </si>
  <si>
    <t>Implied Market Value</t>
  </si>
  <si>
    <t>75th Percentile</t>
  </si>
  <si>
    <t>Share Outstanding (Cr.)</t>
  </si>
  <si>
    <t>Implied Value per Share (₹)</t>
  </si>
  <si>
    <t>25th Percentile</t>
  </si>
  <si>
    <t>Min</t>
  </si>
  <si>
    <t>Asian Paints Ltd - Peer Comparison</t>
  </si>
  <si>
    <t>Company</t>
  </si>
  <si>
    <t>Business Overview</t>
  </si>
  <si>
    <t>Trend-Chart of 5Yr</t>
  </si>
  <si>
    <t>Asian Paints Ltd is India's largest paint and décor company commanding ~52% of the domestic decorative paints market. It operates across interior/exterior paints, waterproofing, industrial coatings, adhesives, and home décor with presence in 15+ countries. The company is a Nifty 50 constituent and a benchmark for consumer staples in India.</t>
  </si>
  <si>
    <t>Berger Paints India Ltd</t>
  </si>
  <si>
    <t>Berger Paints India Ltd is the second-largest paint company in India, engaged in decorative and industrial coatings. Known for consistent volume growth and expanding premium product offerings, Berger has steadily gained distribution reach and reported resilient performance in FY25 despite muted urban demand and competitive intensity.</t>
  </si>
  <si>
    <t>Kansai Nerolac Paints Ltd</t>
  </si>
  <si>
    <t>Kansai Nerolac Paints Ltd is India's largest industrial paint company and third-largest decorative paints player, a subsidiary of Japan's Kansai Paint Co. Ltd. The company operates across decorative, automotive, and industrial coatings segments from six manufacturing plants across India.</t>
  </si>
  <si>
    <t>Indigo Paints Ltd</t>
  </si>
  <si>
    <t>Indigo Paints Ltd is a fast-growing mid-tier decorative paint company known for its differentiated product portfolio in cement paints, tile coatings, and wood coatings. With a unique distribution strategy focusing on Tier 2/3 towns and strong brand recall via advertising, it has carved a niche in the competitive paints market.</t>
  </si>
  <si>
    <t>Attribute</t>
  </si>
  <si>
    <t>Metric</t>
  </si>
  <si>
    <t>LTP (₹)</t>
  </si>
  <si>
    <t>Debtor Days (FY25)</t>
  </si>
  <si>
    <t>Sales (₹ Cr.)</t>
  </si>
  <si>
    <t>Inventory Days (FY25)</t>
  </si>
  <si>
    <t>Net Profit 12M (₹ Cr.)</t>
  </si>
  <si>
    <t>Days Payable (FY25)</t>
  </si>
  <si>
    <t>Cash Conversion Cycle (FY25)</t>
  </si>
  <si>
    <t>Working Capital Days (FY25)</t>
  </si>
  <si>
    <t>OPM %</t>
  </si>
  <si>
    <t>ROCE % (FY25)</t>
  </si>
  <si>
    <t>Premium Valuation</t>
  </si>
  <si>
    <t>ROCE %</t>
  </si>
  <si>
    <t>ROE %</t>
  </si>
  <si>
    <t>Strong</t>
  </si>
  <si>
    <t>Premium</t>
  </si>
  <si>
    <t>Growth Scenarios</t>
  </si>
  <si>
    <t>Scenario 1: High Growth</t>
  </si>
  <si>
    <t>INR Cr.</t>
  </si>
  <si>
    <t>LTM</t>
  </si>
  <si>
    <t>Y1E</t>
  </si>
  <si>
    <t>Y2E</t>
  </si>
  <si>
    <t>Y3E</t>
  </si>
  <si>
    <t>Y4E</t>
  </si>
  <si>
    <t>Y5E</t>
  </si>
  <si>
    <t>Y6E</t>
  </si>
  <si>
    <t>Y7E</t>
  </si>
  <si>
    <t>Y8E</t>
  </si>
  <si>
    <t>Y9E</t>
  </si>
  <si>
    <t>Y10E</t>
  </si>
  <si>
    <t>Average Revenue Growth</t>
  </si>
  <si>
    <t>Sales</t>
  </si>
  <si>
    <t>Sales Growth %</t>
  </si>
  <si>
    <t>Growth Per Year</t>
  </si>
  <si>
    <t>Scenario 2: Average Growth</t>
  </si>
  <si>
    <t>Scenario 3: EBIT Growth</t>
  </si>
  <si>
    <t>Live Scenario</t>
  </si>
  <si>
    <t>GROWTH RATE ANALYSIS</t>
  </si>
  <si>
    <t>Year</t>
  </si>
  <si>
    <t>Revenue</t>
  </si>
  <si>
    <t>%Change</t>
  </si>
  <si>
    <t>No. of years</t>
  </si>
  <si>
    <t>Logarithmic Regression</t>
  </si>
  <si>
    <t>Geomean</t>
  </si>
  <si>
    <t>Approaches to calculate 'g'</t>
  </si>
  <si>
    <t>values</t>
  </si>
  <si>
    <t>Arthmetic Method</t>
  </si>
  <si>
    <t>CAGR Method</t>
  </si>
  <si>
    <t>Log Regression</t>
  </si>
  <si>
    <t>Geometric Mean</t>
  </si>
  <si>
    <t>For FCFF Growth:</t>
  </si>
  <si>
    <t>Retention Ratio:</t>
  </si>
  <si>
    <t>1- D/P Ratio</t>
  </si>
  <si>
    <t>Return on Equity:</t>
  </si>
  <si>
    <t>PAT/Equity</t>
  </si>
  <si>
    <t>Dividend Payout Ratio:</t>
  </si>
  <si>
    <t>DPS/EPS</t>
  </si>
  <si>
    <t>D/P Ratio</t>
  </si>
  <si>
    <t>RoE (Return on Equity) - 5yr Avg</t>
  </si>
  <si>
    <t>g' ( Growth Rate)</t>
  </si>
  <si>
    <t>DCF Valuation</t>
  </si>
  <si>
    <t>INR Cr</t>
  </si>
  <si>
    <t>Terminal Year</t>
  </si>
  <si>
    <t>Terminal growth rate %</t>
  </si>
  <si>
    <t xml:space="preserve">Sales </t>
  </si>
  <si>
    <t>Terminal Year Revenue</t>
  </si>
  <si>
    <t>Cost of Capital %</t>
  </si>
  <si>
    <t>projected sales/revenue</t>
  </si>
  <si>
    <t>Terminal reinvestment rate %</t>
  </si>
  <si>
    <t>EBIT Margin %</t>
  </si>
  <si>
    <t>Tax on EBIT</t>
  </si>
  <si>
    <t>EBIT(1-T)</t>
  </si>
  <si>
    <t>Less: Net Capital Expenditure</t>
  </si>
  <si>
    <t>Non Cash Working Capital</t>
  </si>
  <si>
    <t>Less: Change in Working Capital</t>
  </si>
  <si>
    <t>Free Cash Flow To Firm (FCFF)</t>
  </si>
  <si>
    <t>Implied Reinvestment rate %</t>
  </si>
  <si>
    <t>Terminal Value</t>
  </si>
  <si>
    <t>Present Value Interest Factor (PVIF)</t>
  </si>
  <si>
    <t>Present value of FCFF</t>
  </si>
  <si>
    <t>Present value of Terminal value</t>
  </si>
  <si>
    <t>Sensitivity: Intrinsic Value per Share</t>
  </si>
  <si>
    <t>Value of operating assets</t>
  </si>
  <si>
    <t>Add: Cash</t>
  </si>
  <si>
    <t>Less: Debt</t>
  </si>
  <si>
    <t>Equity Value</t>
  </si>
  <si>
    <t>No. of Shares outstanding (Cr)</t>
  </si>
  <si>
    <t xml:space="preserve">Intrinsic value per share </t>
  </si>
  <si>
    <t>Current CMP - ₹2,747</t>
  </si>
  <si>
    <t xml:space="preserve">Revenue </t>
  </si>
  <si>
    <t xml:space="preserve">PAT </t>
  </si>
  <si>
    <t>Revenue Change</t>
  </si>
  <si>
    <t xml:space="preserve">PAT Change </t>
  </si>
  <si>
    <t>2024-25</t>
  </si>
  <si>
    <t>2023-24</t>
  </si>
  <si>
    <t>2022-23</t>
  </si>
  <si>
    <t>2021-22</t>
  </si>
  <si>
    <t>2020-21</t>
  </si>
  <si>
    <r>
      <rPr>
        <b/>
        <i/>
        <sz val="11"/>
        <color theme="5"/>
        <rFont val="Arial"/>
        <family val="2"/>
      </rPr>
      <t>"HOLD"</t>
    </r>
    <r>
      <rPr>
        <sz val="11"/>
        <color rgb="FF000000"/>
        <rFont val="Arial"/>
        <family val="2"/>
      </rPr>
      <t xml:space="preserve"> Asian Paints Ltd remains India's dominant decorative paint franchise with 52% market share, but FY25 marks a structural inflection point driven by intensifying competition from Grasim's Birla Opus, muted urban demand, and raw-material-led margin compression. FY25 standalone revenue declined 4.5% YoY to ₹33,906 Cr, while net profit fell 34% YoY to ₹3,569 Cr OPM contracted from 21.7% to 17.1%, the sharpest single-year margin compression in over a decade.
The chart reflects this reset: the stock has corrected 22% from its 52-week high, partially de-rating from 70x P/E toward 55x  still elevated relative to peers (Berger at 58x, Kansai at 31x) and not yet at levels that price in the market share risk fully. Birla Opus captured ~6-10% market share in FY25 alone, with Asian Paints losing ~7 percentage points (59% → 52%); Morgan Stanley flags a further 209bps loss through FY28.
Long-term moat remains intact: 70,000+ dealer touchpoints, brand equity built over 75+ years, low leverage (D/E &lt; 0.1x), consistent 65%+ dividend payout ratio, and ROCE of 27.2% well above cost of capital. A recovery in urban housing demand, raw material cost tailwinds (crude-linked inputs), and new capacity from Vizag and Mysuru plants could support earnings revival in FY27. BUY trigger: price dip to ₹2,100-2,200 or visible PAT recovery of 20%+ in H1 FY26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</si>
</sst>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m\-yy"/>
    <numFmt numFmtId="165" formatCode="0.0%"/>
    <numFmt numFmtId="166" formatCode="&quot;₹ &quot;#,##0.00;&quot;(₹ &quot;#,##0.00\);\-"/>
    <numFmt numFmtId="167" formatCode="&quot;₹ &quot;#,##0.00"/>
    <numFmt numFmtId="168" formatCode="0.00\x"/>
    <numFmt numFmtId="169" formatCode="&quot;₹ &quot;#,##0.00;&quot;(₹ -&quot;#,##0.0\);\-"/>
    <numFmt numFmtId="170" formatCode="0.0000"/>
  </numFmts>
  <fonts count="79" x14ac:knownFonts="1">
    <font>
      <sz val="11"/>
      <color theme="1"/>
      <name val="Calibri"/>
      <family val="2"/>
      <charset val="1"/>
    </font>
    <font>
      <sz val="12"/>
      <color theme="1"/>
      <name val="Arial"/>
      <family val="2"/>
      <charset val="1"/>
    </font>
    <font>
      <b/>
      <sz val="12"/>
      <color rgb="FFFF5050"/>
      <name val="Arial"/>
      <family val="2"/>
      <charset val="1"/>
    </font>
    <font>
      <b/>
      <sz val="22"/>
      <color rgb="FF606F7B"/>
      <name val="Arial"/>
      <family val="2"/>
      <charset val="1"/>
    </font>
    <font>
      <sz val="14"/>
      <color theme="1"/>
      <name val="Arial"/>
      <family val="2"/>
      <charset val="1"/>
    </font>
    <font>
      <b/>
      <sz val="14"/>
      <color theme="0"/>
      <name val="Arial"/>
      <family val="2"/>
      <charset val="1"/>
    </font>
    <font>
      <sz val="14"/>
      <color rgb="FF0563C1"/>
      <name val="Arial"/>
      <family val="2"/>
      <charset val="1"/>
    </font>
    <font>
      <sz val="16"/>
      <color rgb="FF000000"/>
      <name val="Arial"/>
      <family val="2"/>
      <charset val="1"/>
    </font>
    <font>
      <b/>
      <sz val="12"/>
      <color rgb="FF000000"/>
      <name val="Arial"/>
      <family val="2"/>
      <charset val="1"/>
    </font>
    <font>
      <sz val="12"/>
      <color rgb="FF000000"/>
      <name val="Arial"/>
      <family val="2"/>
      <charset val="1"/>
    </font>
    <font>
      <b/>
      <sz val="12"/>
      <color rgb="FFFFFFFF"/>
      <name val="Arial"/>
      <family val="2"/>
      <charset val="1"/>
    </font>
    <font>
      <sz val="7"/>
      <color rgb="FF000000"/>
      <name val="Arial"/>
      <family val="2"/>
      <charset val="1"/>
    </font>
    <font>
      <sz val="7"/>
      <color rgb="FFFFFFFF"/>
      <name val="Arial"/>
      <family val="2"/>
      <charset val="1"/>
    </font>
    <font>
      <sz val="11"/>
      <color rgb="FF000000"/>
      <name val="Calibri"/>
      <family val="2"/>
      <charset val="1"/>
    </font>
    <font>
      <sz val="11"/>
      <color rgb="FF000000"/>
      <name val="Arial"/>
      <family val="2"/>
      <charset val="1"/>
    </font>
    <font>
      <sz val="7"/>
      <color rgb="FFFFFFFF"/>
      <name val="Calibri"/>
      <family val="2"/>
      <charset val="1"/>
    </font>
    <font>
      <sz val="10"/>
      <color theme="1"/>
      <name val="Calibri"/>
      <family val="2"/>
      <charset val="1"/>
    </font>
    <font>
      <b/>
      <sz val="10"/>
      <color theme="1"/>
      <name val="Arial"/>
      <family val="2"/>
      <charset val="1"/>
    </font>
    <font>
      <sz val="10"/>
      <color theme="1"/>
      <name val="Arial"/>
      <family val="2"/>
      <charset val="1"/>
    </font>
    <font>
      <b/>
      <sz val="11"/>
      <color theme="1"/>
      <name val="Arial"/>
      <family val="2"/>
      <charset val="1"/>
    </font>
    <font>
      <b/>
      <sz val="6"/>
      <color theme="1"/>
      <name val="Arial"/>
      <family val="2"/>
      <charset val="1"/>
    </font>
    <font>
      <sz val="6"/>
      <color theme="1"/>
      <name val="Arial"/>
      <family val="2"/>
      <charset val="1"/>
    </font>
    <font>
      <b/>
      <sz val="8"/>
      <color theme="1"/>
      <name val="Arial"/>
      <family val="2"/>
      <charset val="1"/>
    </font>
    <font>
      <b/>
      <sz val="11"/>
      <color rgb="FF000000"/>
      <name val="Arial"/>
      <family val="2"/>
    </font>
    <font>
      <sz val="11"/>
      <color rgb="FF000000"/>
      <name val="Arial"/>
      <family val="2"/>
    </font>
    <font>
      <b/>
      <sz val="16"/>
      <color theme="0"/>
      <name val="Calibri"/>
      <family val="2"/>
      <charset val="1"/>
    </font>
    <font>
      <b/>
      <sz val="12"/>
      <name val="Calibri"/>
      <family val="2"/>
      <charset val="1"/>
    </font>
    <font>
      <b/>
      <sz val="11"/>
      <color rgb="FF000000"/>
      <name val="Calibri"/>
      <family val="2"/>
      <charset val="1"/>
    </font>
    <font>
      <b/>
      <sz val="11"/>
      <color theme="0"/>
      <name val="Calibri"/>
      <family val="2"/>
      <charset val="1"/>
    </font>
    <font>
      <b/>
      <sz val="12"/>
      <color theme="0"/>
      <name val="Calibri"/>
      <family val="2"/>
      <charset val="1"/>
    </font>
    <font>
      <b/>
      <sz val="16"/>
      <color theme="0"/>
      <name val="Arial"/>
      <family val="2"/>
      <charset val="1"/>
    </font>
    <font>
      <b/>
      <sz val="12"/>
      <name val="Arial"/>
      <family val="2"/>
      <charset val="1"/>
    </font>
    <font>
      <b/>
      <sz val="11"/>
      <color rgb="FF000000"/>
      <name val="Arial"/>
      <family val="2"/>
      <charset val="1"/>
    </font>
    <font>
      <b/>
      <sz val="14"/>
      <color theme="0"/>
      <name val="Calibri"/>
      <family val="2"/>
      <charset val="1"/>
    </font>
    <font>
      <b/>
      <sz val="11"/>
      <color theme="1"/>
      <name val="Calibri"/>
      <family val="2"/>
      <charset val="1"/>
    </font>
    <font>
      <b/>
      <sz val="11"/>
      <name val="Calibri"/>
      <family val="2"/>
      <charset val="1"/>
    </font>
    <font>
      <sz val="11"/>
      <name val="Calibri"/>
      <family val="2"/>
      <charset val="1"/>
    </font>
    <font>
      <sz val="10"/>
      <name val="Arial"/>
      <family val="2"/>
      <charset val="1"/>
    </font>
    <font>
      <sz val="20"/>
      <color theme="0"/>
      <name val="Arial"/>
      <family val="2"/>
      <charset val="1"/>
    </font>
    <font>
      <b/>
      <sz val="11"/>
      <name val="Arial"/>
      <family val="2"/>
      <charset val="1"/>
    </font>
    <font>
      <b/>
      <sz val="11"/>
      <color theme="0"/>
      <name val="Arial"/>
      <family val="2"/>
      <charset val="1"/>
    </font>
    <font>
      <sz val="11"/>
      <name val="Arial"/>
      <family val="2"/>
      <charset val="1"/>
    </font>
    <font>
      <sz val="11"/>
      <color theme="1"/>
      <name val="Arial"/>
      <family val="2"/>
      <charset val="1"/>
    </font>
    <font>
      <b/>
      <sz val="12"/>
      <color theme="0"/>
      <name val="Arial"/>
      <family val="2"/>
      <charset val="1"/>
    </font>
    <font>
      <b/>
      <sz val="10"/>
      <color rgb="FF000000"/>
      <name val="Arial"/>
      <family val="2"/>
      <charset val="1"/>
    </font>
    <font>
      <b/>
      <sz val="10"/>
      <color rgb="FF808080"/>
      <name val="Arial"/>
      <family val="2"/>
      <charset val="1"/>
    </font>
    <font>
      <sz val="10"/>
      <color rgb="FF008000"/>
      <name val="Arial"/>
      <family val="2"/>
      <charset val="1"/>
    </font>
    <font>
      <sz val="10"/>
      <color rgb="FF000000"/>
      <name val="Arial"/>
      <family val="2"/>
      <charset val="1"/>
    </font>
    <font>
      <b/>
      <sz val="10"/>
      <color rgb="FFFFFFFF"/>
      <name val="Arial"/>
      <family val="2"/>
      <charset val="1"/>
    </font>
    <font>
      <i/>
      <sz val="10"/>
      <color theme="1"/>
      <name val="Arial"/>
      <family val="2"/>
      <charset val="1"/>
    </font>
    <font>
      <i/>
      <sz val="10"/>
      <color rgb="FF666666"/>
      <name val="Arial"/>
      <family val="2"/>
      <charset val="1"/>
    </font>
    <font>
      <sz val="10"/>
      <color rgb="FF606F7B"/>
      <name val="Arial"/>
      <family val="2"/>
      <charset val="1"/>
    </font>
    <font>
      <sz val="10"/>
      <color rgb="FF22222F"/>
      <name val="Arial"/>
      <family val="2"/>
      <charset val="1"/>
    </font>
    <font>
      <sz val="10"/>
      <color rgb="FF0000FF"/>
      <name val="Arial"/>
      <family val="2"/>
      <charset val="1"/>
    </font>
    <font>
      <b/>
      <sz val="11"/>
      <color rgb="FFFFFFFF"/>
      <name val="Arial"/>
      <family val="2"/>
      <charset val="1"/>
    </font>
    <font>
      <b/>
      <sz val="10"/>
      <name val="Arial"/>
      <family val="2"/>
      <charset val="1"/>
    </font>
    <font>
      <sz val="9"/>
      <color rgb="FF666666"/>
      <name val="Arial"/>
      <family val="2"/>
      <charset val="1"/>
    </font>
    <font>
      <b/>
      <sz val="20"/>
      <color theme="0"/>
      <name val="Arial"/>
      <family val="2"/>
      <charset val="1"/>
    </font>
    <font>
      <b/>
      <sz val="10"/>
      <color theme="0"/>
      <name val="Arial"/>
      <family val="2"/>
      <charset val="1"/>
    </font>
    <font>
      <sz val="11"/>
      <color theme="0"/>
      <name val="Arial"/>
      <family val="2"/>
      <charset val="1"/>
    </font>
    <font>
      <b/>
      <sz val="18"/>
      <color theme="0"/>
      <name val="Calibri"/>
      <family val="2"/>
      <charset val="1"/>
    </font>
    <font>
      <sz val="11"/>
      <color rgb="FF008000"/>
      <name val="Arial"/>
      <family val="2"/>
      <charset val="1"/>
    </font>
    <font>
      <b/>
      <sz val="11"/>
      <color rgb="FF0000FF"/>
      <name val="Arial"/>
      <family val="2"/>
      <charset val="1"/>
    </font>
    <font>
      <i/>
      <sz val="11"/>
      <color rgb="FF595959"/>
      <name val="Calibri"/>
      <family val="2"/>
      <charset val="1"/>
    </font>
    <font>
      <sz val="11"/>
      <color theme="8" tint="-0.249977111117893"/>
      <name val="Arial"/>
      <family val="2"/>
      <charset val="1"/>
    </font>
    <font>
      <b/>
      <sz val="22"/>
      <color theme="0"/>
      <name val="Arial"/>
      <family val="2"/>
      <charset val="1"/>
    </font>
    <font>
      <i/>
      <sz val="11"/>
      <color rgb="FF000000"/>
      <name val="Arial"/>
      <family val="2"/>
      <charset val="1"/>
    </font>
    <font>
      <i/>
      <sz val="11"/>
      <color rgb="FF595959"/>
      <name val="Arial"/>
      <family val="2"/>
      <charset val="1"/>
    </font>
    <font>
      <sz val="11"/>
      <color theme="1"/>
      <name val="Calibri"/>
      <family val="2"/>
      <charset val="1"/>
    </font>
    <font>
      <b/>
      <sz val="14"/>
      <color theme="0"/>
      <name val="Arial"/>
      <family val="2"/>
    </font>
    <font>
      <sz val="11"/>
      <color theme="0"/>
      <name val="Calibri"/>
      <family val="2"/>
      <charset val="1"/>
    </font>
    <font>
      <b/>
      <sz val="11"/>
      <color theme="0"/>
      <name val="Arial"/>
      <family val="2"/>
    </font>
    <font>
      <b/>
      <i/>
      <sz val="11"/>
      <color theme="5"/>
      <name val="Arial"/>
      <family val="2"/>
    </font>
    <font>
      <b/>
      <sz val="16"/>
      <color theme="0"/>
      <name val="Arial"/>
      <family val="2"/>
    </font>
    <font>
      <sz val="11"/>
      <color theme="1"/>
      <name val="Arial"/>
      <family val="2"/>
    </font>
    <font>
      <sz val="12"/>
      <name val="Arial"/>
      <family val="2"/>
      <charset val="1"/>
    </font>
    <font>
      <b/>
      <sz val="8"/>
      <color theme="0"/>
      <name val="Arial"/>
      <family val="2"/>
      <charset val="1"/>
    </font>
    <font>
      <b/>
      <sz val="36"/>
      <color theme="0"/>
      <name val="Arial"/>
      <family val="2"/>
      <charset val="1"/>
    </font>
    <font>
      <b/>
      <sz val="22"/>
      <color theme="0"/>
      <name val="Arial"/>
      <family val="2"/>
    </font>
  </fonts>
  <fills count="28">
    <fill>
      <patternFill patternType="none"/>
    </fill>
    <fill>
      <patternFill patternType="gray125"/>
    </fill>
    <fill>
      <patternFill patternType="solid">
        <fgColor theme="4" tint="-0.249977111117893"/>
        <bgColor rgb="FF2E75B6"/>
      </patternFill>
    </fill>
    <fill>
      <patternFill patternType="solid">
        <fgColor rgb="FFF2F2F2"/>
        <bgColor rgb="FFEEEEEE"/>
      </patternFill>
    </fill>
    <fill>
      <patternFill patternType="solid">
        <fgColor rgb="FFFFFFFF"/>
        <bgColor rgb="FFF8F8FC"/>
      </patternFill>
    </fill>
    <fill>
      <patternFill patternType="solid">
        <fgColor rgb="FF243166"/>
        <bgColor rgb="FF1F3864"/>
      </patternFill>
    </fill>
    <fill>
      <patternFill patternType="solid">
        <fgColor rgb="FFE8EBEF"/>
        <bgColor rgb="FFEEEEEE"/>
      </patternFill>
    </fill>
    <fill>
      <patternFill patternType="solid">
        <fgColor theme="4" tint="0.79989013336588644"/>
        <bgColor rgb="FFD9EAF7"/>
      </patternFill>
    </fill>
    <fill>
      <patternFill patternType="solid">
        <fgColor rgb="FF1F3864"/>
        <bgColor rgb="FF243166"/>
      </patternFill>
    </fill>
    <fill>
      <patternFill patternType="solid">
        <fgColor rgb="FFF8F8FC"/>
        <bgColor rgb="FFF2F2F2"/>
      </patternFill>
    </fill>
    <fill>
      <patternFill patternType="solid">
        <fgColor rgb="FF002060"/>
        <bgColor rgb="FF243166"/>
      </patternFill>
    </fill>
    <fill>
      <patternFill patternType="solid">
        <fgColor rgb="FFD8D8D8"/>
        <bgColor rgb="FFDDDDDD"/>
      </patternFill>
    </fill>
    <fill>
      <patternFill patternType="solid">
        <fgColor rgb="FFFFFF00"/>
        <bgColor rgb="FFF4B942"/>
      </patternFill>
    </fill>
    <fill>
      <patternFill patternType="solid">
        <fgColor rgb="FFD9EAF7"/>
        <bgColor rgb="FFDDEEFF"/>
      </patternFill>
    </fill>
    <fill>
      <patternFill patternType="solid">
        <fgColor rgb="FF2E75B6"/>
        <bgColor rgb="FF2F5597"/>
      </patternFill>
    </fill>
    <fill>
      <patternFill patternType="solid">
        <fgColor rgb="FF538135"/>
        <bgColor rgb="FF606F7B"/>
      </patternFill>
    </fill>
    <fill>
      <patternFill patternType="solid">
        <fgColor rgb="FFBDD7EE"/>
        <bgColor rgb="FFD0D0D0"/>
      </patternFill>
    </fill>
    <fill>
      <patternFill patternType="solid">
        <fgColor rgb="FFF4B942"/>
        <bgColor rgb="FFFF9900"/>
      </patternFill>
    </fill>
    <fill>
      <patternFill patternType="solid">
        <fgColor theme="5" tint="0.79989013336588644"/>
        <bgColor rgb="FFFFF2CC"/>
      </patternFill>
    </fill>
    <fill>
      <patternFill patternType="solid">
        <fgColor rgb="FFFFF2CC"/>
        <bgColor rgb="FFFBE5D6"/>
      </patternFill>
    </fill>
    <fill>
      <patternFill patternType="solid">
        <fgColor theme="4" tint="-0.249977111117893"/>
        <bgColor rgb="FFFF8080"/>
      </patternFill>
    </fill>
    <fill>
      <patternFill patternType="solid">
        <fgColor theme="4" tint="-0.249977111117893"/>
        <bgColor indexed="64"/>
      </patternFill>
    </fill>
    <fill>
      <patternFill patternType="solid">
        <fgColor theme="3"/>
        <bgColor indexed="64"/>
      </patternFill>
    </fill>
    <fill>
      <patternFill patternType="solid">
        <fgColor theme="4" tint="-0.249977111117893"/>
        <bgColor rgb="FFD0D0D0"/>
      </patternFill>
    </fill>
    <fill>
      <patternFill patternType="solid">
        <fgColor theme="3" tint="0.79998168889431442"/>
        <bgColor indexed="64"/>
      </patternFill>
    </fill>
    <fill>
      <patternFill patternType="solid">
        <fgColor theme="4" tint="-0.249977111117893"/>
        <bgColor rgb="FFFF5050"/>
      </patternFill>
    </fill>
    <fill>
      <patternFill patternType="solid">
        <fgColor theme="4" tint="-0.249977111117893"/>
        <bgColor rgb="FFF8F8FC"/>
      </patternFill>
    </fill>
    <fill>
      <patternFill patternType="solid">
        <fgColor theme="4" tint="-0.249977111117893"/>
        <bgColor rgb="FFEEEEEE"/>
      </patternFill>
    </fill>
  </fills>
  <borders count="28">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style="double">
        <color rgb="FFDDDDDD"/>
      </left>
      <right style="double">
        <color rgb="FFDDDDDD"/>
      </right>
      <top style="double">
        <color rgb="FFDDDDDD"/>
      </top>
      <bottom style="double">
        <color rgb="FFDDDDDD"/>
      </bottom>
      <diagonal/>
    </border>
    <border>
      <left style="medium">
        <color auto="1"/>
      </left>
      <right style="medium">
        <color auto="1"/>
      </right>
      <top style="double">
        <color rgb="FFDDDDDD"/>
      </top>
      <bottom style="double">
        <color rgb="FFDDDDDD"/>
      </bottom>
      <diagonal/>
    </border>
    <border>
      <left style="medium">
        <color auto="1"/>
      </left>
      <right style="medium">
        <color auto="1"/>
      </right>
      <top/>
      <bottom style="double">
        <color rgb="FFDDDDDD"/>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double">
        <color rgb="FFDDDDDD"/>
      </bottom>
      <diagonal/>
    </border>
    <border>
      <left/>
      <right style="medium">
        <color auto="1"/>
      </right>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style="medium">
        <color auto="1"/>
      </bottom>
      <diagonal/>
    </border>
    <border>
      <left style="medium">
        <color auto="1"/>
      </left>
      <right/>
      <top/>
      <bottom/>
      <diagonal/>
    </border>
    <border>
      <left style="medium">
        <color rgb="FFEEEEEE"/>
      </left>
      <right style="medium">
        <color rgb="FFEEEEEE"/>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s>
  <cellStyleXfs count="2">
    <xf numFmtId="0" fontId="0" fillId="0" borderId="0"/>
    <xf numFmtId="9" fontId="68" fillId="0" borderId="0"/>
  </cellStyleXfs>
  <cellXfs count="355">
    <xf numFmtId="0" fontId="0" fillId="0" borderId="0" xfId="0"/>
    <xf numFmtId="0" fontId="11" fillId="4" borderId="3" xfId="0" applyFont="1" applyFill="1" applyBorder="1" applyAlignment="1">
      <alignment horizontal="center" vertical="center" wrapText="1"/>
    </xf>
    <xf numFmtId="0" fontId="1" fillId="0" borderId="0" xfId="0" applyFont="1"/>
    <xf numFmtId="0" fontId="2" fillId="0" borderId="0" xfId="0" applyFont="1" applyAlignment="1">
      <alignment horizontal="center" vertical="center" wrapText="1"/>
    </xf>
    <xf numFmtId="0" fontId="4" fillId="0" borderId="0" xfId="0" applyFont="1"/>
    <xf numFmtId="0" fontId="6" fillId="0" borderId="0" xfId="0" applyFont="1"/>
    <xf numFmtId="0" fontId="8" fillId="0" borderId="0" xfId="0" applyFont="1" applyAlignment="1">
      <alignment horizontal="left" vertical="center" wrapText="1"/>
    </xf>
    <xf numFmtId="0" fontId="9" fillId="0" borderId="2" xfId="0" applyFont="1" applyBorder="1" applyAlignment="1">
      <alignment horizontal="center" vertical="center" wrapText="1"/>
    </xf>
    <xf numFmtId="0" fontId="9" fillId="0" borderId="2" xfId="0" applyFont="1" applyBorder="1" applyAlignment="1">
      <alignment horizontal="left" vertical="center" wrapText="1"/>
    </xf>
    <xf numFmtId="0" fontId="0" fillId="4" borderId="0" xfId="0" applyFill="1"/>
    <xf numFmtId="0" fontId="11" fillId="4" borderId="3" xfId="0" applyFont="1" applyFill="1" applyBorder="1" applyAlignment="1">
      <alignment horizontal="left" vertical="center" wrapText="1"/>
    </xf>
    <xf numFmtId="0" fontId="11" fillId="4" borderId="3" xfId="0" applyFont="1" applyFill="1" applyBorder="1" applyAlignment="1">
      <alignment horizontal="right" vertical="center" wrapText="1"/>
    </xf>
    <xf numFmtId="3" fontId="11" fillId="4" borderId="3" xfId="0" applyNumberFormat="1" applyFont="1" applyFill="1" applyBorder="1" applyAlignment="1">
      <alignment horizontal="right" vertical="center" wrapText="1"/>
    </xf>
    <xf numFmtId="4" fontId="11" fillId="4" borderId="3" xfId="0" applyNumberFormat="1" applyFont="1" applyFill="1" applyBorder="1" applyAlignment="1">
      <alignment horizontal="right" vertical="center" wrapText="1"/>
    </xf>
    <xf numFmtId="0" fontId="13" fillId="4" borderId="8" xfId="0" applyFont="1" applyFill="1" applyBorder="1" applyAlignment="1">
      <alignment horizontal="left" vertical="center" wrapText="1"/>
    </xf>
    <xf numFmtId="0" fontId="13" fillId="4" borderId="9" xfId="0" applyFont="1" applyFill="1" applyBorder="1" applyAlignment="1">
      <alignment horizontal="right" vertical="center" wrapText="1"/>
    </xf>
    <xf numFmtId="0" fontId="15" fillId="5" borderId="6"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3" fillId="4" borderId="13" xfId="0" applyFont="1" applyFill="1" applyBorder="1" applyAlignment="1">
      <alignment horizontal="right" vertical="center" wrapText="1"/>
    </xf>
    <xf numFmtId="3" fontId="13" fillId="4" borderId="9" xfId="0" applyNumberFormat="1" applyFont="1" applyFill="1" applyBorder="1" applyAlignment="1">
      <alignment horizontal="right" vertical="center" wrapText="1"/>
    </xf>
    <xf numFmtId="0" fontId="16" fillId="0" borderId="0" xfId="0" applyFont="1"/>
    <xf numFmtId="0" fontId="17" fillId="4" borderId="14" xfId="0" applyFont="1" applyFill="1" applyBorder="1" applyAlignment="1">
      <alignment vertical="center" wrapText="1"/>
    </xf>
    <xf numFmtId="0" fontId="17" fillId="4" borderId="14" xfId="0" applyFont="1" applyFill="1" applyBorder="1" applyAlignment="1">
      <alignment horizontal="right" vertical="center" wrapText="1"/>
    </xf>
    <xf numFmtId="164" fontId="17" fillId="4" borderId="14" xfId="0" applyNumberFormat="1" applyFont="1" applyFill="1" applyBorder="1" applyAlignment="1">
      <alignment horizontal="right" vertical="center" wrapText="1"/>
    </xf>
    <xf numFmtId="0" fontId="16" fillId="4" borderId="0" xfId="0" applyFont="1" applyFill="1"/>
    <xf numFmtId="0" fontId="18" fillId="4" borderId="14" xfId="0" applyFont="1" applyFill="1" applyBorder="1" applyAlignment="1">
      <alignment vertical="center" wrapText="1"/>
    </xf>
    <xf numFmtId="0" fontId="18" fillId="4" borderId="14" xfId="0" applyFont="1" applyFill="1" applyBorder="1" applyAlignment="1">
      <alignment horizontal="right" vertical="center" wrapText="1"/>
    </xf>
    <xf numFmtId="0" fontId="17" fillId="4" borderId="16" xfId="0" applyFont="1" applyFill="1" applyBorder="1" applyAlignment="1">
      <alignment horizontal="right" vertical="center" wrapText="1"/>
    </xf>
    <xf numFmtId="0" fontId="17" fillId="4" borderId="17" xfId="0" applyFont="1" applyFill="1" applyBorder="1" applyAlignment="1">
      <alignment horizontal="right" vertical="center" wrapText="1"/>
    </xf>
    <xf numFmtId="0" fontId="18" fillId="4" borderId="18" xfId="0" applyFont="1" applyFill="1" applyBorder="1" applyAlignment="1">
      <alignment vertical="center" wrapText="1"/>
    </xf>
    <xf numFmtId="0" fontId="18" fillId="4" borderId="0" xfId="0" applyFont="1" applyFill="1" applyAlignment="1">
      <alignment horizontal="right" vertical="center" wrapText="1"/>
    </xf>
    <xf numFmtId="0" fontId="18" fillId="4" borderId="19" xfId="0" applyFont="1" applyFill="1" applyBorder="1" applyAlignment="1">
      <alignment horizontal="right" vertical="center" wrapText="1"/>
    </xf>
    <xf numFmtId="10" fontId="16" fillId="4" borderId="18" xfId="1" applyNumberFormat="1" applyFont="1" applyFill="1" applyBorder="1"/>
    <xf numFmtId="10" fontId="16" fillId="4" borderId="0" xfId="1" applyNumberFormat="1" applyFont="1" applyFill="1"/>
    <xf numFmtId="10" fontId="16" fillId="4" borderId="19" xfId="1" applyNumberFormat="1" applyFont="1" applyFill="1" applyBorder="1"/>
    <xf numFmtId="0" fontId="17" fillId="6" borderId="18" xfId="0" applyFont="1" applyFill="1" applyBorder="1" applyAlignment="1">
      <alignment vertical="center" wrapText="1"/>
    </xf>
    <xf numFmtId="0" fontId="17" fillId="6" borderId="0" xfId="0" applyFont="1" applyFill="1" applyAlignment="1">
      <alignment horizontal="right" vertical="center" wrapText="1"/>
    </xf>
    <xf numFmtId="0" fontId="17" fillId="6" borderId="19" xfId="0" applyFont="1" applyFill="1" applyBorder="1" applyAlignment="1">
      <alignment horizontal="right" vertical="center" wrapText="1"/>
    </xf>
    <xf numFmtId="4" fontId="18" fillId="4" borderId="0" xfId="0" applyNumberFormat="1" applyFont="1" applyFill="1" applyAlignment="1">
      <alignment horizontal="right" vertical="center" wrapText="1"/>
    </xf>
    <xf numFmtId="4" fontId="18" fillId="4" borderId="19" xfId="0" applyNumberFormat="1" applyFont="1" applyFill="1" applyBorder="1" applyAlignment="1">
      <alignment horizontal="right" vertical="center" wrapText="1"/>
    </xf>
    <xf numFmtId="4" fontId="17" fillId="6" borderId="0" xfId="0" applyNumberFormat="1" applyFont="1" applyFill="1" applyAlignment="1">
      <alignment horizontal="right" vertical="center" wrapText="1"/>
    </xf>
    <xf numFmtId="4" fontId="17" fillId="6" borderId="19" xfId="0" applyNumberFormat="1" applyFont="1" applyFill="1" applyBorder="1" applyAlignment="1">
      <alignment horizontal="right" vertical="center" wrapText="1"/>
    </xf>
    <xf numFmtId="0" fontId="17" fillId="4" borderId="18" xfId="0" applyFont="1" applyFill="1" applyBorder="1" applyAlignment="1">
      <alignment vertical="center" wrapText="1"/>
    </xf>
    <xf numFmtId="0" fontId="17" fillId="4" borderId="0" xfId="0" applyFont="1" applyFill="1" applyAlignment="1">
      <alignment horizontal="right" vertical="center" wrapText="1"/>
    </xf>
    <xf numFmtId="0" fontId="17" fillId="4" borderId="19" xfId="0" applyFont="1" applyFill="1" applyBorder="1" applyAlignment="1">
      <alignment horizontal="right" vertical="center" wrapText="1"/>
    </xf>
    <xf numFmtId="0" fontId="16" fillId="4" borderId="18" xfId="0" applyFont="1" applyFill="1" applyBorder="1"/>
    <xf numFmtId="0" fontId="16" fillId="0" borderId="19" xfId="0" applyFont="1" applyBorder="1"/>
    <xf numFmtId="0" fontId="18" fillId="4" borderId="20" xfId="0" applyFont="1" applyFill="1" applyBorder="1" applyAlignment="1">
      <alignment vertical="center" wrapText="1"/>
    </xf>
    <xf numFmtId="0" fontId="18" fillId="4" borderId="21" xfId="0" applyFont="1" applyFill="1" applyBorder="1" applyAlignment="1">
      <alignment horizontal="right" vertical="center" wrapText="1"/>
    </xf>
    <xf numFmtId="0" fontId="18" fillId="4" borderId="22" xfId="0" applyFont="1" applyFill="1" applyBorder="1" applyAlignment="1">
      <alignment horizontal="right" vertical="center" wrapText="1"/>
    </xf>
    <xf numFmtId="10" fontId="16" fillId="4" borderId="20" xfId="1" applyNumberFormat="1" applyFont="1" applyFill="1" applyBorder="1"/>
    <xf numFmtId="10" fontId="16" fillId="4" borderId="21" xfId="1" applyNumberFormat="1" applyFont="1" applyFill="1" applyBorder="1"/>
    <xf numFmtId="10" fontId="16" fillId="4" borderId="22" xfId="1" applyNumberFormat="1" applyFont="1" applyFill="1" applyBorder="1"/>
    <xf numFmtId="4" fontId="17" fillId="4" borderId="0" xfId="0" applyNumberFormat="1" applyFont="1" applyFill="1" applyAlignment="1">
      <alignment horizontal="right" vertical="center" wrapText="1"/>
    </xf>
    <xf numFmtId="4" fontId="17" fillId="4" borderId="19" xfId="0" applyNumberFormat="1" applyFont="1" applyFill="1" applyBorder="1" applyAlignment="1">
      <alignment horizontal="right" vertical="center" wrapText="1"/>
    </xf>
    <xf numFmtId="10" fontId="16" fillId="7" borderId="18" xfId="1" applyNumberFormat="1" applyFont="1" applyFill="1" applyBorder="1"/>
    <xf numFmtId="10" fontId="16" fillId="7" borderId="0" xfId="1" applyNumberFormat="1" applyFont="1" applyFill="1"/>
    <xf numFmtId="10" fontId="16" fillId="7" borderId="19" xfId="1" applyNumberFormat="1" applyFont="1" applyFill="1" applyBorder="1"/>
    <xf numFmtId="4" fontId="18" fillId="4" borderId="21" xfId="0" applyNumberFormat="1" applyFont="1" applyFill="1" applyBorder="1" applyAlignment="1">
      <alignment horizontal="right" vertical="center" wrapText="1"/>
    </xf>
    <xf numFmtId="4" fontId="18" fillId="4" borderId="22" xfId="0" applyNumberFormat="1" applyFont="1" applyFill="1" applyBorder="1" applyAlignment="1">
      <alignment horizontal="right" vertical="center" wrapText="1"/>
    </xf>
    <xf numFmtId="0" fontId="20" fillId="4" borderId="14" xfId="0" applyFont="1" applyFill="1" applyBorder="1" applyAlignment="1">
      <alignment vertical="center" wrapText="1"/>
    </xf>
    <xf numFmtId="0" fontId="20" fillId="4" borderId="14" xfId="0" applyFont="1" applyFill="1" applyBorder="1" applyAlignment="1">
      <alignment horizontal="right" vertical="center" wrapText="1"/>
    </xf>
    <xf numFmtId="0" fontId="20" fillId="6" borderId="0" xfId="0" applyFont="1" applyFill="1" applyAlignment="1">
      <alignment vertical="center" wrapText="1"/>
    </xf>
    <xf numFmtId="0" fontId="21" fillId="4" borderId="14" xfId="0" applyFont="1" applyFill="1" applyBorder="1" applyAlignment="1">
      <alignment vertical="center" wrapText="1"/>
    </xf>
    <xf numFmtId="0" fontId="21" fillId="4" borderId="14" xfId="0" applyFont="1" applyFill="1" applyBorder="1" applyAlignment="1">
      <alignment horizontal="right" vertical="center" wrapText="1"/>
    </xf>
    <xf numFmtId="0" fontId="20" fillId="6" borderId="15" xfId="0" applyFont="1" applyFill="1" applyBorder="1" applyAlignment="1">
      <alignment vertical="center" wrapText="1"/>
    </xf>
    <xf numFmtId="0" fontId="20" fillId="6" borderId="16" xfId="0" applyFont="1" applyFill="1" applyBorder="1" applyAlignment="1">
      <alignment vertical="center" wrapText="1"/>
    </xf>
    <xf numFmtId="0" fontId="20" fillId="6" borderId="17" xfId="0" applyFont="1" applyFill="1" applyBorder="1" applyAlignment="1">
      <alignment vertical="center" wrapText="1"/>
    </xf>
    <xf numFmtId="0" fontId="20" fillId="4" borderId="18" xfId="0" applyFont="1" applyFill="1" applyBorder="1" applyAlignment="1">
      <alignment vertical="center" wrapText="1"/>
    </xf>
    <xf numFmtId="0" fontId="20" fillId="4" borderId="0" xfId="0" applyFont="1" applyFill="1" applyAlignment="1">
      <alignment horizontal="right" vertical="center" wrapText="1"/>
    </xf>
    <xf numFmtId="0" fontId="20" fillId="4" borderId="19" xfId="0" applyFont="1" applyFill="1" applyBorder="1" applyAlignment="1">
      <alignment horizontal="right" vertical="center" wrapText="1"/>
    </xf>
    <xf numFmtId="10" fontId="68" fillId="4" borderId="18" xfId="1" applyNumberFormat="1" applyFill="1" applyBorder="1"/>
    <xf numFmtId="10" fontId="68" fillId="4" borderId="0" xfId="1" applyNumberFormat="1" applyFill="1"/>
    <xf numFmtId="10" fontId="68" fillId="4" borderId="19" xfId="1" applyNumberFormat="1" applyFill="1" applyBorder="1"/>
    <xf numFmtId="0" fontId="21" fillId="4" borderId="18" xfId="0" applyFont="1" applyFill="1" applyBorder="1" applyAlignment="1">
      <alignment vertical="center" wrapText="1"/>
    </xf>
    <xf numFmtId="0" fontId="21" fillId="4" borderId="0" xfId="0" applyFont="1" applyFill="1" applyAlignment="1">
      <alignment horizontal="right" vertical="center" wrapText="1"/>
    </xf>
    <xf numFmtId="0" fontId="21" fillId="4" borderId="19" xfId="0" applyFont="1" applyFill="1" applyBorder="1" applyAlignment="1">
      <alignment horizontal="right" vertical="center" wrapText="1"/>
    </xf>
    <xf numFmtId="0" fontId="21" fillId="4" borderId="20" xfId="0" applyFont="1" applyFill="1" applyBorder="1" applyAlignment="1">
      <alignment vertical="center" wrapText="1"/>
    </xf>
    <xf numFmtId="0" fontId="21" fillId="4" borderId="21" xfId="0" applyFont="1" applyFill="1" applyBorder="1" applyAlignment="1">
      <alignment horizontal="right" vertical="center" wrapText="1"/>
    </xf>
    <xf numFmtId="0" fontId="21" fillId="4" borderId="22" xfId="0" applyFont="1" applyFill="1" applyBorder="1" applyAlignment="1">
      <alignment horizontal="right" vertical="center" wrapText="1"/>
    </xf>
    <xf numFmtId="10" fontId="68" fillId="4" borderId="20" xfId="1" applyNumberFormat="1" applyFill="1" applyBorder="1"/>
    <xf numFmtId="10" fontId="68" fillId="4" borderId="21" xfId="1" applyNumberFormat="1" applyFill="1" applyBorder="1"/>
    <xf numFmtId="10" fontId="68" fillId="4" borderId="22" xfId="1" applyNumberFormat="1" applyFill="1" applyBorder="1"/>
    <xf numFmtId="0" fontId="0" fillId="0" borderId="0" xfId="0" applyAlignment="1">
      <alignment horizontal="left"/>
    </xf>
    <xf numFmtId="0" fontId="26" fillId="7" borderId="1" xfId="0" applyFont="1" applyFill="1" applyBorder="1" applyAlignment="1">
      <alignment horizontal="left" vertical="center"/>
    </xf>
    <xf numFmtId="0" fontId="26" fillId="7" borderId="1" xfId="0" applyFont="1" applyFill="1" applyBorder="1" applyAlignment="1">
      <alignment horizontal="center" vertical="center"/>
    </xf>
    <xf numFmtId="0" fontId="27" fillId="0" borderId="1" xfId="0" applyFont="1" applyBorder="1" applyAlignment="1">
      <alignment horizontal="left" vertical="center"/>
    </xf>
    <xf numFmtId="0" fontId="0" fillId="0" borderId="1" xfId="0" applyBorder="1"/>
    <xf numFmtId="0" fontId="13" fillId="0" borderId="1" xfId="0" applyFont="1" applyBorder="1" applyAlignment="1">
      <alignment horizontal="left" vertical="center"/>
    </xf>
    <xf numFmtId="166" fontId="13" fillId="0" borderId="1" xfId="0" applyNumberFormat="1" applyFont="1" applyBorder="1" applyAlignment="1">
      <alignment horizontal="center" vertical="center"/>
    </xf>
    <xf numFmtId="9" fontId="27" fillId="0" borderId="1" xfId="0" applyNumberFormat="1" applyFont="1" applyBorder="1" applyAlignment="1">
      <alignment horizontal="center" vertical="center"/>
    </xf>
    <xf numFmtId="0" fontId="0" fillId="0" borderId="1" xfId="0" applyBorder="1" applyAlignment="1">
      <alignment horizontal="left"/>
    </xf>
    <xf numFmtId="167" fontId="27" fillId="0" borderId="1" xfId="0" applyNumberFormat="1" applyFont="1" applyBorder="1" applyAlignment="1">
      <alignment horizontal="center" vertical="center"/>
    </xf>
    <xf numFmtId="4" fontId="27" fillId="0" borderId="1" xfId="0" applyNumberFormat="1" applyFont="1" applyBorder="1" applyAlignment="1">
      <alignment horizontal="center" vertical="center"/>
    </xf>
    <xf numFmtId="0" fontId="28" fillId="2" borderId="0" xfId="0" applyFont="1" applyFill="1" applyAlignment="1">
      <alignment horizontal="left" vertical="center"/>
    </xf>
    <xf numFmtId="0" fontId="29" fillId="2" borderId="0" xfId="0" applyFont="1" applyFill="1" applyAlignment="1">
      <alignment horizontal="center" vertical="center"/>
    </xf>
    <xf numFmtId="0" fontId="31" fillId="7" borderId="1" xfId="0" applyFont="1" applyFill="1" applyBorder="1" applyAlignment="1">
      <alignment horizontal="left" vertical="center"/>
    </xf>
    <xf numFmtId="0" fontId="31" fillId="7" borderId="1" xfId="0" applyFont="1" applyFill="1" applyBorder="1" applyAlignment="1">
      <alignment horizontal="center" vertical="center"/>
    </xf>
    <xf numFmtId="0" fontId="32" fillId="0" borderId="1" xfId="0" applyFont="1" applyBorder="1" applyAlignment="1">
      <alignment horizontal="left" vertical="center"/>
    </xf>
    <xf numFmtId="0" fontId="14" fillId="0" borderId="1" xfId="0" applyFont="1" applyBorder="1" applyAlignment="1">
      <alignment horizontal="left" vertical="center"/>
    </xf>
    <xf numFmtId="9" fontId="14" fillId="0" borderId="1" xfId="0" applyNumberFormat="1" applyFont="1" applyBorder="1" applyAlignment="1">
      <alignment horizontal="center" vertical="center"/>
    </xf>
    <xf numFmtId="9" fontId="32" fillId="0" borderId="1" xfId="0" applyNumberFormat="1" applyFont="1" applyBorder="1" applyAlignment="1">
      <alignment horizontal="center" vertical="center"/>
    </xf>
    <xf numFmtId="167" fontId="32" fillId="0" borderId="1" xfId="0" applyNumberFormat="1" applyFont="1" applyBorder="1" applyAlignment="1">
      <alignment horizontal="center" vertical="center"/>
    </xf>
    <xf numFmtId="166" fontId="14" fillId="0" borderId="1" xfId="0" applyNumberFormat="1" applyFont="1" applyBorder="1" applyAlignment="1">
      <alignment horizontal="center" vertical="center"/>
    </xf>
    <xf numFmtId="166" fontId="32" fillId="0" borderId="1" xfId="0" applyNumberFormat="1" applyFont="1" applyBorder="1" applyAlignment="1">
      <alignment horizontal="center" vertical="center"/>
    </xf>
    <xf numFmtId="4" fontId="32" fillId="0" borderId="1" xfId="0" applyNumberFormat="1" applyFont="1" applyBorder="1" applyAlignment="1">
      <alignment horizontal="center" vertical="center"/>
    </xf>
    <xf numFmtId="168" fontId="14" fillId="0" borderId="1" xfId="0" applyNumberFormat="1" applyFont="1" applyBorder="1" applyAlignment="1">
      <alignment horizontal="center" vertical="center"/>
    </xf>
    <xf numFmtId="4" fontId="14" fillId="0" borderId="1" xfId="0" applyNumberFormat="1" applyFont="1" applyBorder="1" applyAlignment="1">
      <alignment horizontal="center" vertical="center"/>
    </xf>
    <xf numFmtId="0" fontId="34" fillId="7" borderId="1" xfId="0" applyFont="1" applyFill="1" applyBorder="1"/>
    <xf numFmtId="1" fontId="35" fillId="7" borderId="1" xfId="0" applyNumberFormat="1" applyFont="1" applyFill="1" applyBorder="1"/>
    <xf numFmtId="0" fontId="36" fillId="0" borderId="1" xfId="0" applyFont="1" applyBorder="1"/>
    <xf numFmtId="4" fontId="36" fillId="0" borderId="1" xfId="0" applyNumberFormat="1" applyFont="1" applyBorder="1"/>
    <xf numFmtId="0" fontId="35" fillId="0" borderId="1" xfId="0" applyFont="1" applyBorder="1"/>
    <xf numFmtId="4" fontId="35" fillId="0" borderId="1" xfId="0" applyNumberFormat="1" applyFont="1" applyBorder="1"/>
    <xf numFmtId="10" fontId="37" fillId="0" borderId="1" xfId="0" applyNumberFormat="1" applyFont="1" applyBorder="1"/>
    <xf numFmtId="10" fontId="36" fillId="0" borderId="1" xfId="0" applyNumberFormat="1" applyFont="1" applyBorder="1"/>
    <xf numFmtId="0" fontId="39" fillId="7" borderId="1" xfId="0" applyFont="1" applyFill="1" applyBorder="1" applyAlignment="1">
      <alignment horizontal="left" vertical="center"/>
    </xf>
    <xf numFmtId="164" fontId="39" fillId="7" borderId="1" xfId="0" applyNumberFormat="1" applyFont="1" applyFill="1" applyBorder="1" applyAlignment="1">
      <alignment horizontal="center" vertical="center"/>
    </xf>
    <xf numFmtId="0" fontId="39" fillId="7" borderId="1" xfId="0" applyFont="1" applyFill="1" applyBorder="1" applyAlignment="1">
      <alignment horizontal="center" vertical="center"/>
    </xf>
    <xf numFmtId="0" fontId="14" fillId="0" borderId="0" xfId="0" applyFont="1"/>
    <xf numFmtId="10" fontId="14" fillId="0" borderId="1" xfId="0" applyNumberFormat="1" applyFont="1" applyBorder="1" applyAlignment="1">
      <alignment horizontal="center" vertical="center"/>
    </xf>
    <xf numFmtId="10" fontId="14" fillId="0" borderId="0" xfId="0" applyNumberFormat="1" applyFont="1" applyAlignment="1">
      <alignment horizontal="center" vertical="center"/>
    </xf>
    <xf numFmtId="2" fontId="14" fillId="0" borderId="1" xfId="0" applyNumberFormat="1" applyFont="1" applyBorder="1" applyAlignment="1">
      <alignment horizontal="center" vertical="center"/>
    </xf>
    <xf numFmtId="0" fontId="39" fillId="0" borderId="1" xfId="0" applyFont="1" applyBorder="1" applyAlignment="1">
      <alignment horizontal="left" vertical="center"/>
    </xf>
    <xf numFmtId="0" fontId="42" fillId="0" borderId="0" xfId="0" applyFont="1"/>
    <xf numFmtId="0" fontId="39" fillId="7" borderId="1" xfId="0" applyFont="1" applyFill="1" applyBorder="1"/>
    <xf numFmtId="1" fontId="39" fillId="7" borderId="1" xfId="0" applyNumberFormat="1" applyFont="1" applyFill="1" applyBorder="1"/>
    <xf numFmtId="0" fontId="42" fillId="0" borderId="1" xfId="0" applyFont="1" applyBorder="1"/>
    <xf numFmtId="169" fontId="41" fillId="0" borderId="1" xfId="0" applyNumberFormat="1" applyFont="1" applyBorder="1"/>
    <xf numFmtId="0" fontId="39" fillId="0" borderId="1" xfId="0" applyFont="1" applyBorder="1"/>
    <xf numFmtId="169" fontId="39" fillId="0" borderId="1" xfId="0" applyNumberFormat="1" applyFont="1" applyBorder="1"/>
    <xf numFmtId="9" fontId="41" fillId="0" borderId="1" xfId="0" applyNumberFormat="1" applyFont="1" applyBorder="1"/>
    <xf numFmtId="0" fontId="44" fillId="0" borderId="1" xfId="0" applyFont="1" applyBorder="1" applyAlignment="1">
      <alignment horizontal="left" vertical="center"/>
    </xf>
    <xf numFmtId="0" fontId="37" fillId="0" borderId="1" xfId="0" applyFont="1" applyBorder="1" applyAlignment="1">
      <alignment horizontal="left" vertical="center"/>
    </xf>
    <xf numFmtId="10" fontId="37" fillId="0" borderId="1" xfId="0" applyNumberFormat="1" applyFont="1" applyBorder="1" applyAlignment="1">
      <alignment horizontal="left" vertical="center"/>
    </xf>
    <xf numFmtId="0" fontId="45" fillId="0" borderId="1" xfId="0" applyFont="1" applyBorder="1" applyAlignment="1">
      <alignment horizontal="left" vertical="center"/>
    </xf>
    <xf numFmtId="4" fontId="46" fillId="0" borderId="1" xfId="0" applyNumberFormat="1" applyFont="1" applyBorder="1" applyAlignment="1">
      <alignment horizontal="left" vertical="center"/>
    </xf>
    <xf numFmtId="10" fontId="47" fillId="0" borderId="1" xfId="0" applyNumberFormat="1" applyFont="1" applyBorder="1" applyAlignment="1">
      <alignment horizontal="left" vertical="center"/>
    </xf>
    <xf numFmtId="10" fontId="46" fillId="0" borderId="1" xfId="0" applyNumberFormat="1" applyFont="1" applyBorder="1" applyAlignment="1">
      <alignment horizontal="left" vertical="center"/>
    </xf>
    <xf numFmtId="4" fontId="37" fillId="0" borderId="1" xfId="0" applyNumberFormat="1" applyFont="1" applyBorder="1" applyAlignment="1">
      <alignment horizontal="left" vertical="center"/>
    </xf>
    <xf numFmtId="4" fontId="47" fillId="0" borderId="1" xfId="0" applyNumberFormat="1" applyFont="1" applyBorder="1" applyAlignment="1">
      <alignment horizontal="left" vertical="center"/>
    </xf>
    <xf numFmtId="0" fontId="44" fillId="3" borderId="1" xfId="0" applyFont="1" applyFill="1" applyBorder="1" applyAlignment="1">
      <alignment horizontal="left" vertical="center"/>
    </xf>
    <xf numFmtId="10" fontId="44" fillId="3" borderId="1" xfId="0" applyNumberFormat="1" applyFont="1" applyFill="1" applyBorder="1" applyAlignment="1">
      <alignment horizontal="left" vertical="center"/>
    </xf>
    <xf numFmtId="0" fontId="49" fillId="0" borderId="0" xfId="0" applyFont="1"/>
    <xf numFmtId="0" fontId="50" fillId="0" borderId="0" xfId="0" applyFont="1"/>
    <xf numFmtId="0" fontId="44" fillId="0" borderId="0" xfId="0" applyFont="1"/>
    <xf numFmtId="0" fontId="51" fillId="0" borderId="0" xfId="0" applyFont="1" applyAlignment="1">
      <alignment horizontal="center" vertical="center"/>
    </xf>
    <xf numFmtId="0" fontId="44" fillId="0" borderId="1" xfId="0" applyFont="1" applyBorder="1"/>
    <xf numFmtId="0" fontId="52" fillId="9" borderId="0" xfId="0" applyFont="1" applyFill="1" applyAlignment="1">
      <alignment horizontal="center" vertical="center"/>
    </xf>
    <xf numFmtId="4" fontId="52" fillId="9" borderId="0" xfId="0" applyNumberFormat="1" applyFont="1" applyFill="1" applyAlignment="1">
      <alignment horizontal="center" vertical="center"/>
    </xf>
    <xf numFmtId="168" fontId="52" fillId="9" borderId="0" xfId="0" applyNumberFormat="1" applyFont="1" applyFill="1" applyAlignment="1">
      <alignment horizontal="center" vertical="center"/>
    </xf>
    <xf numFmtId="0" fontId="52" fillId="4" borderId="0" xfId="0" applyFont="1" applyFill="1" applyAlignment="1">
      <alignment horizontal="center" vertical="center"/>
    </xf>
    <xf numFmtId="4" fontId="52" fillId="4" borderId="0" xfId="0" applyNumberFormat="1" applyFont="1" applyFill="1" applyAlignment="1">
      <alignment horizontal="center" vertical="center"/>
    </xf>
    <xf numFmtId="168" fontId="52" fillId="4" borderId="0" xfId="0" applyNumberFormat="1" applyFont="1" applyFill="1" applyAlignment="1">
      <alignment horizontal="center" vertical="center"/>
    </xf>
    <xf numFmtId="0" fontId="53" fillId="0" borderId="1" xfId="0" applyFont="1" applyBorder="1"/>
    <xf numFmtId="4" fontId="53" fillId="0" borderId="1" xfId="0" applyNumberFormat="1" applyFont="1" applyBorder="1"/>
    <xf numFmtId="10" fontId="53" fillId="0" borderId="1" xfId="0" applyNumberFormat="1" applyFont="1" applyBorder="1"/>
    <xf numFmtId="168" fontId="47" fillId="0" borderId="1" xfId="0" applyNumberFormat="1" applyFont="1" applyBorder="1"/>
    <xf numFmtId="10" fontId="47" fillId="0" borderId="1" xfId="0" applyNumberFormat="1" applyFont="1" applyBorder="1"/>
    <xf numFmtId="2" fontId="53" fillId="0" borderId="1" xfId="0" applyNumberFormat="1" applyFont="1" applyBorder="1"/>
    <xf numFmtId="2" fontId="47" fillId="0" borderId="1" xfId="0" applyNumberFormat="1" applyFont="1" applyBorder="1"/>
    <xf numFmtId="0" fontId="47" fillId="0" borderId="1" xfId="0" applyFont="1" applyBorder="1"/>
    <xf numFmtId="10" fontId="46" fillId="0" borderId="1" xfId="0" applyNumberFormat="1" applyFont="1" applyBorder="1"/>
    <xf numFmtId="10" fontId="44" fillId="0" borderId="1" xfId="0" applyNumberFormat="1" applyFont="1" applyBorder="1"/>
    <xf numFmtId="0" fontId="37" fillId="0" borderId="1" xfId="0" applyFont="1" applyBorder="1"/>
    <xf numFmtId="0" fontId="41" fillId="0" borderId="1" xfId="0" applyFont="1" applyBorder="1"/>
    <xf numFmtId="2" fontId="37" fillId="0" borderId="1" xfId="0" applyNumberFormat="1" applyFont="1" applyBorder="1"/>
    <xf numFmtId="4" fontId="46" fillId="0" borderId="1" xfId="0" applyNumberFormat="1" applyFont="1" applyBorder="1"/>
    <xf numFmtId="168" fontId="37" fillId="0" borderId="1" xfId="0" applyNumberFormat="1" applyFont="1" applyBorder="1"/>
    <xf numFmtId="4" fontId="47" fillId="0" borderId="1" xfId="0" applyNumberFormat="1" applyFont="1" applyBorder="1"/>
    <xf numFmtId="0" fontId="55" fillId="0" borderId="1" xfId="0" applyFont="1" applyBorder="1"/>
    <xf numFmtId="2" fontId="55" fillId="0" borderId="1" xfId="0" applyNumberFormat="1" applyFont="1" applyBorder="1"/>
    <xf numFmtId="168" fontId="44" fillId="0" borderId="1" xfId="0" applyNumberFormat="1" applyFont="1" applyBorder="1"/>
    <xf numFmtId="0" fontId="56" fillId="0" borderId="0" xfId="0" applyFont="1"/>
    <xf numFmtId="10" fontId="44" fillId="11" borderId="1" xfId="0" applyNumberFormat="1" applyFont="1" applyFill="1" applyBorder="1"/>
    <xf numFmtId="4" fontId="53" fillId="0" borderId="1" xfId="0" applyNumberFormat="1" applyFont="1" applyBorder="1" applyAlignment="1">
      <alignment horizontal="right"/>
    </xf>
    <xf numFmtId="4" fontId="37" fillId="0" borderId="1" xfId="0" applyNumberFormat="1" applyFont="1" applyBorder="1" applyAlignment="1">
      <alignment horizontal="right"/>
    </xf>
    <xf numFmtId="168" fontId="37" fillId="0" borderId="1" xfId="0" applyNumberFormat="1" applyFont="1" applyBorder="1" applyAlignment="1">
      <alignment horizontal="right"/>
    </xf>
    <xf numFmtId="0" fontId="55" fillId="3" borderId="1" xfId="0" applyFont="1" applyFill="1" applyBorder="1" applyAlignment="1">
      <alignment horizontal="right"/>
    </xf>
    <xf numFmtId="168" fontId="37" fillId="3" borderId="1" xfId="0" applyNumberFormat="1" applyFont="1" applyFill="1" applyBorder="1" applyAlignment="1">
      <alignment horizontal="right"/>
    </xf>
    <xf numFmtId="0" fontId="58" fillId="2" borderId="1" xfId="0" applyFont="1" applyFill="1" applyBorder="1" applyAlignment="1">
      <alignment horizontal="center" wrapText="1"/>
    </xf>
    <xf numFmtId="4" fontId="46" fillId="0" borderId="1" xfId="0" applyNumberFormat="1" applyFont="1" applyBorder="1" applyAlignment="1">
      <alignment horizontal="right"/>
    </xf>
    <xf numFmtId="0" fontId="24" fillId="0" borderId="0" xfId="0" applyFont="1"/>
    <xf numFmtId="0" fontId="54" fillId="8" borderId="0" xfId="0" applyFont="1" applyFill="1" applyAlignment="1">
      <alignment horizontal="left" vertical="center"/>
    </xf>
    <xf numFmtId="0" fontId="32" fillId="13" borderId="1" xfId="0" applyFont="1" applyFill="1" applyBorder="1" applyAlignment="1">
      <alignment horizontal="center" vertical="center"/>
    </xf>
    <xf numFmtId="0" fontId="32" fillId="13" borderId="24" xfId="0" applyFont="1" applyFill="1" applyBorder="1" applyAlignment="1">
      <alignment horizontal="center" vertical="center"/>
    </xf>
    <xf numFmtId="165" fontId="61" fillId="0" borderId="1" xfId="0" applyNumberFormat="1" applyFont="1" applyBorder="1" applyAlignment="1">
      <alignment horizontal="center" vertical="center"/>
    </xf>
    <xf numFmtId="4" fontId="61" fillId="0" borderId="1" xfId="0" applyNumberFormat="1" applyFont="1" applyBorder="1" applyAlignment="1">
      <alignment horizontal="center" vertical="center"/>
    </xf>
    <xf numFmtId="4" fontId="42" fillId="0" borderId="1" xfId="0" applyNumberFormat="1" applyFont="1" applyBorder="1" applyAlignment="1">
      <alignment horizontal="center" vertical="center"/>
    </xf>
    <xf numFmtId="4" fontId="42" fillId="0" borderId="24" xfId="0" applyNumberFormat="1" applyFont="1" applyBorder="1" applyAlignment="1">
      <alignment horizontal="center" vertical="center"/>
    </xf>
    <xf numFmtId="165" fontId="42" fillId="0" borderId="1" xfId="0" applyNumberFormat="1" applyFont="1" applyBorder="1" applyAlignment="1">
      <alignment horizontal="center" vertical="center"/>
    </xf>
    <xf numFmtId="165" fontId="42" fillId="0" borderId="24" xfId="0" applyNumberFormat="1" applyFont="1" applyBorder="1" applyAlignment="1">
      <alignment horizontal="center" vertical="center"/>
    </xf>
    <xf numFmtId="0" fontId="54" fillId="14" borderId="0" xfId="0" applyFont="1" applyFill="1" applyAlignment="1">
      <alignment horizontal="left" vertical="center"/>
    </xf>
    <xf numFmtId="0" fontId="54" fillId="15" borderId="0" xfId="0" applyFont="1" applyFill="1" applyAlignment="1">
      <alignment horizontal="left" vertical="center"/>
    </xf>
    <xf numFmtId="165" fontId="42" fillId="0" borderId="0" xfId="0" applyNumberFormat="1" applyFont="1" applyAlignment="1">
      <alignment horizontal="center" vertical="center"/>
    </xf>
    <xf numFmtId="0" fontId="32" fillId="12" borderId="1" xfId="0" applyFont="1" applyFill="1" applyBorder="1" applyAlignment="1">
      <alignment horizontal="left" vertical="center"/>
    </xf>
    <xf numFmtId="0" fontId="62" fillId="12" borderId="1" xfId="0" applyFont="1" applyFill="1" applyBorder="1" applyAlignment="1">
      <alignment horizontal="center" vertical="center"/>
    </xf>
    <xf numFmtId="0" fontId="32" fillId="16" borderId="1" xfId="0" applyFont="1" applyFill="1" applyBorder="1" applyAlignment="1">
      <alignment horizontal="center" vertical="center"/>
    </xf>
    <xf numFmtId="0" fontId="63" fillId="0" borderId="0" xfId="0" applyFont="1" applyAlignment="1">
      <alignment horizontal="left" vertical="center"/>
    </xf>
    <xf numFmtId="0" fontId="42" fillId="0" borderId="0" xfId="0" applyFont="1" applyAlignment="1">
      <alignment horizontal="left"/>
    </xf>
    <xf numFmtId="0" fontId="42" fillId="0" borderId="0" xfId="0" applyFont="1" applyAlignment="1">
      <alignment horizontal="right"/>
    </xf>
    <xf numFmtId="0" fontId="19" fillId="0" borderId="1" xfId="0" applyFont="1" applyBorder="1" applyAlignment="1">
      <alignment horizontal="left"/>
    </xf>
    <xf numFmtId="0" fontId="39" fillId="0" borderId="1" xfId="0" applyFont="1" applyBorder="1" applyAlignment="1">
      <alignment horizontal="right"/>
    </xf>
    <xf numFmtId="0" fontId="19" fillId="0" borderId="1" xfId="0" applyFont="1" applyBorder="1" applyAlignment="1">
      <alignment horizontal="right"/>
    </xf>
    <xf numFmtId="165" fontId="42" fillId="0" borderId="0" xfId="0" applyNumberFormat="1" applyFont="1"/>
    <xf numFmtId="0" fontId="42" fillId="0" borderId="1" xfId="0" applyFont="1" applyBorder="1" applyAlignment="1">
      <alignment horizontal="left"/>
    </xf>
    <xf numFmtId="4" fontId="41" fillId="0" borderId="1" xfId="0" applyNumberFormat="1" applyFont="1" applyBorder="1" applyAlignment="1">
      <alignment horizontal="right"/>
    </xf>
    <xf numFmtId="0" fontId="42" fillId="0" borderId="1" xfId="0" applyFont="1" applyBorder="1" applyAlignment="1">
      <alignment horizontal="right"/>
    </xf>
    <xf numFmtId="0" fontId="64" fillId="0" borderId="1" xfId="0" applyFont="1" applyBorder="1" applyAlignment="1">
      <alignment horizontal="right"/>
    </xf>
    <xf numFmtId="170" fontId="14" fillId="0" borderId="1" xfId="0" applyNumberFormat="1" applyFont="1" applyBorder="1" applyAlignment="1">
      <alignment horizontal="right"/>
    </xf>
    <xf numFmtId="165" fontId="14" fillId="0" borderId="1" xfId="0" applyNumberFormat="1" applyFont="1" applyBorder="1" applyAlignment="1">
      <alignment horizontal="right"/>
    </xf>
    <xf numFmtId="10" fontId="41" fillId="0" borderId="1" xfId="0" applyNumberFormat="1" applyFont="1" applyBorder="1" applyAlignment="1">
      <alignment horizontal="right"/>
    </xf>
    <xf numFmtId="165" fontId="41" fillId="0" borderId="1" xfId="0" applyNumberFormat="1" applyFont="1" applyBorder="1" applyAlignment="1">
      <alignment horizontal="right"/>
    </xf>
    <xf numFmtId="4" fontId="41" fillId="0" borderId="1" xfId="0" applyNumberFormat="1" applyFont="1" applyBorder="1" applyAlignment="1">
      <alignment horizontal="right" vertical="center"/>
    </xf>
    <xf numFmtId="0" fontId="41" fillId="0" borderId="1" xfId="0" applyFont="1" applyBorder="1" applyAlignment="1">
      <alignment horizontal="right"/>
    </xf>
    <xf numFmtId="165" fontId="41" fillId="0" borderId="1" xfId="0" applyNumberFormat="1" applyFont="1" applyBorder="1" applyAlignment="1">
      <alignment horizontal="right" vertical="center"/>
    </xf>
    <xf numFmtId="170" fontId="14" fillId="0" borderId="1" xfId="0" applyNumberFormat="1" applyFont="1" applyBorder="1" applyAlignment="1">
      <alignment horizontal="right" vertical="center"/>
    </xf>
    <xf numFmtId="4" fontId="42" fillId="18" borderId="0" xfId="0" applyNumberFormat="1" applyFont="1" applyFill="1" applyAlignment="1">
      <alignment horizontal="right"/>
    </xf>
    <xf numFmtId="10" fontId="32" fillId="17" borderId="0" xfId="0" applyNumberFormat="1" applyFont="1" applyFill="1" applyAlignment="1">
      <alignment horizontal="right" vertical="center"/>
    </xf>
    <xf numFmtId="165" fontId="32" fillId="17" borderId="0" xfId="0" applyNumberFormat="1" applyFont="1" applyFill="1" applyAlignment="1">
      <alignment horizontal="right" vertical="center"/>
    </xf>
    <xf numFmtId="4" fontId="14" fillId="19" borderId="0" xfId="0" applyNumberFormat="1" applyFont="1" applyFill="1" applyAlignment="1">
      <alignment horizontal="right" vertical="center"/>
    </xf>
    <xf numFmtId="4" fontId="14" fillId="18" borderId="0" xfId="0" applyNumberFormat="1" applyFont="1" applyFill="1" applyAlignment="1">
      <alignment horizontal="right" vertical="center"/>
    </xf>
    <xf numFmtId="0" fontId="67" fillId="0" borderId="21" xfId="0" applyFont="1" applyBorder="1" applyAlignment="1">
      <alignment horizontal="right" vertical="center"/>
    </xf>
    <xf numFmtId="0" fontId="69" fillId="20" borderId="0" xfId="0" applyFont="1" applyFill="1" applyAlignment="1">
      <alignment horizontal="left" vertical="center"/>
    </xf>
    <xf numFmtId="0" fontId="70" fillId="21" borderId="0" xfId="0" applyFont="1" applyFill="1"/>
    <xf numFmtId="0" fontId="0" fillId="0" borderId="0" xfId="0" applyAlignment="1">
      <alignment horizontal="right"/>
    </xf>
    <xf numFmtId="0" fontId="24" fillId="0" borderId="1" xfId="0" applyFont="1" applyBorder="1" applyAlignment="1">
      <alignment horizontal="left" vertical="center" wrapText="1"/>
    </xf>
    <xf numFmtId="0" fontId="24" fillId="0" borderId="1" xfId="0" applyFont="1" applyBorder="1" applyAlignment="1">
      <alignment horizontal="right" vertical="center" wrapText="1"/>
    </xf>
    <xf numFmtId="165" fontId="24" fillId="0" borderId="1" xfId="0" applyNumberFormat="1" applyFont="1" applyBorder="1" applyAlignment="1">
      <alignment horizontal="right" vertical="center" wrapText="1"/>
    </xf>
    <xf numFmtId="0" fontId="71" fillId="22" borderId="1" xfId="0" applyFont="1" applyFill="1" applyBorder="1" applyAlignment="1">
      <alignment horizontal="left" vertical="center" wrapText="1"/>
    </xf>
    <xf numFmtId="0" fontId="71" fillId="22" borderId="1" xfId="0" applyFont="1" applyFill="1" applyBorder="1" applyAlignment="1">
      <alignment horizontal="right" vertical="center" wrapText="1"/>
    </xf>
    <xf numFmtId="0" fontId="24" fillId="0" borderId="15" xfId="0" applyFont="1" applyBorder="1" applyAlignment="1">
      <alignment horizontal="left" vertical="center" wrapText="1"/>
    </xf>
    <xf numFmtId="0" fontId="24" fillId="0" borderId="16" xfId="0" applyFont="1" applyBorder="1" applyAlignment="1">
      <alignment horizontal="right" vertical="center" wrapText="1"/>
    </xf>
    <xf numFmtId="0" fontId="24" fillId="0" borderId="17" xfId="0" applyFont="1" applyBorder="1" applyAlignment="1">
      <alignment horizontal="right" vertical="center" wrapText="1"/>
    </xf>
    <xf numFmtId="0" fontId="24" fillId="0" borderId="18" xfId="0" applyFont="1" applyBorder="1" applyAlignment="1">
      <alignment horizontal="left" vertical="center" wrapText="1"/>
    </xf>
    <xf numFmtId="0" fontId="24" fillId="0" borderId="0" xfId="0" applyFont="1" applyAlignment="1">
      <alignment horizontal="right" vertical="center" wrapText="1"/>
    </xf>
    <xf numFmtId="0" fontId="24" fillId="0" borderId="19" xfId="0" applyFont="1" applyBorder="1" applyAlignment="1">
      <alignment horizontal="right" vertical="center" wrapText="1"/>
    </xf>
    <xf numFmtId="165" fontId="24" fillId="0" borderId="0" xfId="0" applyNumberFormat="1" applyFont="1" applyAlignment="1">
      <alignment horizontal="right" vertical="center" wrapText="1"/>
    </xf>
    <xf numFmtId="165" fontId="24" fillId="0" borderId="19" xfId="0" applyNumberFormat="1" applyFont="1" applyBorder="1" applyAlignment="1">
      <alignment horizontal="right" vertical="center" wrapText="1"/>
    </xf>
    <xf numFmtId="0" fontId="24" fillId="0" borderId="20" xfId="0" applyFont="1" applyBorder="1" applyAlignment="1">
      <alignment horizontal="left" vertical="center" wrapText="1"/>
    </xf>
    <xf numFmtId="0" fontId="24" fillId="0" borderId="21" xfId="0" applyFont="1" applyBorder="1" applyAlignment="1">
      <alignment horizontal="right" vertical="center" wrapText="1"/>
    </xf>
    <xf numFmtId="165" fontId="24" fillId="0" borderId="21" xfId="0" applyNumberFormat="1" applyFont="1" applyBorder="1" applyAlignment="1">
      <alignment horizontal="right" vertical="center" wrapText="1"/>
    </xf>
    <xf numFmtId="165" fontId="24" fillId="0" borderId="22" xfId="0" applyNumberFormat="1" applyFont="1" applyBorder="1" applyAlignment="1">
      <alignment horizontal="right" vertical="center" wrapText="1"/>
    </xf>
    <xf numFmtId="0" fontId="24" fillId="0" borderId="16" xfId="0" applyFont="1" applyBorder="1" applyAlignment="1">
      <alignment horizontal="left" vertical="center" wrapText="1"/>
    </xf>
    <xf numFmtId="0" fontId="24" fillId="0" borderId="17" xfId="0" applyFont="1" applyBorder="1" applyAlignment="1">
      <alignment horizontal="left" vertical="center" wrapText="1"/>
    </xf>
    <xf numFmtId="0" fontId="24" fillId="0" borderId="0" xfId="0" applyFont="1" applyAlignment="1">
      <alignment horizontal="left" vertical="center" wrapText="1"/>
    </xf>
    <xf numFmtId="0" fontId="24" fillId="0" borderId="19" xfId="0" applyFont="1" applyBorder="1" applyAlignment="1">
      <alignment horizontal="left" vertical="center" wrapText="1"/>
    </xf>
    <xf numFmtId="165" fontId="24" fillId="0" borderId="21" xfId="0" applyNumberFormat="1" applyFont="1" applyBorder="1" applyAlignment="1">
      <alignment horizontal="left" vertical="center" wrapText="1"/>
    </xf>
    <xf numFmtId="165" fontId="24" fillId="0" borderId="22" xfId="0" applyNumberFormat="1" applyFont="1" applyBorder="1" applyAlignment="1">
      <alignment horizontal="left" vertical="center" wrapText="1"/>
    </xf>
    <xf numFmtId="0" fontId="23" fillId="0" borderId="24" xfId="0" applyFont="1" applyBorder="1" applyAlignment="1">
      <alignment horizontal="left" vertical="center" wrapText="1"/>
    </xf>
    <xf numFmtId="0" fontId="74" fillId="0" borderId="1" xfId="0" applyFont="1" applyBorder="1" applyAlignment="1">
      <alignment horizontal="left"/>
    </xf>
    <xf numFmtId="165" fontId="24" fillId="0" borderId="1" xfId="0" applyNumberFormat="1" applyFont="1" applyBorder="1" applyAlignment="1">
      <alignment horizontal="right"/>
    </xf>
    <xf numFmtId="0" fontId="32" fillId="0" borderId="1" xfId="0" applyFont="1" applyBorder="1" applyAlignment="1">
      <alignment horizontal="left" vertical="center"/>
    </xf>
    <xf numFmtId="0" fontId="30" fillId="2" borderId="1" xfId="0" applyFont="1" applyFill="1" applyBorder="1" applyAlignment="1">
      <alignment horizontal="center" vertical="center"/>
    </xf>
    <xf numFmtId="0" fontId="9" fillId="0" borderId="0" xfId="0" applyFont="1" applyAlignment="1">
      <alignment horizontal="left" vertical="center" wrapText="1"/>
    </xf>
    <xf numFmtId="0" fontId="3" fillId="3" borderId="0" xfId="0" applyFont="1" applyFill="1" applyAlignment="1">
      <alignment horizontal="center" vertical="center" wrapText="1"/>
    </xf>
    <xf numFmtId="0" fontId="5" fillId="2" borderId="1" xfId="0" applyFont="1" applyFill="1" applyBorder="1" applyAlignment="1">
      <alignment horizontal="left" vertical="center" wrapText="1"/>
    </xf>
    <xf numFmtId="0" fontId="7" fillId="0" borderId="0" xfId="0" applyFont="1" applyAlignment="1">
      <alignment horizontal="left" vertical="top" wrapText="1"/>
    </xf>
    <xf numFmtId="0" fontId="12" fillId="5" borderId="6"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4" fillId="4" borderId="0" xfId="0" applyFont="1" applyFill="1" applyAlignment="1">
      <alignment horizontal="center" vertical="center" wrapText="1"/>
    </xf>
    <xf numFmtId="0" fontId="15" fillId="5" borderId="10"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1" fillId="4" borderId="0" xfId="0" applyFont="1" applyFill="1" applyAlignment="1">
      <alignment vertical="center" wrapText="1"/>
    </xf>
    <xf numFmtId="0" fontId="13" fillId="4" borderId="8" xfId="0" applyFont="1" applyFill="1" applyBorder="1" applyAlignment="1">
      <alignment horizontal="center" vertical="center" wrapText="1"/>
    </xf>
    <xf numFmtId="0" fontId="13" fillId="4" borderId="8" xfId="0" applyFont="1" applyFill="1" applyBorder="1" applyAlignment="1">
      <alignment horizontal="left" vertical="center" wrapText="1"/>
    </xf>
    <xf numFmtId="0" fontId="0" fillId="4" borderId="0" xfId="0" applyFill="1" applyAlignment="1">
      <alignment horizontal="center" vertical="center" wrapText="1"/>
    </xf>
    <xf numFmtId="0" fontId="17" fillId="4" borderId="18" xfId="0" applyFont="1" applyFill="1" applyBorder="1" applyAlignment="1">
      <alignment vertical="center" wrapText="1"/>
    </xf>
    <xf numFmtId="0" fontId="17" fillId="6" borderId="0" xfId="0" applyFont="1" applyFill="1" applyAlignment="1">
      <alignment vertical="center" wrapText="1"/>
    </xf>
    <xf numFmtId="0" fontId="17" fillId="4" borderId="14" xfId="0" applyFont="1" applyFill="1" applyBorder="1" applyAlignment="1">
      <alignment vertical="center" wrapText="1"/>
    </xf>
    <xf numFmtId="0" fontId="17" fillId="4" borderId="15" xfId="0" applyFont="1" applyFill="1" applyBorder="1" applyAlignment="1">
      <alignment vertical="center" wrapText="1"/>
    </xf>
    <xf numFmtId="0" fontId="16" fillId="7" borderId="1" xfId="0" applyFont="1" applyFill="1" applyBorder="1" applyAlignment="1">
      <alignment horizontal="center"/>
    </xf>
    <xf numFmtId="0" fontId="20" fillId="6" borderId="0" xfId="0" applyFont="1" applyFill="1" applyAlignment="1">
      <alignment vertical="center" wrapText="1"/>
    </xf>
    <xf numFmtId="0" fontId="22" fillId="7" borderId="23" xfId="0" applyFont="1" applyFill="1" applyBorder="1" applyAlignment="1">
      <alignment horizontal="center" vertical="center" wrapText="1"/>
    </xf>
    <xf numFmtId="0" fontId="21" fillId="4" borderId="0" xfId="0" applyFont="1" applyFill="1" applyAlignment="1">
      <alignment horizontal="right" vertical="center" wrapText="1"/>
    </xf>
    <xf numFmtId="0" fontId="21" fillId="4" borderId="19" xfId="0" applyFont="1" applyFill="1" applyBorder="1" applyAlignment="1">
      <alignment horizontal="right" vertical="center" wrapText="1"/>
    </xf>
    <xf numFmtId="0" fontId="24" fillId="3" borderId="0" xfId="0" applyFont="1" applyFill="1" applyAlignment="1">
      <alignment horizontal="left" vertical="top" wrapText="1"/>
    </xf>
    <xf numFmtId="0" fontId="25" fillId="2" borderId="1" xfId="0" applyFont="1" applyFill="1" applyBorder="1" applyAlignment="1">
      <alignment horizontal="center" vertical="center"/>
    </xf>
    <xf numFmtId="0" fontId="33" fillId="2" borderId="1" xfId="0" applyFont="1" applyFill="1" applyBorder="1" applyAlignment="1">
      <alignment horizontal="center" vertical="center"/>
    </xf>
    <xf numFmtId="10" fontId="41" fillId="0" borderId="1" xfId="0" applyNumberFormat="1" applyFont="1" applyBorder="1" applyAlignment="1">
      <alignment horizontal="center" vertical="center"/>
    </xf>
    <xf numFmtId="0" fontId="38" fillId="2" borderId="1" xfId="0" applyFont="1" applyFill="1" applyBorder="1" applyAlignment="1">
      <alignment horizontal="center" vertical="center"/>
    </xf>
    <xf numFmtId="0" fontId="40" fillId="0" borderId="0" xfId="0" applyFont="1" applyAlignment="1">
      <alignment horizontal="left" vertical="center"/>
    </xf>
    <xf numFmtId="0" fontId="5" fillId="2" borderId="1" xfId="0" applyFont="1" applyFill="1" applyBorder="1" applyAlignment="1">
      <alignment horizontal="center" vertical="center"/>
    </xf>
    <xf numFmtId="0" fontId="44" fillId="7" borderId="1" xfId="0" applyFont="1" applyFill="1" applyBorder="1" applyAlignment="1">
      <alignment horizontal="left" vertical="center"/>
    </xf>
    <xf numFmtId="0" fontId="48" fillId="8" borderId="1" xfId="0" applyFont="1" applyFill="1" applyBorder="1" applyAlignment="1">
      <alignment horizontal="center" vertical="center"/>
    </xf>
    <xf numFmtId="0" fontId="43" fillId="2" borderId="1" xfId="0" applyFont="1" applyFill="1" applyBorder="1" applyAlignment="1">
      <alignment horizontal="center" vertical="center"/>
    </xf>
    <xf numFmtId="0" fontId="44" fillId="0" borderId="1" xfId="0" applyFont="1" applyBorder="1" applyAlignment="1">
      <alignment horizontal="center" vertical="center"/>
    </xf>
    <xf numFmtId="0" fontId="54" fillId="10" borderId="0" xfId="0" applyFont="1" applyFill="1"/>
    <xf numFmtId="0" fontId="44" fillId="11" borderId="1" xfId="0" applyFont="1" applyFill="1" applyBorder="1"/>
    <xf numFmtId="0" fontId="30" fillId="2" borderId="0" xfId="0" applyFont="1" applyFill="1" applyAlignment="1">
      <alignment horizontal="center" vertical="center"/>
    </xf>
    <xf numFmtId="0" fontId="57" fillId="2" borderId="1" xfId="0" applyFont="1" applyFill="1" applyBorder="1" applyAlignment="1">
      <alignment horizontal="center" vertical="center"/>
    </xf>
    <xf numFmtId="0" fontId="55" fillId="0" borderId="0" xfId="0" applyFont="1"/>
    <xf numFmtId="0" fontId="24" fillId="0" borderId="25" xfId="0" applyFont="1" applyBorder="1" applyAlignment="1">
      <alignment horizontal="left" vertical="center" wrapText="1"/>
    </xf>
    <xf numFmtId="0" fontId="24" fillId="0" borderId="26" xfId="0" applyFont="1" applyBorder="1" applyAlignment="1">
      <alignment horizontal="left" vertical="center" wrapText="1"/>
    </xf>
    <xf numFmtId="0" fontId="60" fillId="2" borderId="1" xfId="0" applyFont="1" applyFill="1" applyBorder="1" applyAlignment="1">
      <alignment horizontal="left" vertical="center"/>
    </xf>
    <xf numFmtId="0" fontId="65" fillId="2" borderId="1" xfId="0" applyFont="1" applyFill="1" applyBorder="1" applyAlignment="1">
      <alignment horizontal="center" vertical="center"/>
    </xf>
    <xf numFmtId="0" fontId="32" fillId="17" borderId="0" xfId="0" applyFont="1" applyFill="1" applyAlignment="1">
      <alignment horizontal="center" vertical="center"/>
    </xf>
    <xf numFmtId="0" fontId="75" fillId="0" borderId="2" xfId="0" applyFont="1" applyBorder="1" applyAlignment="1">
      <alignment horizontal="center" vertical="center" wrapText="1"/>
    </xf>
    <xf numFmtId="0" fontId="69" fillId="20" borderId="1" xfId="0" applyFont="1" applyFill="1" applyBorder="1" applyAlignment="1">
      <alignment horizontal="left" vertical="center" wrapText="1"/>
    </xf>
    <xf numFmtId="0" fontId="69" fillId="20" borderId="1" xfId="0" applyFont="1" applyFill="1" applyBorder="1" applyAlignment="1">
      <alignment horizontal="right" vertical="center" wrapText="1"/>
    </xf>
    <xf numFmtId="0" fontId="73" fillId="20" borderId="1" xfId="0" applyFont="1" applyFill="1" applyBorder="1" applyAlignment="1">
      <alignment horizontal="left" vertical="center" wrapText="1"/>
    </xf>
    <xf numFmtId="0" fontId="73" fillId="20" borderId="1" xfId="0" applyFont="1" applyFill="1" applyBorder="1" applyAlignment="1">
      <alignment horizontal="left" vertical="center" wrapText="1"/>
    </xf>
    <xf numFmtId="0" fontId="32" fillId="0" borderId="1" xfId="0" applyFont="1" applyFill="1" applyBorder="1" applyAlignment="1">
      <alignment horizontal="left" vertical="center"/>
    </xf>
    <xf numFmtId="0" fontId="39" fillId="0" borderId="1" xfId="0" applyFont="1" applyFill="1" applyBorder="1" applyAlignment="1">
      <alignment horizontal="left" vertical="center"/>
    </xf>
    <xf numFmtId="4" fontId="41" fillId="0" borderId="1" xfId="0" applyNumberFormat="1" applyFont="1" applyFill="1" applyBorder="1" applyAlignment="1">
      <alignment horizontal="right" vertical="center"/>
    </xf>
    <xf numFmtId="0" fontId="8" fillId="0" borderId="1" xfId="0" applyFont="1" applyFill="1" applyBorder="1" applyAlignment="1">
      <alignment horizontal="left" vertical="center"/>
    </xf>
    <xf numFmtId="4" fontId="8" fillId="0" borderId="1" xfId="0" applyNumberFormat="1" applyFont="1" applyFill="1" applyBorder="1" applyAlignment="1">
      <alignment horizontal="right" vertical="center"/>
    </xf>
    <xf numFmtId="0" fontId="42" fillId="0" borderId="0" xfId="0" applyFont="1" applyFill="1"/>
    <xf numFmtId="0" fontId="42" fillId="0" borderId="0" xfId="0" applyFont="1" applyFill="1" applyAlignment="1">
      <alignment horizontal="right"/>
    </xf>
    <xf numFmtId="4" fontId="32" fillId="0" borderId="1" xfId="0" applyNumberFormat="1" applyFont="1" applyFill="1" applyBorder="1" applyAlignment="1">
      <alignment horizontal="right" vertical="center"/>
    </xf>
    <xf numFmtId="4" fontId="14" fillId="0" borderId="1" xfId="0" applyNumberFormat="1" applyFont="1" applyFill="1" applyBorder="1" applyAlignment="1">
      <alignment horizontal="right" vertical="center"/>
    </xf>
    <xf numFmtId="0" fontId="32" fillId="0" borderId="1" xfId="0" applyFont="1" applyFill="1" applyBorder="1" applyAlignment="1">
      <alignment horizontal="center" vertical="center"/>
    </xf>
    <xf numFmtId="4" fontId="14" fillId="0" borderId="1" xfId="0" applyNumberFormat="1" applyFont="1" applyFill="1" applyBorder="1" applyAlignment="1">
      <alignment horizontal="center" vertical="center"/>
    </xf>
    <xf numFmtId="0" fontId="66" fillId="0" borderId="1" xfId="0" applyFont="1" applyFill="1" applyBorder="1" applyAlignment="1">
      <alignment horizontal="left" vertical="center"/>
    </xf>
    <xf numFmtId="165" fontId="14" fillId="0" borderId="1" xfId="0" applyNumberFormat="1" applyFont="1" applyFill="1" applyBorder="1" applyAlignment="1">
      <alignment horizontal="center" vertical="center"/>
    </xf>
    <xf numFmtId="0" fontId="42" fillId="0" borderId="0" xfId="0" applyFont="1" applyFill="1" applyAlignment="1">
      <alignment horizontal="left"/>
    </xf>
    <xf numFmtId="4" fontId="14" fillId="0" borderId="0" xfId="0" applyNumberFormat="1" applyFont="1" applyFill="1" applyAlignment="1">
      <alignment horizontal="center" vertical="center"/>
    </xf>
    <xf numFmtId="165" fontId="14" fillId="0" borderId="0" xfId="0" applyNumberFormat="1" applyFont="1" applyFill="1" applyAlignment="1">
      <alignment horizontal="center" vertical="center"/>
    </xf>
    <xf numFmtId="165" fontId="14" fillId="0" borderId="1" xfId="0" applyNumberFormat="1" applyFont="1" applyFill="1" applyBorder="1" applyAlignment="1">
      <alignment horizontal="left" vertical="center"/>
    </xf>
    <xf numFmtId="165" fontId="61" fillId="0" borderId="1" xfId="0" applyNumberFormat="1" applyFont="1" applyFill="1" applyBorder="1" applyAlignment="1">
      <alignment horizontal="left" vertical="center"/>
    </xf>
    <xf numFmtId="0" fontId="40" fillId="23" borderId="1" xfId="0" applyFont="1" applyFill="1" applyBorder="1" applyAlignment="1">
      <alignment horizontal="center" vertical="center"/>
    </xf>
    <xf numFmtId="0" fontId="40" fillId="23" borderId="1" xfId="0" applyFont="1" applyFill="1" applyBorder="1" applyAlignment="1">
      <alignment horizontal="right" vertical="center"/>
    </xf>
    <xf numFmtId="0" fontId="41" fillId="0" borderId="1" xfId="0" applyFont="1" applyFill="1" applyBorder="1" applyAlignment="1">
      <alignment horizontal="right"/>
    </xf>
    <xf numFmtId="165" fontId="41" fillId="0" borderId="1" xfId="0" applyNumberFormat="1" applyFont="1" applyFill="1" applyBorder="1" applyAlignment="1">
      <alignment horizontal="right" vertical="center"/>
    </xf>
    <xf numFmtId="0" fontId="8" fillId="24" borderId="1" xfId="0" applyFont="1" applyFill="1" applyBorder="1" applyAlignment="1">
      <alignment horizontal="left" vertical="center"/>
    </xf>
    <xf numFmtId="4" fontId="8" fillId="24" borderId="1" xfId="0" applyNumberFormat="1" applyFont="1" applyFill="1" applyBorder="1" applyAlignment="1">
      <alignment horizontal="right" vertical="center"/>
    </xf>
    <xf numFmtId="0" fontId="32" fillId="24" borderId="1" xfId="0" applyFont="1" applyFill="1" applyBorder="1" applyAlignment="1">
      <alignment horizontal="left" vertical="center"/>
    </xf>
    <xf numFmtId="4" fontId="32" fillId="24" borderId="1" xfId="0" applyNumberFormat="1" applyFont="1" applyFill="1" applyBorder="1" applyAlignment="1">
      <alignment horizontal="right" vertical="center"/>
    </xf>
    <xf numFmtId="4" fontId="42" fillId="0" borderId="1" xfId="0" applyNumberFormat="1" applyFont="1" applyFill="1" applyBorder="1" applyAlignment="1">
      <alignment horizontal="right" vertical="center"/>
    </xf>
    <xf numFmtId="0" fontId="10" fillId="25" borderId="2" xfId="0" applyFont="1" applyFill="1" applyBorder="1" applyAlignment="1">
      <alignment horizontal="left" vertical="center" wrapText="1"/>
    </xf>
    <xf numFmtId="0" fontId="10" fillId="25" borderId="2" xfId="0" applyFont="1" applyFill="1" applyBorder="1" applyAlignment="1">
      <alignment horizontal="center" vertical="center" wrapText="1"/>
    </xf>
    <xf numFmtId="0" fontId="40" fillId="26" borderId="1" xfId="0" applyFont="1" applyFill="1" applyBorder="1" applyAlignment="1">
      <alignment horizontal="center" vertical="center" wrapText="1"/>
    </xf>
    <xf numFmtId="0" fontId="76" fillId="27" borderId="1" xfId="0" applyFont="1" applyFill="1" applyBorder="1" applyAlignment="1">
      <alignment horizontal="center" vertical="center" wrapText="1"/>
    </xf>
    <xf numFmtId="0" fontId="5" fillId="26" borderId="1" xfId="0" applyFont="1" applyFill="1" applyBorder="1" applyAlignment="1">
      <alignment horizontal="center" vertical="center" wrapText="1"/>
    </xf>
    <xf numFmtId="0" fontId="40" fillId="27" borderId="1" xfId="0" applyFont="1" applyFill="1" applyBorder="1" applyAlignment="1">
      <alignment horizontal="center" vertical="center" wrapText="1"/>
    </xf>
    <xf numFmtId="0" fontId="30" fillId="26" borderId="1" xfId="0" applyFont="1" applyFill="1" applyBorder="1" applyAlignment="1">
      <alignment horizontal="center" vertical="center" wrapText="1"/>
    </xf>
    <xf numFmtId="0" fontId="30" fillId="21" borderId="1" xfId="0" applyFont="1" applyFill="1" applyBorder="1" applyAlignment="1">
      <alignment horizontal="center" vertical="center" wrapText="1"/>
    </xf>
    <xf numFmtId="0" fontId="77" fillId="2" borderId="1" xfId="0" applyFont="1" applyFill="1" applyBorder="1" applyAlignment="1">
      <alignment horizontal="center" vertical="center" wrapText="1"/>
    </xf>
    <xf numFmtId="0" fontId="58" fillId="27" borderId="1" xfId="0" applyFont="1" applyFill="1" applyBorder="1" applyAlignment="1">
      <alignment horizontal="center" vertical="center" wrapText="1"/>
    </xf>
    <xf numFmtId="0" fontId="55" fillId="12" borderId="27" xfId="0" applyFont="1" applyFill="1" applyBorder="1"/>
    <xf numFmtId="4" fontId="46" fillId="12" borderId="27" xfId="0" applyNumberFormat="1" applyFont="1" applyFill="1" applyBorder="1" applyAlignment="1">
      <alignment horizontal="right"/>
    </xf>
    <xf numFmtId="0" fontId="58" fillId="2" borderId="1" xfId="0" applyFont="1" applyFill="1" applyBorder="1" applyAlignment="1">
      <alignment horizontal="center" wrapText="1"/>
    </xf>
    <xf numFmtId="0" fontId="59" fillId="2" borderId="1" xfId="0" applyFont="1" applyFill="1" applyBorder="1"/>
    <xf numFmtId="168" fontId="37" fillId="12" borderId="27" xfId="0" applyNumberFormat="1" applyFont="1" applyFill="1" applyBorder="1" applyAlignment="1">
      <alignment horizontal="right"/>
    </xf>
    <xf numFmtId="0" fontId="78" fillId="21" borderId="15" xfId="0" applyFont="1" applyFill="1" applyBorder="1" applyAlignment="1">
      <alignment horizontal="center" vertical="center" wrapText="1"/>
    </xf>
    <xf numFmtId="0" fontId="78" fillId="21" borderId="16" xfId="0" applyFont="1" applyFill="1" applyBorder="1" applyAlignment="1">
      <alignment horizontal="center" vertical="center" wrapText="1"/>
    </xf>
    <xf numFmtId="0" fontId="78" fillId="21" borderId="17" xfId="0" applyFont="1" applyFill="1" applyBorder="1" applyAlignment="1">
      <alignment horizontal="center" vertical="center" wrapText="1"/>
    </xf>
    <xf numFmtId="0" fontId="78" fillId="21" borderId="20" xfId="0" applyFont="1" applyFill="1" applyBorder="1" applyAlignment="1">
      <alignment horizontal="center" vertical="center" wrapText="1"/>
    </xf>
    <xf numFmtId="0" fontId="78" fillId="21" borderId="21" xfId="0" applyFont="1" applyFill="1" applyBorder="1" applyAlignment="1">
      <alignment horizontal="center" vertical="center" wrapText="1"/>
    </xf>
    <xf numFmtId="0" fontId="78" fillId="21" borderId="22"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ED1F2C"/>
      <rgbColor rgb="FF00FF00"/>
      <rgbColor rgb="FF0000FF"/>
      <rgbColor rgb="FFFFFF00"/>
      <rgbColor rgb="FFFF00FF"/>
      <rgbColor rgb="FF00FFFF"/>
      <rgbColor rgb="FF8B0000"/>
      <rgbColor rgb="FF008000"/>
      <rgbColor rgb="FF000099"/>
      <rgbColor rgb="FF666666"/>
      <rgbColor rgb="FF800080"/>
      <rgbColor rgb="FF2F5597"/>
      <rgbColor rgb="FFD0D0D0"/>
      <rgbColor rgb="FF808080"/>
      <rgbColor rgb="FFE8EBEF"/>
      <rgbColor rgb="FF595959"/>
      <rgbColor rgb="FFFFF2CC"/>
      <rgbColor rgb="FFDDEEFF"/>
      <rgbColor rgb="FF660066"/>
      <rgbColor rgb="FFFF8080"/>
      <rgbColor rgb="FF0563C1"/>
      <rgbColor rgb="FFBDD7EE"/>
      <rgbColor rgb="FF000080"/>
      <rgbColor rgb="FFFF00FF"/>
      <rgbColor rgb="FFEEEEEE"/>
      <rgbColor rgb="FF00FFFF"/>
      <rgbColor rgb="FF800080"/>
      <rgbColor rgb="FF800000"/>
      <rgbColor rgb="FF008080"/>
      <rgbColor rgb="FF0000FF"/>
      <rgbColor rgb="FF00CCFF"/>
      <rgbColor rgb="FFD9EAF7"/>
      <rgbColor rgb="FFE2EFDA"/>
      <rgbColor rgb="FFF2F2F2"/>
      <rgbColor rgb="FFD8D8D8"/>
      <rgbColor rgb="FFDAE3F3"/>
      <rgbColor rgb="FFDDDDDD"/>
      <rgbColor rgb="FFFBE5D6"/>
      <rgbColor rgb="FF2E75B6"/>
      <rgbColor rgb="FF33CCCC"/>
      <rgbColor rgb="FF99CC00"/>
      <rgbColor rgb="FFF4B942"/>
      <rgbColor rgb="FFFF9900"/>
      <rgbColor rgb="FFFF5050"/>
      <rgbColor rgb="FF606F7B"/>
      <rgbColor rgb="FFF8F8FC"/>
      <rgbColor rgb="FF002060"/>
      <rgbColor rgb="FF538135"/>
      <rgbColor rgb="FF003300"/>
      <rgbColor rgb="FF1F3864"/>
      <rgbColor rgb="FF993300"/>
      <rgbColor rgb="FF993366"/>
      <rgbColor rgb="FF243166"/>
      <rgbColor rgb="FF2222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1094760</xdr:colOff>
      <xdr:row>1</xdr:row>
      <xdr:rowOff>31680</xdr:rowOff>
    </xdr:from>
    <xdr:to>
      <xdr:col>6</xdr:col>
      <xdr:colOff>2073600</xdr:colOff>
      <xdr:row>5</xdr:row>
      <xdr:rowOff>11160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990040" y="660240"/>
          <a:ext cx="7623360" cy="17514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73080</xdr:colOff>
      <xdr:row>3</xdr:row>
      <xdr:rowOff>73080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147240" y="666720"/>
          <a:ext cx="73080" cy="73080"/>
        </a:xfrm>
        <a:prstGeom prst="rect">
          <a:avLst/>
        </a:prstGeom>
        <a:ln w="0">
          <a:noFill/>
        </a:ln>
      </xdr:spPr>
    </xdr:pic>
    <xdr:clientData/>
  </xdr:twoCellAnchor>
  <xdr:twoCellAnchor editAs="oneCell">
    <xdr:from>
      <xdr:col>1</xdr:col>
      <xdr:colOff>0</xdr:colOff>
      <xdr:row>5</xdr:row>
      <xdr:rowOff>0</xdr:rowOff>
    </xdr:from>
    <xdr:to>
      <xdr:col>1</xdr:col>
      <xdr:colOff>73080</xdr:colOff>
      <xdr:row>5</xdr:row>
      <xdr:rowOff>73080</xdr:rowOff>
    </xdr:to>
    <xdr:pic>
      <xdr:nvPicPr>
        <xdr:cNvPr id="3" name="Picture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147240" y="990720"/>
          <a:ext cx="73080" cy="730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73080</xdr:colOff>
      <xdr:row>3</xdr:row>
      <xdr:rowOff>73080</xdr:rowOff>
    </xdr:to>
    <xdr:pic>
      <xdr:nvPicPr>
        <xdr:cNvPr id="3" name="Picture 1">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stretch/>
      </xdr:blipFill>
      <xdr:spPr>
        <a:xfrm>
          <a:off x="192240" y="914400"/>
          <a:ext cx="73080" cy="73080"/>
        </a:xfrm>
        <a:prstGeom prst="rect">
          <a:avLst/>
        </a:prstGeom>
        <a:ln w="0">
          <a:noFill/>
        </a:ln>
      </xdr:spPr>
    </xdr:pic>
    <xdr:clientData/>
  </xdr:twoCellAnchor>
  <xdr:twoCellAnchor editAs="oneCell">
    <xdr:from>
      <xdr:col>1</xdr:col>
      <xdr:colOff>0</xdr:colOff>
      <xdr:row>5</xdr:row>
      <xdr:rowOff>0</xdr:rowOff>
    </xdr:from>
    <xdr:to>
      <xdr:col>1</xdr:col>
      <xdr:colOff>73080</xdr:colOff>
      <xdr:row>5</xdr:row>
      <xdr:rowOff>73080</xdr:rowOff>
    </xdr:to>
    <xdr:pic>
      <xdr:nvPicPr>
        <xdr:cNvPr id="4" name="Picture 2">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192240" y="1238400"/>
          <a:ext cx="73080" cy="730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73080</xdr:colOff>
      <xdr:row>3</xdr:row>
      <xdr:rowOff>73080</xdr:rowOff>
    </xdr:to>
    <xdr:pic>
      <xdr:nvPicPr>
        <xdr:cNvPr id="5" name="Picture 1">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236880" y="838080"/>
          <a:ext cx="73080" cy="73080"/>
        </a:xfrm>
        <a:prstGeom prst="rect">
          <a:avLst/>
        </a:prstGeom>
        <a:ln w="0">
          <a:noFill/>
        </a:ln>
      </xdr:spPr>
    </xdr:pic>
    <xdr:clientData/>
  </xdr:twoCellAnchor>
  <xdr:twoCellAnchor editAs="oneCell">
    <xdr:from>
      <xdr:col>1</xdr:col>
      <xdr:colOff>0</xdr:colOff>
      <xdr:row>5</xdr:row>
      <xdr:rowOff>0</xdr:rowOff>
    </xdr:from>
    <xdr:to>
      <xdr:col>1</xdr:col>
      <xdr:colOff>73080</xdr:colOff>
      <xdr:row>5</xdr:row>
      <xdr:rowOff>73080</xdr:rowOff>
    </xdr:to>
    <xdr:pic>
      <xdr:nvPicPr>
        <xdr:cNvPr id="6" name="Picture 2">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xdr:blipFill>
      <xdr:spPr>
        <a:xfrm>
          <a:off x="236880" y="1200240"/>
          <a:ext cx="73080" cy="7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734632</xdr:colOff>
      <xdr:row>1</xdr:row>
      <xdr:rowOff>28599</xdr:rowOff>
    </xdr:from>
    <xdr:to>
      <xdr:col>11</xdr:col>
      <xdr:colOff>857837</xdr:colOff>
      <xdr:row>15</xdr:row>
      <xdr:rowOff>53570</xdr:rowOff>
    </xdr:to>
    <xdr:pic>
      <xdr:nvPicPr>
        <xdr:cNvPr id="7" name="Picture 1">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1"/>
        <a:stretch/>
      </xdr:blipFill>
      <xdr:spPr>
        <a:xfrm>
          <a:off x="929365" y="468866"/>
          <a:ext cx="7616205" cy="2776637"/>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250887</xdr:colOff>
      <xdr:row>3</xdr:row>
      <xdr:rowOff>87127</xdr:rowOff>
    </xdr:from>
    <xdr:to>
      <xdr:col>28</xdr:col>
      <xdr:colOff>190232</xdr:colOff>
      <xdr:row>15</xdr:row>
      <xdr:rowOff>67822</xdr:rowOff>
    </xdr:to>
    <xdr:pic>
      <xdr:nvPicPr>
        <xdr:cNvPr id="8" name="Picture 2">
          <a:extLst>
            <a:ext uri="{FF2B5EF4-FFF2-40B4-BE49-F238E27FC236}">
              <a16:creationId xmlns:a16="http://schemas.microsoft.com/office/drawing/2014/main" id="{00000000-0008-0000-1000-000008000000}"/>
            </a:ext>
          </a:extLst>
        </xdr:cNvPr>
        <xdr:cNvPicPr/>
      </xdr:nvPicPr>
      <xdr:blipFill>
        <a:blip xmlns:r="http://schemas.openxmlformats.org/officeDocument/2006/relationships" r:embed="rId1"/>
        <a:stretch/>
      </xdr:blipFill>
      <xdr:spPr>
        <a:xfrm>
          <a:off x="12577358" y="958696"/>
          <a:ext cx="9750717" cy="3915204"/>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showGridLines="0" zoomScale="38" zoomScaleNormal="38" workbookViewId="0">
      <selection activeCell="AB8" sqref="AB8"/>
    </sheetView>
  </sheetViews>
  <sheetFormatPr defaultColWidth="8.6328125" defaultRowHeight="15.5" x14ac:dyDescent="0.35"/>
  <cols>
    <col min="1" max="1" width="2.08984375" style="2" customWidth="1"/>
    <col min="2" max="2" width="17.1796875" style="2" customWidth="1"/>
    <col min="3" max="3" width="50.1796875" style="2" customWidth="1"/>
    <col min="4" max="4" width="36.08984375" style="2" customWidth="1"/>
    <col min="5" max="5" width="25" style="2" customWidth="1"/>
    <col min="6" max="6" width="33.1796875" style="2" customWidth="1"/>
    <col min="7" max="7" width="53.08984375" style="2" customWidth="1"/>
    <col min="8" max="8" width="34.6328125" style="2" customWidth="1"/>
    <col min="9" max="9" width="18" style="2" customWidth="1"/>
    <col min="10" max="10" width="10.1796875" style="2" customWidth="1"/>
    <col min="11" max="11" width="0.36328125" style="2" customWidth="1"/>
    <col min="12" max="12" width="7.90625" style="2" customWidth="1"/>
    <col min="13" max="16384" width="8.6328125" style="2"/>
  </cols>
  <sheetData>
    <row r="1" spans="1:12" ht="49.5" customHeight="1" x14ac:dyDescent="0.35">
      <c r="A1" s="342" t="s">
        <v>0</v>
      </c>
      <c r="B1" s="342"/>
      <c r="C1" s="342"/>
      <c r="D1" s="342"/>
      <c r="E1" s="342"/>
      <c r="F1" s="342"/>
      <c r="G1" s="342"/>
      <c r="H1" s="342"/>
      <c r="I1" s="342"/>
      <c r="J1" s="342"/>
      <c r="K1" s="342"/>
    </row>
    <row r="2" spans="1:12" ht="49.5" customHeight="1" x14ac:dyDescent="0.35">
      <c r="A2" s="3"/>
      <c r="B2" s="3"/>
      <c r="C2" s="3"/>
      <c r="D2" s="3"/>
      <c r="E2" s="3"/>
      <c r="F2" s="3"/>
      <c r="G2" s="3"/>
      <c r="H2" s="3"/>
      <c r="I2" s="3"/>
      <c r="J2" s="3"/>
      <c r="K2" s="3"/>
    </row>
    <row r="3" spans="1:12" ht="49.5" customHeight="1" x14ac:dyDescent="0.35">
      <c r="A3" s="3"/>
      <c r="B3" s="3"/>
      <c r="C3" s="3"/>
      <c r="D3" s="3"/>
      <c r="E3" s="3"/>
      <c r="F3" s="3"/>
      <c r="G3" s="3"/>
      <c r="H3" s="3"/>
      <c r="I3" s="3"/>
      <c r="J3" s="3"/>
      <c r="K3" s="3"/>
    </row>
    <row r="4" spans="1:12" ht="36" customHeight="1" x14ac:dyDescent="0.35">
      <c r="A4" s="3"/>
      <c r="B4" s="3"/>
      <c r="C4" s="3"/>
      <c r="D4" s="3"/>
      <c r="E4" s="3"/>
      <c r="F4" s="3"/>
      <c r="G4" s="3"/>
      <c r="H4" s="3"/>
      <c r="I4" s="3"/>
      <c r="J4" s="3"/>
      <c r="K4" s="3"/>
    </row>
    <row r="5" spans="1:12" ht="4.5" customHeight="1" x14ac:dyDescent="0.35">
      <c r="A5" s="3"/>
      <c r="B5" s="3"/>
      <c r="C5" s="3"/>
      <c r="D5" s="3"/>
      <c r="E5" s="3"/>
      <c r="F5" s="3"/>
      <c r="G5" s="3"/>
      <c r="H5" s="3"/>
      <c r="I5" s="3"/>
      <c r="J5" s="3"/>
      <c r="K5" s="3"/>
    </row>
    <row r="6" spans="1:12" ht="61.5" customHeight="1" x14ac:dyDescent="0.35">
      <c r="B6" s="255" t="s">
        <v>1</v>
      </c>
      <c r="C6" s="255"/>
      <c r="D6" s="255"/>
      <c r="E6" s="255"/>
      <c r="F6" s="255"/>
      <c r="G6" s="255"/>
      <c r="H6" s="255"/>
      <c r="I6" s="255"/>
      <c r="J6" s="255"/>
      <c r="K6" s="255"/>
    </row>
    <row r="7" spans="1:12" s="4" customFormat="1" ht="22.5" customHeight="1" x14ac:dyDescent="0.35">
      <c r="B7" s="256" t="s">
        <v>2</v>
      </c>
      <c r="C7" s="256"/>
      <c r="D7" s="256"/>
      <c r="E7" s="256"/>
      <c r="F7" s="256"/>
      <c r="G7" s="256"/>
      <c r="H7" s="256"/>
      <c r="I7" s="256"/>
      <c r="J7" s="256"/>
      <c r="K7" s="256"/>
      <c r="L7" s="5" t="s">
        <v>3</v>
      </c>
    </row>
    <row r="8" spans="1:12" ht="109.5" customHeight="1" x14ac:dyDescent="0.35">
      <c r="B8" s="257" t="s">
        <v>4</v>
      </c>
      <c r="C8" s="257"/>
      <c r="D8" s="257"/>
      <c r="E8" s="257"/>
      <c r="F8" s="257"/>
      <c r="G8" s="257"/>
      <c r="H8" s="257"/>
      <c r="I8" s="257"/>
      <c r="J8" s="257"/>
      <c r="K8" s="257"/>
    </row>
    <row r="9" spans="1:12" ht="27" customHeight="1" x14ac:dyDescent="0.35">
      <c r="B9" s="256" t="s">
        <v>5</v>
      </c>
      <c r="C9" s="256"/>
      <c r="D9" s="256"/>
      <c r="E9" s="256"/>
      <c r="F9" s="256"/>
      <c r="G9" s="256"/>
      <c r="H9" s="256"/>
      <c r="I9" s="256"/>
      <c r="J9" s="256"/>
      <c r="K9" s="256"/>
    </row>
    <row r="10" spans="1:12" ht="13.5" customHeight="1" x14ac:dyDescent="0.35">
      <c r="B10" s="6" t="s">
        <v>6</v>
      </c>
      <c r="C10" s="254" t="s">
        <v>7</v>
      </c>
      <c r="D10" s="254"/>
      <c r="E10" s="254"/>
      <c r="F10" s="254"/>
      <c r="G10" s="254"/>
      <c r="H10" s="254"/>
      <c r="I10" s="254"/>
      <c r="J10" s="254"/>
      <c r="K10" s="254"/>
    </row>
    <row r="11" spans="1:12" ht="13.5" customHeight="1" x14ac:dyDescent="0.35"/>
    <row r="12" spans="1:12" ht="24.75" customHeight="1" x14ac:dyDescent="0.35">
      <c r="B12" s="334" t="s">
        <v>8</v>
      </c>
      <c r="C12" s="334" t="s">
        <v>9</v>
      </c>
      <c r="D12" s="334" t="s">
        <v>10</v>
      </c>
      <c r="F12" s="335" t="s">
        <v>11</v>
      </c>
      <c r="G12" s="335" t="s">
        <v>12</v>
      </c>
      <c r="H12" s="335" t="s">
        <v>13</v>
      </c>
    </row>
    <row r="13" spans="1:12" ht="22.5" customHeight="1" x14ac:dyDescent="0.35">
      <c r="B13" s="7">
        <v>1</v>
      </c>
      <c r="C13" s="8" t="s">
        <v>14</v>
      </c>
      <c r="D13" s="302" t="s">
        <v>15</v>
      </c>
      <c r="F13" s="8" t="s">
        <v>16</v>
      </c>
      <c r="G13" s="8" t="s">
        <v>17</v>
      </c>
      <c r="H13" s="8" t="s">
        <v>18</v>
      </c>
    </row>
    <row r="14" spans="1:12" ht="22.5" customHeight="1" x14ac:dyDescent="0.35">
      <c r="B14" s="7">
        <v>2</v>
      </c>
      <c r="C14" s="8" t="s">
        <v>19</v>
      </c>
      <c r="D14" s="302" t="s">
        <v>15</v>
      </c>
      <c r="F14" s="8" t="s">
        <v>20</v>
      </c>
      <c r="G14" s="8" t="s">
        <v>17</v>
      </c>
      <c r="H14" s="8" t="s">
        <v>21</v>
      </c>
    </row>
    <row r="15" spans="1:12" ht="22.5" customHeight="1" x14ac:dyDescent="0.35">
      <c r="B15" s="7">
        <v>3</v>
      </c>
      <c r="C15" s="8" t="s">
        <v>22</v>
      </c>
      <c r="D15" s="302" t="s">
        <v>15</v>
      </c>
      <c r="F15" s="8" t="s">
        <v>23</v>
      </c>
      <c r="G15" s="8" t="s">
        <v>24</v>
      </c>
      <c r="H15" s="8" t="s">
        <v>25</v>
      </c>
    </row>
    <row r="16" spans="1:12" ht="22.5" customHeight="1" x14ac:dyDescent="0.35">
      <c r="B16" s="7">
        <v>4</v>
      </c>
      <c r="C16" s="8" t="s">
        <v>26</v>
      </c>
      <c r="D16" s="302" t="s">
        <v>15</v>
      </c>
      <c r="F16" s="8" t="s">
        <v>27</v>
      </c>
      <c r="G16" s="8" t="s">
        <v>28</v>
      </c>
      <c r="H16" s="8" t="s">
        <v>25</v>
      </c>
    </row>
    <row r="17" spans="2:8" ht="22.5" customHeight="1" x14ac:dyDescent="0.35">
      <c r="B17" s="7">
        <v>5</v>
      </c>
      <c r="C17" s="8" t="s">
        <v>29</v>
      </c>
      <c r="D17" s="302" t="s">
        <v>15</v>
      </c>
      <c r="F17" s="8" t="s">
        <v>30</v>
      </c>
      <c r="G17" s="8" t="s">
        <v>24</v>
      </c>
      <c r="H17" s="8" t="s">
        <v>31</v>
      </c>
    </row>
    <row r="18" spans="2:8" ht="22.5" customHeight="1" x14ac:dyDescent="0.35">
      <c r="B18" s="7">
        <v>6</v>
      </c>
      <c r="C18" s="8" t="s">
        <v>32</v>
      </c>
      <c r="D18" s="302" t="s">
        <v>33</v>
      </c>
      <c r="F18" s="8" t="s">
        <v>34</v>
      </c>
      <c r="G18" s="8" t="s">
        <v>35</v>
      </c>
      <c r="H18" s="8" t="s">
        <v>21</v>
      </c>
    </row>
    <row r="19" spans="2:8" ht="22.5" customHeight="1" x14ac:dyDescent="0.35">
      <c r="B19" s="7">
        <v>7</v>
      </c>
      <c r="C19" s="8" t="s">
        <v>36</v>
      </c>
      <c r="D19" s="302" t="s">
        <v>15</v>
      </c>
      <c r="F19" s="8" t="s">
        <v>37</v>
      </c>
      <c r="G19" s="8" t="s">
        <v>24</v>
      </c>
      <c r="H19" s="8" t="s">
        <v>31</v>
      </c>
    </row>
    <row r="20" spans="2:8" ht="22.5" customHeight="1" x14ac:dyDescent="0.35">
      <c r="B20" s="7">
        <v>8</v>
      </c>
      <c r="C20" s="8" t="s">
        <v>38</v>
      </c>
      <c r="D20" s="302" t="s">
        <v>15</v>
      </c>
      <c r="F20" s="8" t="s">
        <v>39</v>
      </c>
      <c r="G20" s="8" t="s">
        <v>40</v>
      </c>
      <c r="H20" s="8" t="s">
        <v>41</v>
      </c>
    </row>
    <row r="21" spans="2:8" ht="22.5" customHeight="1" x14ac:dyDescent="0.35">
      <c r="B21" s="7">
        <v>9</v>
      </c>
      <c r="C21" s="8" t="s">
        <v>42</v>
      </c>
      <c r="D21" s="302" t="s">
        <v>43</v>
      </c>
      <c r="F21" s="8" t="s">
        <v>44</v>
      </c>
      <c r="G21" s="8" t="s">
        <v>45</v>
      </c>
      <c r="H21" s="8" t="s">
        <v>46</v>
      </c>
    </row>
    <row r="22" spans="2:8" ht="22.5" customHeight="1" x14ac:dyDescent="0.35">
      <c r="B22" s="7">
        <v>10</v>
      </c>
      <c r="C22" s="8" t="s">
        <v>47</v>
      </c>
      <c r="D22" s="302" t="s">
        <v>43</v>
      </c>
      <c r="F22" s="8" t="s">
        <v>44</v>
      </c>
      <c r="G22" s="8" t="s">
        <v>48</v>
      </c>
      <c r="H22" s="8" t="s">
        <v>46</v>
      </c>
    </row>
    <row r="23" spans="2:8" ht="22.5" customHeight="1" x14ac:dyDescent="0.35">
      <c r="B23" s="7">
        <v>11</v>
      </c>
      <c r="C23" s="8" t="s">
        <v>49</v>
      </c>
      <c r="D23" s="302" t="s">
        <v>15</v>
      </c>
      <c r="F23" s="8" t="s">
        <v>44</v>
      </c>
      <c r="G23" s="8" t="s">
        <v>50</v>
      </c>
      <c r="H23" s="8" t="s">
        <v>51</v>
      </c>
    </row>
    <row r="24" spans="2:8" ht="22.5" customHeight="1" x14ac:dyDescent="0.35">
      <c r="B24" s="7">
        <v>12</v>
      </c>
      <c r="C24" s="8" t="s">
        <v>52</v>
      </c>
      <c r="D24" s="302" t="s">
        <v>15</v>
      </c>
      <c r="F24" s="8" t="s">
        <v>44</v>
      </c>
      <c r="G24" s="8" t="s">
        <v>53</v>
      </c>
      <c r="H24" s="8" t="s">
        <v>54</v>
      </c>
    </row>
    <row r="25" spans="2:8" ht="22.5" customHeight="1" x14ac:dyDescent="0.35">
      <c r="B25" s="7">
        <v>13</v>
      </c>
      <c r="C25" s="8" t="s">
        <v>55</v>
      </c>
      <c r="D25" s="302" t="s">
        <v>15</v>
      </c>
      <c r="F25" s="8" t="s">
        <v>44</v>
      </c>
      <c r="G25" s="8" t="s">
        <v>56</v>
      </c>
      <c r="H25" s="8" t="s">
        <v>51</v>
      </c>
    </row>
    <row r="26" spans="2:8" ht="22.5" customHeight="1" x14ac:dyDescent="0.35">
      <c r="B26" s="7">
        <v>14</v>
      </c>
      <c r="C26" s="8" t="s">
        <v>57</v>
      </c>
      <c r="D26" s="302" t="s">
        <v>15</v>
      </c>
      <c r="F26" s="8" t="s">
        <v>44</v>
      </c>
      <c r="G26" s="8" t="s">
        <v>58</v>
      </c>
      <c r="H26" s="8" t="s">
        <v>59</v>
      </c>
    </row>
  </sheetData>
  <mergeCells count="6">
    <mergeCell ref="C10:K10"/>
    <mergeCell ref="A1:K1"/>
    <mergeCell ref="B6:K6"/>
    <mergeCell ref="B7:K7"/>
    <mergeCell ref="B8:K8"/>
    <mergeCell ref="B9:K9"/>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134"/>
  <sheetViews>
    <sheetView showGridLines="0" zoomScale="80" zoomScaleNormal="81" workbookViewId="0">
      <selection activeCell="B1" sqref="B1:P1"/>
    </sheetView>
  </sheetViews>
  <sheetFormatPr defaultColWidth="8.6328125" defaultRowHeight="14.5" x14ac:dyDescent="0.35"/>
  <cols>
    <col min="1" max="1" width="2.36328125" customWidth="1"/>
    <col min="2" max="2" width="14.36328125" customWidth="1"/>
  </cols>
  <sheetData>
    <row r="1" spans="2:16" ht="34.5" customHeight="1" x14ac:dyDescent="0.35">
      <c r="B1" s="341" t="s">
        <v>60</v>
      </c>
      <c r="C1" s="341"/>
      <c r="D1" s="341"/>
      <c r="E1" s="341"/>
      <c r="F1" s="341"/>
      <c r="G1" s="341"/>
      <c r="H1" s="341"/>
      <c r="I1" s="341"/>
      <c r="J1" s="341"/>
      <c r="K1" s="341"/>
      <c r="L1" s="341"/>
      <c r="M1" s="341"/>
      <c r="N1" s="341"/>
      <c r="O1" s="341"/>
      <c r="P1" s="341"/>
    </row>
    <row r="2" spans="2:16" ht="15" customHeight="1" x14ac:dyDescent="0.35"/>
    <row r="3" spans="2:16" ht="15" customHeight="1" x14ac:dyDescent="0.35">
      <c r="B3" s="262" t="s">
        <v>61</v>
      </c>
      <c r="C3" s="262"/>
      <c r="D3" s="262"/>
      <c r="E3" s="262"/>
    </row>
    <row r="4" spans="2:16" ht="27.75" customHeight="1" x14ac:dyDescent="0.35">
      <c r="B4" s="1" t="s">
        <v>62</v>
      </c>
      <c r="C4" s="1" t="s">
        <v>63</v>
      </c>
      <c r="D4" s="9"/>
      <c r="E4" s="9"/>
    </row>
    <row r="5" spans="2:16" ht="36" customHeight="1" x14ac:dyDescent="0.35">
      <c r="B5" s="262" t="s">
        <v>64</v>
      </c>
      <c r="C5" s="262"/>
      <c r="D5" s="9"/>
      <c r="E5" s="9"/>
    </row>
    <row r="6" spans="2:16" ht="105" customHeight="1" x14ac:dyDescent="0.35">
      <c r="B6" s="260" t="s">
        <v>65</v>
      </c>
      <c r="C6" s="260" t="s">
        <v>66</v>
      </c>
      <c r="D6" s="259" t="s">
        <v>67</v>
      </c>
      <c r="E6" s="259" t="s">
        <v>68</v>
      </c>
      <c r="F6" s="259" t="s">
        <v>69</v>
      </c>
      <c r="G6" s="259" t="s">
        <v>70</v>
      </c>
      <c r="H6" s="258" t="s">
        <v>71</v>
      </c>
      <c r="I6" s="258"/>
      <c r="J6" s="259" t="s">
        <v>72</v>
      </c>
      <c r="K6" s="259" t="s">
        <v>73</v>
      </c>
      <c r="L6" s="258" t="s">
        <v>74</v>
      </c>
      <c r="M6" s="258"/>
      <c r="N6" s="258" t="s">
        <v>75</v>
      </c>
      <c r="O6" s="258"/>
      <c r="P6" s="259" t="s">
        <v>76</v>
      </c>
    </row>
    <row r="7" spans="2:16" ht="14.25" customHeight="1" x14ac:dyDescent="0.35">
      <c r="B7" s="260"/>
      <c r="C7" s="260"/>
      <c r="D7" s="260"/>
      <c r="E7" s="260"/>
      <c r="F7" s="260"/>
      <c r="G7" s="260"/>
      <c r="H7" s="261" t="s">
        <v>77</v>
      </c>
      <c r="I7" s="261" t="s">
        <v>78</v>
      </c>
      <c r="J7" s="259"/>
      <c r="K7" s="259"/>
      <c r="L7" s="261" t="s">
        <v>79</v>
      </c>
      <c r="M7" s="261" t="s">
        <v>80</v>
      </c>
      <c r="N7" s="261" t="s">
        <v>79</v>
      </c>
      <c r="O7" s="261" t="s">
        <v>80</v>
      </c>
      <c r="P7" s="259"/>
    </row>
    <row r="8" spans="2:16" ht="15" customHeight="1" x14ac:dyDescent="0.35">
      <c r="B8" s="260"/>
      <c r="C8" s="260"/>
      <c r="D8" s="260"/>
      <c r="E8" s="260"/>
      <c r="F8" s="260"/>
      <c r="G8" s="260"/>
      <c r="H8" s="260"/>
      <c r="I8" s="260"/>
      <c r="J8" s="260"/>
      <c r="K8" s="260"/>
      <c r="L8" s="260"/>
      <c r="M8" s="260"/>
      <c r="N8" s="260"/>
      <c r="O8" s="260"/>
      <c r="P8" s="260"/>
    </row>
    <row r="9" spans="2:16" ht="15" customHeight="1" x14ac:dyDescent="0.35">
      <c r="B9" s="10" t="s">
        <v>81</v>
      </c>
      <c r="C9" s="10"/>
      <c r="D9" s="11" t="s">
        <v>82</v>
      </c>
      <c r="E9" s="11" t="s">
        <v>82</v>
      </c>
      <c r="F9" s="11" t="s">
        <v>82</v>
      </c>
      <c r="G9" s="11">
        <v>0</v>
      </c>
      <c r="H9" s="11" t="s">
        <v>82</v>
      </c>
      <c r="I9" s="11">
        <v>0</v>
      </c>
      <c r="J9" s="11" t="s">
        <v>82</v>
      </c>
      <c r="K9" s="11">
        <v>0</v>
      </c>
      <c r="L9" s="11" t="s">
        <v>82</v>
      </c>
      <c r="M9" s="11">
        <v>0</v>
      </c>
      <c r="N9" s="11" t="s">
        <v>82</v>
      </c>
      <c r="O9" s="11">
        <v>0</v>
      </c>
      <c r="P9" s="11" t="s">
        <v>82</v>
      </c>
    </row>
    <row r="10" spans="2:16" ht="36.75" customHeight="1" x14ac:dyDescent="0.35">
      <c r="B10" s="10" t="s">
        <v>83</v>
      </c>
      <c r="C10" s="10"/>
      <c r="D10" s="11">
        <v>52</v>
      </c>
      <c r="E10" s="12">
        <v>95399647</v>
      </c>
      <c r="F10" s="12">
        <v>95399647</v>
      </c>
      <c r="G10" s="11">
        <v>9.9499999999999993</v>
      </c>
      <c r="H10" s="12">
        <v>95399647</v>
      </c>
      <c r="I10" s="11">
        <v>9.9499999999999993</v>
      </c>
      <c r="J10" s="12">
        <v>95399647</v>
      </c>
      <c r="K10" s="11">
        <v>9.9499999999999993</v>
      </c>
      <c r="L10" s="12">
        <v>2685727</v>
      </c>
      <c r="M10" s="11">
        <v>2.82</v>
      </c>
      <c r="N10" s="13">
        <v>2685727</v>
      </c>
      <c r="O10" s="11">
        <v>2.82</v>
      </c>
      <c r="P10" s="12">
        <v>95399647</v>
      </c>
    </row>
    <row r="11" spans="2:16" ht="18.75" customHeight="1" x14ac:dyDescent="0.35">
      <c r="B11" s="10" t="s">
        <v>84</v>
      </c>
      <c r="C11" s="10" t="s">
        <v>85</v>
      </c>
      <c r="D11" s="11">
        <v>1</v>
      </c>
      <c r="E11" s="12">
        <v>12761340</v>
      </c>
      <c r="F11" s="12">
        <v>12761340</v>
      </c>
      <c r="G11" s="11">
        <v>1.33</v>
      </c>
      <c r="H11" s="12">
        <v>12761340</v>
      </c>
      <c r="I11" s="11">
        <v>1.33</v>
      </c>
      <c r="J11" s="12">
        <v>12761340</v>
      </c>
      <c r="K11" s="11">
        <v>1.33</v>
      </c>
      <c r="L11" s="11" t="s">
        <v>82</v>
      </c>
      <c r="M11" s="11">
        <v>0</v>
      </c>
      <c r="N11" s="11" t="s">
        <v>82</v>
      </c>
      <c r="O11" s="11">
        <v>0</v>
      </c>
      <c r="P11" s="12">
        <v>12761340</v>
      </c>
    </row>
    <row r="12" spans="2:16" ht="18.75" customHeight="1" x14ac:dyDescent="0.35">
      <c r="B12" s="10" t="s">
        <v>86</v>
      </c>
      <c r="C12" s="10" t="s">
        <v>87</v>
      </c>
      <c r="D12" s="11">
        <v>1</v>
      </c>
      <c r="E12" s="12">
        <v>12418060</v>
      </c>
      <c r="F12" s="12">
        <v>12418060</v>
      </c>
      <c r="G12" s="11">
        <v>1.29</v>
      </c>
      <c r="H12" s="12">
        <v>12418060</v>
      </c>
      <c r="I12" s="11">
        <v>1.29</v>
      </c>
      <c r="J12" s="12">
        <v>12418060</v>
      </c>
      <c r="K12" s="11">
        <v>1.29</v>
      </c>
      <c r="L12" s="11" t="s">
        <v>82</v>
      </c>
      <c r="M12" s="11">
        <v>0</v>
      </c>
      <c r="N12" s="11" t="s">
        <v>82</v>
      </c>
      <c r="O12" s="11">
        <v>0</v>
      </c>
      <c r="P12" s="12">
        <v>12418060</v>
      </c>
    </row>
    <row r="13" spans="2:16" ht="18.75" customHeight="1" x14ac:dyDescent="0.35">
      <c r="B13" s="10" t="s">
        <v>88</v>
      </c>
      <c r="C13" s="10" t="s">
        <v>87</v>
      </c>
      <c r="D13" s="11">
        <v>1</v>
      </c>
      <c r="E13" s="12">
        <v>6812369</v>
      </c>
      <c r="F13" s="12">
        <v>6812369</v>
      </c>
      <c r="G13" s="11">
        <v>0.71</v>
      </c>
      <c r="H13" s="12">
        <v>6812369</v>
      </c>
      <c r="I13" s="11">
        <v>0.71</v>
      </c>
      <c r="J13" s="12">
        <v>6812369</v>
      </c>
      <c r="K13" s="11">
        <v>0.71</v>
      </c>
      <c r="L13" s="11" t="s">
        <v>82</v>
      </c>
      <c r="M13" s="11">
        <v>0</v>
      </c>
      <c r="N13" s="11" t="s">
        <v>82</v>
      </c>
      <c r="O13" s="11">
        <v>0</v>
      </c>
      <c r="P13" s="12">
        <v>6812369</v>
      </c>
    </row>
    <row r="14" spans="2:16" ht="18.75" customHeight="1" x14ac:dyDescent="0.35">
      <c r="B14" s="10" t="s">
        <v>89</v>
      </c>
      <c r="C14" s="10" t="s">
        <v>87</v>
      </c>
      <c r="D14" s="11">
        <v>1</v>
      </c>
      <c r="E14" s="12">
        <v>6064322</v>
      </c>
      <c r="F14" s="12">
        <v>6064322</v>
      </c>
      <c r="G14" s="11">
        <v>0.63</v>
      </c>
      <c r="H14" s="12">
        <v>6064322</v>
      </c>
      <c r="I14" s="11">
        <v>0.63</v>
      </c>
      <c r="J14" s="12">
        <v>6064322</v>
      </c>
      <c r="K14" s="11">
        <v>0.63</v>
      </c>
      <c r="L14" s="11" t="s">
        <v>82</v>
      </c>
      <c r="M14" s="11">
        <v>0</v>
      </c>
      <c r="N14" s="11" t="s">
        <v>82</v>
      </c>
      <c r="O14" s="11">
        <v>0</v>
      </c>
      <c r="P14" s="12">
        <v>6064322</v>
      </c>
    </row>
    <row r="15" spans="2:16" ht="18.75" customHeight="1" x14ac:dyDescent="0.35">
      <c r="B15" s="10" t="s">
        <v>90</v>
      </c>
      <c r="C15" s="10" t="s">
        <v>87</v>
      </c>
      <c r="D15" s="11">
        <v>1</v>
      </c>
      <c r="E15" s="12">
        <v>5738489</v>
      </c>
      <c r="F15" s="12">
        <v>5738489</v>
      </c>
      <c r="G15" s="11">
        <v>0.6</v>
      </c>
      <c r="H15" s="12">
        <v>5738489</v>
      </c>
      <c r="I15" s="11">
        <v>0.6</v>
      </c>
      <c r="J15" s="12">
        <v>5738489</v>
      </c>
      <c r="K15" s="11">
        <v>0.6</v>
      </c>
      <c r="L15" s="11" t="s">
        <v>82</v>
      </c>
      <c r="M15" s="11">
        <v>0</v>
      </c>
      <c r="N15" s="11" t="s">
        <v>82</v>
      </c>
      <c r="O15" s="11">
        <v>0</v>
      </c>
      <c r="P15" s="12">
        <v>5738489</v>
      </c>
    </row>
    <row r="16" spans="2:16" ht="27.75" customHeight="1" x14ac:dyDescent="0.35">
      <c r="B16" s="10" t="s">
        <v>91</v>
      </c>
      <c r="C16" s="10" t="s">
        <v>85</v>
      </c>
      <c r="D16" s="11">
        <v>1</v>
      </c>
      <c r="E16" s="12">
        <v>3874480</v>
      </c>
      <c r="F16" s="12">
        <v>3874480</v>
      </c>
      <c r="G16" s="11">
        <v>0.4</v>
      </c>
      <c r="H16" s="12">
        <v>3874480</v>
      </c>
      <c r="I16" s="11">
        <v>0.4</v>
      </c>
      <c r="J16" s="12">
        <v>3874480</v>
      </c>
      <c r="K16" s="11">
        <v>0.4</v>
      </c>
      <c r="L16" s="11" t="s">
        <v>82</v>
      </c>
      <c r="M16" s="11">
        <v>0</v>
      </c>
      <c r="N16" s="11" t="s">
        <v>82</v>
      </c>
      <c r="O16" s="11">
        <v>0</v>
      </c>
      <c r="P16" s="12">
        <v>3874480</v>
      </c>
    </row>
    <row r="17" spans="2:16" ht="27.75" customHeight="1" x14ac:dyDescent="0.35">
      <c r="B17" s="10" t="s">
        <v>92</v>
      </c>
      <c r="C17" s="10" t="s">
        <v>85</v>
      </c>
      <c r="D17" s="11">
        <v>1</v>
      </c>
      <c r="E17" s="12">
        <v>3725954</v>
      </c>
      <c r="F17" s="12">
        <v>3725954</v>
      </c>
      <c r="G17" s="11">
        <v>0.39</v>
      </c>
      <c r="H17" s="12">
        <v>3725954</v>
      </c>
      <c r="I17" s="11">
        <v>0.39</v>
      </c>
      <c r="J17" s="12">
        <v>3725954</v>
      </c>
      <c r="K17" s="11">
        <v>0.39</v>
      </c>
      <c r="L17" s="12">
        <v>1391500</v>
      </c>
      <c r="M17" s="11">
        <v>37.35</v>
      </c>
      <c r="N17" s="13">
        <v>1391500</v>
      </c>
      <c r="O17" s="11">
        <v>37.35</v>
      </c>
      <c r="P17" s="12">
        <v>3725954</v>
      </c>
    </row>
    <row r="18" spans="2:16" ht="18.75" customHeight="1" x14ac:dyDescent="0.35">
      <c r="B18" s="10" t="s">
        <v>93</v>
      </c>
      <c r="C18" s="10" t="s">
        <v>85</v>
      </c>
      <c r="D18" s="11">
        <v>1</v>
      </c>
      <c r="E18" s="12">
        <v>3706265</v>
      </c>
      <c r="F18" s="12">
        <v>3706265</v>
      </c>
      <c r="G18" s="11">
        <v>0.39</v>
      </c>
      <c r="H18" s="12">
        <v>3706265</v>
      </c>
      <c r="I18" s="11">
        <v>0.39</v>
      </c>
      <c r="J18" s="12">
        <v>3706265</v>
      </c>
      <c r="K18" s="11">
        <v>0.39</v>
      </c>
      <c r="L18" s="12">
        <v>1294227</v>
      </c>
      <c r="M18" s="11">
        <v>34.92</v>
      </c>
      <c r="N18" s="13">
        <v>1294227</v>
      </c>
      <c r="O18" s="11">
        <v>34.92</v>
      </c>
      <c r="P18" s="12">
        <v>3706265</v>
      </c>
    </row>
    <row r="19" spans="2:16" ht="27.75" customHeight="1" x14ac:dyDescent="0.35">
      <c r="B19" s="10" t="s">
        <v>94</v>
      </c>
      <c r="C19" s="10" t="s">
        <v>85</v>
      </c>
      <c r="D19" s="11">
        <v>1</v>
      </c>
      <c r="E19" s="12">
        <v>3380865</v>
      </c>
      <c r="F19" s="12">
        <v>3380865</v>
      </c>
      <c r="G19" s="11">
        <v>0.35</v>
      </c>
      <c r="H19" s="12">
        <v>3380865</v>
      </c>
      <c r="I19" s="11">
        <v>0.35</v>
      </c>
      <c r="J19" s="12">
        <v>3380865</v>
      </c>
      <c r="K19" s="11">
        <v>0.35</v>
      </c>
      <c r="L19" s="11" t="s">
        <v>82</v>
      </c>
      <c r="M19" s="11">
        <v>0</v>
      </c>
      <c r="N19" s="11" t="s">
        <v>82</v>
      </c>
      <c r="O19" s="11">
        <v>0</v>
      </c>
      <c r="P19" s="12">
        <v>3380865</v>
      </c>
    </row>
    <row r="20" spans="2:16" ht="18.75" customHeight="1" x14ac:dyDescent="0.35">
      <c r="B20" s="10" t="s">
        <v>95</v>
      </c>
      <c r="C20" s="10" t="s">
        <v>85</v>
      </c>
      <c r="D20" s="11">
        <v>1</v>
      </c>
      <c r="E20" s="12">
        <v>3150800</v>
      </c>
      <c r="F20" s="12">
        <v>3150800</v>
      </c>
      <c r="G20" s="11">
        <v>0.33</v>
      </c>
      <c r="H20" s="12">
        <v>3150800</v>
      </c>
      <c r="I20" s="11">
        <v>0.33</v>
      </c>
      <c r="J20" s="12">
        <v>3150800</v>
      </c>
      <c r="K20" s="11">
        <v>0.33</v>
      </c>
      <c r="L20" s="11" t="s">
        <v>82</v>
      </c>
      <c r="M20" s="11">
        <v>0</v>
      </c>
      <c r="N20" s="11" t="s">
        <v>82</v>
      </c>
      <c r="O20" s="11">
        <v>0</v>
      </c>
      <c r="P20" s="12">
        <v>3150800</v>
      </c>
    </row>
    <row r="21" spans="2:16" ht="27.75" customHeight="1" x14ac:dyDescent="0.35">
      <c r="B21" s="10" t="s">
        <v>96</v>
      </c>
      <c r="C21" s="10" t="s">
        <v>85</v>
      </c>
      <c r="D21" s="11">
        <v>1</v>
      </c>
      <c r="E21" s="12">
        <v>3103290</v>
      </c>
      <c r="F21" s="12">
        <v>3103290</v>
      </c>
      <c r="G21" s="11">
        <v>0.32</v>
      </c>
      <c r="H21" s="12">
        <v>3103290</v>
      </c>
      <c r="I21" s="11">
        <v>0.32</v>
      </c>
      <c r="J21" s="12">
        <v>3103290</v>
      </c>
      <c r="K21" s="11">
        <v>0.32</v>
      </c>
      <c r="L21" s="11" t="s">
        <v>82</v>
      </c>
      <c r="M21" s="11">
        <v>0</v>
      </c>
      <c r="N21" s="11" t="s">
        <v>82</v>
      </c>
      <c r="O21" s="11">
        <v>0</v>
      </c>
      <c r="P21" s="12">
        <v>3103290</v>
      </c>
    </row>
    <row r="22" spans="2:16" ht="18.75" customHeight="1" x14ac:dyDescent="0.35">
      <c r="B22" s="10" t="s">
        <v>97</v>
      </c>
      <c r="C22" s="10" t="s">
        <v>85</v>
      </c>
      <c r="D22" s="11">
        <v>1</v>
      </c>
      <c r="E22" s="12">
        <v>2566680</v>
      </c>
      <c r="F22" s="12">
        <v>2566680</v>
      </c>
      <c r="G22" s="11">
        <v>0.27</v>
      </c>
      <c r="H22" s="12">
        <v>2566680</v>
      </c>
      <c r="I22" s="11">
        <v>0.27</v>
      </c>
      <c r="J22" s="12">
        <v>2566680</v>
      </c>
      <c r="K22" s="11">
        <v>0.27</v>
      </c>
      <c r="L22" s="11" t="s">
        <v>82</v>
      </c>
      <c r="M22" s="11">
        <v>0</v>
      </c>
      <c r="N22" s="11" t="s">
        <v>82</v>
      </c>
      <c r="O22" s="11">
        <v>0</v>
      </c>
      <c r="P22" s="12">
        <v>2566680</v>
      </c>
    </row>
    <row r="23" spans="2:16" ht="27.75" customHeight="1" x14ac:dyDescent="0.35">
      <c r="B23" s="10" t="s">
        <v>98</v>
      </c>
      <c r="C23" s="10" t="s">
        <v>85</v>
      </c>
      <c r="D23" s="11">
        <v>1</v>
      </c>
      <c r="E23" s="12">
        <v>2424825</v>
      </c>
      <c r="F23" s="12">
        <v>2424825</v>
      </c>
      <c r="G23" s="11">
        <v>0.25</v>
      </c>
      <c r="H23" s="12">
        <v>2424825</v>
      </c>
      <c r="I23" s="11">
        <v>0.25</v>
      </c>
      <c r="J23" s="12">
        <v>2424825</v>
      </c>
      <c r="K23" s="11">
        <v>0.25</v>
      </c>
      <c r="L23" s="11" t="s">
        <v>82</v>
      </c>
      <c r="M23" s="11">
        <v>0</v>
      </c>
      <c r="N23" s="11" t="s">
        <v>82</v>
      </c>
      <c r="O23" s="11">
        <v>0</v>
      </c>
      <c r="P23" s="12">
        <v>2424825</v>
      </c>
    </row>
    <row r="24" spans="2:16" ht="27.75" customHeight="1" x14ac:dyDescent="0.35">
      <c r="B24" s="10" t="s">
        <v>99</v>
      </c>
      <c r="C24" s="10" t="s">
        <v>87</v>
      </c>
      <c r="D24" s="11">
        <v>1</v>
      </c>
      <c r="E24" s="12">
        <v>2381040</v>
      </c>
      <c r="F24" s="12">
        <v>2381040</v>
      </c>
      <c r="G24" s="11">
        <v>0.25</v>
      </c>
      <c r="H24" s="12">
        <v>2381040</v>
      </c>
      <c r="I24" s="11">
        <v>0.25</v>
      </c>
      <c r="J24" s="12">
        <v>2381040</v>
      </c>
      <c r="K24" s="11">
        <v>0.25</v>
      </c>
      <c r="L24" s="11" t="s">
        <v>82</v>
      </c>
      <c r="M24" s="11">
        <v>0</v>
      </c>
      <c r="N24" s="11" t="s">
        <v>82</v>
      </c>
      <c r="O24" s="11">
        <v>0</v>
      </c>
      <c r="P24" s="12">
        <v>2381040</v>
      </c>
    </row>
    <row r="25" spans="2:16" ht="18.75" customHeight="1" x14ac:dyDescent="0.35">
      <c r="B25" s="10" t="s">
        <v>100</v>
      </c>
      <c r="C25" s="10" t="s">
        <v>85</v>
      </c>
      <c r="D25" s="11">
        <v>1</v>
      </c>
      <c r="E25" s="12">
        <v>2230590</v>
      </c>
      <c r="F25" s="12">
        <v>2230590</v>
      </c>
      <c r="G25" s="11">
        <v>0.23</v>
      </c>
      <c r="H25" s="12">
        <v>2230590</v>
      </c>
      <c r="I25" s="11">
        <v>0.23</v>
      </c>
      <c r="J25" s="12">
        <v>2230590</v>
      </c>
      <c r="K25" s="11">
        <v>0.23</v>
      </c>
      <c r="L25" s="11" t="s">
        <v>82</v>
      </c>
      <c r="M25" s="11">
        <v>0</v>
      </c>
      <c r="N25" s="11" t="s">
        <v>82</v>
      </c>
      <c r="O25" s="11">
        <v>0</v>
      </c>
      <c r="P25" s="12">
        <v>2230590</v>
      </c>
    </row>
    <row r="26" spans="2:16" ht="45.75" customHeight="1" x14ac:dyDescent="0.35">
      <c r="B26" s="10" t="s">
        <v>101</v>
      </c>
      <c r="C26" s="10" t="s">
        <v>85</v>
      </c>
      <c r="D26" s="11">
        <v>1</v>
      </c>
      <c r="E26" s="12">
        <v>2112190</v>
      </c>
      <c r="F26" s="12">
        <v>2112190</v>
      </c>
      <c r="G26" s="11">
        <v>0.22</v>
      </c>
      <c r="H26" s="12">
        <v>2112190</v>
      </c>
      <c r="I26" s="11">
        <v>0.22</v>
      </c>
      <c r="J26" s="12">
        <v>2112190</v>
      </c>
      <c r="K26" s="11">
        <v>0.22</v>
      </c>
      <c r="L26" s="11" t="s">
        <v>82</v>
      </c>
      <c r="M26" s="11">
        <v>0</v>
      </c>
      <c r="N26" s="11" t="s">
        <v>82</v>
      </c>
      <c r="O26" s="11">
        <v>0</v>
      </c>
      <c r="P26" s="12">
        <v>2112190</v>
      </c>
    </row>
    <row r="27" spans="2:16" ht="54.75" customHeight="1" x14ac:dyDescent="0.35">
      <c r="B27" s="10" t="s">
        <v>102</v>
      </c>
      <c r="C27" s="10" t="s">
        <v>85</v>
      </c>
      <c r="D27" s="11">
        <v>1</v>
      </c>
      <c r="E27" s="12">
        <v>2076820</v>
      </c>
      <c r="F27" s="12">
        <v>2076820</v>
      </c>
      <c r="G27" s="11">
        <v>0.22</v>
      </c>
      <c r="H27" s="12">
        <v>2076820</v>
      </c>
      <c r="I27" s="11">
        <v>0.22</v>
      </c>
      <c r="J27" s="12">
        <v>2076820</v>
      </c>
      <c r="K27" s="11">
        <v>0.22</v>
      </c>
      <c r="L27" s="11" t="s">
        <v>82</v>
      </c>
      <c r="M27" s="11">
        <v>0</v>
      </c>
      <c r="N27" s="11" t="s">
        <v>82</v>
      </c>
      <c r="O27" s="11">
        <v>0</v>
      </c>
      <c r="P27" s="12">
        <v>2076820</v>
      </c>
    </row>
    <row r="28" spans="2:16" ht="18.75" customHeight="1" x14ac:dyDescent="0.35">
      <c r="B28" s="10" t="s">
        <v>103</v>
      </c>
      <c r="C28" s="10" t="s">
        <v>85</v>
      </c>
      <c r="D28" s="11">
        <v>1</v>
      </c>
      <c r="E28" s="12">
        <v>1923770</v>
      </c>
      <c r="F28" s="12">
        <v>1923770</v>
      </c>
      <c r="G28" s="11">
        <v>0.2</v>
      </c>
      <c r="H28" s="12">
        <v>1923770</v>
      </c>
      <c r="I28" s="11">
        <v>0.2</v>
      </c>
      <c r="J28" s="12">
        <v>1923770</v>
      </c>
      <c r="K28" s="11">
        <v>0.2</v>
      </c>
      <c r="L28" s="11" t="s">
        <v>82</v>
      </c>
      <c r="M28" s="11">
        <v>0</v>
      </c>
      <c r="N28" s="11" t="s">
        <v>82</v>
      </c>
      <c r="O28" s="11">
        <v>0</v>
      </c>
      <c r="P28" s="12">
        <v>1923770</v>
      </c>
    </row>
    <row r="29" spans="2:16" ht="54.75" customHeight="1" x14ac:dyDescent="0.35">
      <c r="B29" s="10" t="s">
        <v>104</v>
      </c>
      <c r="C29" s="10" t="s">
        <v>85</v>
      </c>
      <c r="D29" s="11">
        <v>1</v>
      </c>
      <c r="E29" s="12">
        <v>1749690</v>
      </c>
      <c r="F29" s="12">
        <v>1749690</v>
      </c>
      <c r="G29" s="11">
        <v>0.18</v>
      </c>
      <c r="H29" s="12">
        <v>1749690</v>
      </c>
      <c r="I29" s="11">
        <v>0.18</v>
      </c>
      <c r="J29" s="12">
        <v>1749690</v>
      </c>
      <c r="K29" s="11">
        <v>0.18</v>
      </c>
      <c r="L29" s="11" t="s">
        <v>82</v>
      </c>
      <c r="M29" s="11">
        <v>0</v>
      </c>
      <c r="N29" s="11" t="s">
        <v>82</v>
      </c>
      <c r="O29" s="11">
        <v>0</v>
      </c>
      <c r="P29" s="12">
        <v>1749690</v>
      </c>
    </row>
    <row r="30" spans="2:16" ht="27.75" customHeight="1" x14ac:dyDescent="0.35">
      <c r="B30" s="10" t="s">
        <v>105</v>
      </c>
      <c r="C30" s="10" t="s">
        <v>85</v>
      </c>
      <c r="D30" s="11">
        <v>1</v>
      </c>
      <c r="E30" s="12">
        <v>1656380</v>
      </c>
      <c r="F30" s="12">
        <v>1656380</v>
      </c>
      <c r="G30" s="11">
        <v>0.17</v>
      </c>
      <c r="H30" s="12">
        <v>1656380</v>
      </c>
      <c r="I30" s="11">
        <v>0.17</v>
      </c>
      <c r="J30" s="12">
        <v>1656380</v>
      </c>
      <c r="K30" s="11">
        <v>0.17</v>
      </c>
      <c r="L30" s="11" t="s">
        <v>82</v>
      </c>
      <c r="M30" s="11">
        <v>0</v>
      </c>
      <c r="N30" s="11" t="s">
        <v>82</v>
      </c>
      <c r="O30" s="11">
        <v>0</v>
      </c>
      <c r="P30" s="12">
        <v>1656380</v>
      </c>
    </row>
    <row r="31" spans="2:16" ht="18.75" customHeight="1" x14ac:dyDescent="0.35">
      <c r="B31" s="10" t="s">
        <v>106</v>
      </c>
      <c r="C31" s="10" t="s">
        <v>85</v>
      </c>
      <c r="D31" s="11">
        <v>1</v>
      </c>
      <c r="E31" s="12">
        <v>1600200</v>
      </c>
      <c r="F31" s="12">
        <v>1600200</v>
      </c>
      <c r="G31" s="11">
        <v>0.17</v>
      </c>
      <c r="H31" s="12">
        <v>1600200</v>
      </c>
      <c r="I31" s="11">
        <v>0.17</v>
      </c>
      <c r="J31" s="12">
        <v>1600200</v>
      </c>
      <c r="K31" s="11">
        <v>0.17</v>
      </c>
      <c r="L31" s="11" t="s">
        <v>82</v>
      </c>
      <c r="M31" s="11">
        <v>0</v>
      </c>
      <c r="N31" s="11" t="s">
        <v>82</v>
      </c>
      <c r="O31" s="11">
        <v>0</v>
      </c>
      <c r="P31" s="12">
        <v>1600200</v>
      </c>
    </row>
    <row r="32" spans="2:16" ht="27.75" customHeight="1" x14ac:dyDescent="0.35">
      <c r="B32" s="10" t="s">
        <v>107</v>
      </c>
      <c r="C32" s="10" t="s">
        <v>85</v>
      </c>
      <c r="D32" s="11">
        <v>1</v>
      </c>
      <c r="E32" s="12">
        <v>1423400</v>
      </c>
      <c r="F32" s="12">
        <v>1423400</v>
      </c>
      <c r="G32" s="11">
        <v>0.15</v>
      </c>
      <c r="H32" s="12">
        <v>1423400</v>
      </c>
      <c r="I32" s="11">
        <v>0.15</v>
      </c>
      <c r="J32" s="12">
        <v>1423400</v>
      </c>
      <c r="K32" s="11">
        <v>0.15</v>
      </c>
      <c r="L32" s="11" t="s">
        <v>82</v>
      </c>
      <c r="M32" s="11">
        <v>0</v>
      </c>
      <c r="N32" s="11" t="s">
        <v>82</v>
      </c>
      <c r="O32" s="11">
        <v>0</v>
      </c>
      <c r="P32" s="12">
        <v>1423400</v>
      </c>
    </row>
    <row r="33" spans="2:16" ht="27.75" customHeight="1" x14ac:dyDescent="0.35">
      <c r="B33" s="10" t="s">
        <v>108</v>
      </c>
      <c r="C33" s="10" t="s">
        <v>85</v>
      </c>
      <c r="D33" s="11">
        <v>1</v>
      </c>
      <c r="E33" s="12">
        <v>980000</v>
      </c>
      <c r="F33" s="12">
        <v>980000</v>
      </c>
      <c r="G33" s="11">
        <v>0.1</v>
      </c>
      <c r="H33" s="12">
        <v>980000</v>
      </c>
      <c r="I33" s="11">
        <v>0.1</v>
      </c>
      <c r="J33" s="12">
        <v>980000</v>
      </c>
      <c r="K33" s="11">
        <v>0.1</v>
      </c>
      <c r="L33" s="11" t="s">
        <v>82</v>
      </c>
      <c r="M33" s="11">
        <v>0</v>
      </c>
      <c r="N33" s="11" t="s">
        <v>82</v>
      </c>
      <c r="O33" s="11">
        <v>0</v>
      </c>
      <c r="P33" s="12">
        <v>980000</v>
      </c>
    </row>
    <row r="34" spans="2:16" ht="27.75" customHeight="1" x14ac:dyDescent="0.35">
      <c r="B34" s="10" t="s">
        <v>109</v>
      </c>
      <c r="C34" s="10" t="s">
        <v>85</v>
      </c>
      <c r="D34" s="11">
        <v>1</v>
      </c>
      <c r="E34" s="12">
        <v>928607</v>
      </c>
      <c r="F34" s="12">
        <v>928607</v>
      </c>
      <c r="G34" s="11">
        <v>0.1</v>
      </c>
      <c r="H34" s="12">
        <v>928607</v>
      </c>
      <c r="I34" s="11">
        <v>0.1</v>
      </c>
      <c r="J34" s="12">
        <v>928607</v>
      </c>
      <c r="K34" s="11">
        <v>0.1</v>
      </c>
      <c r="L34" s="11" t="s">
        <v>82</v>
      </c>
      <c r="M34" s="11">
        <v>0</v>
      </c>
      <c r="N34" s="11" t="s">
        <v>82</v>
      </c>
      <c r="O34" s="11">
        <v>0</v>
      </c>
      <c r="P34" s="12">
        <v>928607</v>
      </c>
    </row>
    <row r="35" spans="2:16" ht="27.75" customHeight="1" x14ac:dyDescent="0.35">
      <c r="B35" s="10" t="s">
        <v>110</v>
      </c>
      <c r="C35" s="10" t="s">
        <v>85</v>
      </c>
      <c r="D35" s="11">
        <v>1</v>
      </c>
      <c r="E35" s="12">
        <v>880840</v>
      </c>
      <c r="F35" s="12">
        <v>880840</v>
      </c>
      <c r="G35" s="11">
        <v>0.09</v>
      </c>
      <c r="H35" s="12">
        <v>880840</v>
      </c>
      <c r="I35" s="11">
        <v>0.09</v>
      </c>
      <c r="J35" s="12">
        <v>880840</v>
      </c>
      <c r="K35" s="11">
        <v>0.09</v>
      </c>
      <c r="L35" s="11" t="s">
        <v>82</v>
      </c>
      <c r="M35" s="11">
        <v>0</v>
      </c>
      <c r="N35" s="11" t="s">
        <v>82</v>
      </c>
      <c r="O35" s="11">
        <v>0</v>
      </c>
      <c r="P35" s="12">
        <v>880840</v>
      </c>
    </row>
    <row r="36" spans="2:16" ht="27.75" customHeight="1" x14ac:dyDescent="0.35">
      <c r="B36" s="10" t="s">
        <v>111</v>
      </c>
      <c r="C36" s="10" t="s">
        <v>85</v>
      </c>
      <c r="D36" s="11">
        <v>1</v>
      </c>
      <c r="E36" s="12">
        <v>838110</v>
      </c>
      <c r="F36" s="12">
        <v>838110</v>
      </c>
      <c r="G36" s="11">
        <v>0.09</v>
      </c>
      <c r="H36" s="12">
        <v>838110</v>
      </c>
      <c r="I36" s="11">
        <v>0.09</v>
      </c>
      <c r="J36" s="12">
        <v>838110</v>
      </c>
      <c r="K36" s="11">
        <v>0.09</v>
      </c>
      <c r="L36" s="11" t="s">
        <v>82</v>
      </c>
      <c r="M36" s="11">
        <v>0</v>
      </c>
      <c r="N36" s="11" t="s">
        <v>82</v>
      </c>
      <c r="O36" s="11">
        <v>0</v>
      </c>
      <c r="P36" s="12">
        <v>838110</v>
      </c>
    </row>
    <row r="37" spans="2:16" ht="18.75" customHeight="1" x14ac:dyDescent="0.35">
      <c r="B37" s="10" t="s">
        <v>112</v>
      </c>
      <c r="C37" s="10" t="s">
        <v>85</v>
      </c>
      <c r="D37" s="11">
        <v>1</v>
      </c>
      <c r="E37" s="12">
        <v>702000</v>
      </c>
      <c r="F37" s="12">
        <v>702000</v>
      </c>
      <c r="G37" s="11">
        <v>7.0000000000000007E-2</v>
      </c>
      <c r="H37" s="12">
        <v>702000</v>
      </c>
      <c r="I37" s="11">
        <v>7.0000000000000007E-2</v>
      </c>
      <c r="J37" s="12">
        <v>702000</v>
      </c>
      <c r="K37" s="11">
        <v>7.0000000000000007E-2</v>
      </c>
      <c r="L37" s="11" t="s">
        <v>82</v>
      </c>
      <c r="M37" s="11">
        <v>0</v>
      </c>
      <c r="N37" s="11" t="s">
        <v>82</v>
      </c>
      <c r="O37" s="11">
        <v>0</v>
      </c>
      <c r="P37" s="12">
        <v>702000</v>
      </c>
    </row>
    <row r="38" spans="2:16" ht="54.75" customHeight="1" x14ac:dyDescent="0.35">
      <c r="B38" s="10" t="s">
        <v>113</v>
      </c>
      <c r="C38" s="10" t="s">
        <v>85</v>
      </c>
      <c r="D38" s="11">
        <v>1</v>
      </c>
      <c r="E38" s="12">
        <v>539800</v>
      </c>
      <c r="F38" s="12">
        <v>539800</v>
      </c>
      <c r="G38" s="11">
        <v>0.06</v>
      </c>
      <c r="H38" s="12">
        <v>539800</v>
      </c>
      <c r="I38" s="11">
        <v>0.06</v>
      </c>
      <c r="J38" s="12">
        <v>539800</v>
      </c>
      <c r="K38" s="11">
        <v>0.06</v>
      </c>
      <c r="L38" s="11" t="s">
        <v>82</v>
      </c>
      <c r="M38" s="11">
        <v>0</v>
      </c>
      <c r="N38" s="11" t="s">
        <v>82</v>
      </c>
      <c r="O38" s="11">
        <v>0</v>
      </c>
      <c r="P38" s="12">
        <v>539800</v>
      </c>
    </row>
    <row r="39" spans="2:16" ht="18.75" customHeight="1" x14ac:dyDescent="0.35">
      <c r="B39" s="10" t="s">
        <v>114</v>
      </c>
      <c r="C39" s="10" t="s">
        <v>85</v>
      </c>
      <c r="D39" s="11">
        <v>1</v>
      </c>
      <c r="E39" s="12">
        <v>472200</v>
      </c>
      <c r="F39" s="12">
        <v>472200</v>
      </c>
      <c r="G39" s="11">
        <v>0.05</v>
      </c>
      <c r="H39" s="12">
        <v>472200</v>
      </c>
      <c r="I39" s="11">
        <v>0.05</v>
      </c>
      <c r="J39" s="12">
        <v>472200</v>
      </c>
      <c r="K39" s="11">
        <v>0.05</v>
      </c>
      <c r="L39" s="11" t="s">
        <v>82</v>
      </c>
      <c r="M39" s="11">
        <v>0</v>
      </c>
      <c r="N39" s="11" t="s">
        <v>82</v>
      </c>
      <c r="O39" s="11">
        <v>0</v>
      </c>
      <c r="P39" s="12">
        <v>472200</v>
      </c>
    </row>
    <row r="40" spans="2:16" ht="18.75" customHeight="1" x14ac:dyDescent="0.35">
      <c r="B40" s="10" t="s">
        <v>115</v>
      </c>
      <c r="C40" s="10" t="s">
        <v>85</v>
      </c>
      <c r="D40" s="11">
        <v>1</v>
      </c>
      <c r="E40" s="12">
        <v>435260</v>
      </c>
      <c r="F40" s="12">
        <v>435260</v>
      </c>
      <c r="G40" s="11">
        <v>0.05</v>
      </c>
      <c r="H40" s="12">
        <v>435260</v>
      </c>
      <c r="I40" s="11">
        <v>0.05</v>
      </c>
      <c r="J40" s="12">
        <v>435260</v>
      </c>
      <c r="K40" s="11">
        <v>0.05</v>
      </c>
      <c r="L40" s="11" t="s">
        <v>82</v>
      </c>
      <c r="M40" s="11">
        <v>0</v>
      </c>
      <c r="N40" s="11" t="s">
        <v>82</v>
      </c>
      <c r="O40" s="11">
        <v>0</v>
      </c>
      <c r="P40" s="12">
        <v>435260</v>
      </c>
    </row>
    <row r="41" spans="2:16" ht="18.75" customHeight="1" x14ac:dyDescent="0.35">
      <c r="B41" s="10" t="s">
        <v>116</v>
      </c>
      <c r="C41" s="10" t="s">
        <v>85</v>
      </c>
      <c r="D41" s="11">
        <v>1</v>
      </c>
      <c r="E41" s="12">
        <v>410710</v>
      </c>
      <c r="F41" s="12">
        <v>410710</v>
      </c>
      <c r="G41" s="11">
        <v>0.04</v>
      </c>
      <c r="H41" s="12">
        <v>410710</v>
      </c>
      <c r="I41" s="11">
        <v>0.04</v>
      </c>
      <c r="J41" s="12">
        <v>410710</v>
      </c>
      <c r="K41" s="11">
        <v>0.04</v>
      </c>
      <c r="L41" s="11" t="s">
        <v>82</v>
      </c>
      <c r="M41" s="11">
        <v>0</v>
      </c>
      <c r="N41" s="11" t="s">
        <v>82</v>
      </c>
      <c r="O41" s="11">
        <v>0</v>
      </c>
      <c r="P41" s="12">
        <v>410710</v>
      </c>
    </row>
    <row r="42" spans="2:16" ht="45.75" customHeight="1" x14ac:dyDescent="0.35">
      <c r="B42" s="10" t="s">
        <v>117</v>
      </c>
      <c r="C42" s="10" t="s">
        <v>85</v>
      </c>
      <c r="D42" s="11">
        <v>1</v>
      </c>
      <c r="E42" s="12">
        <v>392666</v>
      </c>
      <c r="F42" s="12">
        <v>392666</v>
      </c>
      <c r="G42" s="11">
        <v>0.04</v>
      </c>
      <c r="H42" s="12">
        <v>392666</v>
      </c>
      <c r="I42" s="11">
        <v>0.04</v>
      </c>
      <c r="J42" s="12">
        <v>392666</v>
      </c>
      <c r="K42" s="11">
        <v>0.04</v>
      </c>
      <c r="L42" s="11" t="s">
        <v>82</v>
      </c>
      <c r="M42" s="11">
        <v>0</v>
      </c>
      <c r="N42" s="11" t="s">
        <v>82</v>
      </c>
      <c r="O42" s="11">
        <v>0</v>
      </c>
      <c r="P42" s="12">
        <v>392666</v>
      </c>
    </row>
    <row r="43" spans="2:16" ht="36.75" customHeight="1" x14ac:dyDescent="0.35">
      <c r="B43" s="10" t="s">
        <v>118</v>
      </c>
      <c r="C43" s="10" t="s">
        <v>85</v>
      </c>
      <c r="D43" s="11">
        <v>1</v>
      </c>
      <c r="E43" s="12">
        <v>344666</v>
      </c>
      <c r="F43" s="12">
        <v>344666</v>
      </c>
      <c r="G43" s="11">
        <v>0.04</v>
      </c>
      <c r="H43" s="12">
        <v>344666</v>
      </c>
      <c r="I43" s="11">
        <v>0.04</v>
      </c>
      <c r="J43" s="12">
        <v>344666</v>
      </c>
      <c r="K43" s="11">
        <v>0.04</v>
      </c>
      <c r="L43" s="11" t="s">
        <v>82</v>
      </c>
      <c r="M43" s="11">
        <v>0</v>
      </c>
      <c r="N43" s="11" t="s">
        <v>82</v>
      </c>
      <c r="O43" s="11">
        <v>0</v>
      </c>
      <c r="P43" s="12">
        <v>344666</v>
      </c>
    </row>
    <row r="44" spans="2:16" ht="18.75" customHeight="1" x14ac:dyDescent="0.35">
      <c r="B44" s="10" t="s">
        <v>119</v>
      </c>
      <c r="C44" s="10" t="s">
        <v>85</v>
      </c>
      <c r="D44" s="11">
        <v>1</v>
      </c>
      <c r="E44" s="12">
        <v>180450</v>
      </c>
      <c r="F44" s="12">
        <v>180450</v>
      </c>
      <c r="G44" s="11">
        <v>0.02</v>
      </c>
      <c r="H44" s="12">
        <v>180450</v>
      </c>
      <c r="I44" s="11">
        <v>0.02</v>
      </c>
      <c r="J44" s="12">
        <v>180450</v>
      </c>
      <c r="K44" s="11">
        <v>0.02</v>
      </c>
      <c r="L44" s="11" t="s">
        <v>82</v>
      </c>
      <c r="M44" s="11">
        <v>0</v>
      </c>
      <c r="N44" s="11" t="s">
        <v>82</v>
      </c>
      <c r="O44" s="11">
        <v>0</v>
      </c>
      <c r="P44" s="12">
        <v>180450</v>
      </c>
    </row>
    <row r="45" spans="2:16" ht="18.75" customHeight="1" x14ac:dyDescent="0.35">
      <c r="B45" s="10" t="s">
        <v>120</v>
      </c>
      <c r="C45" s="10" t="s">
        <v>85</v>
      </c>
      <c r="D45" s="11">
        <v>1</v>
      </c>
      <c r="E45" s="12">
        <v>159800</v>
      </c>
      <c r="F45" s="12">
        <v>159800</v>
      </c>
      <c r="G45" s="11">
        <v>0.02</v>
      </c>
      <c r="H45" s="12">
        <v>159800</v>
      </c>
      <c r="I45" s="11">
        <v>0.02</v>
      </c>
      <c r="J45" s="12">
        <v>159800</v>
      </c>
      <c r="K45" s="11">
        <v>0.02</v>
      </c>
      <c r="L45" s="11" t="s">
        <v>82</v>
      </c>
      <c r="M45" s="11">
        <v>0</v>
      </c>
      <c r="N45" s="11" t="s">
        <v>82</v>
      </c>
      <c r="O45" s="11">
        <v>0</v>
      </c>
      <c r="P45" s="12">
        <v>159800</v>
      </c>
    </row>
    <row r="46" spans="2:16" ht="18.75" customHeight="1" x14ac:dyDescent="0.35">
      <c r="B46" s="10" t="s">
        <v>121</v>
      </c>
      <c r="C46" s="10" t="s">
        <v>85</v>
      </c>
      <c r="D46" s="11">
        <v>1</v>
      </c>
      <c r="E46" s="12">
        <v>158770</v>
      </c>
      <c r="F46" s="12">
        <v>158770</v>
      </c>
      <c r="G46" s="11">
        <v>0.02</v>
      </c>
      <c r="H46" s="12">
        <v>158770</v>
      </c>
      <c r="I46" s="11">
        <v>0.02</v>
      </c>
      <c r="J46" s="12">
        <v>158770</v>
      </c>
      <c r="K46" s="11">
        <v>0.02</v>
      </c>
      <c r="L46" s="11" t="s">
        <v>82</v>
      </c>
      <c r="M46" s="11">
        <v>0</v>
      </c>
      <c r="N46" s="11" t="s">
        <v>82</v>
      </c>
      <c r="O46" s="11">
        <v>0</v>
      </c>
      <c r="P46" s="12">
        <v>158770</v>
      </c>
    </row>
    <row r="47" spans="2:16" ht="18.75" customHeight="1" x14ac:dyDescent="0.35">
      <c r="B47" s="10" t="s">
        <v>122</v>
      </c>
      <c r="C47" s="10" t="s">
        <v>85</v>
      </c>
      <c r="D47" s="11">
        <v>1</v>
      </c>
      <c r="E47" s="12">
        <v>139110</v>
      </c>
      <c r="F47" s="12">
        <v>139110</v>
      </c>
      <c r="G47" s="11">
        <v>0.01</v>
      </c>
      <c r="H47" s="12">
        <v>139110</v>
      </c>
      <c r="I47" s="11">
        <v>0.01</v>
      </c>
      <c r="J47" s="12">
        <v>139110</v>
      </c>
      <c r="K47" s="11">
        <v>0.01</v>
      </c>
      <c r="L47" s="11" t="s">
        <v>82</v>
      </c>
      <c r="M47" s="11">
        <v>0</v>
      </c>
      <c r="N47" s="11" t="s">
        <v>82</v>
      </c>
      <c r="O47" s="11">
        <v>0</v>
      </c>
      <c r="P47" s="12">
        <v>139110</v>
      </c>
    </row>
    <row r="48" spans="2:16" ht="18.75" customHeight="1" x14ac:dyDescent="0.35">
      <c r="B48" s="10" t="s">
        <v>123</v>
      </c>
      <c r="C48" s="10" t="s">
        <v>85</v>
      </c>
      <c r="D48" s="11">
        <v>1</v>
      </c>
      <c r="E48" s="12">
        <v>131700</v>
      </c>
      <c r="F48" s="12">
        <v>131700</v>
      </c>
      <c r="G48" s="11">
        <v>0.01</v>
      </c>
      <c r="H48" s="12">
        <v>131700</v>
      </c>
      <c r="I48" s="11">
        <v>0.01</v>
      </c>
      <c r="J48" s="12">
        <v>131700</v>
      </c>
      <c r="K48" s="11">
        <v>0.01</v>
      </c>
      <c r="L48" s="11" t="s">
        <v>82</v>
      </c>
      <c r="M48" s="11">
        <v>0</v>
      </c>
      <c r="N48" s="11" t="s">
        <v>82</v>
      </c>
      <c r="O48" s="11">
        <v>0</v>
      </c>
      <c r="P48" s="12">
        <v>131700</v>
      </c>
    </row>
    <row r="49" spans="2:16" ht="18.75" customHeight="1" x14ac:dyDescent="0.35">
      <c r="B49" s="10" t="s">
        <v>124</v>
      </c>
      <c r="C49" s="10" t="s">
        <v>85</v>
      </c>
      <c r="D49" s="11">
        <v>1</v>
      </c>
      <c r="E49" s="12">
        <v>130500</v>
      </c>
      <c r="F49" s="12">
        <v>130500</v>
      </c>
      <c r="G49" s="11">
        <v>0.01</v>
      </c>
      <c r="H49" s="12">
        <v>130500</v>
      </c>
      <c r="I49" s="11">
        <v>0.01</v>
      </c>
      <c r="J49" s="12">
        <v>130500</v>
      </c>
      <c r="K49" s="11">
        <v>0.01</v>
      </c>
      <c r="L49" s="11" t="s">
        <v>82</v>
      </c>
      <c r="M49" s="11">
        <v>0</v>
      </c>
      <c r="N49" s="11" t="s">
        <v>82</v>
      </c>
      <c r="O49" s="11">
        <v>0</v>
      </c>
      <c r="P49" s="12">
        <v>130500</v>
      </c>
    </row>
    <row r="50" spans="2:16" ht="18.75" customHeight="1" x14ac:dyDescent="0.35">
      <c r="B50" s="10" t="s">
        <v>125</v>
      </c>
      <c r="C50" s="10" t="s">
        <v>85</v>
      </c>
      <c r="D50" s="11">
        <v>1</v>
      </c>
      <c r="E50" s="12">
        <v>125380</v>
      </c>
      <c r="F50" s="12">
        <v>125380</v>
      </c>
      <c r="G50" s="11">
        <v>0.01</v>
      </c>
      <c r="H50" s="12">
        <v>125380</v>
      </c>
      <c r="I50" s="11">
        <v>0.01</v>
      </c>
      <c r="J50" s="12">
        <v>125380</v>
      </c>
      <c r="K50" s="11">
        <v>0.01</v>
      </c>
      <c r="L50" s="11" t="s">
        <v>82</v>
      </c>
      <c r="M50" s="11">
        <v>0</v>
      </c>
      <c r="N50" s="11" t="s">
        <v>82</v>
      </c>
      <c r="O50" s="11">
        <v>0</v>
      </c>
      <c r="P50" s="12">
        <v>125380</v>
      </c>
    </row>
    <row r="51" spans="2:16" ht="27.75" customHeight="1" x14ac:dyDescent="0.35">
      <c r="B51" s="10" t="s">
        <v>126</v>
      </c>
      <c r="C51" s="10" t="s">
        <v>85</v>
      </c>
      <c r="D51" s="11">
        <v>1</v>
      </c>
      <c r="E51" s="12">
        <v>102750</v>
      </c>
      <c r="F51" s="12">
        <v>102750</v>
      </c>
      <c r="G51" s="11">
        <v>0.01</v>
      </c>
      <c r="H51" s="12">
        <v>102750</v>
      </c>
      <c r="I51" s="11">
        <v>0.01</v>
      </c>
      <c r="J51" s="12">
        <v>102750</v>
      </c>
      <c r="K51" s="11">
        <v>0.01</v>
      </c>
      <c r="L51" s="11" t="s">
        <v>82</v>
      </c>
      <c r="M51" s="11">
        <v>0</v>
      </c>
      <c r="N51" s="11" t="s">
        <v>82</v>
      </c>
      <c r="O51" s="11">
        <v>0</v>
      </c>
      <c r="P51" s="12">
        <v>102750</v>
      </c>
    </row>
    <row r="52" spans="2:16" ht="18.75" customHeight="1" x14ac:dyDescent="0.35">
      <c r="B52" s="10" t="s">
        <v>127</v>
      </c>
      <c r="C52" s="10" t="s">
        <v>85</v>
      </c>
      <c r="D52" s="11">
        <v>1</v>
      </c>
      <c r="E52" s="12">
        <v>100000</v>
      </c>
      <c r="F52" s="12">
        <v>100000</v>
      </c>
      <c r="G52" s="11">
        <v>0.01</v>
      </c>
      <c r="H52" s="12">
        <v>100000</v>
      </c>
      <c r="I52" s="11">
        <v>0.01</v>
      </c>
      <c r="J52" s="12">
        <v>100000</v>
      </c>
      <c r="K52" s="11">
        <v>0.01</v>
      </c>
      <c r="L52" s="11" t="s">
        <v>82</v>
      </c>
      <c r="M52" s="11">
        <v>0</v>
      </c>
      <c r="N52" s="11" t="s">
        <v>82</v>
      </c>
      <c r="O52" s="11">
        <v>0</v>
      </c>
      <c r="P52" s="12">
        <v>100000</v>
      </c>
    </row>
    <row r="53" spans="2:16" ht="27.75" customHeight="1" x14ac:dyDescent="0.35">
      <c r="B53" s="10" t="s">
        <v>128</v>
      </c>
      <c r="C53" s="10" t="s">
        <v>85</v>
      </c>
      <c r="D53" s="11">
        <v>1</v>
      </c>
      <c r="E53" s="12">
        <v>91860</v>
      </c>
      <c r="F53" s="12">
        <v>91860</v>
      </c>
      <c r="G53" s="11">
        <v>0.01</v>
      </c>
      <c r="H53" s="12">
        <v>91860</v>
      </c>
      <c r="I53" s="11">
        <v>0.01</v>
      </c>
      <c r="J53" s="12">
        <v>91860</v>
      </c>
      <c r="K53" s="11">
        <v>0.01</v>
      </c>
      <c r="L53" s="11" t="s">
        <v>82</v>
      </c>
      <c r="M53" s="11">
        <v>0</v>
      </c>
      <c r="N53" s="11" t="s">
        <v>82</v>
      </c>
      <c r="O53" s="11">
        <v>0</v>
      </c>
      <c r="P53" s="12">
        <v>91860</v>
      </c>
    </row>
    <row r="54" spans="2:16" ht="27.75" customHeight="1" x14ac:dyDescent="0.35">
      <c r="B54" s="10" t="s">
        <v>129</v>
      </c>
      <c r="C54" s="10" t="s">
        <v>85</v>
      </c>
      <c r="D54" s="11">
        <v>1</v>
      </c>
      <c r="E54" s="12">
        <v>75000</v>
      </c>
      <c r="F54" s="12">
        <v>75000</v>
      </c>
      <c r="G54" s="11">
        <v>0.01</v>
      </c>
      <c r="H54" s="12">
        <v>75000</v>
      </c>
      <c r="I54" s="11">
        <v>0.01</v>
      </c>
      <c r="J54" s="12">
        <v>75000</v>
      </c>
      <c r="K54" s="11">
        <v>0.01</v>
      </c>
      <c r="L54" s="11" t="s">
        <v>82</v>
      </c>
      <c r="M54" s="11">
        <v>0</v>
      </c>
      <c r="N54" s="11" t="s">
        <v>82</v>
      </c>
      <c r="O54" s="11">
        <v>0</v>
      </c>
      <c r="P54" s="12">
        <v>75000</v>
      </c>
    </row>
    <row r="55" spans="2:16" ht="18.75" customHeight="1" x14ac:dyDescent="0.35">
      <c r="B55" s="10" t="s">
        <v>130</v>
      </c>
      <c r="C55" s="10" t="s">
        <v>85</v>
      </c>
      <c r="D55" s="11">
        <v>1</v>
      </c>
      <c r="E55" s="12">
        <v>75000</v>
      </c>
      <c r="F55" s="12">
        <v>75000</v>
      </c>
      <c r="G55" s="11">
        <v>0.01</v>
      </c>
      <c r="H55" s="12">
        <v>75000</v>
      </c>
      <c r="I55" s="11">
        <v>0.01</v>
      </c>
      <c r="J55" s="12">
        <v>75000</v>
      </c>
      <c r="K55" s="11">
        <v>0.01</v>
      </c>
      <c r="L55" s="11" t="s">
        <v>82</v>
      </c>
      <c r="M55" s="11">
        <v>0</v>
      </c>
      <c r="N55" s="11" t="s">
        <v>82</v>
      </c>
      <c r="O55" s="11">
        <v>0</v>
      </c>
      <c r="P55" s="12">
        <v>75000</v>
      </c>
    </row>
    <row r="56" spans="2:16" ht="18.75" customHeight="1" x14ac:dyDescent="0.35">
      <c r="B56" s="10" t="s">
        <v>131</v>
      </c>
      <c r="C56" s="10" t="s">
        <v>85</v>
      </c>
      <c r="D56" s="11">
        <v>1</v>
      </c>
      <c r="E56" s="12">
        <v>59529</v>
      </c>
      <c r="F56" s="12">
        <v>59529</v>
      </c>
      <c r="G56" s="11">
        <v>0.01</v>
      </c>
      <c r="H56" s="12">
        <v>59529</v>
      </c>
      <c r="I56" s="11">
        <v>0.01</v>
      </c>
      <c r="J56" s="12">
        <v>59529</v>
      </c>
      <c r="K56" s="11">
        <v>0.01</v>
      </c>
      <c r="L56" s="11" t="s">
        <v>82</v>
      </c>
      <c r="M56" s="11">
        <v>0</v>
      </c>
      <c r="N56" s="11" t="s">
        <v>82</v>
      </c>
      <c r="O56" s="11">
        <v>0</v>
      </c>
      <c r="P56" s="12">
        <v>59529</v>
      </c>
    </row>
    <row r="57" spans="2:16" ht="36.75" customHeight="1" x14ac:dyDescent="0.35">
      <c r="B57" s="10" t="s">
        <v>132</v>
      </c>
      <c r="C57" s="10" t="s">
        <v>85</v>
      </c>
      <c r="D57" s="11">
        <v>1</v>
      </c>
      <c r="E57" s="12">
        <v>20000</v>
      </c>
      <c r="F57" s="12">
        <v>20000</v>
      </c>
      <c r="G57" s="11">
        <v>0</v>
      </c>
      <c r="H57" s="12">
        <v>20000</v>
      </c>
      <c r="I57" s="11">
        <v>0</v>
      </c>
      <c r="J57" s="12">
        <v>20000</v>
      </c>
      <c r="K57" s="11">
        <v>0</v>
      </c>
      <c r="L57" s="11" t="s">
        <v>82</v>
      </c>
      <c r="M57" s="11">
        <v>0</v>
      </c>
      <c r="N57" s="11" t="s">
        <v>82</v>
      </c>
      <c r="O57" s="11">
        <v>0</v>
      </c>
      <c r="P57" s="12">
        <v>20000</v>
      </c>
    </row>
    <row r="58" spans="2:16" ht="18.75" customHeight="1" x14ac:dyDescent="0.35">
      <c r="B58" s="10" t="s">
        <v>133</v>
      </c>
      <c r="C58" s="10" t="s">
        <v>85</v>
      </c>
      <c r="D58" s="11">
        <v>1</v>
      </c>
      <c r="E58" s="12">
        <v>10000</v>
      </c>
      <c r="F58" s="12">
        <v>10000</v>
      </c>
      <c r="G58" s="11">
        <v>0</v>
      </c>
      <c r="H58" s="12">
        <v>10000</v>
      </c>
      <c r="I58" s="11">
        <v>0</v>
      </c>
      <c r="J58" s="12">
        <v>10000</v>
      </c>
      <c r="K58" s="11">
        <v>0</v>
      </c>
      <c r="L58" s="11" t="s">
        <v>82</v>
      </c>
      <c r="M58" s="11">
        <v>0</v>
      </c>
      <c r="N58" s="11" t="s">
        <v>82</v>
      </c>
      <c r="O58" s="11">
        <v>0</v>
      </c>
      <c r="P58" s="12">
        <v>10000</v>
      </c>
    </row>
    <row r="59" spans="2:16" ht="18.75" customHeight="1" x14ac:dyDescent="0.35">
      <c r="B59" s="10" t="s">
        <v>134</v>
      </c>
      <c r="C59" s="10" t="s">
        <v>85</v>
      </c>
      <c r="D59" s="11">
        <v>1</v>
      </c>
      <c r="E59" s="12">
        <v>10000</v>
      </c>
      <c r="F59" s="12">
        <v>10000</v>
      </c>
      <c r="G59" s="11">
        <v>0</v>
      </c>
      <c r="H59" s="12">
        <v>10000</v>
      </c>
      <c r="I59" s="11">
        <v>0</v>
      </c>
      <c r="J59" s="12">
        <v>10000</v>
      </c>
      <c r="K59" s="11">
        <v>0</v>
      </c>
      <c r="L59" s="11" t="s">
        <v>82</v>
      </c>
      <c r="M59" s="11">
        <v>0</v>
      </c>
      <c r="N59" s="11" t="s">
        <v>82</v>
      </c>
      <c r="O59" s="11">
        <v>0</v>
      </c>
      <c r="P59" s="12">
        <v>10000</v>
      </c>
    </row>
    <row r="60" spans="2:16" ht="18.75" customHeight="1" x14ac:dyDescent="0.35">
      <c r="B60" s="10" t="s">
        <v>135</v>
      </c>
      <c r="C60" s="10" t="s">
        <v>85</v>
      </c>
      <c r="D60" s="11">
        <v>1</v>
      </c>
      <c r="E60" s="12">
        <v>10000</v>
      </c>
      <c r="F60" s="12">
        <v>10000</v>
      </c>
      <c r="G60" s="11">
        <v>0</v>
      </c>
      <c r="H60" s="12">
        <v>10000</v>
      </c>
      <c r="I60" s="11">
        <v>0</v>
      </c>
      <c r="J60" s="12">
        <v>10000</v>
      </c>
      <c r="K60" s="11">
        <v>0</v>
      </c>
      <c r="L60" s="11" t="s">
        <v>82</v>
      </c>
      <c r="M60" s="11">
        <v>0</v>
      </c>
      <c r="N60" s="11" t="s">
        <v>82</v>
      </c>
      <c r="O60" s="11">
        <v>0</v>
      </c>
      <c r="P60" s="12">
        <v>10000</v>
      </c>
    </row>
    <row r="61" spans="2:16" ht="54.75" customHeight="1" x14ac:dyDescent="0.35">
      <c r="B61" s="10" t="s">
        <v>136</v>
      </c>
      <c r="C61" s="10" t="s">
        <v>85</v>
      </c>
      <c r="D61" s="11">
        <v>1</v>
      </c>
      <c r="E61" s="12">
        <v>7500</v>
      </c>
      <c r="F61" s="12">
        <v>7500</v>
      </c>
      <c r="G61" s="11">
        <v>0</v>
      </c>
      <c r="H61" s="12">
        <v>7500</v>
      </c>
      <c r="I61" s="11">
        <v>0</v>
      </c>
      <c r="J61" s="12">
        <v>7500</v>
      </c>
      <c r="K61" s="11">
        <v>0</v>
      </c>
      <c r="L61" s="11" t="s">
        <v>82</v>
      </c>
      <c r="M61" s="11">
        <v>0</v>
      </c>
      <c r="N61" s="11" t="s">
        <v>82</v>
      </c>
      <c r="O61" s="11">
        <v>0</v>
      </c>
      <c r="P61" s="12">
        <v>7500</v>
      </c>
    </row>
    <row r="62" spans="2:16" ht="54.75" customHeight="1" x14ac:dyDescent="0.35">
      <c r="B62" s="10" t="s">
        <v>137</v>
      </c>
      <c r="C62" s="10" t="s">
        <v>85</v>
      </c>
      <c r="D62" s="11">
        <v>1</v>
      </c>
      <c r="E62" s="12">
        <v>5620</v>
      </c>
      <c r="F62" s="12">
        <v>5620</v>
      </c>
      <c r="G62" s="11">
        <v>0</v>
      </c>
      <c r="H62" s="12">
        <v>5620</v>
      </c>
      <c r="I62" s="11">
        <v>0</v>
      </c>
      <c r="J62" s="12">
        <v>5620</v>
      </c>
      <c r="K62" s="11">
        <v>0</v>
      </c>
      <c r="L62" s="11" t="s">
        <v>82</v>
      </c>
      <c r="M62" s="11">
        <v>0</v>
      </c>
      <c r="N62" s="11" t="s">
        <v>82</v>
      </c>
      <c r="O62" s="11">
        <v>0</v>
      </c>
      <c r="P62" s="12">
        <v>5620</v>
      </c>
    </row>
    <row r="63" spans="2:16" ht="54.75" customHeight="1" x14ac:dyDescent="0.35">
      <c r="B63" s="10" t="s">
        <v>138</v>
      </c>
      <c r="C63" s="10" t="s">
        <v>85</v>
      </c>
      <c r="D63" s="11" t="s">
        <v>82</v>
      </c>
      <c r="E63" s="11" t="s">
        <v>82</v>
      </c>
      <c r="F63" s="11" t="s">
        <v>82</v>
      </c>
      <c r="G63" s="11">
        <v>0</v>
      </c>
      <c r="H63" s="11" t="s">
        <v>82</v>
      </c>
      <c r="I63" s="11">
        <v>0</v>
      </c>
      <c r="J63" s="11" t="s">
        <v>82</v>
      </c>
      <c r="K63" s="11">
        <v>0</v>
      </c>
      <c r="L63" s="11" t="s">
        <v>82</v>
      </c>
      <c r="M63" s="11">
        <v>0</v>
      </c>
      <c r="N63" s="11" t="s">
        <v>82</v>
      </c>
      <c r="O63" s="11">
        <v>0</v>
      </c>
      <c r="P63" s="11" t="s">
        <v>82</v>
      </c>
    </row>
    <row r="64" spans="2:16" ht="27.75" customHeight="1" x14ac:dyDescent="0.35">
      <c r="B64" s="10" t="s">
        <v>139</v>
      </c>
      <c r="C64" s="10" t="s">
        <v>85</v>
      </c>
      <c r="D64" s="11" t="s">
        <v>82</v>
      </c>
      <c r="E64" s="11" t="s">
        <v>82</v>
      </c>
      <c r="F64" s="11" t="s">
        <v>82</v>
      </c>
      <c r="G64" s="11">
        <v>0</v>
      </c>
      <c r="H64" s="11" t="s">
        <v>82</v>
      </c>
      <c r="I64" s="11">
        <v>0</v>
      </c>
      <c r="J64" s="11" t="s">
        <v>82</v>
      </c>
      <c r="K64" s="11">
        <v>0</v>
      </c>
      <c r="L64" s="11" t="s">
        <v>82</v>
      </c>
      <c r="M64" s="11">
        <v>0</v>
      </c>
      <c r="N64" s="11" t="s">
        <v>82</v>
      </c>
      <c r="O64" s="11">
        <v>0</v>
      </c>
      <c r="P64" s="11" t="s">
        <v>82</v>
      </c>
    </row>
    <row r="65" spans="2:16" ht="18.75" customHeight="1" x14ac:dyDescent="0.35">
      <c r="B65" s="10" t="s">
        <v>140</v>
      </c>
      <c r="C65" s="10" t="s">
        <v>85</v>
      </c>
      <c r="D65" s="11" t="s">
        <v>82</v>
      </c>
      <c r="E65" s="11" t="s">
        <v>82</v>
      </c>
      <c r="F65" s="11" t="s">
        <v>82</v>
      </c>
      <c r="G65" s="11">
        <v>0</v>
      </c>
      <c r="H65" s="11" t="s">
        <v>82</v>
      </c>
      <c r="I65" s="11">
        <v>0</v>
      </c>
      <c r="J65" s="11" t="s">
        <v>82</v>
      </c>
      <c r="K65" s="11">
        <v>0</v>
      </c>
      <c r="L65" s="11" t="s">
        <v>82</v>
      </c>
      <c r="M65" s="11">
        <v>0</v>
      </c>
      <c r="N65" s="11" t="s">
        <v>82</v>
      </c>
      <c r="O65" s="11">
        <v>0</v>
      </c>
      <c r="P65" s="11" t="s">
        <v>82</v>
      </c>
    </row>
    <row r="66" spans="2:16" ht="27.75" customHeight="1" x14ac:dyDescent="0.35">
      <c r="B66" s="10" t="s">
        <v>141</v>
      </c>
      <c r="C66" s="10" t="s">
        <v>85</v>
      </c>
      <c r="D66" s="11" t="s">
        <v>82</v>
      </c>
      <c r="E66" s="11" t="s">
        <v>82</v>
      </c>
      <c r="F66" s="11" t="s">
        <v>82</v>
      </c>
      <c r="G66" s="11">
        <v>0</v>
      </c>
      <c r="H66" s="11" t="s">
        <v>82</v>
      </c>
      <c r="I66" s="11">
        <v>0</v>
      </c>
      <c r="J66" s="11" t="s">
        <v>82</v>
      </c>
      <c r="K66" s="11">
        <v>0</v>
      </c>
      <c r="L66" s="11" t="s">
        <v>82</v>
      </c>
      <c r="M66" s="11">
        <v>0</v>
      </c>
      <c r="N66" s="11" t="s">
        <v>82</v>
      </c>
      <c r="O66" s="11">
        <v>0</v>
      </c>
      <c r="P66" s="11" t="s">
        <v>82</v>
      </c>
    </row>
    <row r="67" spans="2:16" ht="18.75" customHeight="1" x14ac:dyDescent="0.35">
      <c r="B67" s="10" t="s">
        <v>142</v>
      </c>
      <c r="C67" s="10" t="s">
        <v>85</v>
      </c>
      <c r="D67" s="11" t="s">
        <v>82</v>
      </c>
      <c r="E67" s="11" t="s">
        <v>82</v>
      </c>
      <c r="F67" s="11" t="s">
        <v>82</v>
      </c>
      <c r="G67" s="11">
        <v>0</v>
      </c>
      <c r="H67" s="11" t="s">
        <v>82</v>
      </c>
      <c r="I67" s="11">
        <v>0</v>
      </c>
      <c r="J67" s="11" t="s">
        <v>82</v>
      </c>
      <c r="K67" s="11">
        <v>0</v>
      </c>
      <c r="L67" s="11" t="s">
        <v>82</v>
      </c>
      <c r="M67" s="11">
        <v>0</v>
      </c>
      <c r="N67" s="11" t="s">
        <v>82</v>
      </c>
      <c r="O67" s="11">
        <v>0</v>
      </c>
      <c r="P67" s="11" t="s">
        <v>82</v>
      </c>
    </row>
    <row r="68" spans="2:16" ht="54.75" customHeight="1" x14ac:dyDescent="0.35">
      <c r="B68" s="10" t="s">
        <v>143</v>
      </c>
      <c r="C68" s="10" t="s">
        <v>85</v>
      </c>
      <c r="D68" s="11" t="s">
        <v>82</v>
      </c>
      <c r="E68" s="11" t="s">
        <v>82</v>
      </c>
      <c r="F68" s="11" t="s">
        <v>82</v>
      </c>
      <c r="G68" s="11">
        <v>0</v>
      </c>
      <c r="H68" s="11" t="s">
        <v>82</v>
      </c>
      <c r="I68" s="11">
        <v>0</v>
      </c>
      <c r="J68" s="11" t="s">
        <v>82</v>
      </c>
      <c r="K68" s="11">
        <v>0</v>
      </c>
      <c r="L68" s="11" t="s">
        <v>82</v>
      </c>
      <c r="M68" s="11">
        <v>0</v>
      </c>
      <c r="N68" s="11" t="s">
        <v>82</v>
      </c>
      <c r="O68" s="11">
        <v>0</v>
      </c>
      <c r="P68" s="11" t="s">
        <v>82</v>
      </c>
    </row>
    <row r="69" spans="2:16" ht="27.75" customHeight="1" x14ac:dyDescent="0.35">
      <c r="B69" s="10" t="s">
        <v>144</v>
      </c>
      <c r="C69" s="10" t="s">
        <v>85</v>
      </c>
      <c r="D69" s="11" t="s">
        <v>82</v>
      </c>
      <c r="E69" s="11" t="s">
        <v>82</v>
      </c>
      <c r="F69" s="11" t="s">
        <v>82</v>
      </c>
      <c r="G69" s="11">
        <v>0</v>
      </c>
      <c r="H69" s="11" t="s">
        <v>82</v>
      </c>
      <c r="I69" s="11">
        <v>0</v>
      </c>
      <c r="J69" s="11" t="s">
        <v>82</v>
      </c>
      <c r="K69" s="11">
        <v>0</v>
      </c>
      <c r="L69" s="11" t="s">
        <v>82</v>
      </c>
      <c r="M69" s="11">
        <v>0</v>
      </c>
      <c r="N69" s="11" t="s">
        <v>82</v>
      </c>
      <c r="O69" s="11">
        <v>0</v>
      </c>
      <c r="P69" s="11" t="s">
        <v>82</v>
      </c>
    </row>
    <row r="70" spans="2:16" ht="18.75" customHeight="1" x14ac:dyDescent="0.35">
      <c r="B70" s="10" t="s">
        <v>145</v>
      </c>
      <c r="C70" s="10" t="s">
        <v>85</v>
      </c>
      <c r="D70" s="11" t="s">
        <v>82</v>
      </c>
      <c r="E70" s="11" t="s">
        <v>82</v>
      </c>
      <c r="F70" s="11" t="s">
        <v>82</v>
      </c>
      <c r="G70" s="11">
        <v>0</v>
      </c>
      <c r="H70" s="11" t="s">
        <v>82</v>
      </c>
      <c r="I70" s="11">
        <v>0</v>
      </c>
      <c r="J70" s="11" t="s">
        <v>82</v>
      </c>
      <c r="K70" s="11">
        <v>0</v>
      </c>
      <c r="L70" s="11" t="s">
        <v>82</v>
      </c>
      <c r="M70" s="11">
        <v>0</v>
      </c>
      <c r="N70" s="11" t="s">
        <v>82</v>
      </c>
      <c r="O70" s="11">
        <v>0</v>
      </c>
      <c r="P70" s="11" t="s">
        <v>82</v>
      </c>
    </row>
    <row r="71" spans="2:16" ht="18.75" customHeight="1" x14ac:dyDescent="0.35">
      <c r="B71" s="10" t="s">
        <v>146</v>
      </c>
      <c r="C71" s="10"/>
      <c r="D71" s="11">
        <v>28</v>
      </c>
      <c r="E71" s="12">
        <v>404283583</v>
      </c>
      <c r="F71" s="12">
        <v>404283583</v>
      </c>
      <c r="G71" s="11">
        <v>42.15</v>
      </c>
      <c r="H71" s="12">
        <v>404283583</v>
      </c>
      <c r="I71" s="11">
        <v>42.15</v>
      </c>
      <c r="J71" s="12">
        <v>404283583</v>
      </c>
      <c r="K71" s="11">
        <v>42.15</v>
      </c>
      <c r="L71" s="12">
        <v>47057000</v>
      </c>
      <c r="M71" s="11">
        <v>11.64</v>
      </c>
      <c r="N71" s="13">
        <v>47057000</v>
      </c>
      <c r="O71" s="11">
        <v>11.64</v>
      </c>
      <c r="P71" s="12">
        <v>404283583</v>
      </c>
    </row>
    <row r="72" spans="2:16" ht="45.75" customHeight="1" x14ac:dyDescent="0.35">
      <c r="B72" s="10" t="s">
        <v>147</v>
      </c>
      <c r="C72" s="10" t="s">
        <v>85</v>
      </c>
      <c r="D72" s="11">
        <v>1</v>
      </c>
      <c r="E72" s="12">
        <v>54789183</v>
      </c>
      <c r="F72" s="12">
        <v>54789183</v>
      </c>
      <c r="G72" s="11">
        <v>5.71</v>
      </c>
      <c r="H72" s="12">
        <v>54789183</v>
      </c>
      <c r="I72" s="11">
        <v>5.71</v>
      </c>
      <c r="J72" s="12">
        <v>54789183</v>
      </c>
      <c r="K72" s="11">
        <v>5.71</v>
      </c>
      <c r="L72" s="12">
        <v>6251000</v>
      </c>
      <c r="M72" s="11">
        <v>11.41</v>
      </c>
      <c r="N72" s="13">
        <v>6251000</v>
      </c>
      <c r="O72" s="11">
        <v>11.41</v>
      </c>
      <c r="P72" s="12">
        <v>54789183</v>
      </c>
    </row>
    <row r="73" spans="2:16" ht="45.75" customHeight="1" x14ac:dyDescent="0.35">
      <c r="B73" s="10" t="s">
        <v>148</v>
      </c>
      <c r="C73" s="10" t="s">
        <v>85</v>
      </c>
      <c r="D73" s="11">
        <v>1</v>
      </c>
      <c r="E73" s="12">
        <v>51442638</v>
      </c>
      <c r="F73" s="12">
        <v>51442638</v>
      </c>
      <c r="G73" s="11">
        <v>5.36</v>
      </c>
      <c r="H73" s="12">
        <v>51442638</v>
      </c>
      <c r="I73" s="11">
        <v>5.36</v>
      </c>
      <c r="J73" s="12">
        <v>51442638</v>
      </c>
      <c r="K73" s="11">
        <v>5.36</v>
      </c>
      <c r="L73" s="12">
        <v>38306000</v>
      </c>
      <c r="M73" s="11">
        <v>74.459999999999994</v>
      </c>
      <c r="N73" s="13">
        <v>38306000</v>
      </c>
      <c r="O73" s="11">
        <v>74.459999999999994</v>
      </c>
      <c r="P73" s="12">
        <v>51442638</v>
      </c>
    </row>
    <row r="74" spans="2:16" ht="45.75" customHeight="1" x14ac:dyDescent="0.35">
      <c r="B74" s="10" t="s">
        <v>149</v>
      </c>
      <c r="C74" s="10" t="s">
        <v>85</v>
      </c>
      <c r="D74" s="11">
        <v>1</v>
      </c>
      <c r="E74" s="12">
        <v>45706140</v>
      </c>
      <c r="F74" s="12">
        <v>45706140</v>
      </c>
      <c r="G74" s="11">
        <v>4.7699999999999996</v>
      </c>
      <c r="H74" s="12">
        <v>45706140</v>
      </c>
      <c r="I74" s="11">
        <v>4.7699999999999996</v>
      </c>
      <c r="J74" s="12">
        <v>45706140</v>
      </c>
      <c r="K74" s="11">
        <v>4.7699999999999996</v>
      </c>
      <c r="L74" s="12">
        <v>2500000</v>
      </c>
      <c r="M74" s="11">
        <v>5.47</v>
      </c>
      <c r="N74" s="13">
        <v>2500000</v>
      </c>
      <c r="O74" s="11">
        <v>5.47</v>
      </c>
      <c r="P74" s="12">
        <v>45706140</v>
      </c>
    </row>
    <row r="75" spans="2:16" ht="27.75" customHeight="1" x14ac:dyDescent="0.35">
      <c r="B75" s="10" t="s">
        <v>150</v>
      </c>
      <c r="C75" s="10" t="s">
        <v>85</v>
      </c>
      <c r="D75" s="11">
        <v>1</v>
      </c>
      <c r="E75" s="12">
        <v>28313860</v>
      </c>
      <c r="F75" s="12">
        <v>28313860</v>
      </c>
      <c r="G75" s="11">
        <v>2.95</v>
      </c>
      <c r="H75" s="12">
        <v>28313860</v>
      </c>
      <c r="I75" s="11">
        <v>2.95</v>
      </c>
      <c r="J75" s="12">
        <v>28313860</v>
      </c>
      <c r="K75" s="11">
        <v>2.95</v>
      </c>
      <c r="L75" s="11" t="s">
        <v>82</v>
      </c>
      <c r="M75" s="11">
        <v>0</v>
      </c>
      <c r="N75" s="11" t="s">
        <v>82</v>
      </c>
      <c r="O75" s="11">
        <v>0</v>
      </c>
      <c r="P75" s="12">
        <v>28313860</v>
      </c>
    </row>
    <row r="76" spans="2:16" ht="36.75" customHeight="1" x14ac:dyDescent="0.35">
      <c r="B76" s="10" t="s">
        <v>151</v>
      </c>
      <c r="C76" s="10" t="s">
        <v>85</v>
      </c>
      <c r="D76" s="11">
        <v>1</v>
      </c>
      <c r="E76" s="12">
        <v>23150730</v>
      </c>
      <c r="F76" s="12">
        <v>23150730</v>
      </c>
      <c r="G76" s="11">
        <v>2.41</v>
      </c>
      <c r="H76" s="12">
        <v>23150730</v>
      </c>
      <c r="I76" s="11">
        <v>2.41</v>
      </c>
      <c r="J76" s="12">
        <v>23150730</v>
      </c>
      <c r="K76" s="11">
        <v>2.41</v>
      </c>
      <c r="L76" s="11" t="s">
        <v>82</v>
      </c>
      <c r="M76" s="11">
        <v>0</v>
      </c>
      <c r="N76" s="11" t="s">
        <v>82</v>
      </c>
      <c r="O76" s="11">
        <v>0</v>
      </c>
      <c r="P76" s="12">
        <v>23150730</v>
      </c>
    </row>
    <row r="77" spans="2:16" ht="54.75" customHeight="1" x14ac:dyDescent="0.35">
      <c r="B77" s="10" t="s">
        <v>152</v>
      </c>
      <c r="C77" s="10" t="s">
        <v>85</v>
      </c>
      <c r="D77" s="11">
        <v>1</v>
      </c>
      <c r="E77" s="12">
        <v>19001760</v>
      </c>
      <c r="F77" s="12">
        <v>19001760</v>
      </c>
      <c r="G77" s="11">
        <v>1.98</v>
      </c>
      <c r="H77" s="12">
        <v>19001760</v>
      </c>
      <c r="I77" s="11">
        <v>1.98</v>
      </c>
      <c r="J77" s="12">
        <v>19001760</v>
      </c>
      <c r="K77" s="11">
        <v>1.98</v>
      </c>
      <c r="L77" s="11" t="s">
        <v>82</v>
      </c>
      <c r="M77" s="11">
        <v>0</v>
      </c>
      <c r="N77" s="11" t="s">
        <v>82</v>
      </c>
      <c r="O77" s="11">
        <v>0</v>
      </c>
      <c r="P77" s="12">
        <v>19001760</v>
      </c>
    </row>
    <row r="78" spans="2:16" ht="45.75" customHeight="1" x14ac:dyDescent="0.35">
      <c r="B78" s="10" t="s">
        <v>153</v>
      </c>
      <c r="C78" s="10" t="s">
        <v>85</v>
      </c>
      <c r="D78" s="11">
        <v>1</v>
      </c>
      <c r="E78" s="12">
        <v>18849825</v>
      </c>
      <c r="F78" s="12">
        <v>18849825</v>
      </c>
      <c r="G78" s="11">
        <v>1.97</v>
      </c>
      <c r="H78" s="12">
        <v>18849825</v>
      </c>
      <c r="I78" s="11">
        <v>1.97</v>
      </c>
      <c r="J78" s="12">
        <v>18849825</v>
      </c>
      <c r="K78" s="11">
        <v>1.97</v>
      </c>
      <c r="L78" s="11" t="s">
        <v>82</v>
      </c>
      <c r="M78" s="11">
        <v>0</v>
      </c>
      <c r="N78" s="11" t="s">
        <v>82</v>
      </c>
      <c r="O78" s="11">
        <v>0</v>
      </c>
      <c r="P78" s="12">
        <v>18849825</v>
      </c>
    </row>
    <row r="79" spans="2:16" ht="45.75" customHeight="1" x14ac:dyDescent="0.35">
      <c r="B79" s="10" t="s">
        <v>154</v>
      </c>
      <c r="C79" s="10" t="s">
        <v>85</v>
      </c>
      <c r="D79" s="11">
        <v>1</v>
      </c>
      <c r="E79" s="12">
        <v>18334280</v>
      </c>
      <c r="F79" s="12">
        <v>18334280</v>
      </c>
      <c r="G79" s="11">
        <v>1.91</v>
      </c>
      <c r="H79" s="12">
        <v>18334280</v>
      </c>
      <c r="I79" s="11">
        <v>1.91</v>
      </c>
      <c r="J79" s="12">
        <v>18334280</v>
      </c>
      <c r="K79" s="11">
        <v>1.91</v>
      </c>
      <c r="L79" s="11" t="s">
        <v>82</v>
      </c>
      <c r="M79" s="11">
        <v>0</v>
      </c>
      <c r="N79" s="11" t="s">
        <v>82</v>
      </c>
      <c r="O79" s="11">
        <v>0</v>
      </c>
      <c r="P79" s="12">
        <v>18334280</v>
      </c>
    </row>
    <row r="80" spans="2:16" ht="45.75" customHeight="1" x14ac:dyDescent="0.35">
      <c r="B80" s="10" t="s">
        <v>155</v>
      </c>
      <c r="C80" s="10" t="s">
        <v>85</v>
      </c>
      <c r="D80" s="11">
        <v>1</v>
      </c>
      <c r="E80" s="12">
        <v>15457470</v>
      </c>
      <c r="F80" s="12">
        <v>15457470</v>
      </c>
      <c r="G80" s="11">
        <v>1.61</v>
      </c>
      <c r="H80" s="12">
        <v>15457470</v>
      </c>
      <c r="I80" s="11">
        <v>1.61</v>
      </c>
      <c r="J80" s="12">
        <v>15457470</v>
      </c>
      <c r="K80" s="11">
        <v>1.61</v>
      </c>
      <c r="L80" s="11" t="s">
        <v>82</v>
      </c>
      <c r="M80" s="11">
        <v>0</v>
      </c>
      <c r="N80" s="11" t="s">
        <v>82</v>
      </c>
      <c r="O80" s="11">
        <v>0</v>
      </c>
      <c r="P80" s="12">
        <v>15457470</v>
      </c>
    </row>
    <row r="81" spans="2:16" ht="45.75" customHeight="1" x14ac:dyDescent="0.35">
      <c r="B81" s="10" t="s">
        <v>156</v>
      </c>
      <c r="C81" s="10" t="s">
        <v>85</v>
      </c>
      <c r="D81" s="11">
        <v>1</v>
      </c>
      <c r="E81" s="12">
        <v>14342060</v>
      </c>
      <c r="F81" s="12">
        <v>14342060</v>
      </c>
      <c r="G81" s="11">
        <v>1.5</v>
      </c>
      <c r="H81" s="12">
        <v>14342060</v>
      </c>
      <c r="I81" s="11">
        <v>1.5</v>
      </c>
      <c r="J81" s="12">
        <v>14342060</v>
      </c>
      <c r="K81" s="11">
        <v>1.5</v>
      </c>
      <c r="L81" s="11" t="s">
        <v>82</v>
      </c>
      <c r="M81" s="11">
        <v>0</v>
      </c>
      <c r="N81" s="11" t="s">
        <v>82</v>
      </c>
      <c r="O81" s="11">
        <v>0</v>
      </c>
      <c r="P81" s="12">
        <v>14342060</v>
      </c>
    </row>
    <row r="82" spans="2:16" ht="54.75" customHeight="1" x14ac:dyDescent="0.35">
      <c r="B82" s="10" t="s">
        <v>157</v>
      </c>
      <c r="C82" s="10" t="s">
        <v>85</v>
      </c>
      <c r="D82" s="11">
        <v>1</v>
      </c>
      <c r="E82" s="12">
        <v>12428250</v>
      </c>
      <c r="F82" s="12">
        <v>12428250</v>
      </c>
      <c r="G82" s="11">
        <v>1.3</v>
      </c>
      <c r="H82" s="12">
        <v>12428250</v>
      </c>
      <c r="I82" s="11">
        <v>1.3</v>
      </c>
      <c r="J82" s="12">
        <v>12428250</v>
      </c>
      <c r="K82" s="11">
        <v>1.3</v>
      </c>
      <c r="L82" s="11" t="s">
        <v>82</v>
      </c>
      <c r="M82" s="11">
        <v>0</v>
      </c>
      <c r="N82" s="11" t="s">
        <v>82</v>
      </c>
      <c r="O82" s="11">
        <v>0</v>
      </c>
      <c r="P82" s="12">
        <v>12428250</v>
      </c>
    </row>
    <row r="83" spans="2:16" ht="36.75" customHeight="1" x14ac:dyDescent="0.35">
      <c r="B83" s="10" t="s">
        <v>158</v>
      </c>
      <c r="C83" s="10" t="s">
        <v>85</v>
      </c>
      <c r="D83" s="11">
        <v>1</v>
      </c>
      <c r="E83" s="12">
        <v>12176500</v>
      </c>
      <c r="F83" s="12">
        <v>12176500</v>
      </c>
      <c r="G83" s="11">
        <v>1.27</v>
      </c>
      <c r="H83" s="12">
        <v>12176500</v>
      </c>
      <c r="I83" s="11">
        <v>1.27</v>
      </c>
      <c r="J83" s="12">
        <v>12176500</v>
      </c>
      <c r="K83" s="11">
        <v>1.27</v>
      </c>
      <c r="L83" s="11" t="s">
        <v>82</v>
      </c>
      <c r="M83" s="11">
        <v>0</v>
      </c>
      <c r="N83" s="11" t="s">
        <v>82</v>
      </c>
      <c r="O83" s="11">
        <v>0</v>
      </c>
      <c r="P83" s="12">
        <v>12176500</v>
      </c>
    </row>
    <row r="84" spans="2:16" ht="45.75" customHeight="1" x14ac:dyDescent="0.35">
      <c r="B84" s="10" t="s">
        <v>159</v>
      </c>
      <c r="C84" s="10" t="s">
        <v>85</v>
      </c>
      <c r="D84" s="11">
        <v>1</v>
      </c>
      <c r="E84" s="12">
        <v>11102530</v>
      </c>
      <c r="F84" s="12">
        <v>11102530</v>
      </c>
      <c r="G84" s="11">
        <v>1.1599999999999999</v>
      </c>
      <c r="H84" s="12">
        <v>11102530</v>
      </c>
      <c r="I84" s="11">
        <v>1.1599999999999999</v>
      </c>
      <c r="J84" s="12">
        <v>11102530</v>
      </c>
      <c r="K84" s="11">
        <v>1.1599999999999999</v>
      </c>
      <c r="L84" s="11" t="s">
        <v>82</v>
      </c>
      <c r="M84" s="11">
        <v>0</v>
      </c>
      <c r="N84" s="11" t="s">
        <v>82</v>
      </c>
      <c r="O84" s="11">
        <v>0</v>
      </c>
      <c r="P84" s="12">
        <v>11102530</v>
      </c>
    </row>
    <row r="85" spans="2:16" ht="45.75" customHeight="1" x14ac:dyDescent="0.35">
      <c r="B85" s="10" t="s">
        <v>160</v>
      </c>
      <c r="C85" s="10" t="s">
        <v>85</v>
      </c>
      <c r="D85" s="11">
        <v>1</v>
      </c>
      <c r="E85" s="12">
        <v>10818530</v>
      </c>
      <c r="F85" s="12">
        <v>10818530</v>
      </c>
      <c r="G85" s="11">
        <v>1.1299999999999999</v>
      </c>
      <c r="H85" s="12">
        <v>10818530</v>
      </c>
      <c r="I85" s="11">
        <v>1.1299999999999999</v>
      </c>
      <c r="J85" s="12">
        <v>10818530</v>
      </c>
      <c r="K85" s="11">
        <v>1.1299999999999999</v>
      </c>
      <c r="L85" s="11" t="s">
        <v>82</v>
      </c>
      <c r="M85" s="11">
        <v>0</v>
      </c>
      <c r="N85" s="11" t="s">
        <v>82</v>
      </c>
      <c r="O85" s="11">
        <v>0</v>
      </c>
      <c r="P85" s="12">
        <v>10818530</v>
      </c>
    </row>
    <row r="86" spans="2:16" ht="45.75" customHeight="1" x14ac:dyDescent="0.35">
      <c r="B86" s="10" t="s">
        <v>161</v>
      </c>
      <c r="C86" s="10" t="s">
        <v>85</v>
      </c>
      <c r="D86" s="11">
        <v>1</v>
      </c>
      <c r="E86" s="12">
        <v>10776697</v>
      </c>
      <c r="F86" s="12">
        <v>10776697</v>
      </c>
      <c r="G86" s="11">
        <v>1.1200000000000001</v>
      </c>
      <c r="H86" s="12">
        <v>10776697</v>
      </c>
      <c r="I86" s="11">
        <v>1.1200000000000001</v>
      </c>
      <c r="J86" s="12">
        <v>10776697</v>
      </c>
      <c r="K86" s="11">
        <v>1.1200000000000001</v>
      </c>
      <c r="L86" s="11" t="s">
        <v>82</v>
      </c>
      <c r="M86" s="11">
        <v>0</v>
      </c>
      <c r="N86" s="11" t="s">
        <v>82</v>
      </c>
      <c r="O86" s="11">
        <v>0</v>
      </c>
      <c r="P86" s="12">
        <v>10776697</v>
      </c>
    </row>
    <row r="87" spans="2:16" ht="45.75" customHeight="1" x14ac:dyDescent="0.35">
      <c r="B87" s="10" t="s">
        <v>162</v>
      </c>
      <c r="C87" s="10" t="s">
        <v>85</v>
      </c>
      <c r="D87" s="11">
        <v>1</v>
      </c>
      <c r="E87" s="12">
        <v>10472600</v>
      </c>
      <c r="F87" s="12">
        <v>10472600</v>
      </c>
      <c r="G87" s="11">
        <v>1.0900000000000001</v>
      </c>
      <c r="H87" s="12">
        <v>10472600</v>
      </c>
      <c r="I87" s="11">
        <v>1.0900000000000001</v>
      </c>
      <c r="J87" s="12">
        <v>10472600</v>
      </c>
      <c r="K87" s="11">
        <v>1.0900000000000001</v>
      </c>
      <c r="L87" s="11" t="s">
        <v>82</v>
      </c>
      <c r="M87" s="11">
        <v>0</v>
      </c>
      <c r="N87" s="11" t="s">
        <v>82</v>
      </c>
      <c r="O87" s="11">
        <v>0</v>
      </c>
      <c r="P87" s="12">
        <v>10472600</v>
      </c>
    </row>
    <row r="88" spans="2:16" ht="45.75" customHeight="1" x14ac:dyDescent="0.35">
      <c r="B88" s="10" t="s">
        <v>163</v>
      </c>
      <c r="C88" s="10" t="s">
        <v>85</v>
      </c>
      <c r="D88" s="11">
        <v>1</v>
      </c>
      <c r="E88" s="12">
        <v>9363440</v>
      </c>
      <c r="F88" s="12">
        <v>9363440</v>
      </c>
      <c r="G88" s="11">
        <v>0.98</v>
      </c>
      <c r="H88" s="12">
        <v>9363440</v>
      </c>
      <c r="I88" s="11">
        <v>0.98</v>
      </c>
      <c r="J88" s="12">
        <v>9363440</v>
      </c>
      <c r="K88" s="11">
        <v>0.98</v>
      </c>
      <c r="L88" s="11" t="s">
        <v>82</v>
      </c>
      <c r="M88" s="11">
        <v>0</v>
      </c>
      <c r="N88" s="11" t="s">
        <v>82</v>
      </c>
      <c r="O88" s="11">
        <v>0</v>
      </c>
      <c r="P88" s="12">
        <v>9363440</v>
      </c>
    </row>
    <row r="89" spans="2:16" ht="36.75" customHeight="1" x14ac:dyDescent="0.35">
      <c r="B89" s="10" t="s">
        <v>164</v>
      </c>
      <c r="C89" s="10" t="s">
        <v>85</v>
      </c>
      <c r="D89" s="11">
        <v>1</v>
      </c>
      <c r="E89" s="12">
        <v>7408940</v>
      </c>
      <c r="F89" s="12">
        <v>7408940</v>
      </c>
      <c r="G89" s="11">
        <v>0.77</v>
      </c>
      <c r="H89" s="12">
        <v>7408940</v>
      </c>
      <c r="I89" s="11">
        <v>0.77</v>
      </c>
      <c r="J89" s="12">
        <v>7408940</v>
      </c>
      <c r="K89" s="11">
        <v>0.77</v>
      </c>
      <c r="L89" s="11" t="s">
        <v>82</v>
      </c>
      <c r="M89" s="11">
        <v>0</v>
      </c>
      <c r="N89" s="11" t="s">
        <v>82</v>
      </c>
      <c r="O89" s="11">
        <v>0</v>
      </c>
      <c r="P89" s="12">
        <v>7408940</v>
      </c>
    </row>
    <row r="90" spans="2:16" ht="45.75" customHeight="1" x14ac:dyDescent="0.35">
      <c r="B90" s="10" t="s">
        <v>165</v>
      </c>
      <c r="C90" s="10" t="s">
        <v>85</v>
      </c>
      <c r="D90" s="11">
        <v>1</v>
      </c>
      <c r="E90" s="12">
        <v>6558310</v>
      </c>
      <c r="F90" s="12">
        <v>6558310</v>
      </c>
      <c r="G90" s="11">
        <v>0.68</v>
      </c>
      <c r="H90" s="12">
        <v>6558310</v>
      </c>
      <c r="I90" s="11">
        <v>0.68</v>
      </c>
      <c r="J90" s="12">
        <v>6558310</v>
      </c>
      <c r="K90" s="11">
        <v>0.68</v>
      </c>
      <c r="L90" s="11" t="s">
        <v>82</v>
      </c>
      <c r="M90" s="11">
        <v>0</v>
      </c>
      <c r="N90" s="11" t="s">
        <v>82</v>
      </c>
      <c r="O90" s="11">
        <v>0</v>
      </c>
      <c r="P90" s="12">
        <v>6558310</v>
      </c>
    </row>
    <row r="91" spans="2:16" ht="45.75" customHeight="1" x14ac:dyDescent="0.35">
      <c r="B91" s="10" t="s">
        <v>166</v>
      </c>
      <c r="C91" s="10" t="s">
        <v>85</v>
      </c>
      <c r="D91" s="11">
        <v>1</v>
      </c>
      <c r="E91" s="12">
        <v>6015130</v>
      </c>
      <c r="F91" s="12">
        <v>6015130</v>
      </c>
      <c r="G91" s="11">
        <v>0.63</v>
      </c>
      <c r="H91" s="12">
        <v>6015130</v>
      </c>
      <c r="I91" s="11">
        <v>0.63</v>
      </c>
      <c r="J91" s="12">
        <v>6015130</v>
      </c>
      <c r="K91" s="11">
        <v>0.63</v>
      </c>
      <c r="L91" s="11" t="s">
        <v>82</v>
      </c>
      <c r="M91" s="11">
        <v>0</v>
      </c>
      <c r="N91" s="11" t="s">
        <v>82</v>
      </c>
      <c r="O91" s="11">
        <v>0</v>
      </c>
      <c r="P91" s="12">
        <v>6015130</v>
      </c>
    </row>
    <row r="92" spans="2:16" ht="45.75" customHeight="1" x14ac:dyDescent="0.35">
      <c r="B92" s="10" t="s">
        <v>167</v>
      </c>
      <c r="C92" s="10" t="s">
        <v>85</v>
      </c>
      <c r="D92" s="11">
        <v>1</v>
      </c>
      <c r="E92" s="12">
        <v>5743670</v>
      </c>
      <c r="F92" s="12">
        <v>5743670</v>
      </c>
      <c r="G92" s="11">
        <v>0.6</v>
      </c>
      <c r="H92" s="12">
        <v>5743670</v>
      </c>
      <c r="I92" s="11">
        <v>0.6</v>
      </c>
      <c r="J92" s="12">
        <v>5743670</v>
      </c>
      <c r="K92" s="11">
        <v>0.6</v>
      </c>
      <c r="L92" s="11" t="s">
        <v>82</v>
      </c>
      <c r="M92" s="11">
        <v>0</v>
      </c>
      <c r="N92" s="11" t="s">
        <v>82</v>
      </c>
      <c r="O92" s="11">
        <v>0</v>
      </c>
      <c r="P92" s="12">
        <v>5743670</v>
      </c>
    </row>
    <row r="93" spans="2:16" ht="36.75" customHeight="1" x14ac:dyDescent="0.35">
      <c r="B93" s="10" t="s">
        <v>168</v>
      </c>
      <c r="C93" s="10" t="s">
        <v>85</v>
      </c>
      <c r="D93" s="11">
        <v>1</v>
      </c>
      <c r="E93" s="12">
        <v>4098430</v>
      </c>
      <c r="F93" s="12">
        <v>4098430</v>
      </c>
      <c r="G93" s="11">
        <v>0.43</v>
      </c>
      <c r="H93" s="12">
        <v>4098430</v>
      </c>
      <c r="I93" s="11">
        <v>0.43</v>
      </c>
      <c r="J93" s="12">
        <v>4098430</v>
      </c>
      <c r="K93" s="11">
        <v>0.43</v>
      </c>
      <c r="L93" s="11" t="s">
        <v>82</v>
      </c>
      <c r="M93" s="11">
        <v>0</v>
      </c>
      <c r="N93" s="11" t="s">
        <v>82</v>
      </c>
      <c r="O93" s="11">
        <v>0</v>
      </c>
      <c r="P93" s="12">
        <v>4098430</v>
      </c>
    </row>
    <row r="94" spans="2:16" ht="36.75" customHeight="1" x14ac:dyDescent="0.35">
      <c r="B94" s="10" t="s">
        <v>169</v>
      </c>
      <c r="C94" s="10" t="s">
        <v>85</v>
      </c>
      <c r="D94" s="11">
        <v>1</v>
      </c>
      <c r="E94" s="12">
        <v>3950310</v>
      </c>
      <c r="F94" s="12">
        <v>3950310</v>
      </c>
      <c r="G94" s="11">
        <v>0.41</v>
      </c>
      <c r="H94" s="12">
        <v>3950310</v>
      </c>
      <c r="I94" s="11">
        <v>0.41</v>
      </c>
      <c r="J94" s="12">
        <v>3950310</v>
      </c>
      <c r="K94" s="11">
        <v>0.41</v>
      </c>
      <c r="L94" s="11" t="s">
        <v>82</v>
      </c>
      <c r="M94" s="11">
        <v>0</v>
      </c>
      <c r="N94" s="11" t="s">
        <v>82</v>
      </c>
      <c r="O94" s="11">
        <v>0</v>
      </c>
      <c r="P94" s="12">
        <v>3950310</v>
      </c>
    </row>
    <row r="95" spans="2:16" ht="45.75" customHeight="1" x14ac:dyDescent="0.35">
      <c r="B95" s="10" t="s">
        <v>170</v>
      </c>
      <c r="C95" s="10" t="s">
        <v>85</v>
      </c>
      <c r="D95" s="11">
        <v>1</v>
      </c>
      <c r="E95" s="12">
        <v>2108160</v>
      </c>
      <c r="F95" s="12">
        <v>2108160</v>
      </c>
      <c r="G95" s="11">
        <v>0.22</v>
      </c>
      <c r="H95" s="12">
        <v>2108160</v>
      </c>
      <c r="I95" s="11">
        <v>0.22</v>
      </c>
      <c r="J95" s="12">
        <v>2108160</v>
      </c>
      <c r="K95" s="11">
        <v>0.22</v>
      </c>
      <c r="L95" s="11" t="s">
        <v>82</v>
      </c>
      <c r="M95" s="11">
        <v>0</v>
      </c>
      <c r="N95" s="11" t="s">
        <v>82</v>
      </c>
      <c r="O95" s="11">
        <v>0</v>
      </c>
      <c r="P95" s="12">
        <v>2108160</v>
      </c>
    </row>
    <row r="96" spans="2:16" ht="54.75" customHeight="1" x14ac:dyDescent="0.35">
      <c r="B96" s="10" t="s">
        <v>171</v>
      </c>
      <c r="C96" s="10" t="s">
        <v>85</v>
      </c>
      <c r="D96" s="11">
        <v>1</v>
      </c>
      <c r="E96" s="12">
        <v>965910</v>
      </c>
      <c r="F96" s="12">
        <v>965910</v>
      </c>
      <c r="G96" s="11">
        <v>0.1</v>
      </c>
      <c r="H96" s="12">
        <v>965910</v>
      </c>
      <c r="I96" s="11">
        <v>0.1</v>
      </c>
      <c r="J96" s="12">
        <v>965910</v>
      </c>
      <c r="K96" s="11">
        <v>0.1</v>
      </c>
      <c r="L96" s="11" t="s">
        <v>82</v>
      </c>
      <c r="M96" s="11">
        <v>0</v>
      </c>
      <c r="N96" s="11" t="s">
        <v>82</v>
      </c>
      <c r="O96" s="11">
        <v>0</v>
      </c>
      <c r="P96" s="12">
        <v>965910</v>
      </c>
    </row>
    <row r="97" spans="2:16" ht="27.75" customHeight="1" x14ac:dyDescent="0.35">
      <c r="B97" s="10" t="s">
        <v>172</v>
      </c>
      <c r="C97" s="10" t="s">
        <v>85</v>
      </c>
      <c r="D97" s="11">
        <v>1</v>
      </c>
      <c r="E97" s="12">
        <v>111600</v>
      </c>
      <c r="F97" s="12">
        <v>111600</v>
      </c>
      <c r="G97" s="11">
        <v>0.01</v>
      </c>
      <c r="H97" s="12">
        <v>111600</v>
      </c>
      <c r="I97" s="11">
        <v>0.01</v>
      </c>
      <c r="J97" s="12">
        <v>111600</v>
      </c>
      <c r="K97" s="11">
        <v>0.01</v>
      </c>
      <c r="L97" s="11" t="s">
        <v>82</v>
      </c>
      <c r="M97" s="11">
        <v>0</v>
      </c>
      <c r="N97" s="11" t="s">
        <v>82</v>
      </c>
      <c r="O97" s="11">
        <v>0</v>
      </c>
      <c r="P97" s="12">
        <v>111600</v>
      </c>
    </row>
    <row r="98" spans="2:16" ht="27.75" customHeight="1" x14ac:dyDescent="0.35">
      <c r="B98" s="10" t="s">
        <v>173</v>
      </c>
      <c r="C98" s="10" t="s">
        <v>85</v>
      </c>
      <c r="D98" s="11">
        <v>1</v>
      </c>
      <c r="E98" s="12">
        <v>10930</v>
      </c>
      <c r="F98" s="12">
        <v>10930</v>
      </c>
      <c r="G98" s="11">
        <v>0</v>
      </c>
      <c r="H98" s="12">
        <v>10930</v>
      </c>
      <c r="I98" s="11">
        <v>0</v>
      </c>
      <c r="J98" s="12">
        <v>10930</v>
      </c>
      <c r="K98" s="11">
        <v>0</v>
      </c>
      <c r="L98" s="11" t="s">
        <v>82</v>
      </c>
      <c r="M98" s="11">
        <v>0</v>
      </c>
      <c r="N98" s="11" t="s">
        <v>82</v>
      </c>
      <c r="O98" s="11">
        <v>0</v>
      </c>
      <c r="P98" s="12">
        <v>10930</v>
      </c>
    </row>
    <row r="99" spans="2:16" ht="45.75" customHeight="1" x14ac:dyDescent="0.35">
      <c r="B99" s="10" t="s">
        <v>174</v>
      </c>
      <c r="C99" s="10" t="s">
        <v>85</v>
      </c>
      <c r="D99" s="11" t="s">
        <v>82</v>
      </c>
      <c r="E99" s="11" t="s">
        <v>82</v>
      </c>
      <c r="F99" s="11" t="s">
        <v>82</v>
      </c>
      <c r="G99" s="11">
        <v>0</v>
      </c>
      <c r="H99" s="11" t="s">
        <v>82</v>
      </c>
      <c r="I99" s="11">
        <v>0</v>
      </c>
      <c r="J99" s="11" t="s">
        <v>82</v>
      </c>
      <c r="K99" s="11">
        <v>0</v>
      </c>
      <c r="L99" s="11" t="s">
        <v>82</v>
      </c>
      <c r="M99" s="11">
        <v>0</v>
      </c>
      <c r="N99" s="11" t="s">
        <v>82</v>
      </c>
      <c r="O99" s="11">
        <v>0</v>
      </c>
      <c r="P99" s="11" t="s">
        <v>82</v>
      </c>
    </row>
    <row r="100" spans="2:16" ht="45.75" customHeight="1" x14ac:dyDescent="0.35">
      <c r="B100" s="10" t="s">
        <v>175</v>
      </c>
      <c r="C100" s="10" t="s">
        <v>85</v>
      </c>
      <c r="D100" s="11" t="s">
        <v>82</v>
      </c>
      <c r="E100" s="11" t="s">
        <v>82</v>
      </c>
      <c r="F100" s="11" t="s">
        <v>82</v>
      </c>
      <c r="G100" s="11">
        <v>0</v>
      </c>
      <c r="H100" s="11" t="s">
        <v>82</v>
      </c>
      <c r="I100" s="11">
        <v>0</v>
      </c>
      <c r="J100" s="11" t="s">
        <v>82</v>
      </c>
      <c r="K100" s="11">
        <v>0</v>
      </c>
      <c r="L100" s="11" t="s">
        <v>82</v>
      </c>
      <c r="M100" s="11">
        <v>0</v>
      </c>
      <c r="N100" s="11" t="s">
        <v>82</v>
      </c>
      <c r="O100" s="11">
        <v>0</v>
      </c>
      <c r="P100" s="11" t="s">
        <v>82</v>
      </c>
    </row>
    <row r="101" spans="2:16" ht="54.75" customHeight="1" x14ac:dyDescent="0.35">
      <c r="B101" s="10" t="s">
        <v>176</v>
      </c>
      <c r="C101" s="10" t="s">
        <v>85</v>
      </c>
      <c r="D101" s="11" t="s">
        <v>82</v>
      </c>
      <c r="E101" s="11" t="s">
        <v>82</v>
      </c>
      <c r="F101" s="11" t="s">
        <v>82</v>
      </c>
      <c r="G101" s="11">
        <v>0</v>
      </c>
      <c r="H101" s="11" t="s">
        <v>82</v>
      </c>
      <c r="I101" s="11">
        <v>0</v>
      </c>
      <c r="J101" s="11" t="s">
        <v>82</v>
      </c>
      <c r="K101" s="11">
        <v>0</v>
      </c>
      <c r="L101" s="11" t="s">
        <v>82</v>
      </c>
      <c r="M101" s="11">
        <v>0</v>
      </c>
      <c r="N101" s="11" t="s">
        <v>82</v>
      </c>
      <c r="O101" s="11">
        <v>0</v>
      </c>
      <c r="P101" s="11" t="s">
        <v>82</v>
      </c>
    </row>
    <row r="102" spans="2:16" ht="45.75" customHeight="1" x14ac:dyDescent="0.35">
      <c r="B102" s="10" t="s">
        <v>177</v>
      </c>
      <c r="C102" s="10" t="s">
        <v>85</v>
      </c>
      <c r="D102" s="11" t="s">
        <v>82</v>
      </c>
      <c r="E102" s="11" t="s">
        <v>82</v>
      </c>
      <c r="F102" s="11" t="s">
        <v>82</v>
      </c>
      <c r="G102" s="11">
        <v>0</v>
      </c>
      <c r="H102" s="11" t="s">
        <v>82</v>
      </c>
      <c r="I102" s="11">
        <v>0</v>
      </c>
      <c r="J102" s="11" t="s">
        <v>82</v>
      </c>
      <c r="K102" s="11">
        <v>0</v>
      </c>
      <c r="L102" s="11" t="s">
        <v>82</v>
      </c>
      <c r="M102" s="11">
        <v>0</v>
      </c>
      <c r="N102" s="11" t="s">
        <v>82</v>
      </c>
      <c r="O102" s="11">
        <v>0</v>
      </c>
      <c r="P102" s="11" t="s">
        <v>82</v>
      </c>
    </row>
    <row r="103" spans="2:16" ht="36.75" customHeight="1" x14ac:dyDescent="0.35">
      <c r="B103" s="10" t="s">
        <v>178</v>
      </c>
      <c r="C103" s="10" t="s">
        <v>85</v>
      </c>
      <c r="D103" s="11" t="s">
        <v>82</v>
      </c>
      <c r="E103" s="11" t="s">
        <v>82</v>
      </c>
      <c r="F103" s="11" t="s">
        <v>82</v>
      </c>
      <c r="G103" s="11">
        <v>0</v>
      </c>
      <c r="H103" s="11" t="s">
        <v>82</v>
      </c>
      <c r="I103" s="11">
        <v>0</v>
      </c>
      <c r="J103" s="11" t="s">
        <v>82</v>
      </c>
      <c r="K103" s="11">
        <v>0</v>
      </c>
      <c r="L103" s="11" t="s">
        <v>82</v>
      </c>
      <c r="M103" s="11">
        <v>0</v>
      </c>
      <c r="N103" s="11" t="s">
        <v>82</v>
      </c>
      <c r="O103" s="11">
        <v>0</v>
      </c>
      <c r="P103" s="11" t="s">
        <v>82</v>
      </c>
    </row>
    <row r="104" spans="2:16" ht="45.75" customHeight="1" x14ac:dyDescent="0.35">
      <c r="B104" s="10" t="s">
        <v>179</v>
      </c>
      <c r="C104" s="10" t="s">
        <v>85</v>
      </c>
      <c r="D104" s="11" t="s">
        <v>82</v>
      </c>
      <c r="E104" s="11" t="s">
        <v>82</v>
      </c>
      <c r="F104" s="11" t="s">
        <v>82</v>
      </c>
      <c r="G104" s="11">
        <v>0</v>
      </c>
      <c r="H104" s="11" t="s">
        <v>82</v>
      </c>
      <c r="I104" s="11">
        <v>0</v>
      </c>
      <c r="J104" s="11" t="s">
        <v>82</v>
      </c>
      <c r="K104" s="11">
        <v>0</v>
      </c>
      <c r="L104" s="11" t="s">
        <v>82</v>
      </c>
      <c r="M104" s="11">
        <v>0</v>
      </c>
      <c r="N104" s="11" t="s">
        <v>82</v>
      </c>
      <c r="O104" s="11">
        <v>0</v>
      </c>
      <c r="P104" s="11" t="s">
        <v>82</v>
      </c>
    </row>
    <row r="105" spans="2:16" ht="45.75" customHeight="1" x14ac:dyDescent="0.35">
      <c r="B105" s="10" t="s">
        <v>180</v>
      </c>
      <c r="C105" s="10" t="s">
        <v>85</v>
      </c>
      <c r="D105" s="11" t="s">
        <v>82</v>
      </c>
      <c r="E105" s="11" t="s">
        <v>82</v>
      </c>
      <c r="F105" s="11" t="s">
        <v>82</v>
      </c>
      <c r="G105" s="11">
        <v>0</v>
      </c>
      <c r="H105" s="11" t="s">
        <v>82</v>
      </c>
      <c r="I105" s="11">
        <v>0</v>
      </c>
      <c r="J105" s="11" t="s">
        <v>82</v>
      </c>
      <c r="K105" s="11">
        <v>0</v>
      </c>
      <c r="L105" s="11" t="s">
        <v>82</v>
      </c>
      <c r="M105" s="11">
        <v>0</v>
      </c>
      <c r="N105" s="11" t="s">
        <v>82</v>
      </c>
      <c r="O105" s="11">
        <v>0</v>
      </c>
      <c r="P105" s="11" t="s">
        <v>82</v>
      </c>
    </row>
    <row r="106" spans="2:16" ht="27.75" customHeight="1" x14ac:dyDescent="0.35">
      <c r="B106" s="10" t="s">
        <v>181</v>
      </c>
      <c r="C106" s="10" t="s">
        <v>85</v>
      </c>
      <c r="D106" s="11" t="s">
        <v>82</v>
      </c>
      <c r="E106" s="11" t="s">
        <v>82</v>
      </c>
      <c r="F106" s="11" t="s">
        <v>82</v>
      </c>
      <c r="G106" s="11">
        <v>0</v>
      </c>
      <c r="H106" s="11" t="s">
        <v>82</v>
      </c>
      <c r="I106" s="11">
        <v>0</v>
      </c>
      <c r="J106" s="11" t="s">
        <v>82</v>
      </c>
      <c r="K106" s="11">
        <v>0</v>
      </c>
      <c r="L106" s="11" t="s">
        <v>82</v>
      </c>
      <c r="M106" s="11">
        <v>0</v>
      </c>
      <c r="N106" s="11" t="s">
        <v>82</v>
      </c>
      <c r="O106" s="11">
        <v>0</v>
      </c>
      <c r="P106" s="11" t="s">
        <v>82</v>
      </c>
    </row>
    <row r="107" spans="2:16" ht="27.75" customHeight="1" x14ac:dyDescent="0.35">
      <c r="B107" s="10" t="s">
        <v>182</v>
      </c>
      <c r="C107" s="10" t="s">
        <v>85</v>
      </c>
      <c r="D107" s="11" t="s">
        <v>82</v>
      </c>
      <c r="E107" s="11" t="s">
        <v>82</v>
      </c>
      <c r="F107" s="11" t="s">
        <v>82</v>
      </c>
      <c r="G107" s="11">
        <v>0</v>
      </c>
      <c r="H107" s="11" t="s">
        <v>82</v>
      </c>
      <c r="I107" s="11">
        <v>0</v>
      </c>
      <c r="J107" s="11" t="s">
        <v>82</v>
      </c>
      <c r="K107" s="11">
        <v>0</v>
      </c>
      <c r="L107" s="11" t="s">
        <v>82</v>
      </c>
      <c r="M107" s="11">
        <v>0</v>
      </c>
      <c r="N107" s="11" t="s">
        <v>82</v>
      </c>
      <c r="O107" s="11">
        <v>0</v>
      </c>
      <c r="P107" s="11" t="s">
        <v>82</v>
      </c>
    </row>
    <row r="108" spans="2:16" ht="45.75" customHeight="1" x14ac:dyDescent="0.35">
      <c r="B108" s="10" t="s">
        <v>183</v>
      </c>
      <c r="C108" s="10" t="s">
        <v>85</v>
      </c>
      <c r="D108" s="11" t="s">
        <v>82</v>
      </c>
      <c r="E108" s="11" t="s">
        <v>82</v>
      </c>
      <c r="F108" s="11" t="s">
        <v>82</v>
      </c>
      <c r="G108" s="11">
        <v>0</v>
      </c>
      <c r="H108" s="11" t="s">
        <v>82</v>
      </c>
      <c r="I108" s="11">
        <v>0</v>
      </c>
      <c r="J108" s="11" t="s">
        <v>82</v>
      </c>
      <c r="K108" s="11">
        <v>0</v>
      </c>
      <c r="L108" s="11" t="s">
        <v>82</v>
      </c>
      <c r="M108" s="11">
        <v>0</v>
      </c>
      <c r="N108" s="11" t="s">
        <v>82</v>
      </c>
      <c r="O108" s="11">
        <v>0</v>
      </c>
      <c r="P108" s="11" t="s">
        <v>82</v>
      </c>
    </row>
    <row r="109" spans="2:16" ht="18.75" customHeight="1" x14ac:dyDescent="0.35">
      <c r="B109" s="10" t="s">
        <v>184</v>
      </c>
      <c r="C109" s="10" t="s">
        <v>85</v>
      </c>
      <c r="D109" s="11" t="s">
        <v>82</v>
      </c>
      <c r="E109" s="11" t="s">
        <v>82</v>
      </c>
      <c r="F109" s="11" t="s">
        <v>82</v>
      </c>
      <c r="G109" s="11">
        <v>0</v>
      </c>
      <c r="H109" s="11" t="s">
        <v>82</v>
      </c>
      <c r="I109" s="11">
        <v>0</v>
      </c>
      <c r="J109" s="11" t="s">
        <v>82</v>
      </c>
      <c r="K109" s="11">
        <v>0</v>
      </c>
      <c r="L109" s="11" t="s">
        <v>82</v>
      </c>
      <c r="M109" s="11">
        <v>0</v>
      </c>
      <c r="N109" s="11" t="s">
        <v>82</v>
      </c>
      <c r="O109" s="11">
        <v>0</v>
      </c>
      <c r="P109" s="11" t="s">
        <v>82</v>
      </c>
    </row>
    <row r="110" spans="2:16" ht="36.75" customHeight="1" x14ac:dyDescent="0.35">
      <c r="B110" s="10" t="s">
        <v>185</v>
      </c>
      <c r="C110" s="10" t="s">
        <v>85</v>
      </c>
      <c r="D110" s="11" t="s">
        <v>82</v>
      </c>
      <c r="E110" s="11" t="s">
        <v>82</v>
      </c>
      <c r="F110" s="11" t="s">
        <v>82</v>
      </c>
      <c r="G110" s="11">
        <v>0</v>
      </c>
      <c r="H110" s="11" t="s">
        <v>82</v>
      </c>
      <c r="I110" s="11">
        <v>0</v>
      </c>
      <c r="J110" s="11" t="s">
        <v>82</v>
      </c>
      <c r="K110" s="11">
        <v>0</v>
      </c>
      <c r="L110" s="11" t="s">
        <v>82</v>
      </c>
      <c r="M110" s="11">
        <v>0</v>
      </c>
      <c r="N110" s="11" t="s">
        <v>82</v>
      </c>
      <c r="O110" s="11">
        <v>0</v>
      </c>
      <c r="P110" s="11" t="s">
        <v>82</v>
      </c>
    </row>
    <row r="111" spans="2:16" ht="27.75" customHeight="1" x14ac:dyDescent="0.35">
      <c r="B111" s="10" t="s">
        <v>186</v>
      </c>
      <c r="C111" s="10" t="s">
        <v>85</v>
      </c>
      <c r="D111" s="11" t="s">
        <v>82</v>
      </c>
      <c r="E111" s="11" t="s">
        <v>82</v>
      </c>
      <c r="F111" s="11" t="s">
        <v>82</v>
      </c>
      <c r="G111" s="11">
        <v>0</v>
      </c>
      <c r="H111" s="11" t="s">
        <v>82</v>
      </c>
      <c r="I111" s="11">
        <v>0</v>
      </c>
      <c r="J111" s="11" t="s">
        <v>82</v>
      </c>
      <c r="K111" s="11">
        <v>0</v>
      </c>
      <c r="L111" s="11" t="s">
        <v>82</v>
      </c>
      <c r="M111" s="11">
        <v>0</v>
      </c>
      <c r="N111" s="11" t="s">
        <v>82</v>
      </c>
      <c r="O111" s="11">
        <v>0</v>
      </c>
      <c r="P111" s="11" t="s">
        <v>82</v>
      </c>
    </row>
    <row r="112" spans="2:16" ht="18.75" customHeight="1" x14ac:dyDescent="0.35">
      <c r="B112" s="10" t="s">
        <v>187</v>
      </c>
      <c r="C112" s="10" t="s">
        <v>85</v>
      </c>
      <c r="D112" s="11" t="s">
        <v>82</v>
      </c>
      <c r="E112" s="11" t="s">
        <v>82</v>
      </c>
      <c r="F112" s="11" t="s">
        <v>82</v>
      </c>
      <c r="G112" s="11">
        <v>0</v>
      </c>
      <c r="H112" s="11" t="s">
        <v>82</v>
      </c>
      <c r="I112" s="11">
        <v>0</v>
      </c>
      <c r="J112" s="11" t="s">
        <v>82</v>
      </c>
      <c r="K112" s="11">
        <v>0</v>
      </c>
      <c r="L112" s="11" t="s">
        <v>82</v>
      </c>
      <c r="M112" s="11">
        <v>0</v>
      </c>
      <c r="N112" s="11" t="s">
        <v>82</v>
      </c>
      <c r="O112" s="11">
        <v>0</v>
      </c>
      <c r="P112" s="11" t="s">
        <v>82</v>
      </c>
    </row>
    <row r="113" spans="2:16" ht="99.75" customHeight="1" x14ac:dyDescent="0.35">
      <c r="B113" s="10" t="s">
        <v>188</v>
      </c>
      <c r="C113" s="10" t="s">
        <v>85</v>
      </c>
      <c r="D113" s="11">
        <v>1</v>
      </c>
      <c r="E113" s="12">
        <v>785700</v>
      </c>
      <c r="F113" s="12">
        <v>785700</v>
      </c>
      <c r="G113" s="11">
        <v>0.08</v>
      </c>
      <c r="H113" s="12">
        <v>785700</v>
      </c>
      <c r="I113" s="11">
        <v>0.08</v>
      </c>
      <c r="J113" s="12">
        <v>785700</v>
      </c>
      <c r="K113" s="11">
        <v>0.08</v>
      </c>
      <c r="L113" s="11" t="s">
        <v>82</v>
      </c>
      <c r="M113" s="11">
        <v>0</v>
      </c>
      <c r="N113" s="11" t="s">
        <v>82</v>
      </c>
      <c r="O113" s="11">
        <v>0</v>
      </c>
      <c r="P113" s="12">
        <v>785700</v>
      </c>
    </row>
    <row r="114" spans="2:16" ht="54.75" customHeight="1" x14ac:dyDescent="0.35">
      <c r="B114" s="10" t="s">
        <v>189</v>
      </c>
      <c r="C114" s="10" t="s">
        <v>85</v>
      </c>
      <c r="D114" s="11" t="s">
        <v>82</v>
      </c>
      <c r="E114" s="11" t="s">
        <v>82</v>
      </c>
      <c r="F114" s="11" t="s">
        <v>82</v>
      </c>
      <c r="G114" s="11">
        <v>0</v>
      </c>
      <c r="H114" s="11" t="s">
        <v>82</v>
      </c>
      <c r="I114" s="11">
        <v>0</v>
      </c>
      <c r="J114" s="11" t="s">
        <v>82</v>
      </c>
      <c r="K114" s="11">
        <v>0</v>
      </c>
      <c r="L114" s="11" t="s">
        <v>82</v>
      </c>
      <c r="M114" s="11">
        <v>0</v>
      </c>
      <c r="N114" s="11" t="s">
        <v>82</v>
      </c>
      <c r="O114" s="11">
        <v>0</v>
      </c>
      <c r="P114" s="11" t="s">
        <v>82</v>
      </c>
    </row>
    <row r="115" spans="2:16" ht="81.75" customHeight="1" x14ac:dyDescent="0.35">
      <c r="B115" s="10" t="s">
        <v>190</v>
      </c>
      <c r="C115" s="10" t="s">
        <v>85</v>
      </c>
      <c r="D115" s="11" t="s">
        <v>82</v>
      </c>
      <c r="E115" s="11" t="s">
        <v>82</v>
      </c>
      <c r="F115" s="11" t="s">
        <v>82</v>
      </c>
      <c r="G115" s="11">
        <v>0</v>
      </c>
      <c r="H115" s="11" t="s">
        <v>82</v>
      </c>
      <c r="I115" s="11">
        <v>0</v>
      </c>
      <c r="J115" s="11" t="s">
        <v>82</v>
      </c>
      <c r="K115" s="11">
        <v>0</v>
      </c>
      <c r="L115" s="11" t="s">
        <v>82</v>
      </c>
      <c r="M115" s="11">
        <v>0</v>
      </c>
      <c r="N115" s="11" t="s">
        <v>82</v>
      </c>
      <c r="O115" s="11">
        <v>0</v>
      </c>
      <c r="P115" s="11" t="s">
        <v>82</v>
      </c>
    </row>
    <row r="116" spans="2:16" ht="72.75" customHeight="1" x14ac:dyDescent="0.35">
      <c r="B116" s="10" t="s">
        <v>191</v>
      </c>
      <c r="C116" s="10" t="s">
        <v>85</v>
      </c>
      <c r="D116" s="11" t="s">
        <v>82</v>
      </c>
      <c r="E116" s="11" t="s">
        <v>82</v>
      </c>
      <c r="F116" s="11" t="s">
        <v>82</v>
      </c>
      <c r="G116" s="11">
        <v>0</v>
      </c>
      <c r="H116" s="11" t="s">
        <v>82</v>
      </c>
      <c r="I116" s="11">
        <v>0</v>
      </c>
      <c r="J116" s="11" t="s">
        <v>82</v>
      </c>
      <c r="K116" s="11">
        <v>0</v>
      </c>
      <c r="L116" s="11" t="s">
        <v>82</v>
      </c>
      <c r="M116" s="11">
        <v>0</v>
      </c>
      <c r="N116" s="11" t="s">
        <v>82</v>
      </c>
      <c r="O116" s="11">
        <v>0</v>
      </c>
      <c r="P116" s="11" t="s">
        <v>82</v>
      </c>
    </row>
    <row r="117" spans="2:16" ht="36.75" customHeight="1" x14ac:dyDescent="0.35">
      <c r="B117" s="10" t="s">
        <v>192</v>
      </c>
      <c r="C117" s="10" t="s">
        <v>85</v>
      </c>
      <c r="D117" s="11" t="s">
        <v>82</v>
      </c>
      <c r="E117" s="11" t="s">
        <v>82</v>
      </c>
      <c r="F117" s="11" t="s">
        <v>82</v>
      </c>
      <c r="G117" s="11">
        <v>0</v>
      </c>
      <c r="H117" s="11" t="s">
        <v>82</v>
      </c>
      <c r="I117" s="11">
        <v>0</v>
      </c>
      <c r="J117" s="11" t="s">
        <v>82</v>
      </c>
      <c r="K117" s="11">
        <v>0</v>
      </c>
      <c r="L117" s="11" t="s">
        <v>82</v>
      </c>
      <c r="M117" s="11">
        <v>0</v>
      </c>
      <c r="N117" s="11" t="s">
        <v>82</v>
      </c>
      <c r="O117" s="11">
        <v>0</v>
      </c>
      <c r="P117" s="11" t="s">
        <v>82</v>
      </c>
    </row>
    <row r="118" spans="2:16" ht="45.75" customHeight="1" x14ac:dyDescent="0.35">
      <c r="B118" s="10" t="s">
        <v>193</v>
      </c>
      <c r="C118" s="10" t="s">
        <v>85</v>
      </c>
      <c r="D118" s="11" t="s">
        <v>82</v>
      </c>
      <c r="E118" s="11" t="s">
        <v>82</v>
      </c>
      <c r="F118" s="11" t="s">
        <v>82</v>
      </c>
      <c r="G118" s="11">
        <v>0</v>
      </c>
      <c r="H118" s="11" t="s">
        <v>82</v>
      </c>
      <c r="I118" s="11">
        <v>0</v>
      </c>
      <c r="J118" s="11" t="s">
        <v>82</v>
      </c>
      <c r="K118" s="11">
        <v>0</v>
      </c>
      <c r="L118" s="11" t="s">
        <v>82</v>
      </c>
      <c r="M118" s="11">
        <v>0</v>
      </c>
      <c r="N118" s="11" t="s">
        <v>82</v>
      </c>
      <c r="O118" s="11">
        <v>0</v>
      </c>
      <c r="P118" s="11" t="s">
        <v>82</v>
      </c>
    </row>
    <row r="119" spans="2:16" ht="63.75" customHeight="1" x14ac:dyDescent="0.35">
      <c r="B119" s="10" t="s">
        <v>194</v>
      </c>
      <c r="C119" s="10" t="s">
        <v>85</v>
      </c>
      <c r="D119" s="11" t="s">
        <v>82</v>
      </c>
      <c r="E119" s="11" t="s">
        <v>82</v>
      </c>
      <c r="F119" s="11" t="s">
        <v>82</v>
      </c>
      <c r="G119" s="11">
        <v>0</v>
      </c>
      <c r="H119" s="11" t="s">
        <v>82</v>
      </c>
      <c r="I119" s="11">
        <v>0</v>
      </c>
      <c r="J119" s="11" t="s">
        <v>82</v>
      </c>
      <c r="K119" s="11">
        <v>0</v>
      </c>
      <c r="L119" s="11" t="s">
        <v>82</v>
      </c>
      <c r="M119" s="11">
        <v>0</v>
      </c>
      <c r="N119" s="11" t="s">
        <v>82</v>
      </c>
      <c r="O119" s="11">
        <v>0</v>
      </c>
      <c r="P119" s="11" t="s">
        <v>82</v>
      </c>
    </row>
    <row r="120" spans="2:16" ht="27.75" customHeight="1" x14ac:dyDescent="0.35">
      <c r="B120" s="10" t="s">
        <v>195</v>
      </c>
      <c r="C120" s="10" t="s">
        <v>85</v>
      </c>
      <c r="D120" s="11" t="s">
        <v>82</v>
      </c>
      <c r="E120" s="11" t="s">
        <v>82</v>
      </c>
      <c r="F120" s="11" t="s">
        <v>82</v>
      </c>
      <c r="G120" s="11">
        <v>0</v>
      </c>
      <c r="H120" s="11" t="s">
        <v>82</v>
      </c>
      <c r="I120" s="11">
        <v>0</v>
      </c>
      <c r="J120" s="11" t="s">
        <v>82</v>
      </c>
      <c r="K120" s="11">
        <v>0</v>
      </c>
      <c r="L120" s="11" t="s">
        <v>82</v>
      </c>
      <c r="M120" s="11">
        <v>0</v>
      </c>
      <c r="N120" s="11" t="s">
        <v>82</v>
      </c>
      <c r="O120" s="11">
        <v>0</v>
      </c>
      <c r="P120" s="11" t="s">
        <v>82</v>
      </c>
    </row>
    <row r="121" spans="2:16" ht="90.75" customHeight="1" x14ac:dyDescent="0.35">
      <c r="B121" s="10" t="s">
        <v>196</v>
      </c>
      <c r="C121" s="10" t="s">
        <v>85</v>
      </c>
      <c r="D121" s="11" t="s">
        <v>82</v>
      </c>
      <c r="E121" s="11" t="s">
        <v>82</v>
      </c>
      <c r="F121" s="11" t="s">
        <v>82</v>
      </c>
      <c r="G121" s="11">
        <v>0</v>
      </c>
      <c r="H121" s="11" t="s">
        <v>82</v>
      </c>
      <c r="I121" s="11">
        <v>0</v>
      </c>
      <c r="J121" s="11" t="s">
        <v>82</v>
      </c>
      <c r="K121" s="11">
        <v>0</v>
      </c>
      <c r="L121" s="11" t="s">
        <v>82</v>
      </c>
      <c r="M121" s="11">
        <v>0</v>
      </c>
      <c r="N121" s="11" t="s">
        <v>82</v>
      </c>
      <c r="O121" s="11">
        <v>0</v>
      </c>
      <c r="P121" s="11" t="s">
        <v>82</v>
      </c>
    </row>
    <row r="122" spans="2:16" ht="63.75" customHeight="1" x14ac:dyDescent="0.35">
      <c r="B122" s="10" t="s">
        <v>197</v>
      </c>
      <c r="C122" s="10" t="s">
        <v>85</v>
      </c>
      <c r="D122" s="11" t="s">
        <v>82</v>
      </c>
      <c r="E122" s="11" t="s">
        <v>82</v>
      </c>
      <c r="F122" s="11" t="s">
        <v>82</v>
      </c>
      <c r="G122" s="11">
        <v>0</v>
      </c>
      <c r="H122" s="11" t="s">
        <v>82</v>
      </c>
      <c r="I122" s="11">
        <v>0</v>
      </c>
      <c r="J122" s="11" t="s">
        <v>82</v>
      </c>
      <c r="K122" s="11">
        <v>0</v>
      </c>
      <c r="L122" s="11" t="s">
        <v>82</v>
      </c>
      <c r="M122" s="11">
        <v>0</v>
      </c>
      <c r="N122" s="11" t="s">
        <v>82</v>
      </c>
      <c r="O122" s="11">
        <v>0</v>
      </c>
      <c r="P122" s="11" t="s">
        <v>82</v>
      </c>
    </row>
    <row r="123" spans="2:16" ht="81.75" customHeight="1" x14ac:dyDescent="0.35">
      <c r="B123" s="10" t="s">
        <v>198</v>
      </c>
      <c r="C123" s="10" t="s">
        <v>85</v>
      </c>
      <c r="D123" s="11" t="s">
        <v>82</v>
      </c>
      <c r="E123" s="11" t="s">
        <v>82</v>
      </c>
      <c r="F123" s="11" t="s">
        <v>82</v>
      </c>
      <c r="G123" s="11">
        <v>0</v>
      </c>
      <c r="H123" s="11" t="s">
        <v>82</v>
      </c>
      <c r="I123" s="11">
        <v>0</v>
      </c>
      <c r="J123" s="11" t="s">
        <v>82</v>
      </c>
      <c r="K123" s="11">
        <v>0</v>
      </c>
      <c r="L123" s="11" t="s">
        <v>82</v>
      </c>
      <c r="M123" s="11">
        <v>0</v>
      </c>
      <c r="N123" s="11" t="s">
        <v>82</v>
      </c>
      <c r="O123" s="11">
        <v>0</v>
      </c>
      <c r="P123" s="11" t="s">
        <v>82</v>
      </c>
    </row>
    <row r="124" spans="2:16" ht="72.75" customHeight="1" x14ac:dyDescent="0.35">
      <c r="B124" s="10" t="s">
        <v>199</v>
      </c>
      <c r="C124" s="10" t="s">
        <v>85</v>
      </c>
      <c r="D124" s="11" t="s">
        <v>82</v>
      </c>
      <c r="E124" s="11" t="s">
        <v>82</v>
      </c>
      <c r="F124" s="11" t="s">
        <v>82</v>
      </c>
      <c r="G124" s="11">
        <v>0</v>
      </c>
      <c r="H124" s="11" t="s">
        <v>82</v>
      </c>
      <c r="I124" s="11">
        <v>0</v>
      </c>
      <c r="J124" s="11" t="s">
        <v>82</v>
      </c>
      <c r="K124" s="11">
        <v>0</v>
      </c>
      <c r="L124" s="11" t="s">
        <v>82</v>
      </c>
      <c r="M124" s="11">
        <v>0</v>
      </c>
      <c r="N124" s="11" t="s">
        <v>82</v>
      </c>
      <c r="O124" s="11">
        <v>0</v>
      </c>
      <c r="P124" s="11" t="s">
        <v>82</v>
      </c>
    </row>
    <row r="125" spans="2:16" ht="81.75" customHeight="1" x14ac:dyDescent="0.35">
      <c r="B125" s="10" t="s">
        <v>200</v>
      </c>
      <c r="C125" s="10" t="s">
        <v>85</v>
      </c>
      <c r="D125" s="11" t="s">
        <v>82</v>
      </c>
      <c r="E125" s="11" t="s">
        <v>82</v>
      </c>
      <c r="F125" s="11" t="s">
        <v>82</v>
      </c>
      <c r="G125" s="11">
        <v>0</v>
      </c>
      <c r="H125" s="11" t="s">
        <v>82</v>
      </c>
      <c r="I125" s="11">
        <v>0</v>
      </c>
      <c r="J125" s="11" t="s">
        <v>82</v>
      </c>
      <c r="K125" s="11">
        <v>0</v>
      </c>
      <c r="L125" s="11" t="s">
        <v>82</v>
      </c>
      <c r="M125" s="11">
        <v>0</v>
      </c>
      <c r="N125" s="11" t="s">
        <v>82</v>
      </c>
      <c r="O125" s="11">
        <v>0</v>
      </c>
      <c r="P125" s="11" t="s">
        <v>82</v>
      </c>
    </row>
    <row r="126" spans="2:16" ht="63.75" customHeight="1" x14ac:dyDescent="0.35">
      <c r="B126" s="10" t="s">
        <v>201</v>
      </c>
      <c r="C126" s="10" t="s">
        <v>85</v>
      </c>
      <c r="D126" s="11" t="s">
        <v>82</v>
      </c>
      <c r="E126" s="11" t="s">
        <v>82</v>
      </c>
      <c r="F126" s="11" t="s">
        <v>82</v>
      </c>
      <c r="G126" s="11">
        <v>0</v>
      </c>
      <c r="H126" s="11" t="s">
        <v>82</v>
      </c>
      <c r="I126" s="11">
        <v>0</v>
      </c>
      <c r="J126" s="11" t="s">
        <v>82</v>
      </c>
      <c r="K126" s="11">
        <v>0</v>
      </c>
      <c r="L126" s="11" t="s">
        <v>82</v>
      </c>
      <c r="M126" s="11">
        <v>0</v>
      </c>
      <c r="N126" s="11" t="s">
        <v>82</v>
      </c>
      <c r="O126" s="11">
        <v>0</v>
      </c>
      <c r="P126" s="11" t="s">
        <v>82</v>
      </c>
    </row>
    <row r="127" spans="2:16" ht="18.75" customHeight="1" x14ac:dyDescent="0.35">
      <c r="B127" s="10" t="s">
        <v>202</v>
      </c>
      <c r="C127" s="10"/>
      <c r="D127" s="11">
        <v>80</v>
      </c>
      <c r="E127" s="12">
        <v>499683230</v>
      </c>
      <c r="F127" s="12">
        <v>499683230</v>
      </c>
      <c r="G127" s="11">
        <v>52.09</v>
      </c>
      <c r="H127" s="12">
        <v>499683230</v>
      </c>
      <c r="I127" s="11">
        <v>52.09</v>
      </c>
      <c r="J127" s="12">
        <v>499683230</v>
      </c>
      <c r="K127" s="11">
        <v>52.09</v>
      </c>
      <c r="L127" s="12">
        <v>49742727</v>
      </c>
      <c r="M127" s="11">
        <v>9.9499999999999993</v>
      </c>
      <c r="N127" s="13">
        <v>49742727</v>
      </c>
      <c r="O127" s="11">
        <v>9.9499999999999993</v>
      </c>
      <c r="P127" s="12">
        <v>499683230</v>
      </c>
    </row>
    <row r="128" spans="2:16" ht="15" customHeight="1" x14ac:dyDescent="0.35">
      <c r="B128" s="10" t="s">
        <v>203</v>
      </c>
      <c r="C128" s="10"/>
      <c r="D128" s="11" t="s">
        <v>82</v>
      </c>
      <c r="E128" s="11" t="s">
        <v>82</v>
      </c>
      <c r="F128" s="11" t="s">
        <v>82</v>
      </c>
      <c r="G128" s="11">
        <v>0</v>
      </c>
      <c r="H128" s="11" t="s">
        <v>82</v>
      </c>
      <c r="I128" s="11">
        <v>0</v>
      </c>
      <c r="J128" s="11" t="s">
        <v>82</v>
      </c>
      <c r="K128" s="11">
        <v>0</v>
      </c>
      <c r="L128" s="11" t="s">
        <v>82</v>
      </c>
      <c r="M128" s="11">
        <v>0</v>
      </c>
      <c r="N128" s="11" t="s">
        <v>82</v>
      </c>
      <c r="O128" s="11">
        <v>0</v>
      </c>
      <c r="P128" s="11" t="s">
        <v>82</v>
      </c>
    </row>
    <row r="129" spans="2:16" ht="54.75" customHeight="1" x14ac:dyDescent="0.35">
      <c r="B129" s="10" t="s">
        <v>204</v>
      </c>
      <c r="C129" s="10"/>
      <c r="D129" s="11">
        <v>2</v>
      </c>
      <c r="E129" s="12">
        <v>5101968</v>
      </c>
      <c r="F129" s="12">
        <v>5101968</v>
      </c>
      <c r="G129" s="11">
        <v>0.53</v>
      </c>
      <c r="H129" s="12">
        <v>5101968</v>
      </c>
      <c r="I129" s="11">
        <v>0.53</v>
      </c>
      <c r="J129" s="12">
        <v>5101968</v>
      </c>
      <c r="K129" s="11">
        <v>0.53</v>
      </c>
      <c r="L129" s="11" t="s">
        <v>82</v>
      </c>
      <c r="M129" s="11">
        <v>0</v>
      </c>
      <c r="N129" s="11" t="s">
        <v>82</v>
      </c>
      <c r="O129" s="11">
        <v>0</v>
      </c>
      <c r="P129" s="12">
        <v>5101968</v>
      </c>
    </row>
    <row r="130" spans="2:16" ht="18.75" customHeight="1" x14ac:dyDescent="0.35">
      <c r="B130" s="10" t="s">
        <v>205</v>
      </c>
      <c r="C130" s="10" t="s">
        <v>85</v>
      </c>
      <c r="D130" s="11">
        <v>1</v>
      </c>
      <c r="E130" s="12">
        <v>3650176</v>
      </c>
      <c r="F130" s="12">
        <v>3650176</v>
      </c>
      <c r="G130" s="11">
        <v>0.38</v>
      </c>
      <c r="H130" s="12">
        <v>3650176</v>
      </c>
      <c r="I130" s="11">
        <v>0.38</v>
      </c>
      <c r="J130" s="12">
        <v>3650176</v>
      </c>
      <c r="K130" s="11">
        <v>0.38</v>
      </c>
      <c r="L130" s="11" t="s">
        <v>82</v>
      </c>
      <c r="M130" s="11">
        <v>0</v>
      </c>
      <c r="N130" s="11" t="s">
        <v>82</v>
      </c>
      <c r="O130" s="11">
        <v>0</v>
      </c>
      <c r="P130" s="12">
        <v>3650176</v>
      </c>
    </row>
    <row r="131" spans="2:16" ht="18.75" customHeight="1" x14ac:dyDescent="0.35">
      <c r="B131" s="10" t="s">
        <v>206</v>
      </c>
      <c r="C131" s="10" t="s">
        <v>87</v>
      </c>
      <c r="D131" s="11">
        <v>1</v>
      </c>
      <c r="E131" s="12">
        <v>1451792</v>
      </c>
      <c r="F131" s="12">
        <v>1451792</v>
      </c>
      <c r="G131" s="11">
        <v>0.15</v>
      </c>
      <c r="H131" s="12">
        <v>1451792</v>
      </c>
      <c r="I131" s="11">
        <v>0.15</v>
      </c>
      <c r="J131" s="12">
        <v>1451792</v>
      </c>
      <c r="K131" s="11">
        <v>0.15</v>
      </c>
      <c r="L131" s="11" t="s">
        <v>82</v>
      </c>
      <c r="M131" s="11">
        <v>0</v>
      </c>
      <c r="N131" s="11" t="s">
        <v>82</v>
      </c>
      <c r="O131" s="11">
        <v>0</v>
      </c>
      <c r="P131" s="12">
        <v>1451792</v>
      </c>
    </row>
    <row r="132" spans="2:16" ht="18.75" customHeight="1" x14ac:dyDescent="0.35">
      <c r="B132" s="10" t="s">
        <v>207</v>
      </c>
      <c r="C132" s="10"/>
      <c r="D132" s="11">
        <v>2</v>
      </c>
      <c r="E132" s="12">
        <v>5101968</v>
      </c>
      <c r="F132" s="12">
        <v>5101968</v>
      </c>
      <c r="G132" s="11">
        <v>0.53</v>
      </c>
      <c r="H132" s="12">
        <v>5101968</v>
      </c>
      <c r="I132" s="11">
        <v>0.53</v>
      </c>
      <c r="J132" s="12">
        <v>5101968</v>
      </c>
      <c r="K132" s="11">
        <v>0.53</v>
      </c>
      <c r="L132" s="11" t="s">
        <v>82</v>
      </c>
      <c r="M132" s="11">
        <v>0</v>
      </c>
      <c r="N132" s="11" t="s">
        <v>82</v>
      </c>
      <c r="O132" s="11">
        <v>0</v>
      </c>
      <c r="P132" s="12">
        <v>5101968</v>
      </c>
    </row>
    <row r="133" spans="2:16" ht="15" customHeight="1" x14ac:dyDescent="0.35">
      <c r="B133" s="10" t="s">
        <v>208</v>
      </c>
      <c r="C133" s="10"/>
      <c r="D133" s="11">
        <v>82</v>
      </c>
      <c r="E133" s="12">
        <v>504785198</v>
      </c>
      <c r="F133" s="12">
        <v>504785198</v>
      </c>
      <c r="G133" s="11">
        <v>52.63</v>
      </c>
      <c r="H133" s="12">
        <v>504785198</v>
      </c>
      <c r="I133" s="11">
        <v>52.63</v>
      </c>
      <c r="J133" s="12">
        <v>504785198</v>
      </c>
      <c r="K133" s="11">
        <v>52.63</v>
      </c>
      <c r="L133" s="12">
        <v>49742727</v>
      </c>
      <c r="M133" s="11">
        <v>9.85</v>
      </c>
      <c r="N133" s="13">
        <v>49742727</v>
      </c>
      <c r="O133" s="11">
        <v>9.85</v>
      </c>
      <c r="P133" s="12">
        <v>504785198</v>
      </c>
    </row>
    <row r="134" spans="2:16" ht="15" customHeight="1" x14ac:dyDescent="0.35"/>
  </sheetData>
  <mergeCells count="21">
    <mergeCell ref="B3:E3"/>
    <mergeCell ref="B5:C5"/>
    <mergeCell ref="B6:B8"/>
    <mergeCell ref="C6:C8"/>
    <mergeCell ref="D6:D8"/>
    <mergeCell ref="E6:E8"/>
    <mergeCell ref="B1:P1"/>
    <mergeCell ref="F6:F8"/>
    <mergeCell ref="G6:G8"/>
    <mergeCell ref="H6:I6"/>
    <mergeCell ref="J6:J8"/>
    <mergeCell ref="K6:K8"/>
    <mergeCell ref="L6:M6"/>
    <mergeCell ref="N6:O6"/>
    <mergeCell ref="P6:P8"/>
    <mergeCell ref="H7:H8"/>
    <mergeCell ref="I7:I8"/>
    <mergeCell ref="L7:L8"/>
    <mergeCell ref="M7:M8"/>
    <mergeCell ref="N7:N8"/>
    <mergeCell ref="O7:O8"/>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64"/>
  <sheetViews>
    <sheetView showGridLines="0" zoomScale="86" zoomScaleNormal="86" workbookViewId="0">
      <selection activeCell="B1" sqref="B1:N1"/>
    </sheetView>
  </sheetViews>
  <sheetFormatPr defaultColWidth="8.6328125" defaultRowHeight="14.5" x14ac:dyDescent="0.35"/>
  <cols>
    <col min="1" max="1" width="2.26953125" customWidth="1"/>
  </cols>
  <sheetData>
    <row r="1" spans="2:14" ht="24" customHeight="1" x14ac:dyDescent="0.35">
      <c r="B1" s="340" t="s">
        <v>209</v>
      </c>
      <c r="C1" s="340"/>
      <c r="D1" s="340"/>
      <c r="E1" s="340"/>
      <c r="F1" s="340"/>
      <c r="G1" s="340"/>
      <c r="H1" s="340"/>
      <c r="I1" s="340"/>
      <c r="J1" s="340"/>
      <c r="K1" s="340"/>
      <c r="L1" s="340"/>
      <c r="M1" s="340"/>
      <c r="N1" s="340"/>
    </row>
    <row r="2" spans="2:14" x14ac:dyDescent="0.35">
      <c r="B2" s="268"/>
      <c r="C2" s="268"/>
      <c r="D2" s="268"/>
      <c r="E2" s="268"/>
      <c r="F2" s="268"/>
      <c r="G2" s="268"/>
      <c r="H2" s="268"/>
      <c r="I2" s="268"/>
      <c r="J2" s="268"/>
      <c r="K2" s="268"/>
      <c r="L2" s="268"/>
      <c r="M2" s="268"/>
      <c r="N2" s="268"/>
    </row>
    <row r="3" spans="2:14" ht="14.25" customHeight="1" x14ac:dyDescent="0.35">
      <c r="B3" s="269" t="s">
        <v>61</v>
      </c>
      <c r="C3" s="269"/>
      <c r="D3" s="269"/>
      <c r="E3" s="269"/>
      <c r="F3" s="9"/>
      <c r="G3" s="9"/>
      <c r="H3" s="9"/>
      <c r="I3" s="9"/>
      <c r="J3" s="9"/>
      <c r="K3" s="9"/>
      <c r="L3" s="9"/>
      <c r="M3" s="9"/>
      <c r="N3" s="9"/>
    </row>
    <row r="4" spans="2:14" ht="43.5" customHeight="1" x14ac:dyDescent="0.35">
      <c r="B4" s="270" t="s">
        <v>62</v>
      </c>
      <c r="C4" s="270"/>
      <c r="D4" s="270"/>
      <c r="E4" s="15" t="s">
        <v>63</v>
      </c>
      <c r="F4" s="9"/>
      <c r="G4" s="9"/>
      <c r="H4" s="9"/>
      <c r="I4" s="9"/>
      <c r="J4" s="9"/>
      <c r="K4" s="9"/>
      <c r="L4" s="9"/>
      <c r="M4" s="9"/>
      <c r="N4" s="9"/>
    </row>
    <row r="5" spans="2:14" x14ac:dyDescent="0.35">
      <c r="B5" s="271"/>
      <c r="C5" s="271"/>
      <c r="D5" s="271"/>
      <c r="E5" s="271"/>
      <c r="F5" s="271"/>
      <c r="G5" s="271"/>
      <c r="H5" s="271"/>
      <c r="I5" s="271"/>
      <c r="J5" s="271"/>
      <c r="K5" s="271"/>
      <c r="L5" s="271"/>
      <c r="M5" s="271"/>
      <c r="N5" s="271"/>
    </row>
    <row r="6" spans="2:14" ht="14.25" customHeight="1" x14ac:dyDescent="0.35">
      <c r="B6" s="263" t="s">
        <v>210</v>
      </c>
      <c r="C6" s="263"/>
      <c r="D6" s="263"/>
      <c r="E6" s="263"/>
      <c r="F6" s="263"/>
      <c r="G6" s="263"/>
      <c r="H6" s="263"/>
      <c r="I6" s="263"/>
      <c r="J6" s="263"/>
      <c r="K6" s="263"/>
      <c r="L6" s="263"/>
      <c r="M6" s="263"/>
      <c r="N6" s="263"/>
    </row>
    <row r="7" spans="2:14" x14ac:dyDescent="0.35">
      <c r="B7" s="263"/>
      <c r="C7" s="263"/>
      <c r="D7" s="263"/>
      <c r="E7" s="263"/>
      <c r="F7" s="263"/>
      <c r="G7" s="263"/>
      <c r="H7" s="263"/>
      <c r="I7" s="263"/>
      <c r="J7" s="263"/>
      <c r="K7" s="263"/>
      <c r="L7" s="263"/>
      <c r="M7" s="263"/>
      <c r="N7" s="263"/>
    </row>
    <row r="8" spans="2:14" ht="79.5" customHeight="1" x14ac:dyDescent="0.35">
      <c r="B8" s="264" t="s">
        <v>211</v>
      </c>
      <c r="C8" s="265" t="s">
        <v>212</v>
      </c>
      <c r="D8" s="265" t="s">
        <v>68</v>
      </c>
      <c r="E8" s="265" t="s">
        <v>213</v>
      </c>
      <c r="F8" s="265" t="s">
        <v>214</v>
      </c>
      <c r="G8" s="265" t="s">
        <v>215</v>
      </c>
      <c r="H8" s="265" t="s">
        <v>216</v>
      </c>
      <c r="I8" s="265" t="s">
        <v>72</v>
      </c>
      <c r="J8" s="265" t="s">
        <v>73</v>
      </c>
      <c r="K8" s="265" t="s">
        <v>217</v>
      </c>
      <c r="L8" s="266" t="s">
        <v>218</v>
      </c>
      <c r="M8" s="266"/>
      <c r="N8" s="266"/>
    </row>
    <row r="9" spans="2:14" ht="15" customHeight="1" x14ac:dyDescent="0.35">
      <c r="B9" s="264"/>
      <c r="C9" s="265"/>
      <c r="D9" s="265"/>
      <c r="E9" s="265"/>
      <c r="F9" s="265"/>
      <c r="G9" s="265"/>
      <c r="H9" s="265"/>
      <c r="I9" s="265"/>
      <c r="J9" s="265"/>
      <c r="K9" s="265"/>
      <c r="L9" s="267" t="s">
        <v>219</v>
      </c>
      <c r="M9" s="267"/>
      <c r="N9" s="267"/>
    </row>
    <row r="10" spans="2:14" ht="19.5" customHeight="1" x14ac:dyDescent="0.35">
      <c r="B10" s="264"/>
      <c r="C10" s="265"/>
      <c r="D10" s="265"/>
      <c r="E10" s="265"/>
      <c r="F10" s="265"/>
      <c r="G10" s="265"/>
      <c r="H10" s="265"/>
      <c r="I10" s="265"/>
      <c r="J10" s="265"/>
      <c r="K10" s="265"/>
      <c r="L10" s="16" t="s">
        <v>220</v>
      </c>
      <c r="M10" s="16" t="s">
        <v>221</v>
      </c>
      <c r="N10" s="17" t="s">
        <v>222</v>
      </c>
    </row>
    <row r="11" spans="2:14" ht="28.5" customHeight="1" x14ac:dyDescent="0.35">
      <c r="B11" s="14" t="s">
        <v>223</v>
      </c>
      <c r="C11" s="15">
        <v>0</v>
      </c>
      <c r="D11" s="15">
        <v>0</v>
      </c>
      <c r="E11" s="15" t="s">
        <v>82</v>
      </c>
      <c r="F11" s="15">
        <v>0</v>
      </c>
      <c r="G11" s="15" t="s">
        <v>82</v>
      </c>
      <c r="H11" s="15">
        <v>0</v>
      </c>
      <c r="I11" s="15" t="s">
        <v>82</v>
      </c>
      <c r="J11" s="15">
        <v>0</v>
      </c>
      <c r="K11" s="15" t="s">
        <v>82</v>
      </c>
      <c r="L11" s="15" t="s">
        <v>82</v>
      </c>
      <c r="M11" s="15" t="s">
        <v>82</v>
      </c>
      <c r="N11" s="18" t="s">
        <v>82</v>
      </c>
    </row>
    <row r="12" spans="2:14" ht="72" customHeight="1" x14ac:dyDescent="0.35">
      <c r="B12" s="14" t="s">
        <v>224</v>
      </c>
      <c r="C12" s="15">
        <v>0</v>
      </c>
      <c r="D12" s="15">
        <v>0</v>
      </c>
      <c r="E12" s="15" t="s">
        <v>82</v>
      </c>
      <c r="F12" s="15">
        <v>0</v>
      </c>
      <c r="G12" s="15" t="s">
        <v>82</v>
      </c>
      <c r="H12" s="15">
        <v>0</v>
      </c>
      <c r="I12" s="15" t="s">
        <v>82</v>
      </c>
      <c r="J12" s="15">
        <v>0</v>
      </c>
      <c r="K12" s="15" t="s">
        <v>82</v>
      </c>
      <c r="L12" s="15" t="s">
        <v>82</v>
      </c>
      <c r="M12" s="15" t="s">
        <v>82</v>
      </c>
      <c r="N12" s="18" t="s">
        <v>82</v>
      </c>
    </row>
    <row r="13" spans="2:14" ht="28.5" customHeight="1" x14ac:dyDescent="0.35">
      <c r="B13" s="14" t="s">
        <v>225</v>
      </c>
      <c r="C13" s="15">
        <v>40</v>
      </c>
      <c r="D13" s="19">
        <v>109551686</v>
      </c>
      <c r="E13" s="19">
        <v>109551686</v>
      </c>
      <c r="F13" s="15">
        <v>11.42</v>
      </c>
      <c r="G13" s="19">
        <v>109551686</v>
      </c>
      <c r="H13" s="15">
        <v>11.42</v>
      </c>
      <c r="I13" s="19">
        <v>109551686</v>
      </c>
      <c r="J13" s="15">
        <v>11.42</v>
      </c>
      <c r="K13" s="19">
        <v>109551686</v>
      </c>
      <c r="L13" s="15" t="s">
        <v>82</v>
      </c>
      <c r="M13" s="15" t="s">
        <v>82</v>
      </c>
      <c r="N13" s="18" t="s">
        <v>82</v>
      </c>
    </row>
    <row r="14" spans="2:14" ht="43.5" customHeight="1" x14ac:dyDescent="0.35">
      <c r="B14" s="14" t="s">
        <v>226</v>
      </c>
      <c r="C14" s="15">
        <v>1</v>
      </c>
      <c r="D14" s="19">
        <v>11131106</v>
      </c>
      <c r="E14" s="19">
        <v>11131106</v>
      </c>
      <c r="F14" s="15">
        <v>1.1599999999999999</v>
      </c>
      <c r="G14" s="19">
        <v>11131106</v>
      </c>
      <c r="H14" s="15">
        <v>1.1599999999999999</v>
      </c>
      <c r="I14" s="19">
        <v>11131106</v>
      </c>
      <c r="J14" s="15">
        <v>1.1599999999999999</v>
      </c>
      <c r="K14" s="19">
        <v>11131106</v>
      </c>
      <c r="L14" s="15" t="s">
        <v>82</v>
      </c>
      <c r="M14" s="15" t="s">
        <v>82</v>
      </c>
      <c r="N14" s="18" t="s">
        <v>82</v>
      </c>
    </row>
    <row r="15" spans="2:14" ht="57.75" customHeight="1" x14ac:dyDescent="0.35">
      <c r="B15" s="14" t="s">
        <v>227</v>
      </c>
      <c r="C15" s="15">
        <v>1</v>
      </c>
      <c r="D15" s="19">
        <v>21582801</v>
      </c>
      <c r="E15" s="19">
        <v>21582801</v>
      </c>
      <c r="F15" s="15">
        <v>2.25</v>
      </c>
      <c r="G15" s="19">
        <v>21582801</v>
      </c>
      <c r="H15" s="15">
        <v>2.25</v>
      </c>
      <c r="I15" s="19">
        <v>21582801</v>
      </c>
      <c r="J15" s="15">
        <v>2.25</v>
      </c>
      <c r="K15" s="19">
        <v>21582801</v>
      </c>
      <c r="L15" s="15" t="s">
        <v>82</v>
      </c>
      <c r="M15" s="15" t="s">
        <v>82</v>
      </c>
      <c r="N15" s="18" t="s">
        <v>82</v>
      </c>
    </row>
    <row r="16" spans="2:14" ht="43.5" customHeight="1" x14ac:dyDescent="0.35">
      <c r="B16" s="14" t="s">
        <v>228</v>
      </c>
      <c r="C16" s="15">
        <v>1</v>
      </c>
      <c r="D16" s="19">
        <v>49885007</v>
      </c>
      <c r="E16" s="19">
        <v>49885007</v>
      </c>
      <c r="F16" s="15">
        <v>5.2</v>
      </c>
      <c r="G16" s="19">
        <v>49885007</v>
      </c>
      <c r="H16" s="15">
        <v>5.2</v>
      </c>
      <c r="I16" s="19">
        <v>49885007</v>
      </c>
      <c r="J16" s="15">
        <v>5.2</v>
      </c>
      <c r="K16" s="19">
        <v>49885007</v>
      </c>
      <c r="L16" s="15" t="s">
        <v>82</v>
      </c>
      <c r="M16" s="15" t="s">
        <v>82</v>
      </c>
      <c r="N16" s="18" t="s">
        <v>82</v>
      </c>
    </row>
    <row r="17" spans="2:14" ht="43.5" customHeight="1" x14ac:dyDescent="0.35">
      <c r="B17" s="14" t="s">
        <v>229</v>
      </c>
      <c r="C17" s="15">
        <v>0</v>
      </c>
      <c r="D17" s="15">
        <v>0</v>
      </c>
      <c r="E17" s="15" t="s">
        <v>82</v>
      </c>
      <c r="F17" s="15">
        <v>0</v>
      </c>
      <c r="G17" s="15" t="s">
        <v>82</v>
      </c>
      <c r="H17" s="15">
        <v>0</v>
      </c>
      <c r="I17" s="15" t="s">
        <v>82</v>
      </c>
      <c r="J17" s="15">
        <v>0</v>
      </c>
      <c r="K17" s="15" t="s">
        <v>82</v>
      </c>
      <c r="L17" s="15" t="s">
        <v>82</v>
      </c>
      <c r="M17" s="15" t="s">
        <v>82</v>
      </c>
      <c r="N17" s="18" t="s">
        <v>82</v>
      </c>
    </row>
    <row r="18" spans="2:14" ht="72" customHeight="1" x14ac:dyDescent="0.35">
      <c r="B18" s="14" t="s">
        <v>230</v>
      </c>
      <c r="C18" s="15">
        <v>22</v>
      </c>
      <c r="D18" s="19">
        <v>4159909</v>
      </c>
      <c r="E18" s="19">
        <v>4159909</v>
      </c>
      <c r="F18" s="15">
        <v>0.43</v>
      </c>
      <c r="G18" s="19">
        <v>4159909</v>
      </c>
      <c r="H18" s="15">
        <v>0.43</v>
      </c>
      <c r="I18" s="19">
        <v>4159909</v>
      </c>
      <c r="J18" s="15">
        <v>0.43</v>
      </c>
      <c r="K18" s="19">
        <v>4159909</v>
      </c>
      <c r="L18" s="15" t="s">
        <v>82</v>
      </c>
      <c r="M18" s="15" t="s">
        <v>82</v>
      </c>
      <c r="N18" s="18" t="s">
        <v>82</v>
      </c>
    </row>
    <row r="19" spans="2:14" x14ac:dyDescent="0.35">
      <c r="B19" s="14" t="s">
        <v>231</v>
      </c>
      <c r="C19" s="15">
        <v>9</v>
      </c>
      <c r="D19" s="19">
        <v>276596</v>
      </c>
      <c r="E19" s="19">
        <v>276596</v>
      </c>
      <c r="F19" s="15">
        <v>0.03</v>
      </c>
      <c r="G19" s="19">
        <v>276596</v>
      </c>
      <c r="H19" s="15">
        <v>0.03</v>
      </c>
      <c r="I19" s="19">
        <v>276596</v>
      </c>
      <c r="J19" s="15">
        <v>0.03</v>
      </c>
      <c r="K19" s="19">
        <v>272996</v>
      </c>
      <c r="L19" s="15" t="s">
        <v>82</v>
      </c>
      <c r="M19" s="15" t="s">
        <v>82</v>
      </c>
      <c r="N19" s="18" t="s">
        <v>82</v>
      </c>
    </row>
    <row r="20" spans="2:14" ht="57.75" customHeight="1" x14ac:dyDescent="0.35">
      <c r="B20" s="14" t="s">
        <v>232</v>
      </c>
      <c r="C20" s="15">
        <v>32</v>
      </c>
      <c r="D20" s="19">
        <v>90823469</v>
      </c>
      <c r="E20" s="19">
        <v>90823469</v>
      </c>
      <c r="F20" s="15">
        <v>9.4700000000000006</v>
      </c>
      <c r="G20" s="19">
        <v>90823469</v>
      </c>
      <c r="H20" s="15">
        <v>9.4700000000000006</v>
      </c>
      <c r="I20" s="19">
        <v>90823469</v>
      </c>
      <c r="J20" s="15">
        <v>9.4700000000000006</v>
      </c>
      <c r="K20" s="19">
        <v>90822469</v>
      </c>
      <c r="L20" s="15" t="s">
        <v>82</v>
      </c>
      <c r="M20" s="15" t="s">
        <v>82</v>
      </c>
      <c r="N20" s="18" t="s">
        <v>82</v>
      </c>
    </row>
    <row r="21" spans="2:14" ht="87" customHeight="1" x14ac:dyDescent="0.35">
      <c r="B21" s="14" t="s">
        <v>233</v>
      </c>
      <c r="C21" s="15">
        <v>1</v>
      </c>
      <c r="D21" s="19">
        <v>77822006</v>
      </c>
      <c r="E21" s="19">
        <v>77822006</v>
      </c>
      <c r="F21" s="15">
        <v>8.11</v>
      </c>
      <c r="G21" s="19">
        <v>77822006</v>
      </c>
      <c r="H21" s="15">
        <v>8.11</v>
      </c>
      <c r="I21" s="19">
        <v>77822006</v>
      </c>
      <c r="J21" s="15">
        <v>8.11</v>
      </c>
      <c r="K21" s="19">
        <v>77821006</v>
      </c>
      <c r="L21" s="15" t="s">
        <v>82</v>
      </c>
      <c r="M21" s="15" t="s">
        <v>82</v>
      </c>
      <c r="N21" s="18" t="s">
        <v>82</v>
      </c>
    </row>
    <row r="22" spans="2:14" ht="72" customHeight="1" x14ac:dyDescent="0.35">
      <c r="B22" s="14" t="s">
        <v>234</v>
      </c>
      <c r="C22" s="15">
        <v>1</v>
      </c>
      <c r="D22" s="19">
        <v>3732220</v>
      </c>
      <c r="E22" s="19">
        <v>3732220</v>
      </c>
      <c r="F22" s="15">
        <v>0.39</v>
      </c>
      <c r="G22" s="19">
        <v>3732220</v>
      </c>
      <c r="H22" s="15">
        <v>0.39</v>
      </c>
      <c r="I22" s="19">
        <v>3732220</v>
      </c>
      <c r="J22" s="15">
        <v>0.39</v>
      </c>
      <c r="K22" s="19">
        <v>3732220</v>
      </c>
      <c r="L22" s="15" t="s">
        <v>82</v>
      </c>
      <c r="M22" s="15" t="s">
        <v>82</v>
      </c>
      <c r="N22" s="18" t="s">
        <v>82</v>
      </c>
    </row>
    <row r="23" spans="2:14" ht="72" customHeight="1" x14ac:dyDescent="0.35">
      <c r="B23" s="14" t="s">
        <v>235</v>
      </c>
      <c r="C23" s="15">
        <v>0</v>
      </c>
      <c r="D23" s="15">
        <v>0</v>
      </c>
      <c r="E23" s="15" t="s">
        <v>82</v>
      </c>
      <c r="F23" s="15">
        <v>0</v>
      </c>
      <c r="G23" s="15" t="s">
        <v>82</v>
      </c>
      <c r="H23" s="15">
        <v>0</v>
      </c>
      <c r="I23" s="15" t="s">
        <v>82</v>
      </c>
      <c r="J23" s="15">
        <v>0</v>
      </c>
      <c r="K23" s="15" t="s">
        <v>82</v>
      </c>
      <c r="L23" s="15" t="s">
        <v>82</v>
      </c>
      <c r="M23" s="15" t="s">
        <v>82</v>
      </c>
      <c r="N23" s="18" t="s">
        <v>82</v>
      </c>
    </row>
    <row r="24" spans="2:14" ht="57.75" customHeight="1" x14ac:dyDescent="0.35">
      <c r="B24" s="14" t="s">
        <v>236</v>
      </c>
      <c r="C24" s="15">
        <v>2</v>
      </c>
      <c r="D24" s="19">
        <v>650782</v>
      </c>
      <c r="E24" s="19">
        <v>650782</v>
      </c>
      <c r="F24" s="15">
        <v>7.0000000000000007E-2</v>
      </c>
      <c r="G24" s="19">
        <v>650782</v>
      </c>
      <c r="H24" s="15">
        <v>7.0000000000000007E-2</v>
      </c>
      <c r="I24" s="19">
        <v>650782</v>
      </c>
      <c r="J24" s="15">
        <v>7.0000000000000007E-2</v>
      </c>
      <c r="K24" s="19">
        <v>650782</v>
      </c>
      <c r="L24" s="15" t="s">
        <v>82</v>
      </c>
      <c r="M24" s="15" t="s">
        <v>82</v>
      </c>
      <c r="N24" s="18" t="s">
        <v>82</v>
      </c>
    </row>
    <row r="25" spans="2:14" ht="57.75" customHeight="1" x14ac:dyDescent="0.35">
      <c r="B25" s="14" t="s">
        <v>237</v>
      </c>
      <c r="C25" s="15">
        <v>8</v>
      </c>
      <c r="D25" s="19">
        <v>5298</v>
      </c>
      <c r="E25" s="19">
        <v>5298</v>
      </c>
      <c r="F25" s="15">
        <v>0</v>
      </c>
      <c r="G25" s="19">
        <v>5298</v>
      </c>
      <c r="H25" s="15">
        <v>0</v>
      </c>
      <c r="I25" s="19">
        <v>5298</v>
      </c>
      <c r="J25" s="15">
        <v>0</v>
      </c>
      <c r="K25" s="19">
        <v>5298</v>
      </c>
      <c r="L25" s="15" t="s">
        <v>82</v>
      </c>
      <c r="M25" s="15" t="s">
        <v>82</v>
      </c>
      <c r="N25" s="18" t="s">
        <v>82</v>
      </c>
    </row>
    <row r="26" spans="2:14" ht="72" customHeight="1" x14ac:dyDescent="0.35">
      <c r="B26" s="14" t="s">
        <v>238</v>
      </c>
      <c r="C26" s="15">
        <v>2</v>
      </c>
      <c r="D26" s="19">
        <v>3630</v>
      </c>
      <c r="E26" s="19">
        <v>3630</v>
      </c>
      <c r="F26" s="15">
        <v>0</v>
      </c>
      <c r="G26" s="19">
        <v>3630</v>
      </c>
      <c r="H26" s="15">
        <v>0</v>
      </c>
      <c r="I26" s="19">
        <v>3630</v>
      </c>
      <c r="J26" s="15">
        <v>0</v>
      </c>
      <c r="K26" s="15">
        <v>240</v>
      </c>
      <c r="L26" s="15" t="s">
        <v>82</v>
      </c>
      <c r="M26" s="15" t="s">
        <v>82</v>
      </c>
      <c r="N26" s="18" t="s">
        <v>82</v>
      </c>
    </row>
    <row r="27" spans="2:14" ht="87" customHeight="1" x14ac:dyDescent="0.35">
      <c r="B27" s="14" t="s">
        <v>239</v>
      </c>
      <c r="C27" s="15">
        <v>0</v>
      </c>
      <c r="D27" s="15">
        <v>0</v>
      </c>
      <c r="E27" s="15" t="s">
        <v>82</v>
      </c>
      <c r="F27" s="15">
        <v>0</v>
      </c>
      <c r="G27" s="15" t="s">
        <v>82</v>
      </c>
      <c r="H27" s="15">
        <v>0</v>
      </c>
      <c r="I27" s="15" t="s">
        <v>82</v>
      </c>
      <c r="J27" s="15">
        <v>0</v>
      </c>
      <c r="K27" s="15" t="s">
        <v>82</v>
      </c>
      <c r="L27" s="15" t="s">
        <v>82</v>
      </c>
      <c r="M27" s="15" t="s">
        <v>82</v>
      </c>
      <c r="N27" s="18" t="s">
        <v>82</v>
      </c>
    </row>
    <row r="28" spans="2:14" ht="28.5" customHeight="1" x14ac:dyDescent="0.35">
      <c r="B28" s="14" t="s">
        <v>240</v>
      </c>
      <c r="C28" s="15">
        <v>116</v>
      </c>
      <c r="D28" s="19">
        <v>209203590</v>
      </c>
      <c r="E28" s="19">
        <v>209203590</v>
      </c>
      <c r="F28" s="15">
        <v>21.81</v>
      </c>
      <c r="G28" s="19">
        <v>209203590</v>
      </c>
      <c r="H28" s="15">
        <v>21.81</v>
      </c>
      <c r="I28" s="19">
        <v>209203590</v>
      </c>
      <c r="J28" s="15">
        <v>21.81</v>
      </c>
      <c r="K28" s="19">
        <v>209195600</v>
      </c>
      <c r="L28" s="15" t="s">
        <v>82</v>
      </c>
      <c r="M28" s="15" t="s">
        <v>82</v>
      </c>
      <c r="N28" s="18" t="s">
        <v>82</v>
      </c>
    </row>
    <row r="29" spans="2:14" ht="72" customHeight="1" x14ac:dyDescent="0.35">
      <c r="B29" s="14" t="s">
        <v>241</v>
      </c>
      <c r="C29" s="15">
        <v>0</v>
      </c>
      <c r="D29" s="15">
        <v>0</v>
      </c>
      <c r="E29" s="15" t="s">
        <v>82</v>
      </c>
      <c r="F29" s="15">
        <v>0</v>
      </c>
      <c r="G29" s="15" t="s">
        <v>82</v>
      </c>
      <c r="H29" s="15">
        <v>0</v>
      </c>
      <c r="I29" s="15" t="s">
        <v>82</v>
      </c>
      <c r="J29" s="15">
        <v>0</v>
      </c>
      <c r="K29" s="15" t="s">
        <v>82</v>
      </c>
      <c r="L29" s="15" t="s">
        <v>82</v>
      </c>
      <c r="M29" s="15" t="s">
        <v>82</v>
      </c>
      <c r="N29" s="18" t="s">
        <v>82</v>
      </c>
    </row>
    <row r="30" spans="2:14" ht="57.75" customHeight="1" x14ac:dyDescent="0.35">
      <c r="B30" s="14" t="s">
        <v>242</v>
      </c>
      <c r="C30" s="15">
        <v>0</v>
      </c>
      <c r="D30" s="15">
        <v>0</v>
      </c>
      <c r="E30" s="15" t="s">
        <v>82</v>
      </c>
      <c r="F30" s="15">
        <v>0</v>
      </c>
      <c r="G30" s="15" t="s">
        <v>82</v>
      </c>
      <c r="H30" s="15">
        <v>0</v>
      </c>
      <c r="I30" s="15" t="s">
        <v>82</v>
      </c>
      <c r="J30" s="15">
        <v>0</v>
      </c>
      <c r="K30" s="15" t="s">
        <v>82</v>
      </c>
      <c r="L30" s="15" t="s">
        <v>82</v>
      </c>
      <c r="M30" s="15" t="s">
        <v>82</v>
      </c>
      <c r="N30" s="18" t="s">
        <v>82</v>
      </c>
    </row>
    <row r="31" spans="2:14" ht="72" customHeight="1" x14ac:dyDescent="0.35">
      <c r="B31" s="14" t="s">
        <v>243</v>
      </c>
      <c r="C31" s="15">
        <v>0</v>
      </c>
      <c r="D31" s="15">
        <v>0</v>
      </c>
      <c r="E31" s="15" t="s">
        <v>82</v>
      </c>
      <c r="F31" s="15">
        <v>0</v>
      </c>
      <c r="G31" s="15" t="s">
        <v>82</v>
      </c>
      <c r="H31" s="15">
        <v>0</v>
      </c>
      <c r="I31" s="15" t="s">
        <v>82</v>
      </c>
      <c r="J31" s="15">
        <v>0</v>
      </c>
      <c r="K31" s="15" t="s">
        <v>82</v>
      </c>
      <c r="L31" s="15" t="s">
        <v>82</v>
      </c>
      <c r="M31" s="15" t="s">
        <v>82</v>
      </c>
      <c r="N31" s="18" t="s">
        <v>82</v>
      </c>
    </row>
    <row r="32" spans="2:14" ht="57.75" customHeight="1" x14ac:dyDescent="0.35">
      <c r="B32" s="14" t="s">
        <v>236</v>
      </c>
      <c r="C32" s="15">
        <v>0</v>
      </c>
      <c r="D32" s="15">
        <v>0</v>
      </c>
      <c r="E32" s="15" t="s">
        <v>82</v>
      </c>
      <c r="F32" s="15">
        <v>0</v>
      </c>
      <c r="G32" s="15" t="s">
        <v>82</v>
      </c>
      <c r="H32" s="15">
        <v>0</v>
      </c>
      <c r="I32" s="15" t="s">
        <v>82</v>
      </c>
      <c r="J32" s="15">
        <v>0</v>
      </c>
      <c r="K32" s="15" t="s">
        <v>82</v>
      </c>
      <c r="L32" s="15" t="s">
        <v>82</v>
      </c>
      <c r="M32" s="15" t="s">
        <v>82</v>
      </c>
      <c r="N32" s="18" t="s">
        <v>82</v>
      </c>
    </row>
    <row r="33" spans="2:14" ht="101.25" customHeight="1" x14ac:dyDescent="0.35">
      <c r="B33" s="14" t="s">
        <v>244</v>
      </c>
      <c r="C33" s="15">
        <v>811</v>
      </c>
      <c r="D33" s="19">
        <v>113436518</v>
      </c>
      <c r="E33" s="19">
        <v>113436518</v>
      </c>
      <c r="F33" s="15">
        <v>11.83</v>
      </c>
      <c r="G33" s="19">
        <v>113436518</v>
      </c>
      <c r="H33" s="15">
        <v>11.83</v>
      </c>
      <c r="I33" s="19">
        <v>113436518</v>
      </c>
      <c r="J33" s="15">
        <v>11.83</v>
      </c>
      <c r="K33" s="19">
        <v>113436518</v>
      </c>
      <c r="L33" s="15" t="s">
        <v>82</v>
      </c>
      <c r="M33" s="15" t="s">
        <v>82</v>
      </c>
      <c r="N33" s="18" t="s">
        <v>82</v>
      </c>
    </row>
    <row r="34" spans="2:14" ht="101.25" customHeight="1" x14ac:dyDescent="0.35">
      <c r="B34" s="14" t="s">
        <v>245</v>
      </c>
      <c r="C34" s="15">
        <v>39</v>
      </c>
      <c r="D34" s="19">
        <v>2712554</v>
      </c>
      <c r="E34" s="19">
        <v>2712554</v>
      </c>
      <c r="F34" s="15">
        <v>0.28000000000000003</v>
      </c>
      <c r="G34" s="19">
        <v>2712554</v>
      </c>
      <c r="H34" s="15">
        <v>0.28000000000000003</v>
      </c>
      <c r="I34" s="19">
        <v>2712554</v>
      </c>
      <c r="J34" s="15">
        <v>0.28000000000000003</v>
      </c>
      <c r="K34" s="19">
        <v>2712554</v>
      </c>
      <c r="L34" s="15" t="s">
        <v>82</v>
      </c>
      <c r="M34" s="15" t="s">
        <v>82</v>
      </c>
      <c r="N34" s="18" t="s">
        <v>82</v>
      </c>
    </row>
    <row r="35" spans="2:14" ht="130.5" customHeight="1" x14ac:dyDescent="0.35">
      <c r="B35" s="14" t="s">
        <v>246</v>
      </c>
      <c r="C35" s="15">
        <v>0</v>
      </c>
      <c r="D35" s="15">
        <v>0</v>
      </c>
      <c r="E35" s="15" t="s">
        <v>82</v>
      </c>
      <c r="F35" s="15">
        <v>0</v>
      </c>
      <c r="G35" s="15" t="s">
        <v>82</v>
      </c>
      <c r="H35" s="15">
        <v>0</v>
      </c>
      <c r="I35" s="15" t="s">
        <v>82</v>
      </c>
      <c r="J35" s="15">
        <v>0</v>
      </c>
      <c r="K35" s="15" t="s">
        <v>82</v>
      </c>
      <c r="L35" s="15" t="s">
        <v>82</v>
      </c>
      <c r="M35" s="15" t="s">
        <v>82</v>
      </c>
      <c r="N35" s="18" t="s">
        <v>82</v>
      </c>
    </row>
    <row r="36" spans="2:14" ht="87" customHeight="1" x14ac:dyDescent="0.35">
      <c r="B36" s="14" t="s">
        <v>247</v>
      </c>
      <c r="C36" s="15">
        <v>0</v>
      </c>
      <c r="D36" s="15">
        <v>0</v>
      </c>
      <c r="E36" s="15" t="s">
        <v>82</v>
      </c>
      <c r="F36" s="15">
        <v>0</v>
      </c>
      <c r="G36" s="15" t="s">
        <v>82</v>
      </c>
      <c r="H36" s="15">
        <v>0</v>
      </c>
      <c r="I36" s="15" t="s">
        <v>82</v>
      </c>
      <c r="J36" s="15">
        <v>0</v>
      </c>
      <c r="K36" s="15" t="s">
        <v>82</v>
      </c>
      <c r="L36" s="15" t="s">
        <v>82</v>
      </c>
      <c r="M36" s="15" t="s">
        <v>82</v>
      </c>
      <c r="N36" s="18" t="s">
        <v>82</v>
      </c>
    </row>
    <row r="37" spans="2:14" ht="28.5" customHeight="1" x14ac:dyDescent="0.35">
      <c r="B37" s="14" t="s">
        <v>248</v>
      </c>
      <c r="C37" s="15">
        <v>850</v>
      </c>
      <c r="D37" s="19">
        <v>116149072</v>
      </c>
      <c r="E37" s="19">
        <v>116149072</v>
      </c>
      <c r="F37" s="15">
        <v>12.11</v>
      </c>
      <c r="G37" s="19">
        <v>116149072</v>
      </c>
      <c r="H37" s="15">
        <v>12.11</v>
      </c>
      <c r="I37" s="19">
        <v>116149072</v>
      </c>
      <c r="J37" s="15">
        <v>12.11</v>
      </c>
      <c r="K37" s="19">
        <v>116149072</v>
      </c>
      <c r="L37" s="15" t="s">
        <v>82</v>
      </c>
      <c r="M37" s="15" t="s">
        <v>82</v>
      </c>
      <c r="N37" s="18" t="s">
        <v>82</v>
      </c>
    </row>
    <row r="38" spans="2:14" ht="159" customHeight="1" x14ac:dyDescent="0.35">
      <c r="B38" s="14" t="s">
        <v>249</v>
      </c>
      <c r="C38" s="15">
        <v>0</v>
      </c>
      <c r="D38" s="15">
        <v>0</v>
      </c>
      <c r="E38" s="15" t="s">
        <v>82</v>
      </c>
      <c r="F38" s="15">
        <v>0</v>
      </c>
      <c r="G38" s="15" t="s">
        <v>82</v>
      </c>
      <c r="H38" s="15">
        <v>0</v>
      </c>
      <c r="I38" s="15" t="s">
        <v>82</v>
      </c>
      <c r="J38" s="15">
        <v>0</v>
      </c>
      <c r="K38" s="15" t="s">
        <v>82</v>
      </c>
      <c r="L38" s="15" t="s">
        <v>82</v>
      </c>
      <c r="M38" s="15" t="s">
        <v>82</v>
      </c>
      <c r="N38" s="18" t="s">
        <v>82</v>
      </c>
    </row>
    <row r="39" spans="2:14" ht="87" customHeight="1" x14ac:dyDescent="0.35">
      <c r="B39" s="14" t="s">
        <v>250</v>
      </c>
      <c r="C39" s="15">
        <v>3</v>
      </c>
      <c r="D39" s="19">
        <v>15420</v>
      </c>
      <c r="E39" s="19">
        <v>15420</v>
      </c>
      <c r="F39" s="15">
        <v>0</v>
      </c>
      <c r="G39" s="19">
        <v>15420</v>
      </c>
      <c r="H39" s="15">
        <v>0</v>
      </c>
      <c r="I39" s="19">
        <v>15420</v>
      </c>
      <c r="J39" s="15">
        <v>0</v>
      </c>
      <c r="K39" s="19">
        <v>15420</v>
      </c>
      <c r="L39" s="15" t="s">
        <v>82</v>
      </c>
      <c r="M39" s="15" t="s">
        <v>82</v>
      </c>
      <c r="N39" s="18" t="s">
        <v>82</v>
      </c>
    </row>
    <row r="40" spans="2:14" ht="72" customHeight="1" x14ac:dyDescent="0.35">
      <c r="B40" s="14" t="s">
        <v>251</v>
      </c>
      <c r="C40" s="15">
        <v>1</v>
      </c>
      <c r="D40" s="15">
        <v>3</v>
      </c>
      <c r="E40" s="15">
        <v>3</v>
      </c>
      <c r="F40" s="15">
        <v>0</v>
      </c>
      <c r="G40" s="15">
        <v>3</v>
      </c>
      <c r="H40" s="15">
        <v>0</v>
      </c>
      <c r="I40" s="15">
        <v>3</v>
      </c>
      <c r="J40" s="15">
        <v>0</v>
      </c>
      <c r="K40" s="15">
        <v>3</v>
      </c>
      <c r="L40" s="15" t="s">
        <v>82</v>
      </c>
      <c r="M40" s="15" t="s">
        <v>82</v>
      </c>
      <c r="N40" s="18" t="s">
        <v>82</v>
      </c>
    </row>
    <row r="41" spans="2:14" ht="217.5" customHeight="1" x14ac:dyDescent="0.35">
      <c r="B41" s="14" t="s">
        <v>252</v>
      </c>
      <c r="C41" s="15">
        <v>0</v>
      </c>
      <c r="D41" s="15">
        <v>0</v>
      </c>
      <c r="E41" s="15" t="s">
        <v>82</v>
      </c>
      <c r="F41" s="15">
        <v>0</v>
      </c>
      <c r="G41" s="15" t="s">
        <v>82</v>
      </c>
      <c r="H41" s="15">
        <v>0</v>
      </c>
      <c r="I41" s="15" t="s">
        <v>82</v>
      </c>
      <c r="J41" s="15">
        <v>0</v>
      </c>
      <c r="K41" s="15" t="s">
        <v>82</v>
      </c>
      <c r="L41" s="15" t="s">
        <v>82</v>
      </c>
      <c r="M41" s="15" t="s">
        <v>82</v>
      </c>
      <c r="N41" s="18" t="s">
        <v>82</v>
      </c>
    </row>
    <row r="42" spans="2:14" ht="28.5" customHeight="1" x14ac:dyDescent="0.35">
      <c r="B42" s="14" t="s">
        <v>253</v>
      </c>
      <c r="C42" s="15">
        <v>4</v>
      </c>
      <c r="D42" s="19">
        <v>15423</v>
      </c>
      <c r="E42" s="19">
        <v>15423</v>
      </c>
      <c r="F42" s="15">
        <v>0</v>
      </c>
      <c r="G42" s="19">
        <v>15423</v>
      </c>
      <c r="H42" s="15">
        <v>0</v>
      </c>
      <c r="I42" s="19">
        <v>15423</v>
      </c>
      <c r="J42" s="15">
        <v>0</v>
      </c>
      <c r="K42" s="19">
        <v>15423</v>
      </c>
      <c r="L42" s="15" t="s">
        <v>82</v>
      </c>
      <c r="M42" s="15" t="s">
        <v>82</v>
      </c>
      <c r="N42" s="18" t="s">
        <v>82</v>
      </c>
    </row>
    <row r="43" spans="2:14" ht="57.75" customHeight="1" x14ac:dyDescent="0.35">
      <c r="B43" s="14" t="s">
        <v>254</v>
      </c>
      <c r="C43" s="15">
        <v>0</v>
      </c>
      <c r="D43" s="15">
        <v>0</v>
      </c>
      <c r="E43" s="15" t="s">
        <v>82</v>
      </c>
      <c r="F43" s="15">
        <v>0</v>
      </c>
      <c r="G43" s="15" t="s">
        <v>82</v>
      </c>
      <c r="H43" s="15">
        <v>0</v>
      </c>
      <c r="I43" s="15" t="s">
        <v>82</v>
      </c>
      <c r="J43" s="15">
        <v>0</v>
      </c>
      <c r="K43" s="15" t="s">
        <v>82</v>
      </c>
      <c r="L43" s="15" t="s">
        <v>82</v>
      </c>
      <c r="M43" s="15" t="s">
        <v>82</v>
      </c>
      <c r="N43" s="18" t="s">
        <v>82</v>
      </c>
    </row>
    <row r="44" spans="2:14" ht="87" customHeight="1" x14ac:dyDescent="0.35">
      <c r="B44" s="14" t="s">
        <v>255</v>
      </c>
      <c r="C44" s="15">
        <v>0</v>
      </c>
      <c r="D44" s="15">
        <v>0</v>
      </c>
      <c r="E44" s="15" t="s">
        <v>82</v>
      </c>
      <c r="F44" s="15">
        <v>0</v>
      </c>
      <c r="G44" s="15" t="s">
        <v>82</v>
      </c>
      <c r="H44" s="15">
        <v>0</v>
      </c>
      <c r="I44" s="15" t="s">
        <v>82</v>
      </c>
      <c r="J44" s="15">
        <v>0</v>
      </c>
      <c r="K44" s="15" t="s">
        <v>82</v>
      </c>
      <c r="L44" s="15" t="s">
        <v>82</v>
      </c>
      <c r="M44" s="15" t="s">
        <v>82</v>
      </c>
      <c r="N44" s="18" t="s">
        <v>82</v>
      </c>
    </row>
    <row r="45" spans="2:14" ht="202.5" customHeight="1" x14ac:dyDescent="0.35">
      <c r="B45" s="14" t="s">
        <v>256</v>
      </c>
      <c r="C45" s="15">
        <v>2</v>
      </c>
      <c r="D45" s="19">
        <v>38140</v>
      </c>
      <c r="E45" s="19">
        <v>38140</v>
      </c>
      <c r="F45" s="15">
        <v>0</v>
      </c>
      <c r="G45" s="19">
        <v>38140</v>
      </c>
      <c r="H45" s="15">
        <v>0</v>
      </c>
      <c r="I45" s="19">
        <v>38140</v>
      </c>
      <c r="J45" s="15">
        <v>0</v>
      </c>
      <c r="K45" s="19">
        <v>38140</v>
      </c>
      <c r="L45" s="15" t="s">
        <v>82</v>
      </c>
      <c r="M45" s="15" t="s">
        <v>82</v>
      </c>
      <c r="N45" s="18" t="s">
        <v>82</v>
      </c>
    </row>
    <row r="46" spans="2:14" ht="72" customHeight="1" x14ac:dyDescent="0.35">
      <c r="B46" s="14" t="s">
        <v>257</v>
      </c>
      <c r="C46" s="15">
        <v>1</v>
      </c>
      <c r="D46" s="19">
        <v>1415</v>
      </c>
      <c r="E46" s="19">
        <v>1415</v>
      </c>
      <c r="F46" s="15">
        <v>0</v>
      </c>
      <c r="G46" s="19">
        <v>1415</v>
      </c>
      <c r="H46" s="15">
        <v>0</v>
      </c>
      <c r="I46" s="19">
        <v>1415</v>
      </c>
      <c r="J46" s="15">
        <v>0</v>
      </c>
      <c r="K46" s="19">
        <v>1415</v>
      </c>
      <c r="L46" s="15" t="s">
        <v>82</v>
      </c>
      <c r="M46" s="15" t="s">
        <v>82</v>
      </c>
      <c r="N46" s="18" t="s">
        <v>82</v>
      </c>
    </row>
    <row r="47" spans="2:14" ht="289.5" customHeight="1" x14ac:dyDescent="0.35">
      <c r="B47" s="14" t="s">
        <v>258</v>
      </c>
      <c r="C47" s="15">
        <v>0</v>
      </c>
      <c r="D47" s="15">
        <v>0</v>
      </c>
      <c r="E47" s="15" t="s">
        <v>82</v>
      </c>
      <c r="F47" s="15">
        <v>0</v>
      </c>
      <c r="G47" s="15" t="s">
        <v>82</v>
      </c>
      <c r="H47" s="15">
        <v>0</v>
      </c>
      <c r="I47" s="15" t="s">
        <v>82</v>
      </c>
      <c r="J47" s="15">
        <v>0</v>
      </c>
      <c r="K47" s="15" t="s">
        <v>82</v>
      </c>
      <c r="L47" s="15" t="s">
        <v>82</v>
      </c>
      <c r="M47" s="15" t="s">
        <v>82</v>
      </c>
      <c r="N47" s="18" t="s">
        <v>82</v>
      </c>
    </row>
    <row r="48" spans="2:14" ht="275.25" customHeight="1" x14ac:dyDescent="0.35">
      <c r="B48" s="14" t="s">
        <v>259</v>
      </c>
      <c r="C48" s="15">
        <v>0</v>
      </c>
      <c r="D48" s="15">
        <v>0</v>
      </c>
      <c r="E48" s="15" t="s">
        <v>82</v>
      </c>
      <c r="F48" s="15">
        <v>0</v>
      </c>
      <c r="G48" s="15" t="s">
        <v>82</v>
      </c>
      <c r="H48" s="15">
        <v>0</v>
      </c>
      <c r="I48" s="15" t="s">
        <v>82</v>
      </c>
      <c r="J48" s="15">
        <v>0</v>
      </c>
      <c r="K48" s="15" t="s">
        <v>82</v>
      </c>
      <c r="L48" s="15" t="s">
        <v>82</v>
      </c>
      <c r="M48" s="15" t="s">
        <v>82</v>
      </c>
      <c r="N48" s="18" t="s">
        <v>82</v>
      </c>
    </row>
    <row r="49" spans="2:14" ht="87" customHeight="1" x14ac:dyDescent="0.35">
      <c r="B49" s="14" t="s">
        <v>260</v>
      </c>
      <c r="C49" s="15">
        <v>1</v>
      </c>
      <c r="D49" s="19">
        <v>2191478</v>
      </c>
      <c r="E49" s="19">
        <v>2191478</v>
      </c>
      <c r="F49" s="15">
        <v>0.23</v>
      </c>
      <c r="G49" s="19">
        <v>2191478</v>
      </c>
      <c r="H49" s="15">
        <v>0.23</v>
      </c>
      <c r="I49" s="19">
        <v>2191478</v>
      </c>
      <c r="J49" s="15">
        <v>0.23</v>
      </c>
      <c r="K49" s="19">
        <v>2191478</v>
      </c>
      <c r="L49" s="15" t="s">
        <v>82</v>
      </c>
      <c r="M49" s="15" t="s">
        <v>82</v>
      </c>
      <c r="N49" s="18" t="s">
        <v>82</v>
      </c>
    </row>
    <row r="50" spans="2:14" ht="144.75" customHeight="1" x14ac:dyDescent="0.35">
      <c r="B50" s="14" t="s">
        <v>261</v>
      </c>
      <c r="C50" s="19">
        <v>964158</v>
      </c>
      <c r="D50" s="19">
        <v>103196983</v>
      </c>
      <c r="E50" s="19">
        <v>103196983</v>
      </c>
      <c r="F50" s="15">
        <v>10.76</v>
      </c>
      <c r="G50" s="19">
        <v>103196983</v>
      </c>
      <c r="H50" s="15">
        <v>10.76</v>
      </c>
      <c r="I50" s="19">
        <v>103196983</v>
      </c>
      <c r="J50" s="15">
        <v>10.76</v>
      </c>
      <c r="K50" s="19">
        <v>101025049</v>
      </c>
      <c r="L50" s="15" t="s">
        <v>82</v>
      </c>
      <c r="M50" s="15" t="s">
        <v>82</v>
      </c>
      <c r="N50" s="18" t="s">
        <v>82</v>
      </c>
    </row>
    <row r="51" spans="2:14" ht="159" customHeight="1" x14ac:dyDescent="0.35">
      <c r="B51" s="14" t="s">
        <v>262</v>
      </c>
      <c r="C51" s="15">
        <v>13</v>
      </c>
      <c r="D51" s="19">
        <v>5088891</v>
      </c>
      <c r="E51" s="19">
        <v>5088891</v>
      </c>
      <c r="F51" s="15">
        <v>0.53</v>
      </c>
      <c r="G51" s="19">
        <v>5088891</v>
      </c>
      <c r="H51" s="15">
        <v>0.53</v>
      </c>
      <c r="I51" s="19">
        <v>5088891</v>
      </c>
      <c r="J51" s="15">
        <v>0.53</v>
      </c>
      <c r="K51" s="19">
        <v>5088891</v>
      </c>
      <c r="L51" s="15" t="s">
        <v>82</v>
      </c>
      <c r="M51" s="15" t="s">
        <v>82</v>
      </c>
      <c r="N51" s="18" t="s">
        <v>82</v>
      </c>
    </row>
    <row r="52" spans="2:14" ht="57.75" customHeight="1" x14ac:dyDescent="0.35">
      <c r="B52" s="14" t="s">
        <v>263</v>
      </c>
      <c r="C52" s="19">
        <v>24692</v>
      </c>
      <c r="D52" s="19">
        <v>11237717</v>
      </c>
      <c r="E52" s="19">
        <v>11237717</v>
      </c>
      <c r="F52" s="15">
        <v>1.17</v>
      </c>
      <c r="G52" s="19">
        <v>11237717</v>
      </c>
      <c r="H52" s="15">
        <v>1.17</v>
      </c>
      <c r="I52" s="19">
        <v>11237717</v>
      </c>
      <c r="J52" s="15">
        <v>1.17</v>
      </c>
      <c r="K52" s="19">
        <v>10984317</v>
      </c>
      <c r="L52" s="15" t="s">
        <v>82</v>
      </c>
      <c r="M52" s="15" t="s">
        <v>82</v>
      </c>
      <c r="N52" s="18" t="s">
        <v>82</v>
      </c>
    </row>
    <row r="53" spans="2:14" ht="43.5" customHeight="1" x14ac:dyDescent="0.35">
      <c r="B53" s="14" t="s">
        <v>264</v>
      </c>
      <c r="C53" s="15">
        <v>6</v>
      </c>
      <c r="D53" s="19">
        <v>1620</v>
      </c>
      <c r="E53" s="19">
        <v>1620</v>
      </c>
      <c r="F53" s="15">
        <v>0</v>
      </c>
      <c r="G53" s="19">
        <v>1620</v>
      </c>
      <c r="H53" s="15">
        <v>0</v>
      </c>
      <c r="I53" s="19">
        <v>1620</v>
      </c>
      <c r="J53" s="15">
        <v>0</v>
      </c>
      <c r="K53" s="19">
        <v>1620</v>
      </c>
      <c r="L53" s="15" t="s">
        <v>82</v>
      </c>
      <c r="M53" s="15" t="s">
        <v>82</v>
      </c>
      <c r="N53" s="18" t="s">
        <v>82</v>
      </c>
    </row>
    <row r="54" spans="2:14" ht="43.5" customHeight="1" x14ac:dyDescent="0.35">
      <c r="B54" s="14" t="s">
        <v>265</v>
      </c>
      <c r="C54" s="15">
        <v>1</v>
      </c>
      <c r="D54" s="15">
        <v>25</v>
      </c>
      <c r="E54" s="15">
        <v>25</v>
      </c>
      <c r="F54" s="15">
        <v>0</v>
      </c>
      <c r="G54" s="15">
        <v>25</v>
      </c>
      <c r="H54" s="15">
        <v>0</v>
      </c>
      <c r="I54" s="15">
        <v>25</v>
      </c>
      <c r="J54" s="15">
        <v>0</v>
      </c>
      <c r="K54" s="15">
        <v>25</v>
      </c>
      <c r="L54" s="15" t="s">
        <v>82</v>
      </c>
      <c r="M54" s="15" t="s">
        <v>82</v>
      </c>
      <c r="N54" s="18" t="s">
        <v>82</v>
      </c>
    </row>
    <row r="55" spans="2:14" ht="43.5" customHeight="1" x14ac:dyDescent="0.35">
      <c r="B55" s="14" t="s">
        <v>266</v>
      </c>
      <c r="C55" s="19">
        <v>1973</v>
      </c>
      <c r="D55" s="19">
        <v>3854733</v>
      </c>
      <c r="E55" s="19">
        <v>3854733</v>
      </c>
      <c r="F55" s="15">
        <v>0.4</v>
      </c>
      <c r="G55" s="19">
        <v>3854733</v>
      </c>
      <c r="H55" s="15">
        <v>0.4</v>
      </c>
      <c r="I55" s="19">
        <v>3854733</v>
      </c>
      <c r="J55" s="15">
        <v>0.4</v>
      </c>
      <c r="K55" s="19">
        <v>3815263</v>
      </c>
      <c r="L55" s="15" t="s">
        <v>82</v>
      </c>
      <c r="M55" s="15" t="s">
        <v>82</v>
      </c>
      <c r="N55" s="18" t="s">
        <v>82</v>
      </c>
    </row>
    <row r="56" spans="2:14" ht="43.5" customHeight="1" x14ac:dyDescent="0.35">
      <c r="B56" s="14" t="s">
        <v>146</v>
      </c>
      <c r="C56" s="19">
        <v>9899</v>
      </c>
      <c r="D56" s="19">
        <v>2880010</v>
      </c>
      <c r="E56" s="19">
        <v>2880010</v>
      </c>
      <c r="F56" s="15">
        <v>0.3</v>
      </c>
      <c r="G56" s="19">
        <v>2880010</v>
      </c>
      <c r="H56" s="15">
        <v>0.3</v>
      </c>
      <c r="I56" s="19">
        <v>2880010</v>
      </c>
      <c r="J56" s="15">
        <v>0.3</v>
      </c>
      <c r="K56" s="19">
        <v>2878810</v>
      </c>
      <c r="L56" s="15" t="s">
        <v>82</v>
      </c>
      <c r="M56" s="15" t="s">
        <v>82</v>
      </c>
      <c r="N56" s="18" t="s">
        <v>82</v>
      </c>
    </row>
    <row r="57" spans="2:14" x14ac:dyDescent="0.35">
      <c r="B57" s="14" t="s">
        <v>267</v>
      </c>
      <c r="C57" s="15">
        <v>52</v>
      </c>
      <c r="D57" s="19">
        <v>170447</v>
      </c>
      <c r="E57" s="19">
        <v>170447</v>
      </c>
      <c r="F57" s="15">
        <v>0.02</v>
      </c>
      <c r="G57" s="19">
        <v>170447</v>
      </c>
      <c r="H57" s="15">
        <v>0.02</v>
      </c>
      <c r="I57" s="19">
        <v>170447</v>
      </c>
      <c r="J57" s="15">
        <v>0.02</v>
      </c>
      <c r="K57" s="19">
        <v>170447</v>
      </c>
      <c r="L57" s="15" t="s">
        <v>82</v>
      </c>
      <c r="M57" s="15" t="s">
        <v>82</v>
      </c>
      <c r="N57" s="18" t="s">
        <v>82</v>
      </c>
    </row>
    <row r="58" spans="2:14" ht="87" customHeight="1" x14ac:dyDescent="0.35">
      <c r="B58" s="14" t="s">
        <v>268</v>
      </c>
      <c r="C58" s="15">
        <v>1</v>
      </c>
      <c r="D58" s="19">
        <v>6840</v>
      </c>
      <c r="E58" s="19">
        <v>6840</v>
      </c>
      <c r="F58" s="15">
        <v>0</v>
      </c>
      <c r="G58" s="19">
        <v>6840</v>
      </c>
      <c r="H58" s="15">
        <v>0</v>
      </c>
      <c r="I58" s="19">
        <v>6840</v>
      </c>
      <c r="J58" s="15">
        <v>0</v>
      </c>
      <c r="K58" s="19">
        <v>6840</v>
      </c>
      <c r="L58" s="15" t="s">
        <v>82</v>
      </c>
      <c r="M58" s="15" t="s">
        <v>82</v>
      </c>
      <c r="N58" s="18" t="s">
        <v>82</v>
      </c>
    </row>
    <row r="59" spans="2:14" x14ac:dyDescent="0.35">
      <c r="B59" s="14" t="s">
        <v>269</v>
      </c>
      <c r="C59" s="15">
        <v>214</v>
      </c>
      <c r="D59" s="19">
        <v>473322</v>
      </c>
      <c r="E59" s="19">
        <v>473322</v>
      </c>
      <c r="F59" s="15">
        <v>0.05</v>
      </c>
      <c r="G59" s="19">
        <v>473322</v>
      </c>
      <c r="H59" s="15">
        <v>0.05</v>
      </c>
      <c r="I59" s="19">
        <v>473322</v>
      </c>
      <c r="J59" s="15">
        <v>0.05</v>
      </c>
      <c r="K59" s="19">
        <v>473322</v>
      </c>
      <c r="L59" s="15" t="s">
        <v>82</v>
      </c>
      <c r="M59" s="15" t="s">
        <v>82</v>
      </c>
      <c r="N59" s="18" t="s">
        <v>82</v>
      </c>
    </row>
    <row r="60" spans="2:14" x14ac:dyDescent="0.35">
      <c r="B60" s="14" t="s">
        <v>270</v>
      </c>
      <c r="C60" s="19">
        <v>9561</v>
      </c>
      <c r="D60" s="19">
        <v>2065320</v>
      </c>
      <c r="E60" s="19">
        <v>2065320</v>
      </c>
      <c r="F60" s="15">
        <v>0.22</v>
      </c>
      <c r="G60" s="19">
        <v>2065320</v>
      </c>
      <c r="H60" s="15">
        <v>0.22</v>
      </c>
      <c r="I60" s="19">
        <v>2065320</v>
      </c>
      <c r="J60" s="15">
        <v>0.22</v>
      </c>
      <c r="K60" s="19">
        <v>2064120</v>
      </c>
      <c r="L60" s="15" t="s">
        <v>82</v>
      </c>
      <c r="M60" s="15" t="s">
        <v>82</v>
      </c>
      <c r="N60" s="18" t="s">
        <v>82</v>
      </c>
    </row>
    <row r="61" spans="2:14" ht="43.5" customHeight="1" x14ac:dyDescent="0.35">
      <c r="B61" s="14" t="s">
        <v>271</v>
      </c>
      <c r="C61" s="15">
        <v>68</v>
      </c>
      <c r="D61" s="19">
        <v>161690</v>
      </c>
      <c r="E61" s="19">
        <v>161690</v>
      </c>
      <c r="F61" s="15">
        <v>0.02</v>
      </c>
      <c r="G61" s="19">
        <v>161690</v>
      </c>
      <c r="H61" s="15">
        <v>0.02</v>
      </c>
      <c r="I61" s="19">
        <v>161690</v>
      </c>
      <c r="J61" s="15">
        <v>0.02</v>
      </c>
      <c r="K61" s="19">
        <v>161690</v>
      </c>
      <c r="L61" s="15" t="s">
        <v>82</v>
      </c>
      <c r="M61" s="15" t="s">
        <v>82</v>
      </c>
      <c r="N61" s="18" t="s">
        <v>82</v>
      </c>
    </row>
    <row r="62" spans="2:14" ht="72" customHeight="1" x14ac:dyDescent="0.35">
      <c r="B62" s="14" t="s">
        <v>272</v>
      </c>
      <c r="C62" s="15">
        <v>3</v>
      </c>
      <c r="D62" s="19">
        <v>2391</v>
      </c>
      <c r="E62" s="19">
        <v>2391</v>
      </c>
      <c r="F62" s="15">
        <v>0</v>
      </c>
      <c r="G62" s="19">
        <v>2391</v>
      </c>
      <c r="H62" s="15">
        <v>0</v>
      </c>
      <c r="I62" s="19">
        <v>2391</v>
      </c>
      <c r="J62" s="15">
        <v>0</v>
      </c>
      <c r="K62" s="19">
        <v>2391</v>
      </c>
      <c r="L62" s="15" t="s">
        <v>82</v>
      </c>
      <c r="M62" s="15" t="s">
        <v>82</v>
      </c>
      <c r="N62" s="18" t="s">
        <v>82</v>
      </c>
    </row>
    <row r="63" spans="2:14" ht="28.5" customHeight="1" x14ac:dyDescent="0.35">
      <c r="B63" s="14" t="s">
        <v>273</v>
      </c>
      <c r="C63" s="19">
        <v>1000746</v>
      </c>
      <c r="D63" s="19">
        <v>128491012</v>
      </c>
      <c r="E63" s="19">
        <v>128491012</v>
      </c>
      <c r="F63" s="15">
        <v>13.4</v>
      </c>
      <c r="G63" s="19">
        <v>128491012</v>
      </c>
      <c r="H63" s="15">
        <v>13.4</v>
      </c>
      <c r="I63" s="19">
        <v>128491012</v>
      </c>
      <c r="J63" s="15">
        <v>13.4</v>
      </c>
      <c r="K63" s="19">
        <v>126025008</v>
      </c>
      <c r="L63" s="15" t="s">
        <v>82</v>
      </c>
      <c r="M63" s="15" t="s">
        <v>82</v>
      </c>
      <c r="N63" s="18" t="s">
        <v>82</v>
      </c>
    </row>
    <row r="64" spans="2:14" ht="28.5" customHeight="1" x14ac:dyDescent="0.35">
      <c r="B64" s="14" t="s">
        <v>274</v>
      </c>
      <c r="C64" s="19">
        <v>1001716</v>
      </c>
      <c r="D64" s="19">
        <v>453859097</v>
      </c>
      <c r="E64" s="19">
        <v>453859097</v>
      </c>
      <c r="F64" s="15">
        <v>47.32</v>
      </c>
      <c r="G64" s="19">
        <v>453859097</v>
      </c>
      <c r="H64" s="15">
        <v>47.32</v>
      </c>
      <c r="I64" s="19">
        <v>453859097</v>
      </c>
      <c r="J64" s="15">
        <v>47.32</v>
      </c>
      <c r="K64" s="19">
        <v>451385103</v>
      </c>
      <c r="L64" s="15" t="s">
        <v>82</v>
      </c>
      <c r="M64" s="15" t="s">
        <v>82</v>
      </c>
      <c r="N64" s="18" t="s">
        <v>82</v>
      </c>
    </row>
  </sheetData>
  <mergeCells count="19">
    <mergeCell ref="B1:N1"/>
    <mergeCell ref="B2:N2"/>
    <mergeCell ref="B3:E3"/>
    <mergeCell ref="B4:D4"/>
    <mergeCell ref="B5:N5"/>
    <mergeCell ref="B6:N6"/>
    <mergeCell ref="B7:N7"/>
    <mergeCell ref="B8:B10"/>
    <mergeCell ref="C8:C10"/>
    <mergeCell ref="D8:D10"/>
    <mergeCell ref="E8:E10"/>
    <mergeCell ref="F8:F10"/>
    <mergeCell ref="G8:G10"/>
    <mergeCell ref="H8:H10"/>
    <mergeCell ref="I8:I10"/>
    <mergeCell ref="J8:J10"/>
    <mergeCell ref="K8:K10"/>
    <mergeCell ref="L8:N8"/>
    <mergeCell ref="L9:N9"/>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58"/>
  <sheetViews>
    <sheetView showGridLines="0" zoomScale="81" zoomScaleNormal="81" workbookViewId="0">
      <selection activeCell="N10" sqref="N10"/>
    </sheetView>
  </sheetViews>
  <sheetFormatPr defaultColWidth="8.6328125" defaultRowHeight="13" x14ac:dyDescent="0.3"/>
  <cols>
    <col min="1" max="1" width="2.08984375" style="20" customWidth="1"/>
    <col min="2" max="2" width="27.90625" style="20" customWidth="1"/>
    <col min="3" max="3" width="34" style="20" customWidth="1"/>
    <col min="4" max="7" width="8.90625" style="20" customWidth="1"/>
    <col min="8" max="8" width="3.08984375" style="20" customWidth="1"/>
    <col min="9" max="10" width="7.81640625" style="20" customWidth="1"/>
    <col min="11" max="11" width="7.26953125" style="20" customWidth="1"/>
    <col min="12" max="12" width="9.08984375" style="20" customWidth="1"/>
    <col min="13" max="16384" width="8.6328125" style="20"/>
  </cols>
  <sheetData>
    <row r="1" spans="2:12" ht="27" customHeight="1" x14ac:dyDescent="0.3">
      <c r="B1" s="338" t="s">
        <v>275</v>
      </c>
      <c r="C1" s="338"/>
      <c r="D1" s="338"/>
      <c r="E1" s="338"/>
      <c r="F1" s="338"/>
      <c r="G1" s="338"/>
      <c r="H1" s="338"/>
      <c r="I1" s="338"/>
      <c r="J1" s="338"/>
      <c r="K1" s="338"/>
      <c r="L1" s="338"/>
    </row>
    <row r="2" spans="2:12" ht="14" x14ac:dyDescent="0.3">
      <c r="B2" s="339" t="s">
        <v>276</v>
      </c>
      <c r="C2" s="339"/>
      <c r="D2" s="339"/>
      <c r="E2" s="339"/>
      <c r="F2" s="339"/>
      <c r="G2" s="339"/>
      <c r="H2" s="339"/>
      <c r="I2" s="339"/>
      <c r="J2" s="339"/>
      <c r="K2" s="339"/>
      <c r="L2" s="339"/>
    </row>
    <row r="3" spans="2:12" x14ac:dyDescent="0.3">
      <c r="B3" s="21"/>
      <c r="C3" s="22" t="s">
        <v>277</v>
      </c>
      <c r="D3" s="23">
        <v>45717</v>
      </c>
      <c r="E3" s="23">
        <v>45352</v>
      </c>
      <c r="F3" s="23">
        <v>44986</v>
      </c>
      <c r="G3" s="23">
        <v>44621</v>
      </c>
      <c r="H3" s="24"/>
      <c r="I3" s="24"/>
      <c r="J3" s="24"/>
      <c r="K3" s="24"/>
    </row>
    <row r="4" spans="2:12" x14ac:dyDescent="0.3">
      <c r="B4" s="273"/>
      <c r="C4" s="273"/>
      <c r="D4" s="273"/>
      <c r="E4" s="273"/>
      <c r="F4" s="273"/>
      <c r="G4" s="273"/>
      <c r="H4" s="273"/>
      <c r="I4" s="273"/>
      <c r="J4" s="273"/>
      <c r="K4" s="273"/>
    </row>
    <row r="5" spans="2:12" x14ac:dyDescent="0.3">
      <c r="B5" s="25"/>
      <c r="C5" s="26" t="s">
        <v>278</v>
      </c>
      <c r="D5" s="26" t="s">
        <v>278</v>
      </c>
      <c r="E5" s="26" t="s">
        <v>278</v>
      </c>
      <c r="F5" s="26" t="s">
        <v>278</v>
      </c>
      <c r="G5" s="26" t="s">
        <v>278</v>
      </c>
      <c r="H5" s="24"/>
      <c r="I5" s="24"/>
      <c r="J5" s="24"/>
      <c r="K5" s="24"/>
    </row>
    <row r="6" spans="2:12" x14ac:dyDescent="0.3">
      <c r="B6" s="273"/>
      <c r="C6" s="273"/>
      <c r="D6" s="273"/>
      <c r="E6" s="273"/>
      <c r="F6" s="273"/>
      <c r="G6" s="273"/>
      <c r="H6" s="273"/>
      <c r="I6" s="273"/>
      <c r="J6" s="273"/>
      <c r="K6" s="273"/>
    </row>
    <row r="7" spans="2:12" ht="12.75" customHeight="1" x14ac:dyDescent="0.3">
      <c r="B7" s="274" t="s">
        <v>279</v>
      </c>
      <c r="C7" s="274"/>
      <c r="D7" s="22"/>
      <c r="E7" s="22"/>
      <c r="F7" s="22"/>
      <c r="G7" s="22"/>
      <c r="H7" s="24"/>
      <c r="I7" s="24"/>
      <c r="J7" s="24"/>
      <c r="K7" s="24"/>
    </row>
    <row r="8" spans="2:12" ht="12.75" customHeight="1" x14ac:dyDescent="0.3">
      <c r="B8" s="275" t="s">
        <v>280</v>
      </c>
      <c r="C8" s="275"/>
      <c r="D8" s="27"/>
      <c r="E8" s="27"/>
      <c r="F8" s="27"/>
      <c r="G8" s="28"/>
      <c r="H8" s="24"/>
      <c r="I8" s="276" t="s">
        <v>281</v>
      </c>
      <c r="J8" s="276"/>
      <c r="K8" s="276"/>
      <c r="L8" s="276"/>
    </row>
    <row r="9" spans="2:12" x14ac:dyDescent="0.3">
      <c r="B9" s="29" t="s">
        <v>282</v>
      </c>
      <c r="C9" s="30">
        <v>95.92</v>
      </c>
      <c r="D9" s="30">
        <v>95.92</v>
      </c>
      <c r="E9" s="30">
        <v>95.92</v>
      </c>
      <c r="F9" s="30">
        <v>95.92</v>
      </c>
      <c r="G9" s="31">
        <v>95.92</v>
      </c>
      <c r="H9" s="24"/>
      <c r="I9" s="32">
        <f t="shared" ref="I9:L14" si="0">D9/C9-1</f>
        <v>0</v>
      </c>
      <c r="J9" s="33">
        <f t="shared" si="0"/>
        <v>0</v>
      </c>
      <c r="K9" s="33">
        <f t="shared" si="0"/>
        <v>0</v>
      </c>
      <c r="L9" s="34">
        <f t="shared" si="0"/>
        <v>0</v>
      </c>
    </row>
    <row r="10" spans="2:12" x14ac:dyDescent="0.3">
      <c r="B10" s="35" t="s">
        <v>283</v>
      </c>
      <c r="C10" s="36">
        <v>95.92</v>
      </c>
      <c r="D10" s="36">
        <v>95.92</v>
      </c>
      <c r="E10" s="36">
        <v>95.92</v>
      </c>
      <c r="F10" s="36">
        <v>95.92</v>
      </c>
      <c r="G10" s="37">
        <v>95.92</v>
      </c>
      <c r="H10" s="24"/>
      <c r="I10" s="32">
        <f t="shared" si="0"/>
        <v>0</v>
      </c>
      <c r="J10" s="33">
        <f t="shared" si="0"/>
        <v>0</v>
      </c>
      <c r="K10" s="33">
        <f t="shared" si="0"/>
        <v>0</v>
      </c>
      <c r="L10" s="34">
        <f t="shared" si="0"/>
        <v>0</v>
      </c>
    </row>
    <row r="11" spans="2:12" x14ac:dyDescent="0.3">
      <c r="B11" s="29" t="s">
        <v>284</v>
      </c>
      <c r="C11" s="38">
        <v>21275.67</v>
      </c>
      <c r="D11" s="38">
        <v>19303.89</v>
      </c>
      <c r="E11" s="38">
        <v>18632.38</v>
      </c>
      <c r="F11" s="38">
        <v>15896.31</v>
      </c>
      <c r="G11" s="39">
        <v>13715.64</v>
      </c>
      <c r="H11" s="24"/>
      <c r="I11" s="32">
        <f t="shared" si="0"/>
        <v>-9.2677692406396561E-2</v>
      </c>
      <c r="J11" s="33">
        <f t="shared" si="0"/>
        <v>-3.4786252926223615E-2</v>
      </c>
      <c r="K11" s="33">
        <f t="shared" si="0"/>
        <v>-0.14684490118814675</v>
      </c>
      <c r="L11" s="34">
        <f t="shared" si="0"/>
        <v>-0.13718089292420699</v>
      </c>
    </row>
    <row r="12" spans="2:12" x14ac:dyDescent="0.3">
      <c r="B12" s="35" t="s">
        <v>285</v>
      </c>
      <c r="C12" s="40">
        <v>21275.67</v>
      </c>
      <c r="D12" s="40">
        <v>19303.89</v>
      </c>
      <c r="E12" s="40">
        <v>18632.38</v>
      </c>
      <c r="F12" s="40">
        <v>15896.31</v>
      </c>
      <c r="G12" s="41">
        <v>13715.64</v>
      </c>
      <c r="H12" s="24"/>
      <c r="I12" s="32">
        <f t="shared" si="0"/>
        <v>-9.2677692406396561E-2</v>
      </c>
      <c r="J12" s="33">
        <f t="shared" si="0"/>
        <v>-3.4786252926223615E-2</v>
      </c>
      <c r="K12" s="33">
        <f t="shared" si="0"/>
        <v>-0.14684490118814675</v>
      </c>
      <c r="L12" s="34">
        <f t="shared" si="0"/>
        <v>-0.13718089292420699</v>
      </c>
    </row>
    <row r="13" spans="2:12" x14ac:dyDescent="0.3">
      <c r="B13" s="35" t="s">
        <v>286</v>
      </c>
      <c r="C13" s="40">
        <v>21371.59</v>
      </c>
      <c r="D13" s="40">
        <v>19399.810000000001</v>
      </c>
      <c r="E13" s="40">
        <v>18728.3</v>
      </c>
      <c r="F13" s="40">
        <v>15992.23</v>
      </c>
      <c r="G13" s="41">
        <v>13811.56</v>
      </c>
      <c r="H13" s="24"/>
      <c r="I13" s="32">
        <f t="shared" si="0"/>
        <v>-9.2261736258275495E-2</v>
      </c>
      <c r="J13" s="33">
        <f t="shared" si="0"/>
        <v>-3.4614256531378507E-2</v>
      </c>
      <c r="K13" s="33">
        <f t="shared" si="0"/>
        <v>-0.14609281141374286</v>
      </c>
      <c r="L13" s="34">
        <f t="shared" si="0"/>
        <v>-0.13635809389934983</v>
      </c>
    </row>
    <row r="14" spans="2:12" x14ac:dyDescent="0.3">
      <c r="B14" s="29" t="s">
        <v>287</v>
      </c>
      <c r="C14" s="30">
        <v>643.39</v>
      </c>
      <c r="D14" s="30">
        <v>659.24</v>
      </c>
      <c r="E14" s="30">
        <v>695.38</v>
      </c>
      <c r="F14" s="30">
        <v>453.66</v>
      </c>
      <c r="G14" s="31">
        <v>387.53</v>
      </c>
      <c r="H14" s="24"/>
      <c r="I14" s="32">
        <f t="shared" si="0"/>
        <v>2.4635135765243454E-2</v>
      </c>
      <c r="J14" s="33">
        <f t="shared" si="0"/>
        <v>5.4820702627267792E-2</v>
      </c>
      <c r="K14" s="33">
        <f t="shared" si="0"/>
        <v>-0.34760850182633951</v>
      </c>
      <c r="L14" s="34">
        <f t="shared" si="0"/>
        <v>-0.14576995988184993</v>
      </c>
    </row>
    <row r="15" spans="2:12" ht="12.75" customHeight="1" x14ac:dyDescent="0.3">
      <c r="B15" s="272" t="s">
        <v>288</v>
      </c>
      <c r="C15" s="272"/>
      <c r="D15" s="43"/>
      <c r="E15" s="43"/>
      <c r="F15" s="43"/>
      <c r="G15" s="44"/>
      <c r="H15" s="24"/>
      <c r="I15" s="45"/>
      <c r="J15" s="24"/>
      <c r="K15" s="24"/>
      <c r="L15" s="46"/>
    </row>
    <row r="16" spans="2:12" x14ac:dyDescent="0.3">
      <c r="B16" s="29" t="s">
        <v>289</v>
      </c>
      <c r="C16" s="38">
        <v>1247.17</v>
      </c>
      <c r="D16" s="30">
        <v>259.62</v>
      </c>
      <c r="E16" s="30">
        <v>54.38</v>
      </c>
      <c r="F16" s="30">
        <v>76.150000000000006</v>
      </c>
      <c r="G16" s="31">
        <v>44.54</v>
      </c>
      <c r="H16" s="24"/>
      <c r="I16" s="32">
        <f t="shared" ref="I16:L20" si="1">D16/C16-1</f>
        <v>-0.79183270925375049</v>
      </c>
      <c r="J16" s="33">
        <f t="shared" si="1"/>
        <v>-0.79054002002927359</v>
      </c>
      <c r="K16" s="33">
        <f t="shared" si="1"/>
        <v>0.40033100404560495</v>
      </c>
      <c r="L16" s="34">
        <f t="shared" si="1"/>
        <v>-0.41510177281680893</v>
      </c>
    </row>
    <row r="17" spans="2:12" x14ac:dyDescent="0.3">
      <c r="B17" s="29" t="s">
        <v>290</v>
      </c>
      <c r="C17" s="30">
        <v>403.26</v>
      </c>
      <c r="D17" s="30">
        <v>404.91</v>
      </c>
      <c r="E17" s="30">
        <v>352.17</v>
      </c>
      <c r="F17" s="30">
        <v>334.84</v>
      </c>
      <c r="G17" s="31">
        <v>348.85</v>
      </c>
      <c r="H17" s="24"/>
      <c r="I17" s="32">
        <f t="shared" si="1"/>
        <v>4.0916530278232166E-3</v>
      </c>
      <c r="J17" s="33">
        <f t="shared" si="1"/>
        <v>-0.1302511669259836</v>
      </c>
      <c r="K17" s="33">
        <f t="shared" si="1"/>
        <v>-4.9209188744072541E-2</v>
      </c>
      <c r="L17" s="34">
        <f t="shared" si="1"/>
        <v>4.1840879225899075E-2</v>
      </c>
    </row>
    <row r="18" spans="2:12" x14ac:dyDescent="0.3">
      <c r="B18" s="29" t="s">
        <v>291</v>
      </c>
      <c r="C18" s="38">
        <v>1458.25</v>
      </c>
      <c r="D18" s="38">
        <v>1248.78</v>
      </c>
      <c r="E18" s="38">
        <v>1370.34</v>
      </c>
      <c r="F18" s="30">
        <v>814.49</v>
      </c>
      <c r="G18" s="31">
        <v>602.66</v>
      </c>
      <c r="H18" s="24"/>
      <c r="I18" s="32">
        <f t="shared" si="1"/>
        <v>-0.14364477970169731</v>
      </c>
      <c r="J18" s="33">
        <f t="shared" si="1"/>
        <v>9.734300677461194E-2</v>
      </c>
      <c r="K18" s="33">
        <f t="shared" si="1"/>
        <v>-0.40562925989170562</v>
      </c>
      <c r="L18" s="34">
        <f t="shared" si="1"/>
        <v>-0.26007685791108548</v>
      </c>
    </row>
    <row r="19" spans="2:12" x14ac:dyDescent="0.3">
      <c r="B19" s="29" t="s">
        <v>292</v>
      </c>
      <c r="C19" s="30">
        <v>273.8</v>
      </c>
      <c r="D19" s="30">
        <v>257.77999999999997</v>
      </c>
      <c r="E19" s="30">
        <v>222.56</v>
      </c>
      <c r="F19" s="30">
        <v>230.7</v>
      </c>
      <c r="G19" s="31">
        <v>218.32</v>
      </c>
      <c r="H19" s="24"/>
      <c r="I19" s="32">
        <f t="shared" si="1"/>
        <v>-5.8509861212564074E-2</v>
      </c>
      <c r="J19" s="33">
        <f t="shared" si="1"/>
        <v>-0.13662813251609884</v>
      </c>
      <c r="K19" s="33">
        <f t="shared" si="1"/>
        <v>3.6574406901509704E-2</v>
      </c>
      <c r="L19" s="34">
        <f t="shared" si="1"/>
        <v>-5.3662765496315545E-2</v>
      </c>
    </row>
    <row r="20" spans="2:12" x14ac:dyDescent="0.3">
      <c r="B20" s="35" t="s">
        <v>293</v>
      </c>
      <c r="C20" s="40">
        <v>3382.48</v>
      </c>
      <c r="D20" s="40">
        <v>2171.09</v>
      </c>
      <c r="E20" s="40">
        <v>1999.45</v>
      </c>
      <c r="F20" s="40">
        <v>1456.18</v>
      </c>
      <c r="G20" s="41">
        <v>1214.3699999999999</v>
      </c>
      <c r="H20" s="24"/>
      <c r="I20" s="32">
        <f t="shared" si="1"/>
        <v>-0.35813663347602942</v>
      </c>
      <c r="J20" s="33">
        <f t="shared" si="1"/>
        <v>-7.9057063502664615E-2</v>
      </c>
      <c r="K20" s="33">
        <f t="shared" si="1"/>
        <v>-0.27170972017304762</v>
      </c>
      <c r="L20" s="34">
        <f t="shared" si="1"/>
        <v>-0.16605776758367796</v>
      </c>
    </row>
    <row r="21" spans="2:12" ht="12.75" customHeight="1" x14ac:dyDescent="0.3">
      <c r="B21" s="272" t="s">
        <v>294</v>
      </c>
      <c r="C21" s="272"/>
      <c r="D21" s="43"/>
      <c r="E21" s="43"/>
      <c r="F21" s="43"/>
      <c r="G21" s="44"/>
      <c r="H21" s="24"/>
      <c r="I21" s="45"/>
      <c r="J21" s="24"/>
      <c r="K21" s="24"/>
      <c r="L21" s="46"/>
    </row>
    <row r="22" spans="2:12" x14ac:dyDescent="0.3">
      <c r="B22" s="29" t="s">
        <v>295</v>
      </c>
      <c r="C22" s="38">
        <v>1046.0899999999999</v>
      </c>
      <c r="D22" s="30">
        <v>604.13</v>
      </c>
      <c r="E22" s="38">
        <v>1052.76</v>
      </c>
      <c r="F22" s="30">
        <v>896.06</v>
      </c>
      <c r="G22" s="31">
        <v>731.12</v>
      </c>
      <c r="H22" s="24"/>
      <c r="I22" s="32">
        <f t="shared" ref="I22:L27" si="2">D22/C22-1</f>
        <v>-0.42248754887246787</v>
      </c>
      <c r="J22" s="33">
        <f t="shared" si="2"/>
        <v>0.7426050684455332</v>
      </c>
      <c r="K22" s="33">
        <f t="shared" si="2"/>
        <v>-0.14884684068543641</v>
      </c>
      <c r="L22" s="34">
        <f t="shared" si="2"/>
        <v>-0.18407249514541435</v>
      </c>
    </row>
    <row r="23" spans="2:12" x14ac:dyDescent="0.3">
      <c r="B23" s="29" t="s">
        <v>296</v>
      </c>
      <c r="C23" s="38">
        <v>3863.04</v>
      </c>
      <c r="D23" s="38">
        <v>3848</v>
      </c>
      <c r="E23" s="38">
        <v>3831.34</v>
      </c>
      <c r="F23" s="38">
        <v>3635.44</v>
      </c>
      <c r="G23" s="39">
        <v>4164.3</v>
      </c>
      <c r="H23" s="24"/>
      <c r="I23" s="32">
        <f t="shared" si="2"/>
        <v>-3.8933068257124281E-3</v>
      </c>
      <c r="J23" s="33">
        <f t="shared" si="2"/>
        <v>-4.3295218295218429E-3</v>
      </c>
      <c r="K23" s="33">
        <f t="shared" si="2"/>
        <v>-5.1130935912761633E-2</v>
      </c>
      <c r="L23" s="34">
        <f t="shared" si="2"/>
        <v>0.14547345025636504</v>
      </c>
    </row>
    <row r="24" spans="2:12" x14ac:dyDescent="0.3">
      <c r="B24" s="29" t="s">
        <v>297</v>
      </c>
      <c r="C24" s="38">
        <v>4011.32</v>
      </c>
      <c r="D24" s="38">
        <v>3621.95</v>
      </c>
      <c r="E24" s="38">
        <v>3554.38</v>
      </c>
      <c r="F24" s="38">
        <v>3290.22</v>
      </c>
      <c r="G24" s="39">
        <v>2605.87</v>
      </c>
      <c r="H24" s="24"/>
      <c r="I24" s="32">
        <f t="shared" si="2"/>
        <v>-9.7067798131288519E-2</v>
      </c>
      <c r="J24" s="33">
        <f t="shared" si="2"/>
        <v>-1.8655696517069442E-2</v>
      </c>
      <c r="K24" s="33">
        <f t="shared" si="2"/>
        <v>-7.4319571908462279E-2</v>
      </c>
      <c r="L24" s="34">
        <f t="shared" si="2"/>
        <v>-0.20799521004674459</v>
      </c>
    </row>
    <row r="25" spans="2:12" x14ac:dyDescent="0.3">
      <c r="B25" s="29" t="s">
        <v>298</v>
      </c>
      <c r="C25" s="30">
        <v>216.58</v>
      </c>
      <c r="D25" s="30">
        <v>67.150000000000006</v>
      </c>
      <c r="E25" s="30">
        <v>62.48</v>
      </c>
      <c r="F25" s="30">
        <v>74.209999999999994</v>
      </c>
      <c r="G25" s="31">
        <v>69.7</v>
      </c>
      <c r="H25" s="24"/>
      <c r="I25" s="32">
        <f t="shared" si="2"/>
        <v>-0.68995290423861855</v>
      </c>
      <c r="J25" s="33">
        <f t="shared" si="2"/>
        <v>-6.9545793000744704E-2</v>
      </c>
      <c r="K25" s="33">
        <f t="shared" si="2"/>
        <v>0.18774007682458382</v>
      </c>
      <c r="L25" s="34">
        <f t="shared" si="2"/>
        <v>-6.077348066298327E-2</v>
      </c>
    </row>
    <row r="26" spans="2:12" x14ac:dyDescent="0.3">
      <c r="B26" s="35" t="s">
        <v>299</v>
      </c>
      <c r="C26" s="40">
        <v>9137.0300000000007</v>
      </c>
      <c r="D26" s="40">
        <v>8141.23</v>
      </c>
      <c r="E26" s="40">
        <v>8500.9599999999991</v>
      </c>
      <c r="F26" s="40">
        <v>7895.93</v>
      </c>
      <c r="G26" s="41">
        <v>7570.99</v>
      </c>
      <c r="H26" s="24"/>
      <c r="I26" s="32">
        <f t="shared" si="2"/>
        <v>-0.10898508596338208</v>
      </c>
      <c r="J26" s="33">
        <f t="shared" si="2"/>
        <v>4.4186197908669733E-2</v>
      </c>
      <c r="K26" s="33">
        <f t="shared" si="2"/>
        <v>-7.1171961754907587E-2</v>
      </c>
      <c r="L26" s="34">
        <f t="shared" si="2"/>
        <v>-4.1152847099708345E-2</v>
      </c>
    </row>
    <row r="27" spans="2:12" x14ac:dyDescent="0.3">
      <c r="B27" s="35" t="s">
        <v>300</v>
      </c>
      <c r="C27" s="40">
        <v>34534.49</v>
      </c>
      <c r="D27" s="40">
        <v>30371.37</v>
      </c>
      <c r="E27" s="40">
        <v>29924.09</v>
      </c>
      <c r="F27" s="40">
        <v>25798</v>
      </c>
      <c r="G27" s="41">
        <v>22984.45</v>
      </c>
      <c r="H27" s="24"/>
      <c r="I27" s="32">
        <f t="shared" si="2"/>
        <v>-0.12054963023921883</v>
      </c>
      <c r="J27" s="33">
        <f t="shared" si="2"/>
        <v>-1.4727027460400999E-2</v>
      </c>
      <c r="K27" s="33">
        <f t="shared" si="2"/>
        <v>-0.1378852289242547</v>
      </c>
      <c r="L27" s="34">
        <f t="shared" si="2"/>
        <v>-0.10906077990541896</v>
      </c>
    </row>
    <row r="28" spans="2:12" ht="12.75" customHeight="1" x14ac:dyDescent="0.3">
      <c r="B28" s="272" t="s">
        <v>301</v>
      </c>
      <c r="C28" s="272"/>
      <c r="D28" s="43"/>
      <c r="E28" s="43"/>
      <c r="F28" s="43"/>
      <c r="G28" s="44"/>
      <c r="H28" s="24"/>
      <c r="I28" s="45"/>
      <c r="J28" s="24"/>
      <c r="K28" s="24"/>
      <c r="L28" s="46"/>
    </row>
    <row r="29" spans="2:12" ht="12.75" customHeight="1" x14ac:dyDescent="0.3">
      <c r="B29" s="272" t="s">
        <v>302</v>
      </c>
      <c r="C29" s="272"/>
      <c r="D29" s="43"/>
      <c r="E29" s="43"/>
      <c r="F29" s="43"/>
      <c r="G29" s="44"/>
      <c r="H29" s="24"/>
      <c r="I29" s="45"/>
      <c r="J29" s="24"/>
      <c r="K29" s="24"/>
      <c r="L29" s="46"/>
    </row>
    <row r="30" spans="2:12" x14ac:dyDescent="0.3">
      <c r="B30" s="29" t="s">
        <v>303</v>
      </c>
      <c r="C30" s="38">
        <v>9165</v>
      </c>
      <c r="D30" s="38">
        <v>8631.34</v>
      </c>
      <c r="E30" s="38">
        <v>6302.47</v>
      </c>
      <c r="F30" s="38">
        <v>5354.57</v>
      </c>
      <c r="G30" s="39">
        <v>5090.21</v>
      </c>
      <c r="H30" s="24"/>
      <c r="I30" s="32">
        <f t="shared" ref="I30:L35" si="3">D30/C30-1</f>
        <v>-5.8228041462084046E-2</v>
      </c>
      <c r="J30" s="33">
        <f t="shared" si="3"/>
        <v>-0.26981557904102949</v>
      </c>
      <c r="K30" s="33">
        <f t="shared" si="3"/>
        <v>-0.15040135058159743</v>
      </c>
      <c r="L30" s="34">
        <f t="shared" si="3"/>
        <v>-4.9370911202953671E-2</v>
      </c>
    </row>
    <row r="31" spans="2:12" x14ac:dyDescent="0.3">
      <c r="B31" s="29" t="s">
        <v>304</v>
      </c>
      <c r="C31" s="30">
        <v>256.2</v>
      </c>
      <c r="D31" s="30">
        <v>369.18</v>
      </c>
      <c r="E31" s="30">
        <v>424.96</v>
      </c>
      <c r="F31" s="30">
        <v>187.41</v>
      </c>
      <c r="G31" s="31">
        <v>185.99</v>
      </c>
      <c r="H31" s="24"/>
      <c r="I31" s="32">
        <f t="shared" si="3"/>
        <v>0.44098360655737712</v>
      </c>
      <c r="J31" s="33">
        <f t="shared" si="3"/>
        <v>0.15109160842949221</v>
      </c>
      <c r="K31" s="33">
        <f t="shared" si="3"/>
        <v>-0.55899378765060237</v>
      </c>
      <c r="L31" s="34">
        <f t="shared" si="3"/>
        <v>-7.57697027906723E-3</v>
      </c>
    </row>
    <row r="32" spans="2:12" x14ac:dyDescent="0.3">
      <c r="B32" s="29" t="s">
        <v>305</v>
      </c>
      <c r="C32" s="38">
        <v>1848.67</v>
      </c>
      <c r="D32" s="38">
        <v>1254.49</v>
      </c>
      <c r="E32" s="38">
        <v>2698.37</v>
      </c>
      <c r="F32" s="38">
        <v>1019.59</v>
      </c>
      <c r="G32" s="31">
        <v>426.43</v>
      </c>
      <c r="H32" s="24"/>
      <c r="I32" s="32">
        <f t="shared" si="3"/>
        <v>-0.32140944570961827</v>
      </c>
      <c r="J32" s="33">
        <f t="shared" si="3"/>
        <v>1.1509697167773356</v>
      </c>
      <c r="K32" s="33">
        <f t="shared" si="3"/>
        <v>-0.62214596219199003</v>
      </c>
      <c r="L32" s="34">
        <f t="shared" si="3"/>
        <v>-0.58176325778008808</v>
      </c>
    </row>
    <row r="33" spans="2:12" x14ac:dyDescent="0.3">
      <c r="B33" s="35" t="s">
        <v>306</v>
      </c>
      <c r="C33" s="40">
        <v>11269.87</v>
      </c>
      <c r="D33" s="40">
        <v>10255.01</v>
      </c>
      <c r="E33" s="40">
        <v>9425.7999999999993</v>
      </c>
      <c r="F33" s="40">
        <v>6561.57</v>
      </c>
      <c r="G33" s="41">
        <v>5702.63</v>
      </c>
      <c r="H33" s="24"/>
      <c r="I33" s="32">
        <f t="shared" si="3"/>
        <v>-9.0050728180538053E-2</v>
      </c>
      <c r="J33" s="33">
        <f t="shared" si="3"/>
        <v>-8.0859014276924213E-2</v>
      </c>
      <c r="K33" s="33">
        <f t="shared" si="3"/>
        <v>-0.30387128943962316</v>
      </c>
      <c r="L33" s="34">
        <f t="shared" si="3"/>
        <v>-0.13090464629654175</v>
      </c>
    </row>
    <row r="34" spans="2:12" x14ac:dyDescent="0.3">
      <c r="B34" s="29" t="s">
        <v>307</v>
      </c>
      <c r="C34" s="30">
        <v>775.91</v>
      </c>
      <c r="D34" s="38">
        <v>1479.79</v>
      </c>
      <c r="E34" s="38">
        <v>1384.51</v>
      </c>
      <c r="F34" s="38">
        <v>1564.71</v>
      </c>
      <c r="G34" s="39">
        <v>1066.83</v>
      </c>
      <c r="H34" s="24"/>
      <c r="I34" s="32">
        <f t="shared" si="3"/>
        <v>0.90716706834555549</v>
      </c>
      <c r="J34" s="33">
        <f t="shared" si="3"/>
        <v>-6.43875144446171E-2</v>
      </c>
      <c r="K34" s="33">
        <f t="shared" si="3"/>
        <v>0.13015435063668734</v>
      </c>
      <c r="L34" s="34">
        <f t="shared" si="3"/>
        <v>-0.31819314761201767</v>
      </c>
    </row>
    <row r="35" spans="2:12" x14ac:dyDescent="0.3">
      <c r="B35" s="29" t="s">
        <v>308</v>
      </c>
      <c r="C35" s="30">
        <v>15.74</v>
      </c>
      <c r="D35" s="30">
        <v>16.12</v>
      </c>
      <c r="E35" s="30">
        <v>23.32</v>
      </c>
      <c r="F35" s="30">
        <v>18.670000000000002</v>
      </c>
      <c r="G35" s="31">
        <v>26.02</v>
      </c>
      <c r="H35" s="24"/>
      <c r="I35" s="32">
        <f t="shared" si="3"/>
        <v>2.414231257941557E-2</v>
      </c>
      <c r="J35" s="33">
        <f t="shared" si="3"/>
        <v>0.4466501240694789</v>
      </c>
      <c r="K35" s="33">
        <f t="shared" si="3"/>
        <v>-0.19939965694682671</v>
      </c>
      <c r="L35" s="34">
        <f t="shared" si="3"/>
        <v>0.39367970005356168</v>
      </c>
    </row>
    <row r="36" spans="2:12" x14ac:dyDescent="0.3">
      <c r="B36" s="29" t="s">
        <v>309</v>
      </c>
      <c r="C36" s="30">
        <v>1.57</v>
      </c>
      <c r="D36" s="30">
        <v>0</v>
      </c>
      <c r="E36" s="30">
        <v>0</v>
      </c>
      <c r="F36" s="30">
        <v>0</v>
      </c>
      <c r="G36" s="31">
        <v>0</v>
      </c>
      <c r="H36" s="24"/>
      <c r="I36" s="32">
        <f>D36/C36-1</f>
        <v>-1</v>
      </c>
      <c r="J36" s="33">
        <v>0</v>
      </c>
      <c r="K36" s="33">
        <v>0</v>
      </c>
      <c r="L36" s="34">
        <v>0</v>
      </c>
    </row>
    <row r="37" spans="2:12" x14ac:dyDescent="0.3">
      <c r="B37" s="29" t="s">
        <v>310</v>
      </c>
      <c r="C37" s="38">
        <v>2067.6799999999998</v>
      </c>
      <c r="D37" s="38">
        <v>1409.19</v>
      </c>
      <c r="E37" s="38">
        <v>1134.21</v>
      </c>
      <c r="F37" s="30">
        <v>889.41</v>
      </c>
      <c r="G37" s="31">
        <v>793.78</v>
      </c>
      <c r="H37" s="24"/>
      <c r="I37" s="32">
        <f>D37/C37-1</f>
        <v>-0.31846804147643726</v>
      </c>
      <c r="J37" s="33">
        <f t="shared" ref="J37:L38" si="4">E37/D37-1</f>
        <v>-0.19513337449172929</v>
      </c>
      <c r="K37" s="33">
        <f t="shared" si="4"/>
        <v>-0.21583304679027704</v>
      </c>
      <c r="L37" s="34">
        <f t="shared" si="4"/>
        <v>-0.10752071598025659</v>
      </c>
    </row>
    <row r="38" spans="2:12" x14ac:dyDescent="0.3">
      <c r="B38" s="35" t="s">
        <v>311</v>
      </c>
      <c r="C38" s="40">
        <v>14349.85</v>
      </c>
      <c r="D38" s="40">
        <v>13379.69</v>
      </c>
      <c r="E38" s="40">
        <v>12387.03</v>
      </c>
      <c r="F38" s="40">
        <v>9262.84</v>
      </c>
      <c r="G38" s="41">
        <v>7832.12</v>
      </c>
      <c r="H38" s="24"/>
      <c r="I38" s="32">
        <f>D38/C38-1</f>
        <v>-6.7607675341554097E-2</v>
      </c>
      <c r="J38" s="33">
        <f t="shared" si="4"/>
        <v>-7.4191554512847424E-2</v>
      </c>
      <c r="K38" s="33">
        <f t="shared" si="4"/>
        <v>-0.25221461480274132</v>
      </c>
      <c r="L38" s="34">
        <f t="shared" si="4"/>
        <v>-0.15445802799141517</v>
      </c>
    </row>
    <row r="39" spans="2:12" ht="12.75" customHeight="1" x14ac:dyDescent="0.3">
      <c r="B39" s="272" t="s">
        <v>312</v>
      </c>
      <c r="C39" s="272"/>
      <c r="D39" s="43"/>
      <c r="E39" s="43"/>
      <c r="F39" s="43"/>
      <c r="G39" s="44"/>
      <c r="H39" s="24"/>
      <c r="I39" s="45"/>
      <c r="J39" s="24"/>
      <c r="K39" s="24"/>
      <c r="L39" s="46"/>
    </row>
    <row r="40" spans="2:12" x14ac:dyDescent="0.3">
      <c r="B40" s="29" t="s">
        <v>313</v>
      </c>
      <c r="C40" s="38">
        <v>6285.83</v>
      </c>
      <c r="D40" s="38">
        <v>3244.96</v>
      </c>
      <c r="E40" s="38">
        <v>3203.41</v>
      </c>
      <c r="F40" s="38">
        <v>2697</v>
      </c>
      <c r="G40" s="39">
        <v>2180.6999999999998</v>
      </c>
      <c r="H40" s="24"/>
      <c r="I40" s="32">
        <f t="shared" ref="I40:L43" si="5">D40/C40-1</f>
        <v>-0.48376586703744773</v>
      </c>
      <c r="J40" s="33">
        <f t="shared" si="5"/>
        <v>-1.2804472166066838E-2</v>
      </c>
      <c r="K40" s="33">
        <f t="shared" si="5"/>
        <v>-0.15808466602776416</v>
      </c>
      <c r="L40" s="34">
        <f t="shared" si="5"/>
        <v>-0.19143492769744164</v>
      </c>
    </row>
    <row r="41" spans="2:12" x14ac:dyDescent="0.3">
      <c r="B41" s="29" t="s">
        <v>314</v>
      </c>
      <c r="C41" s="38">
        <v>5743.69</v>
      </c>
      <c r="D41" s="38">
        <v>6719.27</v>
      </c>
      <c r="E41" s="38">
        <v>5923.41</v>
      </c>
      <c r="F41" s="38">
        <v>6210.64</v>
      </c>
      <c r="G41" s="39">
        <v>6152.98</v>
      </c>
      <c r="H41" s="24"/>
      <c r="I41" s="32">
        <f t="shared" si="5"/>
        <v>0.16985248159284372</v>
      </c>
      <c r="J41" s="33">
        <f t="shared" si="5"/>
        <v>-0.11844441434858255</v>
      </c>
      <c r="K41" s="33">
        <f t="shared" si="5"/>
        <v>4.8490649811510744E-2</v>
      </c>
      <c r="L41" s="34">
        <f t="shared" si="5"/>
        <v>-9.284067342496205E-3</v>
      </c>
    </row>
    <row r="42" spans="2:12" x14ac:dyDescent="0.3">
      <c r="B42" s="29" t="s">
        <v>315</v>
      </c>
      <c r="C42" s="38">
        <v>4461.8</v>
      </c>
      <c r="D42" s="38">
        <v>4313.6499999999996</v>
      </c>
      <c r="E42" s="38">
        <v>4889.05</v>
      </c>
      <c r="F42" s="38">
        <v>4636.9399999999996</v>
      </c>
      <c r="G42" s="39">
        <v>3871.44</v>
      </c>
      <c r="H42" s="24"/>
      <c r="I42" s="32">
        <f t="shared" si="5"/>
        <v>-3.320408803621866E-2</v>
      </c>
      <c r="J42" s="33">
        <f t="shared" si="5"/>
        <v>0.13339051615221464</v>
      </c>
      <c r="K42" s="33">
        <f t="shared" si="5"/>
        <v>-5.1566255202953659E-2</v>
      </c>
      <c r="L42" s="34">
        <f t="shared" si="5"/>
        <v>-0.16508732051741015</v>
      </c>
    </row>
    <row r="43" spans="2:12" x14ac:dyDescent="0.3">
      <c r="B43" s="29" t="s">
        <v>316</v>
      </c>
      <c r="C43" s="38">
        <v>1073.68</v>
      </c>
      <c r="D43" s="30">
        <v>781.98</v>
      </c>
      <c r="E43" s="38">
        <v>1084.01</v>
      </c>
      <c r="F43" s="30">
        <v>843.82</v>
      </c>
      <c r="G43" s="31">
        <v>864.33</v>
      </c>
      <c r="H43" s="24"/>
      <c r="I43" s="32">
        <f t="shared" si="5"/>
        <v>-0.27168243797034497</v>
      </c>
      <c r="J43" s="33">
        <f t="shared" si="5"/>
        <v>0.38623749968029863</v>
      </c>
      <c r="K43" s="33">
        <f t="shared" si="5"/>
        <v>-0.22157544672097118</v>
      </c>
      <c r="L43" s="34">
        <f t="shared" si="5"/>
        <v>2.4306131639449058E-2</v>
      </c>
    </row>
    <row r="44" spans="2:12" x14ac:dyDescent="0.3">
      <c r="B44" s="29" t="s">
        <v>317</v>
      </c>
      <c r="C44" s="30">
        <v>0.46</v>
      </c>
      <c r="D44" s="30">
        <v>0</v>
      </c>
      <c r="E44" s="30">
        <v>0</v>
      </c>
      <c r="F44" s="30">
        <v>0</v>
      </c>
      <c r="G44" s="31">
        <v>0</v>
      </c>
      <c r="H44" s="24"/>
      <c r="I44" s="32">
        <f>D44/C44-1</f>
        <v>-1</v>
      </c>
      <c r="J44" s="33">
        <v>0</v>
      </c>
      <c r="K44" s="33">
        <v>0</v>
      </c>
      <c r="L44" s="34">
        <v>0</v>
      </c>
    </row>
    <row r="45" spans="2:12" x14ac:dyDescent="0.3">
      <c r="B45" s="29" t="s">
        <v>318</v>
      </c>
      <c r="C45" s="38">
        <v>2619.1799999999998</v>
      </c>
      <c r="D45" s="38">
        <v>1931.82</v>
      </c>
      <c r="E45" s="38">
        <v>2437.1799999999998</v>
      </c>
      <c r="F45" s="38">
        <v>2146.7600000000002</v>
      </c>
      <c r="G45" s="39">
        <v>2082.88</v>
      </c>
      <c r="H45" s="24"/>
      <c r="I45" s="32">
        <f>D45/C45-1</f>
        <v>-0.26243328064508742</v>
      </c>
      <c r="J45" s="33">
        <f t="shared" ref="J45:L47" si="6">E45/D45-1</f>
        <v>0.26159787143729751</v>
      </c>
      <c r="K45" s="33">
        <f t="shared" si="6"/>
        <v>-0.11916231053922965</v>
      </c>
      <c r="L45" s="34">
        <f t="shared" si="6"/>
        <v>-2.9756470215580699E-2</v>
      </c>
    </row>
    <row r="46" spans="2:12" x14ac:dyDescent="0.3">
      <c r="B46" s="35" t="s">
        <v>319</v>
      </c>
      <c r="C46" s="40">
        <v>20184.64</v>
      </c>
      <c r="D46" s="40">
        <v>16991.68</v>
      </c>
      <c r="E46" s="40">
        <v>17537.060000000001</v>
      </c>
      <c r="F46" s="40">
        <v>16535.16</v>
      </c>
      <c r="G46" s="41">
        <v>15152.33</v>
      </c>
      <c r="H46" s="24"/>
      <c r="I46" s="32">
        <f>D46/C46-1</f>
        <v>-0.1581876119663268</v>
      </c>
      <c r="J46" s="33">
        <f t="shared" si="6"/>
        <v>3.2096885063748859E-2</v>
      </c>
      <c r="K46" s="33">
        <f t="shared" si="6"/>
        <v>-5.7130442616949551E-2</v>
      </c>
      <c r="L46" s="34">
        <f t="shared" si="6"/>
        <v>-8.3629671560480845E-2</v>
      </c>
    </row>
    <row r="47" spans="2:12" x14ac:dyDescent="0.3">
      <c r="B47" s="35" t="s">
        <v>320</v>
      </c>
      <c r="C47" s="40">
        <v>34534.49</v>
      </c>
      <c r="D47" s="40">
        <v>30371.37</v>
      </c>
      <c r="E47" s="40">
        <v>29924.09</v>
      </c>
      <c r="F47" s="40">
        <v>25798</v>
      </c>
      <c r="G47" s="41">
        <v>22984.45</v>
      </c>
      <c r="H47" s="24"/>
      <c r="I47" s="32">
        <f>D47/C47-1</f>
        <v>-0.12054963023921883</v>
      </c>
      <c r="J47" s="33">
        <f t="shared" si="6"/>
        <v>-1.4727027460400999E-2</v>
      </c>
      <c r="K47" s="33">
        <f t="shared" si="6"/>
        <v>-0.1378852289242547</v>
      </c>
      <c r="L47" s="34">
        <f t="shared" si="6"/>
        <v>-0.10906077990541896</v>
      </c>
    </row>
    <row r="48" spans="2:12" ht="12.75" customHeight="1" x14ac:dyDescent="0.3">
      <c r="B48" s="272" t="s">
        <v>321</v>
      </c>
      <c r="C48" s="272"/>
      <c r="D48" s="43"/>
      <c r="E48" s="43"/>
      <c r="F48" s="43"/>
      <c r="G48" s="44"/>
      <c r="H48" s="24"/>
      <c r="I48" s="45"/>
      <c r="J48" s="24"/>
      <c r="K48" s="24"/>
      <c r="L48" s="46"/>
    </row>
    <row r="49" spans="2:12" ht="12.75" customHeight="1" x14ac:dyDescent="0.3">
      <c r="B49" s="272" t="s">
        <v>322</v>
      </c>
      <c r="C49" s="272"/>
      <c r="D49" s="43"/>
      <c r="E49" s="43"/>
      <c r="F49" s="43"/>
      <c r="G49" s="44"/>
      <c r="H49" s="24"/>
      <c r="I49" s="45"/>
      <c r="J49" s="24"/>
      <c r="K49" s="24"/>
      <c r="L49" s="46"/>
    </row>
    <row r="50" spans="2:12" x14ac:dyDescent="0.3">
      <c r="B50" s="29" t="s">
        <v>323</v>
      </c>
      <c r="C50" s="30">
        <v>0</v>
      </c>
      <c r="D50" s="38">
        <v>2424.09</v>
      </c>
      <c r="E50" s="38">
        <v>2845.22</v>
      </c>
      <c r="F50" s="38">
        <v>2679.89</v>
      </c>
      <c r="G50" s="39">
        <v>1651.73</v>
      </c>
      <c r="H50" s="24"/>
      <c r="I50" s="32">
        <v>0</v>
      </c>
      <c r="J50" s="33">
        <f>E50/D50-1</f>
        <v>0.17372704808814832</v>
      </c>
      <c r="K50" s="33">
        <f>F50/E50-1</f>
        <v>-5.8107984619818476E-2</v>
      </c>
      <c r="L50" s="34">
        <f>G50/F50-1</f>
        <v>-0.38365753818253734</v>
      </c>
    </row>
    <row r="51" spans="2:12" ht="12.75" customHeight="1" x14ac:dyDescent="0.3">
      <c r="B51" s="272" t="s">
        <v>324</v>
      </c>
      <c r="C51" s="272"/>
      <c r="D51" s="43"/>
      <c r="E51" s="43"/>
      <c r="F51" s="43"/>
      <c r="G51" s="44"/>
      <c r="H51" s="24"/>
      <c r="I51" s="32"/>
      <c r="J51" s="33"/>
      <c r="K51" s="33"/>
      <c r="L51" s="34"/>
    </row>
    <row r="52" spans="2:12" x14ac:dyDescent="0.3">
      <c r="B52" s="29" t="s">
        <v>325</v>
      </c>
      <c r="C52" s="30">
        <v>0</v>
      </c>
      <c r="D52" s="30">
        <v>93.99</v>
      </c>
      <c r="E52" s="30">
        <v>93.99</v>
      </c>
      <c r="F52" s="30">
        <v>93.99</v>
      </c>
      <c r="G52" s="31">
        <v>93.99</v>
      </c>
      <c r="H52" s="24"/>
      <c r="I52" s="32">
        <v>0</v>
      </c>
      <c r="J52" s="33">
        <f>E52/D52-1</f>
        <v>0</v>
      </c>
      <c r="K52" s="33">
        <f>F52/E52-1</f>
        <v>0</v>
      </c>
      <c r="L52" s="34">
        <f>G52/F52-1</f>
        <v>0</v>
      </c>
    </row>
    <row r="53" spans="2:12" ht="12.75" customHeight="1" x14ac:dyDescent="0.3">
      <c r="B53" s="272" t="s">
        <v>326</v>
      </c>
      <c r="C53" s="272"/>
      <c r="D53" s="43"/>
      <c r="E53" s="43"/>
      <c r="F53" s="43"/>
      <c r="G53" s="44"/>
      <c r="H53" s="24"/>
      <c r="I53" s="32"/>
      <c r="J53" s="33"/>
      <c r="K53" s="33"/>
      <c r="L53" s="34"/>
    </row>
    <row r="54" spans="2:12" ht="24.75" customHeight="1" x14ac:dyDescent="0.3">
      <c r="B54" s="29" t="s">
        <v>327</v>
      </c>
      <c r="C54" s="30">
        <v>0</v>
      </c>
      <c r="D54" s="30">
        <v>867.39</v>
      </c>
      <c r="E54" s="30">
        <v>796.11</v>
      </c>
      <c r="F54" s="30">
        <v>778.74</v>
      </c>
      <c r="G54" s="31">
        <v>0</v>
      </c>
      <c r="H54" s="24"/>
      <c r="I54" s="32">
        <v>0</v>
      </c>
      <c r="J54" s="33">
        <f t="shared" ref="J54:L55" si="7">E54/D54-1</f>
        <v>-8.2177567184311573E-2</v>
      </c>
      <c r="K54" s="33">
        <f t="shared" si="7"/>
        <v>-2.1818592908015244E-2</v>
      </c>
      <c r="L54" s="34">
        <f t="shared" si="7"/>
        <v>-1</v>
      </c>
    </row>
    <row r="55" spans="2:12" ht="24.75" customHeight="1" x14ac:dyDescent="0.3">
      <c r="B55" s="29" t="s">
        <v>328</v>
      </c>
      <c r="C55" s="30">
        <v>0</v>
      </c>
      <c r="D55" s="30">
        <v>4.4000000000000004</v>
      </c>
      <c r="E55" s="30">
        <v>2</v>
      </c>
      <c r="F55" s="30">
        <v>4.24</v>
      </c>
      <c r="G55" s="31">
        <v>517.21</v>
      </c>
      <c r="H55" s="24"/>
      <c r="I55" s="32">
        <v>0</v>
      </c>
      <c r="J55" s="33">
        <f t="shared" si="7"/>
        <v>-0.54545454545454541</v>
      </c>
      <c r="K55" s="33">
        <f t="shared" si="7"/>
        <v>1.1200000000000001</v>
      </c>
      <c r="L55" s="34">
        <f t="shared" si="7"/>
        <v>120.98349056603774</v>
      </c>
    </row>
    <row r="56" spans="2:12" ht="12.75" customHeight="1" x14ac:dyDescent="0.3">
      <c r="B56" s="272" t="s">
        <v>329</v>
      </c>
      <c r="C56" s="272"/>
      <c r="D56" s="43"/>
      <c r="E56" s="43"/>
      <c r="F56" s="43"/>
      <c r="G56" s="44"/>
      <c r="H56" s="24"/>
      <c r="I56" s="32"/>
      <c r="J56" s="33"/>
      <c r="K56" s="33"/>
      <c r="L56" s="34"/>
    </row>
    <row r="57" spans="2:12" ht="24.75" customHeight="1" x14ac:dyDescent="0.3">
      <c r="B57" s="29" t="s">
        <v>330</v>
      </c>
      <c r="C57" s="30">
        <v>0</v>
      </c>
      <c r="D57" s="38">
        <v>3244.27</v>
      </c>
      <c r="E57" s="38">
        <v>3203.41</v>
      </c>
      <c r="F57" s="38">
        <v>2647.03</v>
      </c>
      <c r="G57" s="39">
        <v>2180.34</v>
      </c>
      <c r="H57" s="24"/>
      <c r="I57" s="32">
        <v>0</v>
      </c>
      <c r="J57" s="33">
        <f>E57/D57-1</f>
        <v>-1.2594512787160173E-2</v>
      </c>
      <c r="K57" s="33">
        <f>F57/E57-1</f>
        <v>-0.17368366834092408</v>
      </c>
      <c r="L57" s="34">
        <f>G57/F57-1</f>
        <v>-0.17630703089878086</v>
      </c>
    </row>
    <row r="58" spans="2:12" ht="24.75" customHeight="1" x14ac:dyDescent="0.3">
      <c r="B58" s="47" t="s">
        <v>331</v>
      </c>
      <c r="C58" s="48">
        <v>0</v>
      </c>
      <c r="D58" s="48">
        <v>0.71</v>
      </c>
      <c r="E58" s="48">
        <v>0</v>
      </c>
      <c r="F58" s="48">
        <v>49.97</v>
      </c>
      <c r="G58" s="49">
        <v>0.36</v>
      </c>
      <c r="H58" s="24"/>
      <c r="I58" s="50">
        <v>0</v>
      </c>
      <c r="J58" s="51">
        <f>E58/D58-1</f>
        <v>-1</v>
      </c>
      <c r="K58" s="51">
        <v>0</v>
      </c>
      <c r="L58" s="52">
        <f>G58/F58-1</f>
        <v>-0.99279567740644392</v>
      </c>
    </row>
  </sheetData>
  <mergeCells count="17">
    <mergeCell ref="B1:L1"/>
    <mergeCell ref="B2:L2"/>
    <mergeCell ref="B4:K4"/>
    <mergeCell ref="B6:K6"/>
    <mergeCell ref="B7:C7"/>
    <mergeCell ref="B8:C8"/>
    <mergeCell ref="I8:L8"/>
    <mergeCell ref="B15:C15"/>
    <mergeCell ref="B21:C21"/>
    <mergeCell ref="B28:C28"/>
    <mergeCell ref="B29:C29"/>
    <mergeCell ref="B39:C39"/>
    <mergeCell ref="B48:C48"/>
    <mergeCell ref="B49:C49"/>
    <mergeCell ref="B51:C51"/>
    <mergeCell ref="B53:C53"/>
    <mergeCell ref="B56:C56"/>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42"/>
  <sheetViews>
    <sheetView showGridLines="0" zoomScale="89" zoomScaleNormal="89" workbookViewId="0">
      <selection activeCell="P7" sqref="P7"/>
    </sheetView>
  </sheetViews>
  <sheetFormatPr defaultColWidth="8.6328125" defaultRowHeight="13" x14ac:dyDescent="0.3"/>
  <cols>
    <col min="1" max="1" width="2.7265625" style="20" customWidth="1"/>
    <col min="2" max="2" width="32.08984375" style="20" customWidth="1"/>
    <col min="3" max="3" width="34" style="20" customWidth="1"/>
    <col min="4" max="7" width="9.08984375" style="20" customWidth="1"/>
    <col min="8" max="8" width="3.6328125" style="20" customWidth="1"/>
    <col min="9" max="11" width="8" style="20" customWidth="1"/>
    <col min="12" max="12" width="7.36328125" style="20" customWidth="1"/>
    <col min="13" max="16384" width="8.6328125" style="20"/>
  </cols>
  <sheetData>
    <row r="1" spans="2:13" ht="33.75" customHeight="1" x14ac:dyDescent="0.3">
      <c r="B1" s="340" t="s">
        <v>275</v>
      </c>
      <c r="C1" s="340"/>
      <c r="D1" s="340"/>
      <c r="E1" s="340"/>
      <c r="F1" s="340"/>
      <c r="G1" s="340"/>
      <c r="H1" s="340"/>
      <c r="I1" s="340"/>
      <c r="J1" s="340"/>
      <c r="K1" s="340"/>
      <c r="L1" s="340"/>
    </row>
    <row r="2" spans="2:13" ht="25.5" customHeight="1" x14ac:dyDescent="0.3">
      <c r="B2" s="343" t="s">
        <v>332</v>
      </c>
      <c r="C2" s="343"/>
      <c r="D2" s="343"/>
      <c r="E2" s="343"/>
      <c r="F2" s="343"/>
      <c r="G2" s="343"/>
      <c r="H2" s="343"/>
      <c r="I2" s="343"/>
      <c r="J2" s="343"/>
      <c r="K2" s="343"/>
      <c r="L2" s="343"/>
    </row>
    <row r="3" spans="2:13" x14ac:dyDescent="0.3">
      <c r="B3" s="21"/>
      <c r="C3" s="22" t="s">
        <v>277</v>
      </c>
      <c r="D3" s="23">
        <v>45717</v>
      </c>
      <c r="E3" s="23">
        <v>45352</v>
      </c>
      <c r="F3" s="23">
        <v>44986</v>
      </c>
      <c r="G3" s="23">
        <v>44621</v>
      </c>
      <c r="H3" s="24"/>
      <c r="I3" s="24"/>
      <c r="J3" s="24"/>
      <c r="K3" s="24"/>
    </row>
    <row r="4" spans="2:13" x14ac:dyDescent="0.3">
      <c r="B4" s="273"/>
      <c r="C4" s="273"/>
      <c r="D4" s="273"/>
      <c r="E4" s="273"/>
      <c r="F4" s="273"/>
      <c r="G4" s="273"/>
      <c r="H4" s="273"/>
      <c r="I4" s="273"/>
      <c r="J4" s="273"/>
      <c r="K4" s="273"/>
    </row>
    <row r="5" spans="2:13" x14ac:dyDescent="0.3">
      <c r="B5" s="25"/>
      <c r="C5" s="26" t="s">
        <v>278</v>
      </c>
      <c r="D5" s="26" t="s">
        <v>278</v>
      </c>
      <c r="E5" s="26" t="s">
        <v>278</v>
      </c>
      <c r="F5" s="26" t="s">
        <v>278</v>
      </c>
      <c r="G5" s="26" t="s">
        <v>278</v>
      </c>
      <c r="H5" s="24"/>
      <c r="I5" s="24"/>
      <c r="J5" s="24"/>
      <c r="K5" s="24"/>
    </row>
    <row r="6" spans="2:13" x14ac:dyDescent="0.3">
      <c r="B6" s="273"/>
      <c r="C6" s="273"/>
      <c r="D6" s="273"/>
      <c r="E6" s="273"/>
      <c r="F6" s="273"/>
      <c r="G6" s="273"/>
      <c r="H6" s="273"/>
      <c r="I6" s="273"/>
      <c r="J6" s="273"/>
      <c r="K6" s="273"/>
    </row>
    <row r="7" spans="2:13" ht="12.75" customHeight="1" x14ac:dyDescent="0.3">
      <c r="B7" s="275" t="s">
        <v>333</v>
      </c>
      <c r="C7" s="275"/>
      <c r="D7" s="27"/>
      <c r="E7" s="27"/>
      <c r="F7" s="27"/>
      <c r="G7" s="28"/>
      <c r="H7" s="24"/>
      <c r="I7" s="276" t="s">
        <v>334</v>
      </c>
      <c r="J7" s="276"/>
      <c r="K7" s="276"/>
      <c r="L7" s="276"/>
    </row>
    <row r="8" spans="2:13" x14ac:dyDescent="0.3">
      <c r="B8" s="42" t="s">
        <v>335</v>
      </c>
      <c r="C8" s="53">
        <v>35516.370000000003</v>
      </c>
      <c r="D8" s="53">
        <v>33797.360000000001</v>
      </c>
      <c r="E8" s="53">
        <v>35382.120000000003</v>
      </c>
      <c r="F8" s="53">
        <v>34367.83</v>
      </c>
      <c r="G8" s="54">
        <v>28923.48</v>
      </c>
      <c r="H8" s="24"/>
      <c r="I8" s="32">
        <f t="shared" ref="I8:L13" si="0">D8/C8-1</f>
        <v>-4.8400498136493164E-2</v>
      </c>
      <c r="J8" s="33">
        <f t="shared" si="0"/>
        <v>4.6890052950881334E-2</v>
      </c>
      <c r="K8" s="33">
        <f t="shared" si="0"/>
        <v>-2.8666739019595266E-2</v>
      </c>
      <c r="L8" s="34">
        <f t="shared" si="0"/>
        <v>-0.15841413321702302</v>
      </c>
      <c r="M8" s="33"/>
    </row>
    <row r="9" spans="2:13" x14ac:dyDescent="0.3">
      <c r="B9" s="42" t="s">
        <v>336</v>
      </c>
      <c r="C9" s="53">
        <v>35516.370000000003</v>
      </c>
      <c r="D9" s="53">
        <v>33797.360000000001</v>
      </c>
      <c r="E9" s="53">
        <v>35382.120000000003</v>
      </c>
      <c r="F9" s="53">
        <v>34367.83</v>
      </c>
      <c r="G9" s="54">
        <v>28923.48</v>
      </c>
      <c r="H9" s="24"/>
      <c r="I9" s="32">
        <f t="shared" si="0"/>
        <v>-4.8400498136493164E-2</v>
      </c>
      <c r="J9" s="33">
        <f t="shared" si="0"/>
        <v>4.6890052950881334E-2</v>
      </c>
      <c r="K9" s="33">
        <f t="shared" si="0"/>
        <v>-2.8666739019595266E-2</v>
      </c>
      <c r="L9" s="34">
        <f t="shared" si="0"/>
        <v>-0.15841413321702302</v>
      </c>
    </row>
    <row r="10" spans="2:13" x14ac:dyDescent="0.3">
      <c r="B10" s="29" t="s">
        <v>337</v>
      </c>
      <c r="C10" s="30">
        <v>67.17</v>
      </c>
      <c r="D10" s="30">
        <v>108.26</v>
      </c>
      <c r="E10" s="30">
        <v>112.61</v>
      </c>
      <c r="F10" s="30">
        <v>120.76</v>
      </c>
      <c r="G10" s="31">
        <v>177.8</v>
      </c>
      <c r="H10" s="24"/>
      <c r="I10" s="32">
        <f t="shared" si="0"/>
        <v>0.61173142772070865</v>
      </c>
      <c r="J10" s="33">
        <f t="shared" si="0"/>
        <v>4.0181045630888645E-2</v>
      </c>
      <c r="K10" s="33">
        <f t="shared" si="0"/>
        <v>7.2373679069354546E-2</v>
      </c>
      <c r="L10" s="34">
        <f t="shared" si="0"/>
        <v>0.47234183504471683</v>
      </c>
    </row>
    <row r="11" spans="2:13" x14ac:dyDescent="0.3">
      <c r="B11" s="42" t="s">
        <v>338</v>
      </c>
      <c r="C11" s="53">
        <v>35583.54</v>
      </c>
      <c r="D11" s="53">
        <v>33905.620000000003</v>
      </c>
      <c r="E11" s="53">
        <v>35494.730000000003</v>
      </c>
      <c r="F11" s="53">
        <v>34488.589999999997</v>
      </c>
      <c r="G11" s="54">
        <v>29101.279999999999</v>
      </c>
      <c r="H11" s="24"/>
      <c r="I11" s="32">
        <f t="shared" si="0"/>
        <v>-4.7154386550635419E-2</v>
      </c>
      <c r="J11" s="33">
        <f t="shared" si="0"/>
        <v>4.6868631218069501E-2</v>
      </c>
      <c r="K11" s="33">
        <f t="shared" si="0"/>
        <v>-2.8346179841345687E-2</v>
      </c>
      <c r="L11" s="34">
        <f t="shared" si="0"/>
        <v>-0.15620557407536806</v>
      </c>
    </row>
    <row r="12" spans="2:13" x14ac:dyDescent="0.3">
      <c r="B12" s="29" t="s">
        <v>339</v>
      </c>
      <c r="C12" s="30">
        <v>723.8</v>
      </c>
      <c r="D12" s="30">
        <v>572.61</v>
      </c>
      <c r="E12" s="30">
        <v>687.96</v>
      </c>
      <c r="F12" s="30">
        <v>386.48</v>
      </c>
      <c r="G12" s="31">
        <v>380.01</v>
      </c>
      <c r="H12" s="24"/>
      <c r="I12" s="32">
        <f t="shared" si="0"/>
        <v>-0.20888366952196735</v>
      </c>
      <c r="J12" s="33">
        <f t="shared" si="0"/>
        <v>0.2014460103735527</v>
      </c>
      <c r="K12" s="33">
        <f t="shared" si="0"/>
        <v>-0.43822315250886679</v>
      </c>
      <c r="L12" s="34">
        <f t="shared" si="0"/>
        <v>-1.674084040571322E-2</v>
      </c>
    </row>
    <row r="13" spans="2:13" x14ac:dyDescent="0.3">
      <c r="B13" s="35" t="s">
        <v>340</v>
      </c>
      <c r="C13" s="40">
        <v>36307.339999999997</v>
      </c>
      <c r="D13" s="40">
        <v>34478.230000000003</v>
      </c>
      <c r="E13" s="40">
        <v>36182.69</v>
      </c>
      <c r="F13" s="40">
        <v>34875.07</v>
      </c>
      <c r="G13" s="41">
        <v>29481.29</v>
      </c>
      <c r="H13" s="24"/>
      <c r="I13" s="55">
        <f t="shared" si="0"/>
        <v>-5.0378518503420899E-2</v>
      </c>
      <c r="J13" s="56">
        <f t="shared" si="0"/>
        <v>4.9435832407870084E-2</v>
      </c>
      <c r="K13" s="56">
        <f t="shared" si="0"/>
        <v>-3.6139380460656789E-2</v>
      </c>
      <c r="L13" s="57">
        <f t="shared" si="0"/>
        <v>-0.15466004799416888</v>
      </c>
    </row>
    <row r="14" spans="2:13" ht="12.75" customHeight="1" x14ac:dyDescent="0.3">
      <c r="B14" s="272" t="s">
        <v>341</v>
      </c>
      <c r="C14" s="272"/>
      <c r="D14" s="43"/>
      <c r="E14" s="43"/>
      <c r="F14" s="43"/>
      <c r="G14" s="44"/>
      <c r="H14" s="24"/>
      <c r="I14" s="45"/>
      <c r="J14" s="24"/>
      <c r="K14" s="24"/>
      <c r="L14" s="46"/>
    </row>
    <row r="15" spans="2:13" x14ac:dyDescent="0.3">
      <c r="B15" s="29" t="s">
        <v>342</v>
      </c>
      <c r="C15" s="38">
        <v>15384.05</v>
      </c>
      <c r="D15" s="38">
        <v>15793.92</v>
      </c>
      <c r="E15" s="38">
        <v>15868.21</v>
      </c>
      <c r="F15" s="38">
        <v>17330.580000000002</v>
      </c>
      <c r="G15" s="39">
        <v>16254.59</v>
      </c>
      <c r="H15" s="24"/>
      <c r="I15" s="32">
        <f t="shared" ref="I15:I23" si="1">D15/C15-1</f>
        <v>2.6642529112944846E-2</v>
      </c>
      <c r="J15" s="33">
        <f t="shared" ref="J15:J23" si="2">E15/D15-1</f>
        <v>4.7037087689438817E-3</v>
      </c>
      <c r="K15" s="33">
        <f t="shared" ref="K15:K23" si="3">F15/E15-1</f>
        <v>9.215721243921049E-2</v>
      </c>
      <c r="L15" s="34">
        <f t="shared" ref="L15:L23" si="4">G15/F15-1</f>
        <v>-6.2086208309243052E-2</v>
      </c>
    </row>
    <row r="16" spans="2:13" x14ac:dyDescent="0.3">
      <c r="B16" s="29" t="s">
        <v>343</v>
      </c>
      <c r="C16" s="38">
        <v>4014.05</v>
      </c>
      <c r="D16" s="38">
        <v>3926.86</v>
      </c>
      <c r="E16" s="38">
        <v>3858.2</v>
      </c>
      <c r="F16" s="38">
        <v>4135.6499999999996</v>
      </c>
      <c r="G16" s="39">
        <v>3371.13</v>
      </c>
      <c r="H16" s="24"/>
      <c r="I16" s="32">
        <f t="shared" si="1"/>
        <v>-2.1721204270001682E-2</v>
      </c>
      <c r="J16" s="33">
        <f t="shared" si="2"/>
        <v>-1.7484707883652639E-2</v>
      </c>
      <c r="K16" s="33">
        <f t="shared" si="3"/>
        <v>7.1911772329065426E-2</v>
      </c>
      <c r="L16" s="34">
        <f t="shared" si="4"/>
        <v>-0.18486090457364612</v>
      </c>
    </row>
    <row r="17" spans="2:12" ht="24.75" customHeight="1" x14ac:dyDescent="0.3">
      <c r="B17" s="29" t="s">
        <v>344</v>
      </c>
      <c r="C17" s="30">
        <v>603.67999999999995</v>
      </c>
      <c r="D17" s="30">
        <v>-205</v>
      </c>
      <c r="E17" s="30">
        <v>363.8</v>
      </c>
      <c r="F17" s="30">
        <v>-309.73</v>
      </c>
      <c r="G17" s="39">
        <v>-1324.97</v>
      </c>
      <c r="H17" s="24"/>
      <c r="I17" s="32">
        <f t="shared" si="1"/>
        <v>-1.3395838855022528</v>
      </c>
      <c r="J17" s="33">
        <f t="shared" si="2"/>
        <v>-2.7746341463414632</v>
      </c>
      <c r="K17" s="33">
        <f t="shared" si="3"/>
        <v>-1.8513743815283124</v>
      </c>
      <c r="L17" s="34">
        <f t="shared" si="4"/>
        <v>3.2778226197010296</v>
      </c>
    </row>
    <row r="18" spans="2:12" x14ac:dyDescent="0.3">
      <c r="B18" s="29" t="s">
        <v>345</v>
      </c>
      <c r="C18" s="38">
        <v>2799.59</v>
      </c>
      <c r="D18" s="38">
        <v>2597.23</v>
      </c>
      <c r="E18" s="38">
        <v>2326.1799999999998</v>
      </c>
      <c r="F18" s="38">
        <v>2028.07</v>
      </c>
      <c r="G18" s="39">
        <v>1786.67</v>
      </c>
      <c r="H18" s="24"/>
      <c r="I18" s="32">
        <f t="shared" si="1"/>
        <v>-7.2282012723291711E-2</v>
      </c>
      <c r="J18" s="33">
        <f t="shared" si="2"/>
        <v>-0.10436118480073009</v>
      </c>
      <c r="K18" s="33">
        <f t="shared" si="3"/>
        <v>-0.12815431307981318</v>
      </c>
      <c r="L18" s="34">
        <f t="shared" si="4"/>
        <v>-0.11902942206136857</v>
      </c>
    </row>
    <row r="19" spans="2:12" x14ac:dyDescent="0.3">
      <c r="B19" s="29" t="s">
        <v>346</v>
      </c>
      <c r="C19" s="30">
        <v>195.41</v>
      </c>
      <c r="D19" s="30">
        <v>227.02</v>
      </c>
      <c r="E19" s="30">
        <v>205.17</v>
      </c>
      <c r="F19" s="30">
        <v>144.44999999999999</v>
      </c>
      <c r="G19" s="31">
        <v>95.41</v>
      </c>
      <c r="H19" s="24"/>
      <c r="I19" s="32">
        <f t="shared" si="1"/>
        <v>0.16176244818586571</v>
      </c>
      <c r="J19" s="33">
        <f t="shared" si="2"/>
        <v>-9.6247026693683457E-2</v>
      </c>
      <c r="K19" s="33">
        <f t="shared" si="3"/>
        <v>-0.29594970024857437</v>
      </c>
      <c r="L19" s="34">
        <f t="shared" si="4"/>
        <v>-0.33949463482173758</v>
      </c>
    </row>
    <row r="20" spans="2:12" ht="24.75" customHeight="1" x14ac:dyDescent="0.3">
      <c r="B20" s="29" t="s">
        <v>347</v>
      </c>
      <c r="C20" s="38">
        <v>1228.8499999999999</v>
      </c>
      <c r="D20" s="38">
        <v>1026.3399999999999</v>
      </c>
      <c r="E20" s="30">
        <v>853</v>
      </c>
      <c r="F20" s="30">
        <v>858.02</v>
      </c>
      <c r="G20" s="31">
        <v>816.36</v>
      </c>
      <c r="H20" s="24"/>
      <c r="I20" s="32">
        <f t="shared" si="1"/>
        <v>-0.16479635431500994</v>
      </c>
      <c r="J20" s="33">
        <f t="shared" si="2"/>
        <v>-0.16889140051055196</v>
      </c>
      <c r="K20" s="33">
        <f t="shared" si="3"/>
        <v>5.8851113716296144E-3</v>
      </c>
      <c r="L20" s="34">
        <f t="shared" si="4"/>
        <v>-4.8553646768140557E-2</v>
      </c>
    </row>
    <row r="21" spans="2:12" x14ac:dyDescent="0.3">
      <c r="B21" s="29" t="s">
        <v>348</v>
      </c>
      <c r="C21" s="38">
        <v>6086.25</v>
      </c>
      <c r="D21" s="38">
        <v>5786.4</v>
      </c>
      <c r="E21" s="38">
        <v>5493.36</v>
      </c>
      <c r="F21" s="38">
        <v>5044.18</v>
      </c>
      <c r="G21" s="39">
        <v>4210.25</v>
      </c>
      <c r="H21" s="24"/>
      <c r="I21" s="32">
        <f t="shared" si="1"/>
        <v>-4.9266789895255791E-2</v>
      </c>
      <c r="J21" s="33">
        <f t="shared" si="2"/>
        <v>-5.0642886768975548E-2</v>
      </c>
      <c r="K21" s="33">
        <f t="shared" si="3"/>
        <v>-8.1767806952393274E-2</v>
      </c>
      <c r="L21" s="34">
        <f t="shared" si="4"/>
        <v>-0.16532518665075402</v>
      </c>
    </row>
    <row r="22" spans="2:12" x14ac:dyDescent="0.3">
      <c r="B22" s="35" t="s">
        <v>349</v>
      </c>
      <c r="C22" s="40">
        <v>30311.88</v>
      </c>
      <c r="D22" s="40">
        <v>29152.77</v>
      </c>
      <c r="E22" s="40">
        <v>28967.919999999998</v>
      </c>
      <c r="F22" s="40">
        <v>29231.22</v>
      </c>
      <c r="G22" s="41">
        <v>25209.439999999999</v>
      </c>
      <c r="H22" s="24"/>
      <c r="I22" s="55">
        <f t="shared" si="1"/>
        <v>-3.8239462547357661E-2</v>
      </c>
      <c r="J22" s="56">
        <f t="shared" si="2"/>
        <v>-6.3407353743744066E-3</v>
      </c>
      <c r="K22" s="56">
        <f t="shared" si="3"/>
        <v>9.0893650631458378E-3</v>
      </c>
      <c r="L22" s="57">
        <f t="shared" si="4"/>
        <v>-0.13758508881941989</v>
      </c>
    </row>
    <row r="23" spans="2:12" ht="25.5" customHeight="1" x14ac:dyDescent="0.3">
      <c r="B23" s="35" t="s">
        <v>350</v>
      </c>
      <c r="C23" s="40">
        <v>5995.46</v>
      </c>
      <c r="D23" s="40">
        <v>5325.46</v>
      </c>
      <c r="E23" s="40">
        <v>7214.77</v>
      </c>
      <c r="F23" s="40">
        <v>5643.85</v>
      </c>
      <c r="G23" s="41">
        <v>4271.8500000000004</v>
      </c>
      <c r="H23" s="24"/>
      <c r="I23" s="55">
        <f t="shared" si="1"/>
        <v>-0.11175122509365421</v>
      </c>
      <c r="J23" s="56">
        <f t="shared" si="2"/>
        <v>0.35476935325774672</v>
      </c>
      <c r="K23" s="56">
        <f t="shared" si="3"/>
        <v>-0.2177366707462608</v>
      </c>
      <c r="L23" s="57">
        <f t="shared" si="4"/>
        <v>-0.24309646783667171</v>
      </c>
    </row>
    <row r="24" spans="2:12" x14ac:dyDescent="0.3">
      <c r="B24" s="29" t="s">
        <v>351</v>
      </c>
      <c r="C24" s="30">
        <v>-157.61000000000001</v>
      </c>
      <c r="D24" s="30">
        <v>-363.1</v>
      </c>
      <c r="E24" s="30">
        <v>0</v>
      </c>
      <c r="F24" s="30">
        <v>-48.87</v>
      </c>
      <c r="G24" s="31">
        <v>-115.7</v>
      </c>
      <c r="H24" s="24"/>
      <c r="I24" s="32">
        <f>D24/C24-1</f>
        <v>1.3037878307214008</v>
      </c>
      <c r="J24" s="33">
        <f>E24/D24-1</f>
        <v>-1</v>
      </c>
      <c r="K24" s="33">
        <v>0</v>
      </c>
      <c r="L24" s="34">
        <f>G24/F24-1</f>
        <v>1.3675056271741357</v>
      </c>
    </row>
    <row r="25" spans="2:12" x14ac:dyDescent="0.3">
      <c r="B25" s="42" t="s">
        <v>352</v>
      </c>
      <c r="C25" s="53">
        <v>5837.85</v>
      </c>
      <c r="D25" s="53">
        <v>4962.3599999999997</v>
      </c>
      <c r="E25" s="53">
        <v>7214.77</v>
      </c>
      <c r="F25" s="53">
        <v>5594.98</v>
      </c>
      <c r="G25" s="54">
        <v>4156.1499999999996</v>
      </c>
      <c r="H25" s="24"/>
      <c r="I25" s="32">
        <f>D25/C25-1</f>
        <v>-0.14996788201135702</v>
      </c>
      <c r="J25" s="33">
        <f>E25/D25-1</f>
        <v>0.45389895130542746</v>
      </c>
      <c r="K25" s="33">
        <f>F25/E25-1</f>
        <v>-0.22451027544883628</v>
      </c>
      <c r="L25" s="34">
        <f>G25/F25-1</f>
        <v>-0.25716445813926059</v>
      </c>
    </row>
    <row r="26" spans="2:12" ht="12.75" customHeight="1" x14ac:dyDescent="0.3">
      <c r="B26" s="272" t="s">
        <v>353</v>
      </c>
      <c r="C26" s="272"/>
      <c r="D26" s="43"/>
      <c r="E26" s="43"/>
      <c r="F26" s="43"/>
      <c r="G26" s="44"/>
      <c r="H26" s="24"/>
      <c r="I26" s="32"/>
      <c r="J26" s="33"/>
      <c r="K26" s="33"/>
      <c r="L26" s="34"/>
    </row>
    <row r="27" spans="2:12" x14ac:dyDescent="0.3">
      <c r="B27" s="29" t="s">
        <v>354</v>
      </c>
      <c r="C27" s="38">
        <v>1608.75</v>
      </c>
      <c r="D27" s="38">
        <v>1388.98</v>
      </c>
      <c r="E27" s="38">
        <v>1836</v>
      </c>
      <c r="F27" s="38">
        <v>1504.14</v>
      </c>
      <c r="G27" s="39">
        <v>1161.53</v>
      </c>
      <c r="H27" s="24"/>
      <c r="I27" s="32">
        <f>D27/C27-1</f>
        <v>-0.13660916860916861</v>
      </c>
      <c r="J27" s="33">
        <f>E27/D27-1</f>
        <v>0.32183328773632458</v>
      </c>
      <c r="K27" s="33">
        <f>F27/E27-1</f>
        <v>-0.18075163398692806</v>
      </c>
      <c r="L27" s="34">
        <f>G27/F27-1</f>
        <v>-0.22777799938835486</v>
      </c>
    </row>
    <row r="28" spans="2:12" x14ac:dyDescent="0.3">
      <c r="B28" s="29" t="s">
        <v>355</v>
      </c>
      <c r="C28" s="30">
        <v>0</v>
      </c>
      <c r="D28" s="30">
        <v>17.77</v>
      </c>
      <c r="E28" s="30">
        <v>5.43</v>
      </c>
      <c r="F28" s="30">
        <v>-17.28</v>
      </c>
      <c r="G28" s="31">
        <v>-61.44</v>
      </c>
      <c r="H28" s="24"/>
      <c r="I28" s="32">
        <v>0</v>
      </c>
      <c r="J28" s="33">
        <f t="shared" ref="J28:J36" si="5">E28/D28-1</f>
        <v>-0.69442881260551492</v>
      </c>
      <c r="K28" s="33">
        <f t="shared" ref="K28:K36" si="6">F28/E28-1</f>
        <v>-4.182320441988951</v>
      </c>
      <c r="L28" s="34">
        <f t="shared" ref="L28:L36" si="7">G28/F28-1</f>
        <v>2.5555555555555554</v>
      </c>
    </row>
    <row r="29" spans="2:12" x14ac:dyDescent="0.3">
      <c r="B29" s="29" t="s">
        <v>356</v>
      </c>
      <c r="C29" s="30">
        <v>0</v>
      </c>
      <c r="D29" s="30">
        <v>-13.39</v>
      </c>
      <c r="E29" s="30">
        <v>-51.35</v>
      </c>
      <c r="F29" s="30">
        <v>6.64</v>
      </c>
      <c r="G29" s="31">
        <v>2.82</v>
      </c>
      <c r="H29" s="24"/>
      <c r="I29" s="32">
        <v>0</v>
      </c>
      <c r="J29" s="33">
        <f t="shared" si="5"/>
        <v>2.8349514563106797</v>
      </c>
      <c r="K29" s="33">
        <f t="shared" si="6"/>
        <v>-1.1293086660175269</v>
      </c>
      <c r="L29" s="34">
        <f t="shared" si="7"/>
        <v>-0.57530120481927716</v>
      </c>
    </row>
    <row r="30" spans="2:12" x14ac:dyDescent="0.3">
      <c r="B30" s="42" t="s">
        <v>357</v>
      </c>
      <c r="C30" s="53">
        <v>1608.75</v>
      </c>
      <c r="D30" s="53">
        <v>1393.36</v>
      </c>
      <c r="E30" s="53">
        <v>1790.08</v>
      </c>
      <c r="F30" s="53">
        <v>1493.5</v>
      </c>
      <c r="G30" s="54">
        <v>1102.9100000000001</v>
      </c>
      <c r="H30" s="24"/>
      <c r="I30" s="32">
        <f t="shared" ref="I30:I36" si="8">D30/C30-1</f>
        <v>-0.1338865578865579</v>
      </c>
      <c r="J30" s="33">
        <f t="shared" si="5"/>
        <v>0.28472182350577024</v>
      </c>
      <c r="K30" s="33">
        <f t="shared" si="6"/>
        <v>-0.16567974615659631</v>
      </c>
      <c r="L30" s="34">
        <f t="shared" si="7"/>
        <v>-0.26152661533311006</v>
      </c>
    </row>
    <row r="31" spans="2:12" ht="25.5" customHeight="1" x14ac:dyDescent="0.3">
      <c r="B31" s="42" t="s">
        <v>358</v>
      </c>
      <c r="C31" s="53">
        <v>4229.1000000000004</v>
      </c>
      <c r="D31" s="53">
        <v>3569</v>
      </c>
      <c r="E31" s="53">
        <v>5424.69</v>
      </c>
      <c r="F31" s="53">
        <v>4101.4799999999996</v>
      </c>
      <c r="G31" s="54">
        <v>3053.24</v>
      </c>
      <c r="H31" s="24"/>
      <c r="I31" s="32">
        <f t="shared" si="8"/>
        <v>-0.15608521907734518</v>
      </c>
      <c r="J31" s="33">
        <f t="shared" si="5"/>
        <v>0.51994676379938354</v>
      </c>
      <c r="K31" s="33">
        <f t="shared" si="6"/>
        <v>-0.24392361591169265</v>
      </c>
      <c r="L31" s="34">
        <f t="shared" si="7"/>
        <v>-0.25557603596750433</v>
      </c>
    </row>
    <row r="32" spans="2:12" ht="25.5" customHeight="1" x14ac:dyDescent="0.3">
      <c r="B32" s="42" t="s">
        <v>359</v>
      </c>
      <c r="C32" s="53">
        <v>4229.1000000000004</v>
      </c>
      <c r="D32" s="53">
        <v>3569</v>
      </c>
      <c r="E32" s="53">
        <v>5424.69</v>
      </c>
      <c r="F32" s="53">
        <v>4101.4799999999996</v>
      </c>
      <c r="G32" s="54">
        <v>3053.24</v>
      </c>
      <c r="H32" s="24"/>
      <c r="I32" s="32">
        <f t="shared" si="8"/>
        <v>-0.15608521907734518</v>
      </c>
      <c r="J32" s="33">
        <f t="shared" si="5"/>
        <v>0.51994676379938354</v>
      </c>
      <c r="K32" s="33">
        <f t="shared" si="6"/>
        <v>-0.24392361591169265</v>
      </c>
      <c r="L32" s="34">
        <f t="shared" si="7"/>
        <v>-0.25557603596750433</v>
      </c>
    </row>
    <row r="33" spans="2:12" x14ac:dyDescent="0.3">
      <c r="B33" s="35" t="s">
        <v>360</v>
      </c>
      <c r="C33" s="40">
        <v>4229.1000000000004</v>
      </c>
      <c r="D33" s="40">
        <v>3569</v>
      </c>
      <c r="E33" s="40">
        <v>5424.69</v>
      </c>
      <c r="F33" s="40">
        <v>4101.4799999999996</v>
      </c>
      <c r="G33" s="41">
        <v>3053.24</v>
      </c>
      <c r="H33" s="24"/>
      <c r="I33" s="55">
        <f t="shared" si="8"/>
        <v>-0.15608521907734518</v>
      </c>
      <c r="J33" s="56">
        <f t="shared" si="5"/>
        <v>0.51994676379938354</v>
      </c>
      <c r="K33" s="56">
        <f t="shared" si="6"/>
        <v>-0.24392361591169265</v>
      </c>
      <c r="L33" s="57">
        <f t="shared" si="7"/>
        <v>-0.25557603596750433</v>
      </c>
    </row>
    <row r="34" spans="2:12" x14ac:dyDescent="0.3">
      <c r="B34" s="29" t="s">
        <v>287</v>
      </c>
      <c r="C34" s="30">
        <v>-69.34</v>
      </c>
      <c r="D34" s="30">
        <v>-42.48</v>
      </c>
      <c r="E34" s="30">
        <v>-97.46</v>
      </c>
      <c r="F34" s="30">
        <v>-88.88</v>
      </c>
      <c r="G34" s="31">
        <v>-54.24</v>
      </c>
      <c r="H34" s="24"/>
      <c r="I34" s="32">
        <f t="shared" si="8"/>
        <v>-0.38736659936544571</v>
      </c>
      <c r="J34" s="33">
        <f t="shared" si="5"/>
        <v>1.2942561205273071</v>
      </c>
      <c r="K34" s="33">
        <f t="shared" si="6"/>
        <v>-8.8036117381489865E-2</v>
      </c>
      <c r="L34" s="34">
        <f t="shared" si="7"/>
        <v>-0.38973897389738965</v>
      </c>
    </row>
    <row r="35" spans="2:12" x14ac:dyDescent="0.3">
      <c r="B35" s="29" t="s">
        <v>361</v>
      </c>
      <c r="C35" s="30">
        <v>165.59</v>
      </c>
      <c r="D35" s="30">
        <v>140.71</v>
      </c>
      <c r="E35" s="30">
        <v>133</v>
      </c>
      <c r="F35" s="30">
        <v>93.85</v>
      </c>
      <c r="G35" s="31">
        <v>31.57</v>
      </c>
      <c r="H35" s="24"/>
      <c r="I35" s="32">
        <f t="shared" si="8"/>
        <v>-0.15025061899873182</v>
      </c>
      <c r="J35" s="33">
        <f t="shared" si="5"/>
        <v>-5.4793547011584121E-2</v>
      </c>
      <c r="K35" s="33">
        <f t="shared" si="6"/>
        <v>-0.29436090225563916</v>
      </c>
      <c r="L35" s="34">
        <f t="shared" si="7"/>
        <v>-0.66361214704315397</v>
      </c>
    </row>
    <row r="36" spans="2:12" ht="25.5" customHeight="1" x14ac:dyDescent="0.3">
      <c r="B36" s="42" t="s">
        <v>362</v>
      </c>
      <c r="C36" s="53">
        <v>4325.3500000000004</v>
      </c>
      <c r="D36" s="53">
        <v>3667.23</v>
      </c>
      <c r="E36" s="53">
        <v>5460.23</v>
      </c>
      <c r="F36" s="53">
        <v>4106.45</v>
      </c>
      <c r="G36" s="54">
        <v>3030.57</v>
      </c>
      <c r="H36" s="24"/>
      <c r="I36" s="32">
        <f t="shared" si="8"/>
        <v>-0.15215416093495326</v>
      </c>
      <c r="J36" s="33">
        <f t="shared" si="5"/>
        <v>0.48892488335882933</v>
      </c>
      <c r="K36" s="33">
        <f t="shared" si="6"/>
        <v>-0.24793461081309764</v>
      </c>
      <c r="L36" s="34">
        <f t="shared" si="7"/>
        <v>-0.2619975891585189</v>
      </c>
    </row>
    <row r="37" spans="2:12" ht="12.75" customHeight="1" x14ac:dyDescent="0.3">
      <c r="B37" s="272" t="s">
        <v>321</v>
      </c>
      <c r="C37" s="272"/>
      <c r="D37" s="43"/>
      <c r="E37" s="43"/>
      <c r="F37" s="43"/>
      <c r="G37" s="44"/>
      <c r="H37" s="24"/>
      <c r="I37" s="32"/>
      <c r="J37" s="33"/>
      <c r="K37" s="33"/>
      <c r="L37" s="34"/>
    </row>
    <row r="38" spans="2:12" ht="12.75" customHeight="1" x14ac:dyDescent="0.3">
      <c r="B38" s="272" t="s">
        <v>363</v>
      </c>
      <c r="C38" s="272"/>
      <c r="D38" s="43"/>
      <c r="E38" s="43"/>
      <c r="F38" s="43"/>
      <c r="G38" s="44"/>
      <c r="H38" s="24"/>
      <c r="I38" s="32"/>
      <c r="J38" s="33"/>
      <c r="K38" s="33"/>
      <c r="L38" s="34"/>
    </row>
    <row r="39" spans="2:12" x14ac:dyDescent="0.3">
      <c r="B39" s="29" t="s">
        <v>364</v>
      </c>
      <c r="C39" s="30">
        <v>45</v>
      </c>
      <c r="D39" s="30">
        <v>38</v>
      </c>
      <c r="E39" s="30">
        <v>57</v>
      </c>
      <c r="F39" s="30">
        <v>43</v>
      </c>
      <c r="G39" s="31">
        <v>32</v>
      </c>
      <c r="H39" s="24"/>
      <c r="I39" s="32">
        <f t="shared" ref="I39:L40" si="9">D39/C39-1</f>
        <v>-0.15555555555555556</v>
      </c>
      <c r="J39" s="33">
        <f t="shared" si="9"/>
        <v>0.5</v>
      </c>
      <c r="K39" s="33">
        <f t="shared" si="9"/>
        <v>-0.24561403508771928</v>
      </c>
      <c r="L39" s="34">
        <f t="shared" si="9"/>
        <v>-0.2558139534883721</v>
      </c>
    </row>
    <row r="40" spans="2:12" x14ac:dyDescent="0.3">
      <c r="B40" s="29" t="s">
        <v>365</v>
      </c>
      <c r="C40" s="30">
        <v>45</v>
      </c>
      <c r="D40" s="30">
        <v>38</v>
      </c>
      <c r="E40" s="30">
        <v>57</v>
      </c>
      <c r="F40" s="30">
        <v>43</v>
      </c>
      <c r="G40" s="31">
        <v>32</v>
      </c>
      <c r="H40" s="24"/>
      <c r="I40" s="32">
        <f t="shared" si="9"/>
        <v>-0.15555555555555556</v>
      </c>
      <c r="J40" s="33">
        <f t="shared" si="9"/>
        <v>0.5</v>
      </c>
      <c r="K40" s="33">
        <f t="shared" si="9"/>
        <v>-0.24561403508771928</v>
      </c>
      <c r="L40" s="34">
        <f t="shared" si="9"/>
        <v>-0.2558139534883721</v>
      </c>
    </row>
    <row r="41" spans="2:12" ht="12.75" customHeight="1" x14ac:dyDescent="0.3">
      <c r="B41" s="272" t="s">
        <v>366</v>
      </c>
      <c r="C41" s="272"/>
      <c r="D41" s="43"/>
      <c r="E41" s="43"/>
      <c r="F41" s="43"/>
      <c r="G41" s="44"/>
      <c r="H41" s="24"/>
      <c r="I41" s="32"/>
      <c r="J41" s="33"/>
      <c r="K41" s="33"/>
      <c r="L41" s="34"/>
    </row>
    <row r="42" spans="2:12" x14ac:dyDescent="0.3">
      <c r="B42" s="47" t="s">
        <v>367</v>
      </c>
      <c r="C42" s="48">
        <v>0</v>
      </c>
      <c r="D42" s="58">
        <v>3107.91</v>
      </c>
      <c r="E42" s="58">
        <v>2532.38</v>
      </c>
      <c r="F42" s="58">
        <v>1908.86</v>
      </c>
      <c r="G42" s="59">
        <v>1740.95</v>
      </c>
      <c r="H42" s="24"/>
      <c r="I42" s="50">
        <v>0</v>
      </c>
      <c r="J42" s="51">
        <f>E42/D42-1</f>
        <v>-0.18518232509950405</v>
      </c>
      <c r="K42" s="51">
        <f>F42/E42-1</f>
        <v>-0.24621897187625874</v>
      </c>
      <c r="L42" s="52">
        <f>G42/F42-1</f>
        <v>-8.7963496537200148E-2</v>
      </c>
    </row>
  </sheetData>
  <mergeCells count="11">
    <mergeCell ref="B1:L1"/>
    <mergeCell ref="B2:L2"/>
    <mergeCell ref="B26:C26"/>
    <mergeCell ref="B37:C37"/>
    <mergeCell ref="B38:C38"/>
    <mergeCell ref="B41:C41"/>
    <mergeCell ref="B4:K4"/>
    <mergeCell ref="B6:K6"/>
    <mergeCell ref="B7:C7"/>
    <mergeCell ref="I7:L7"/>
    <mergeCell ref="B14:C14"/>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4"/>
  <sheetViews>
    <sheetView showGridLines="0" zoomScale="96" zoomScaleNormal="96" workbookViewId="0">
      <selection activeCell="M4" sqref="M4"/>
    </sheetView>
  </sheetViews>
  <sheetFormatPr defaultColWidth="8.6328125" defaultRowHeight="14.5" x14ac:dyDescent="0.35"/>
  <cols>
    <col min="1" max="1" width="3.36328125" customWidth="1"/>
    <col min="2" max="2" width="14.81640625" customWidth="1"/>
    <col min="8" max="8" width="2.54296875" customWidth="1"/>
  </cols>
  <sheetData>
    <row r="1" spans="2:12" ht="27.75" customHeight="1" x14ac:dyDescent="0.35">
      <c r="B1" s="336" t="s">
        <v>275</v>
      </c>
      <c r="C1" s="336"/>
      <c r="D1" s="336"/>
      <c r="E1" s="336"/>
      <c r="F1" s="336"/>
      <c r="G1" s="336"/>
      <c r="H1" s="336"/>
      <c r="I1" s="336"/>
      <c r="J1" s="336"/>
      <c r="K1" s="336"/>
      <c r="L1" s="336"/>
    </row>
    <row r="2" spans="2:12" ht="24" customHeight="1" x14ac:dyDescent="0.35">
      <c r="B2" s="337" t="s">
        <v>368</v>
      </c>
      <c r="C2" s="337"/>
      <c r="D2" s="337"/>
      <c r="E2" s="337"/>
      <c r="F2" s="337"/>
      <c r="G2" s="337"/>
      <c r="H2" s="337"/>
      <c r="I2" s="337"/>
      <c r="J2" s="337"/>
      <c r="K2" s="337"/>
      <c r="L2" s="337"/>
    </row>
    <row r="3" spans="2:12" ht="14.25" customHeight="1" x14ac:dyDescent="0.35">
      <c r="B3" s="60"/>
      <c r="C3" s="61" t="s">
        <v>369</v>
      </c>
      <c r="D3" s="61" t="s">
        <v>370</v>
      </c>
      <c r="E3" s="61" t="s">
        <v>371</v>
      </c>
      <c r="F3" s="61" t="s">
        <v>372</v>
      </c>
      <c r="G3" s="61" t="s">
        <v>373</v>
      </c>
      <c r="H3" s="9"/>
      <c r="I3" s="9"/>
      <c r="J3" s="9"/>
      <c r="K3" s="9"/>
      <c r="L3" s="9"/>
    </row>
    <row r="4" spans="2:12" ht="14.25" customHeight="1" x14ac:dyDescent="0.35">
      <c r="B4" s="277"/>
      <c r="C4" s="277"/>
      <c r="D4" s="277"/>
      <c r="E4" s="277"/>
      <c r="F4" s="277"/>
      <c r="G4" s="277"/>
      <c r="H4" s="277"/>
      <c r="I4" s="277"/>
      <c r="J4" s="277"/>
      <c r="K4" s="277"/>
      <c r="L4" s="277"/>
    </row>
    <row r="5" spans="2:12" ht="14.25" customHeight="1" x14ac:dyDescent="0.35">
      <c r="B5" s="63"/>
      <c r="C5" s="64" t="s">
        <v>278</v>
      </c>
      <c r="D5" s="64" t="s">
        <v>278</v>
      </c>
      <c r="E5" s="64" t="s">
        <v>278</v>
      </c>
      <c r="F5" s="64" t="s">
        <v>278</v>
      </c>
      <c r="G5" s="64" t="s">
        <v>278</v>
      </c>
      <c r="H5" s="9"/>
      <c r="I5" s="9"/>
      <c r="J5" s="9"/>
      <c r="K5" s="9"/>
      <c r="L5" s="9"/>
    </row>
    <row r="6" spans="2:12" ht="14.25" customHeight="1" x14ac:dyDescent="0.35">
      <c r="B6" s="65"/>
      <c r="C6" s="66"/>
      <c r="D6" s="66"/>
      <c r="E6" s="66"/>
      <c r="F6" s="66"/>
      <c r="G6" s="67"/>
      <c r="H6" s="62"/>
      <c r="I6" s="278" t="s">
        <v>374</v>
      </c>
      <c r="J6" s="278"/>
      <c r="K6" s="278"/>
      <c r="L6" s="278"/>
    </row>
    <row r="7" spans="2:12" ht="15.75" customHeight="1" x14ac:dyDescent="0.35">
      <c r="B7" s="68" t="s">
        <v>375</v>
      </c>
      <c r="C7" s="69">
        <v>5837.85</v>
      </c>
      <c r="D7" s="69">
        <v>5103.07</v>
      </c>
      <c r="E7" s="69">
        <v>7347.77</v>
      </c>
      <c r="F7" s="69">
        <v>5688.83</v>
      </c>
      <c r="G7" s="70">
        <v>4187.72</v>
      </c>
      <c r="H7" s="9"/>
      <c r="I7" s="71">
        <f t="shared" ref="I7:L9" si="0">D7/C7-1</f>
        <v>-0.12586483037419605</v>
      </c>
      <c r="J7" s="72">
        <f t="shared" si="0"/>
        <v>0.43987246892556842</v>
      </c>
      <c r="K7" s="72">
        <f t="shared" si="0"/>
        <v>-0.22577462277670646</v>
      </c>
      <c r="L7" s="73">
        <f t="shared" si="0"/>
        <v>-0.26386972365143613</v>
      </c>
    </row>
    <row r="8" spans="2:12" ht="24" customHeight="1" x14ac:dyDescent="0.35">
      <c r="B8" s="74" t="s">
        <v>376</v>
      </c>
      <c r="C8" s="75">
        <v>7088.18</v>
      </c>
      <c r="D8" s="75">
        <v>4423.96</v>
      </c>
      <c r="E8" s="75">
        <v>6103.6</v>
      </c>
      <c r="F8" s="75">
        <v>4193.43</v>
      </c>
      <c r="G8" s="76">
        <v>986.49</v>
      </c>
      <c r="H8" s="9"/>
      <c r="I8" s="71">
        <f t="shared" si="0"/>
        <v>-0.37586799432294327</v>
      </c>
      <c r="J8" s="72">
        <f t="shared" si="0"/>
        <v>0.37966889393213332</v>
      </c>
      <c r="K8" s="72">
        <f t="shared" si="0"/>
        <v>-0.3129579264696245</v>
      </c>
      <c r="L8" s="73">
        <f t="shared" si="0"/>
        <v>-0.76475343573160881</v>
      </c>
    </row>
    <row r="9" spans="2:12" ht="15.75" customHeight="1" x14ac:dyDescent="0.35">
      <c r="B9" s="74" t="s">
        <v>377</v>
      </c>
      <c r="C9" s="279">
        <v>-1334.07</v>
      </c>
      <c r="D9" s="279">
        <v>-874.12</v>
      </c>
      <c r="E9" s="279">
        <v>-2517.63</v>
      </c>
      <c r="F9" s="279">
        <v>-1274.6400000000001</v>
      </c>
      <c r="G9" s="280">
        <v>-321.69</v>
      </c>
      <c r="H9" s="9"/>
      <c r="I9" s="71">
        <f t="shared" si="0"/>
        <v>-0.34477201346256192</v>
      </c>
      <c r="J9" s="72">
        <f t="shared" si="0"/>
        <v>1.8801880748638631</v>
      </c>
      <c r="K9" s="72">
        <f t="shared" si="0"/>
        <v>-0.49371432656903513</v>
      </c>
      <c r="L9" s="73">
        <f t="shared" si="0"/>
        <v>-0.74762285821879115</v>
      </c>
    </row>
    <row r="10" spans="2:12" ht="15.75" customHeight="1" x14ac:dyDescent="0.35">
      <c r="B10" s="74" t="s">
        <v>378</v>
      </c>
      <c r="C10" s="279"/>
      <c r="D10" s="279"/>
      <c r="E10" s="279"/>
      <c r="F10" s="279"/>
      <c r="G10" s="280"/>
      <c r="H10" s="9"/>
      <c r="I10" s="71"/>
      <c r="J10" s="72"/>
      <c r="K10" s="72"/>
      <c r="L10" s="73"/>
    </row>
    <row r="11" spans="2:12" ht="31.5" customHeight="1" x14ac:dyDescent="0.35">
      <c r="B11" s="74" t="s">
        <v>379</v>
      </c>
      <c r="C11" s="75">
        <v>-2376.5100000000002</v>
      </c>
      <c r="D11" s="75">
        <v>-3752.58</v>
      </c>
      <c r="E11" s="75">
        <v>-2982.5</v>
      </c>
      <c r="F11" s="75">
        <v>-2140.0500000000002</v>
      </c>
      <c r="G11" s="76">
        <v>-1807.61</v>
      </c>
      <c r="H11" s="9"/>
      <c r="I11" s="71">
        <f t="shared" ref="I11:L14" si="1">D11/C11-1</f>
        <v>0.5790297537144804</v>
      </c>
      <c r="J11" s="72">
        <f t="shared" si="1"/>
        <v>-0.20521347979256932</v>
      </c>
      <c r="K11" s="72">
        <f t="shared" si="1"/>
        <v>-0.28246437552388926</v>
      </c>
      <c r="L11" s="73">
        <f t="shared" si="1"/>
        <v>-0.15534216490268926</v>
      </c>
    </row>
    <row r="12" spans="2:12" ht="39.75" customHeight="1" x14ac:dyDescent="0.35">
      <c r="B12" s="68" t="s">
        <v>380</v>
      </c>
      <c r="C12" s="69">
        <v>3383.44</v>
      </c>
      <c r="D12" s="69">
        <v>-269.52999999999997</v>
      </c>
      <c r="E12" s="69">
        <v>572.62</v>
      </c>
      <c r="F12" s="69">
        <v>771.04</v>
      </c>
      <c r="G12" s="70">
        <v>-1137.8699999999999</v>
      </c>
      <c r="H12" s="9"/>
      <c r="I12" s="71">
        <f t="shared" si="1"/>
        <v>-1.0796615279124204</v>
      </c>
      <c r="J12" s="72">
        <f t="shared" si="1"/>
        <v>-3.1245130412199016</v>
      </c>
      <c r="K12" s="72">
        <f t="shared" si="1"/>
        <v>0.34651252139289568</v>
      </c>
      <c r="L12" s="73">
        <f t="shared" si="1"/>
        <v>-2.4757600124507158</v>
      </c>
    </row>
    <row r="13" spans="2:12" ht="24" customHeight="1" x14ac:dyDescent="0.35">
      <c r="B13" s="74" t="s">
        <v>381</v>
      </c>
      <c r="C13" s="75">
        <v>3357.42</v>
      </c>
      <c r="D13" s="75">
        <v>3626.95</v>
      </c>
      <c r="E13" s="75">
        <v>3054.33</v>
      </c>
      <c r="F13" s="75">
        <v>2283.29</v>
      </c>
      <c r="G13" s="76">
        <v>3421.16</v>
      </c>
      <c r="H13" s="9"/>
      <c r="I13" s="71">
        <f t="shared" si="1"/>
        <v>8.0278904635106674E-2</v>
      </c>
      <c r="J13" s="72">
        <f t="shared" si="1"/>
        <v>-0.15787920980438108</v>
      </c>
      <c r="K13" s="72">
        <f t="shared" si="1"/>
        <v>-0.25244161567348644</v>
      </c>
      <c r="L13" s="73">
        <f t="shared" si="1"/>
        <v>0.49834668395166615</v>
      </c>
    </row>
    <row r="14" spans="2:12" ht="24" customHeight="1" x14ac:dyDescent="0.35">
      <c r="B14" s="77" t="s">
        <v>382</v>
      </c>
      <c r="C14" s="78">
        <v>6740.86</v>
      </c>
      <c r="D14" s="78">
        <v>3357.42</v>
      </c>
      <c r="E14" s="78">
        <v>3626.95</v>
      </c>
      <c r="F14" s="78">
        <v>3054.33</v>
      </c>
      <c r="G14" s="79">
        <v>2283.29</v>
      </c>
      <c r="H14" s="9"/>
      <c r="I14" s="80">
        <f t="shared" si="1"/>
        <v>-0.50193002079853311</v>
      </c>
      <c r="J14" s="81">
        <f t="shared" si="1"/>
        <v>8.0278904635106674E-2</v>
      </c>
      <c r="K14" s="81">
        <f t="shared" si="1"/>
        <v>-0.15787920980438108</v>
      </c>
      <c r="L14" s="82">
        <f t="shared" si="1"/>
        <v>-0.25244161567348644</v>
      </c>
    </row>
  </sheetData>
  <mergeCells count="9">
    <mergeCell ref="B2:L2"/>
    <mergeCell ref="B1:L1"/>
    <mergeCell ref="B4:L4"/>
    <mergeCell ref="I6:L6"/>
    <mergeCell ref="C9:C10"/>
    <mergeCell ref="D9:D10"/>
    <mergeCell ref="E9:E10"/>
    <mergeCell ref="F9:F10"/>
    <mergeCell ref="G9:G10"/>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24"/>
  <sheetViews>
    <sheetView showGridLines="0" zoomScaleNormal="100" workbookViewId="0">
      <selection activeCell="O14" sqref="O14"/>
    </sheetView>
  </sheetViews>
  <sheetFormatPr defaultColWidth="8.6328125" defaultRowHeight="14.5" x14ac:dyDescent="0.35"/>
  <cols>
    <col min="1" max="1" width="2.81640625" customWidth="1"/>
    <col min="2" max="2" width="16" customWidth="1"/>
    <col min="8" max="8" width="8.08984375" customWidth="1"/>
    <col min="9" max="9" width="15" style="83" bestFit="1" customWidth="1"/>
    <col min="10" max="10" width="12.81640625" style="225" customWidth="1"/>
    <col min="11" max="11" width="12.26953125" style="225" customWidth="1"/>
    <col min="12" max="12" width="18.36328125" style="225" customWidth="1"/>
    <col min="13" max="13" width="14.90625" style="225" customWidth="1"/>
    <col min="14" max="14" width="17.90625" customWidth="1"/>
  </cols>
  <sheetData>
    <row r="1" ht="34.5" customHeight="1" x14ac:dyDescent="0.35"/>
    <row r="2" ht="13.5" customHeight="1" x14ac:dyDescent="0.35"/>
    <row r="3" ht="15.75" customHeight="1" x14ac:dyDescent="0.35"/>
    <row r="4" ht="19.5" customHeight="1" x14ac:dyDescent="0.35"/>
    <row r="5" ht="15" customHeight="1" x14ac:dyDescent="0.35"/>
    <row r="6" ht="15" customHeight="1" x14ac:dyDescent="0.35"/>
    <row r="7" ht="15" customHeight="1" x14ac:dyDescent="0.35"/>
    <row r="8" ht="15" customHeight="1" x14ac:dyDescent="0.35"/>
    <row r="9" ht="15" customHeight="1" x14ac:dyDescent="0.35"/>
    <row r="10" ht="15" customHeight="1" x14ac:dyDescent="0.35"/>
    <row r="11" ht="15" customHeight="1" x14ac:dyDescent="0.35"/>
    <row r="12" ht="15" customHeight="1" x14ac:dyDescent="0.35"/>
    <row r="13" ht="15" customHeight="1" x14ac:dyDescent="0.35"/>
    <row r="14" ht="15" customHeight="1" x14ac:dyDescent="0.35"/>
    <row r="15" ht="15" customHeight="1" x14ac:dyDescent="0.35"/>
    <row r="17" spans="2:13" ht="15" customHeight="1" x14ac:dyDescent="0.35"/>
    <row r="18" spans="2:13" ht="18" x14ac:dyDescent="0.35">
      <c r="B18" s="223" t="s">
        <v>383</v>
      </c>
      <c r="C18" s="224"/>
      <c r="D18" s="224"/>
      <c r="E18" s="224"/>
      <c r="F18" s="224"/>
      <c r="G18" s="224"/>
      <c r="I18" s="229" t="s">
        <v>384</v>
      </c>
      <c r="J18" s="230" t="s">
        <v>719</v>
      </c>
      <c r="K18" s="230" t="s">
        <v>720</v>
      </c>
      <c r="L18" s="230" t="s">
        <v>721</v>
      </c>
      <c r="M18" s="230" t="s">
        <v>722</v>
      </c>
    </row>
    <row r="19" spans="2:13" ht="14.25" customHeight="1" x14ac:dyDescent="0.35">
      <c r="B19" s="281" t="s">
        <v>728</v>
      </c>
      <c r="C19" s="281"/>
      <c r="D19" s="281"/>
      <c r="E19" s="281"/>
      <c r="F19" s="281"/>
      <c r="G19" s="281"/>
      <c r="I19" s="226" t="s">
        <v>723</v>
      </c>
      <c r="J19" s="227">
        <v>33906</v>
      </c>
      <c r="K19" s="227">
        <v>3569</v>
      </c>
      <c r="L19" s="228">
        <f t="shared" ref="L19:M22" si="0">(J19-J20)/J20</f>
        <v>-4.4766868573038458E-2</v>
      </c>
      <c r="M19" s="228">
        <f t="shared" si="0"/>
        <v>-0.34633699633699633</v>
      </c>
    </row>
    <row r="20" spans="2:13" ht="14.25" customHeight="1" x14ac:dyDescent="0.35">
      <c r="B20" s="281"/>
      <c r="C20" s="281"/>
      <c r="D20" s="281"/>
      <c r="E20" s="281"/>
      <c r="F20" s="281"/>
      <c r="G20" s="281"/>
      <c r="I20" s="226" t="s">
        <v>724</v>
      </c>
      <c r="J20" s="227">
        <v>35495</v>
      </c>
      <c r="K20" s="227">
        <v>5460</v>
      </c>
      <c r="L20" s="228">
        <f t="shared" si="0"/>
        <v>2.9168720461596451E-2</v>
      </c>
      <c r="M20" s="228">
        <f t="shared" si="0"/>
        <v>0.32976132489040427</v>
      </c>
    </row>
    <row r="21" spans="2:13" ht="14.25" customHeight="1" x14ac:dyDescent="0.35">
      <c r="B21" s="281"/>
      <c r="C21" s="281"/>
      <c r="D21" s="281"/>
      <c r="E21" s="281"/>
      <c r="F21" s="281"/>
      <c r="G21" s="281"/>
      <c r="I21" s="226" t="s">
        <v>725</v>
      </c>
      <c r="J21" s="227">
        <v>34489</v>
      </c>
      <c r="K21" s="227">
        <v>4106</v>
      </c>
      <c r="L21" s="228">
        <f t="shared" si="0"/>
        <v>0.19244200117553503</v>
      </c>
      <c r="M21" s="228">
        <f t="shared" si="0"/>
        <v>1.21921482565228E-3</v>
      </c>
    </row>
    <row r="22" spans="2:13" ht="14.25" customHeight="1" x14ac:dyDescent="0.35">
      <c r="B22" s="281"/>
      <c r="C22" s="281"/>
      <c r="D22" s="281"/>
      <c r="E22" s="281"/>
      <c r="F22" s="281"/>
      <c r="G22" s="281"/>
      <c r="I22" s="226" t="s">
        <v>726</v>
      </c>
      <c r="J22" s="227">
        <v>28923</v>
      </c>
      <c r="K22" s="227">
        <v>4101</v>
      </c>
      <c r="L22" s="228">
        <f t="shared" si="0"/>
        <v>0.33212048636698599</v>
      </c>
      <c r="M22" s="228">
        <f t="shared" si="0"/>
        <v>0.29043423536815605</v>
      </c>
    </row>
    <row r="23" spans="2:13" ht="14.25" customHeight="1" x14ac:dyDescent="0.35">
      <c r="B23" s="281"/>
      <c r="C23" s="281"/>
      <c r="D23" s="281"/>
      <c r="E23" s="281"/>
      <c r="F23" s="281"/>
      <c r="G23" s="281"/>
      <c r="I23" s="226" t="s">
        <v>727</v>
      </c>
      <c r="J23" s="227">
        <v>21712</v>
      </c>
      <c r="K23" s="227">
        <v>3178</v>
      </c>
      <c r="L23" s="228">
        <f>IFERROR(J23/J24,0)</f>
        <v>0</v>
      </c>
      <c r="M23" s="228">
        <f>IFERROR(K23/K24,0)</f>
        <v>0</v>
      </c>
    </row>
    <row r="24" spans="2:13" ht="292.5" customHeight="1" x14ac:dyDescent="0.35">
      <c r="B24" s="281"/>
      <c r="C24" s="281"/>
      <c r="D24" s="281"/>
      <c r="E24" s="281"/>
      <c r="F24" s="281"/>
      <c r="G24" s="281"/>
    </row>
  </sheetData>
  <mergeCells count="1">
    <mergeCell ref="B19:G24"/>
  </mergeCell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61"/>
  <sheetViews>
    <sheetView showGridLines="0" zoomScale="88" zoomScaleNormal="97" workbookViewId="0">
      <selection activeCell="D35" sqref="D35"/>
    </sheetView>
  </sheetViews>
  <sheetFormatPr defaultColWidth="8.6328125" defaultRowHeight="14.5" x14ac:dyDescent="0.35"/>
  <cols>
    <col min="1" max="1" width="2.1796875" customWidth="1"/>
    <col min="2" max="2" width="39.36328125" style="83" customWidth="1"/>
    <col min="3" max="7" width="10.36328125" customWidth="1"/>
  </cols>
  <sheetData>
    <row r="1" spans="2:7" ht="21" customHeight="1" x14ac:dyDescent="0.35">
      <c r="B1" s="282" t="s">
        <v>385</v>
      </c>
      <c r="C1" s="282"/>
      <c r="D1" s="282"/>
      <c r="E1" s="282"/>
      <c r="F1" s="282"/>
      <c r="G1" s="282"/>
    </row>
    <row r="3" spans="2:7" ht="15" customHeight="1" x14ac:dyDescent="0.35">
      <c r="B3" s="84" t="s">
        <v>386</v>
      </c>
      <c r="C3" s="85">
        <v>2022</v>
      </c>
      <c r="D3" s="85">
        <v>2023</v>
      </c>
      <c r="E3" s="85">
        <v>2024</v>
      </c>
      <c r="F3" s="85">
        <v>2025</v>
      </c>
      <c r="G3" s="85">
        <v>2026</v>
      </c>
    </row>
    <row r="4" spans="2:7" x14ac:dyDescent="0.35">
      <c r="B4" s="86" t="s">
        <v>387</v>
      </c>
      <c r="C4" s="87"/>
      <c r="D4" s="87"/>
      <c r="E4" s="87"/>
      <c r="F4" s="87"/>
      <c r="G4" s="87"/>
    </row>
    <row r="5" spans="2:7" x14ac:dyDescent="0.35">
      <c r="B5" s="88" t="s">
        <v>388</v>
      </c>
      <c r="C5" s="89">
        <f>'Profit &amp; Loss'!G9</f>
        <v>28923.48</v>
      </c>
      <c r="D5" s="89">
        <f>'Profit &amp; Loss'!F9</f>
        <v>34367.83</v>
      </c>
      <c r="E5" s="89">
        <f>'Profit &amp; Loss'!E9</f>
        <v>35382.120000000003</v>
      </c>
      <c r="F5" s="89">
        <f>'Profit &amp; Loss'!D9</f>
        <v>33797.360000000001</v>
      </c>
      <c r="G5" s="89">
        <f>'Profit &amp; Loss'!C9</f>
        <v>35516.370000000003</v>
      </c>
    </row>
    <row r="6" spans="2:7" x14ac:dyDescent="0.35">
      <c r="B6" s="86" t="s">
        <v>389</v>
      </c>
      <c r="C6" s="87"/>
      <c r="D6" s="90">
        <f>'Profit &amp; Loss'!F9/'Profit &amp; Loss'!G9-1</f>
        <v>0.18823288207366473</v>
      </c>
      <c r="E6" s="90">
        <f>'Profit &amp; Loss'!E9/'Profit &amp; Loss'!F9-1</f>
        <v>2.9512774009880838E-2</v>
      </c>
      <c r="F6" s="90">
        <f>'Profit &amp; Loss'!D9/'Profit &amp; Loss'!E9-1</f>
        <v>-4.4789854310595345E-2</v>
      </c>
      <c r="G6" s="90">
        <f>'Profit &amp; Loss'!C9/'Profit &amp; Loss'!D9-1</f>
        <v>5.0862256696972752E-2</v>
      </c>
    </row>
    <row r="7" spans="2:7" x14ac:dyDescent="0.35">
      <c r="B7" s="91"/>
      <c r="C7" s="87"/>
      <c r="D7" s="87"/>
      <c r="E7" s="87"/>
      <c r="F7" s="87"/>
      <c r="G7" s="87"/>
    </row>
    <row r="8" spans="2:7" x14ac:dyDescent="0.35">
      <c r="B8" s="88" t="s">
        <v>390</v>
      </c>
      <c r="C8" s="89">
        <f>'Profit &amp; Loss'!G22-'Profit &amp; Loss'!G19-'Profit &amp; Loss'!G20</f>
        <v>24297.67</v>
      </c>
      <c r="D8" s="89">
        <f>'Profit &amp; Loss'!F22-'Profit &amp; Loss'!F19-'Profit &amp; Loss'!F20</f>
        <v>28228.75</v>
      </c>
      <c r="E8" s="89">
        <f>'Profit &amp; Loss'!E22-'Profit &amp; Loss'!E19-'Profit &amp; Loss'!E20</f>
        <v>27909.75</v>
      </c>
      <c r="F8" s="89">
        <f>'Profit &amp; Loss'!D22-'Profit &amp; Loss'!D19-'Profit &amp; Loss'!D20</f>
        <v>27899.41</v>
      </c>
      <c r="G8" s="89">
        <f>'Profit &amp; Loss'!C22-'Profit &amp; Loss'!C19-'Profit &amp; Loss'!C20</f>
        <v>28887.620000000003</v>
      </c>
    </row>
    <row r="9" spans="2:7" x14ac:dyDescent="0.35">
      <c r="B9" s="86" t="s">
        <v>391</v>
      </c>
      <c r="C9" s="90">
        <f>('Profit &amp; Loss'!G22-'Profit &amp; Loss'!G19-'Profit &amp; Loss'!G20)/'Profit &amp; Loss'!G9</f>
        <v>0.84006730863644341</v>
      </c>
      <c r="D9" s="90">
        <f>('Profit &amp; Loss'!F22-'Profit &amp; Loss'!F19-'Profit &amp; Loss'!F20)/'Profit &amp; Loss'!F9</f>
        <v>0.82137132312397954</v>
      </c>
      <c r="E9" s="90">
        <f>('Profit &amp; Loss'!E22-'Profit &amp; Loss'!E19-'Profit &amp; Loss'!E20)/'Profit &amp; Loss'!E9</f>
        <v>0.78880943256085267</v>
      </c>
      <c r="F9" s="90">
        <f>('Profit &amp; Loss'!D22-'Profit &amp; Loss'!D19-'Profit &amp; Loss'!D20)/'Profit &amp; Loss'!D9</f>
        <v>0.82549080756603477</v>
      </c>
      <c r="G9" s="90">
        <f>('Profit &amp; Loss'!C22-'Profit &amp; Loss'!C19-'Profit &amp; Loss'!C20)/'Profit &amp; Loss'!C9</f>
        <v>0.81336071225747453</v>
      </c>
    </row>
    <row r="10" spans="2:7" x14ac:dyDescent="0.35">
      <c r="B10" s="91"/>
      <c r="C10" s="87"/>
      <c r="D10" s="87"/>
      <c r="E10" s="87"/>
      <c r="F10" s="87"/>
      <c r="G10" s="87"/>
    </row>
    <row r="11" spans="2:7" x14ac:dyDescent="0.35">
      <c r="B11" s="86" t="s">
        <v>392</v>
      </c>
      <c r="C11" s="92">
        <f t="shared" ref="C11:F11" si="0">C5-C8</f>
        <v>4625.8100000000013</v>
      </c>
      <c r="D11" s="92">
        <f t="shared" si="0"/>
        <v>6139.0800000000017</v>
      </c>
      <c r="E11" s="92">
        <f t="shared" si="0"/>
        <v>7472.3700000000026</v>
      </c>
      <c r="F11" s="92">
        <f t="shared" si="0"/>
        <v>5897.9500000000007</v>
      </c>
      <c r="G11" s="92">
        <f>G5-G8</f>
        <v>6628.75</v>
      </c>
    </row>
    <row r="12" spans="2:7" x14ac:dyDescent="0.35">
      <c r="B12" s="86" t="s">
        <v>393</v>
      </c>
      <c r="C12" s="90">
        <f>('Profit &amp; Loss'!G23+'Profit &amp; Loss'!G19+'Profit &amp; Loss'!G20)/'Profit &amp; Loss'!G9</f>
        <v>0.17921840663709898</v>
      </c>
      <c r="D12" s="90">
        <f>('Profit &amp; Loss'!F23+'Profit &amp; Loss'!F19+'Profit &amp; Loss'!F20)/'Profit &amp; Loss'!F9</f>
        <v>0.19338782809388894</v>
      </c>
      <c r="E12" s="90">
        <f>('Profit &amp; Loss'!E23+'Profit &amp; Loss'!E19+'Profit &amp; Loss'!E20)/'Profit &amp; Loss'!E9</f>
        <v>0.23381696744005165</v>
      </c>
      <c r="F12" s="90">
        <f>('Profit &amp; Loss'!D23+'Profit &amp; Loss'!D19+'Profit &amp; Loss'!D20)/'Profit &amp; Loss'!D9</f>
        <v>0.19465484878108824</v>
      </c>
      <c r="G12" s="90">
        <f>('Profit &amp; Loss'!C23+'Profit &amp; Loss'!C19+'Profit &amp; Loss'!C20)/'Profit &amp; Loss'!C9</f>
        <v>0.20890986325460623</v>
      </c>
    </row>
    <row r="13" spans="2:7" x14ac:dyDescent="0.35">
      <c r="B13" s="91"/>
      <c r="C13" s="87"/>
      <c r="D13" s="87"/>
      <c r="E13" s="87"/>
      <c r="F13" s="87"/>
      <c r="G13" s="87"/>
    </row>
    <row r="14" spans="2:7" x14ac:dyDescent="0.35">
      <c r="B14" s="88" t="s">
        <v>394</v>
      </c>
      <c r="C14" s="89">
        <f>'Profit &amp; Loss'!G20</f>
        <v>816.36</v>
      </c>
      <c r="D14" s="89">
        <f>'Profit &amp; Loss'!F20</f>
        <v>858.02</v>
      </c>
      <c r="E14" s="89">
        <f>'Profit &amp; Loss'!E20</f>
        <v>853</v>
      </c>
      <c r="F14" s="89">
        <f>'Profit &amp; Loss'!D20</f>
        <v>1026.3399999999999</v>
      </c>
      <c r="G14" s="89">
        <f>'Profit &amp; Loss'!C20</f>
        <v>1228.8499999999999</v>
      </c>
    </row>
    <row r="15" spans="2:7" x14ac:dyDescent="0.35">
      <c r="B15" s="86" t="s">
        <v>395</v>
      </c>
      <c r="C15" s="90">
        <f>'Profit &amp; Loss'!G20/'Profit &amp; Loss'!G9</f>
        <v>2.8224819420069786E-2</v>
      </c>
      <c r="D15" s="90">
        <f>'Profit &amp; Loss'!F20/'Profit &amp; Loss'!F9</f>
        <v>2.4965789227891316E-2</v>
      </c>
      <c r="E15" s="90">
        <f>'Profit &amp; Loss'!E20/'Profit &amp; Loss'!E9</f>
        <v>2.4108221892865659E-2</v>
      </c>
      <c r="F15" s="90">
        <f>'Profit &amp; Loss'!D20/'Profit &amp; Loss'!D9</f>
        <v>3.036746065373153E-2</v>
      </c>
      <c r="G15" s="90">
        <f>'Profit &amp; Loss'!C20/'Profit &amp; Loss'!C9</f>
        <v>3.4599538184786331E-2</v>
      </c>
    </row>
    <row r="16" spans="2:7" x14ac:dyDescent="0.35">
      <c r="B16" s="91"/>
      <c r="C16" s="87"/>
      <c r="D16" s="87"/>
      <c r="E16" s="87"/>
      <c r="F16" s="87"/>
      <c r="G16" s="87"/>
    </row>
    <row r="17" spans="2:7" x14ac:dyDescent="0.35">
      <c r="B17" s="86" t="s">
        <v>396</v>
      </c>
      <c r="C17" s="92">
        <f>C11-C14</f>
        <v>3809.4500000000012</v>
      </c>
      <c r="D17" s="92">
        <f t="shared" ref="D17:G17" si="1">D11-D14</f>
        <v>5281.0600000000013</v>
      </c>
      <c r="E17" s="92">
        <f t="shared" si="1"/>
        <v>6619.3700000000026</v>
      </c>
      <c r="F17" s="92">
        <f t="shared" si="1"/>
        <v>4871.6100000000006</v>
      </c>
      <c r="G17" s="92">
        <f t="shared" si="1"/>
        <v>5399.9</v>
      </c>
    </row>
    <row r="18" spans="2:7" x14ac:dyDescent="0.35">
      <c r="B18" s="86" t="s">
        <v>397</v>
      </c>
      <c r="C18" s="90">
        <f>('Profit &amp; Loss'!G23+'Profit &amp; Loss'!G19)/'Profit &amp; Loss'!G9</f>
        <v>0.15099358721702921</v>
      </c>
      <c r="D18" s="90">
        <f>('Profit &amp; Loss'!F23+'Profit &amp; Loss'!F19)/'Profit &amp; Loss'!F9</f>
        <v>0.16842203886599766</v>
      </c>
      <c r="E18" s="90">
        <f>('Profit &amp; Loss'!E23+'Profit &amp; Loss'!E19)/'Profit &amp; Loss'!E9</f>
        <v>0.20970874554718597</v>
      </c>
      <c r="F18" s="90">
        <f>('Profit &amp; Loss'!D23+'Profit &amp; Loss'!D19)/'Profit &amp; Loss'!D9</f>
        <v>0.16428738812735671</v>
      </c>
      <c r="G18" s="90">
        <f>('Profit &amp; Loss'!C23+'Profit &amp; Loss'!C19)/'Profit &amp; Loss'!C9</f>
        <v>0.17431032506981989</v>
      </c>
    </row>
    <row r="19" spans="2:7" x14ac:dyDescent="0.35">
      <c r="B19" s="91"/>
      <c r="C19" s="87"/>
      <c r="D19" s="87"/>
      <c r="E19" s="87"/>
      <c r="F19" s="87"/>
      <c r="G19" s="87"/>
    </row>
    <row r="20" spans="2:7" x14ac:dyDescent="0.35">
      <c r="B20" s="88" t="s">
        <v>346</v>
      </c>
      <c r="C20" s="89">
        <f>'Profit &amp; Loss'!G19</f>
        <v>95.41</v>
      </c>
      <c r="D20" s="89">
        <f>'Profit &amp; Loss'!F19</f>
        <v>144.44999999999999</v>
      </c>
      <c r="E20" s="89">
        <f>'Profit &amp; Loss'!E19</f>
        <v>205.17</v>
      </c>
      <c r="F20" s="89">
        <f>'Profit &amp; Loss'!D19</f>
        <v>227.02</v>
      </c>
      <c r="G20" s="89">
        <f>'Profit &amp; Loss'!C19</f>
        <v>195.41</v>
      </c>
    </row>
    <row r="21" spans="2:7" x14ac:dyDescent="0.35">
      <c r="B21" s="86" t="s">
        <v>398</v>
      </c>
      <c r="C21" s="90">
        <f>'Profit &amp; Loss'!G19/'Profit &amp; Loss'!G9</f>
        <v>3.2987040286991745E-3</v>
      </c>
      <c r="D21" s="90">
        <f>'Profit &amp; Loss'!F19/'Profit &amp; Loss'!F9</f>
        <v>4.203058499765623E-3</v>
      </c>
      <c r="E21" s="90">
        <f>'Profit &amp; Loss'!E19/'Profit &amp; Loss'!E9</f>
        <v>5.79869154250791E-3</v>
      </c>
      <c r="F21" s="90">
        <f>'Profit &amp; Loss'!D19/'Profit &amp; Loss'!D9</f>
        <v>6.7170926959975574E-3</v>
      </c>
      <c r="G21" s="90">
        <f>'Profit &amp; Loss'!C19/'Profit &amp; Loss'!C9</f>
        <v>5.5019699366799027E-3</v>
      </c>
    </row>
    <row r="22" spans="2:7" x14ac:dyDescent="0.35">
      <c r="B22" s="91"/>
      <c r="C22" s="87"/>
      <c r="D22" s="87"/>
      <c r="E22" s="87"/>
      <c r="F22" s="87"/>
      <c r="G22" s="87"/>
    </row>
    <row r="23" spans="2:7" x14ac:dyDescent="0.35">
      <c r="B23" s="88" t="s">
        <v>339</v>
      </c>
      <c r="C23" s="89">
        <f>'Profit &amp; Loss'!G12</f>
        <v>380.01</v>
      </c>
      <c r="D23" s="89">
        <f>'Profit &amp; Loss'!F12</f>
        <v>386.48</v>
      </c>
      <c r="E23" s="89">
        <f>'Profit &amp; Loss'!E12</f>
        <v>687.96</v>
      </c>
      <c r="F23" s="89">
        <f>'Profit &amp; Loss'!D12</f>
        <v>572.61</v>
      </c>
      <c r="G23" s="89">
        <f>'Profit &amp; Loss'!C12</f>
        <v>723.8</v>
      </c>
    </row>
    <row r="24" spans="2:7" x14ac:dyDescent="0.35">
      <c r="B24" s="91"/>
      <c r="C24" s="87"/>
      <c r="D24" s="87"/>
      <c r="E24" s="87"/>
      <c r="F24" s="87"/>
      <c r="G24" s="87"/>
    </row>
    <row r="25" spans="2:7" x14ac:dyDescent="0.35">
      <c r="B25" s="86" t="s">
        <v>399</v>
      </c>
      <c r="C25" s="92">
        <f>'Profit &amp; Loss'!G23</f>
        <v>4271.8500000000004</v>
      </c>
      <c r="D25" s="92">
        <f>'Profit &amp; Loss'!F23</f>
        <v>5643.85</v>
      </c>
      <c r="E25" s="92">
        <f>'Profit &amp; Loss'!E23</f>
        <v>7214.77</v>
      </c>
      <c r="F25" s="92">
        <f>'Profit &amp; Loss'!D23</f>
        <v>5325.46</v>
      </c>
      <c r="G25" s="92">
        <f>'Profit &amp; Loss'!C23</f>
        <v>5995.46</v>
      </c>
    </row>
    <row r="26" spans="2:7" x14ac:dyDescent="0.35">
      <c r="B26" s="86" t="s">
        <v>400</v>
      </c>
      <c r="C26" s="90">
        <f>'Profit &amp; Loss'!G23/'Profit &amp; Loss'!G9</f>
        <v>0.14769488318833005</v>
      </c>
      <c r="D26" s="90">
        <f>'Profit &amp; Loss'!F23/'Profit &amp; Loss'!F9</f>
        <v>0.16421898036623203</v>
      </c>
      <c r="E26" s="90">
        <f>'Profit &amp; Loss'!E23/'Profit &amp; Loss'!E9</f>
        <v>0.20391005400467807</v>
      </c>
      <c r="F26" s="90">
        <f>'Profit &amp; Loss'!D23/'Profit &amp; Loss'!D9</f>
        <v>0.15757029543135914</v>
      </c>
      <c r="G26" s="90">
        <f>'Profit &amp; Loss'!C23/'Profit &amp; Loss'!C9</f>
        <v>0.16880835513313999</v>
      </c>
    </row>
    <row r="27" spans="2:7" x14ac:dyDescent="0.35">
      <c r="B27" s="91"/>
      <c r="C27" s="87"/>
      <c r="D27" s="87"/>
      <c r="E27" s="87"/>
      <c r="F27" s="87"/>
      <c r="G27" s="87"/>
    </row>
    <row r="28" spans="2:7" x14ac:dyDescent="0.35">
      <c r="B28" s="88" t="s">
        <v>357</v>
      </c>
      <c r="C28" s="89">
        <f>'Profit &amp; Loss'!G30</f>
        <v>1102.9100000000001</v>
      </c>
      <c r="D28" s="89">
        <f>'Profit &amp; Loss'!F30</f>
        <v>1493.5</v>
      </c>
      <c r="E28" s="89">
        <f>'Profit &amp; Loss'!E30</f>
        <v>1790.08</v>
      </c>
      <c r="F28" s="89">
        <f>'Profit &amp; Loss'!D30</f>
        <v>1393.36</v>
      </c>
      <c r="G28" s="89">
        <f>'Profit &amp; Loss'!C30</f>
        <v>1608.75</v>
      </c>
    </row>
    <row r="29" spans="2:7" x14ac:dyDescent="0.35">
      <c r="B29" s="86" t="s">
        <v>401</v>
      </c>
      <c r="C29" s="90">
        <f>'Profit &amp; Loss'!G30/'Profit &amp; Loss'!G25</f>
        <v>0.26536818930981804</v>
      </c>
      <c r="D29" s="90">
        <f>'Profit &amp; Loss'!F30/'Profit &amp; Loss'!F25</f>
        <v>0.26693571737521854</v>
      </c>
      <c r="E29" s="90">
        <f>'Profit &amp; Loss'!E30/'Profit &amp; Loss'!E25</f>
        <v>0.24811324546728444</v>
      </c>
      <c r="F29" s="90">
        <f>'Profit &amp; Loss'!D30/'Profit &amp; Loss'!D25</f>
        <v>0.28078575516488125</v>
      </c>
      <c r="G29" s="90">
        <f>'Profit &amp; Loss'!C30/'Profit &amp; Loss'!C25</f>
        <v>0.27557234255761964</v>
      </c>
    </row>
    <row r="30" spans="2:7" x14ac:dyDescent="0.35">
      <c r="B30" s="91"/>
      <c r="C30" s="87"/>
      <c r="D30" s="87"/>
      <c r="E30" s="87"/>
      <c r="F30" s="87"/>
      <c r="G30" s="87"/>
    </row>
    <row r="31" spans="2:7" x14ac:dyDescent="0.35">
      <c r="B31" s="86" t="s">
        <v>402</v>
      </c>
      <c r="C31" s="92">
        <f>'Profit &amp; Loss'!G36</f>
        <v>3030.57</v>
      </c>
      <c r="D31" s="92">
        <f>'Profit &amp; Loss'!F36</f>
        <v>4106.45</v>
      </c>
      <c r="E31" s="92">
        <f>'Profit &amp; Loss'!E36</f>
        <v>5460.23</v>
      </c>
      <c r="F31" s="92">
        <f>'Profit &amp; Loss'!D36</f>
        <v>3667.23</v>
      </c>
      <c r="G31" s="92">
        <f>'Profit &amp; Loss'!C36</f>
        <v>4325.3500000000004</v>
      </c>
    </row>
    <row r="32" spans="2:7" x14ac:dyDescent="0.35">
      <c r="B32" s="86" t="s">
        <v>403</v>
      </c>
      <c r="C32" s="90">
        <f>'Profit &amp; Loss'!G36/'Profit &amp; Loss'!G9</f>
        <v>0.10477888552829744</v>
      </c>
      <c r="D32" s="90">
        <f>'Profit &amp; Loss'!F36/'Profit &amp; Loss'!F9</f>
        <v>0.11948528609458321</v>
      </c>
      <c r="E32" s="90">
        <f>'Profit &amp; Loss'!E36/'Profit &amp; Loss'!E9</f>
        <v>0.15432173086293299</v>
      </c>
      <c r="F32" s="90">
        <f>'Profit &amp; Loss'!D36/'Profit &amp; Loss'!D9</f>
        <v>0.10850640405049389</v>
      </c>
      <c r="G32" s="90">
        <f>'Profit &amp; Loss'!C36/'Profit &amp; Loss'!C9</f>
        <v>0.12178468689226968</v>
      </c>
    </row>
    <row r="33" spans="2:7" x14ac:dyDescent="0.35">
      <c r="B33" s="91"/>
      <c r="C33" s="87"/>
      <c r="D33" s="87"/>
      <c r="E33" s="87"/>
      <c r="F33" s="87"/>
      <c r="G33" s="87"/>
    </row>
    <row r="34" spans="2:7" x14ac:dyDescent="0.35">
      <c r="B34" s="86" t="s">
        <v>404</v>
      </c>
      <c r="C34" s="93">
        <f>'Profit &amp; Loss'!G39</f>
        <v>32</v>
      </c>
      <c r="D34" s="93">
        <f>'Profit &amp; Loss'!F39</f>
        <v>43</v>
      </c>
      <c r="E34" s="93">
        <f>'Profit &amp; Loss'!E39</f>
        <v>57</v>
      </c>
      <c r="F34" s="93">
        <f>'Profit &amp; Loss'!D39</f>
        <v>38</v>
      </c>
      <c r="G34" s="93">
        <f>'Profit &amp; Loss'!C39</f>
        <v>45</v>
      </c>
    </row>
    <row r="35" spans="2:7" x14ac:dyDescent="0.35">
      <c r="B35" s="86" t="s">
        <v>405</v>
      </c>
      <c r="C35" s="87"/>
      <c r="D35" s="90">
        <f>'Profit &amp; Loss'!F39/'Profit &amp; Loss'!G39-1</f>
        <v>0.34375</v>
      </c>
      <c r="E35" s="90">
        <f>'Profit &amp; Loss'!E39/'Profit &amp; Loss'!F39-1</f>
        <v>0.32558139534883712</v>
      </c>
      <c r="F35" s="90">
        <f>'Profit &amp; Loss'!D39/'Profit &amp; Loss'!E39-1</f>
        <v>-0.33333333333333337</v>
      </c>
      <c r="G35" s="90">
        <f>'Profit &amp; Loss'!C39/'Profit &amp; Loss'!D39-1</f>
        <v>0.18421052631578938</v>
      </c>
    </row>
    <row r="38" spans="2:7" ht="15" customHeight="1" x14ac:dyDescent="0.35">
      <c r="B38" s="94" t="s">
        <v>406</v>
      </c>
      <c r="C38" s="95">
        <v>2022</v>
      </c>
      <c r="D38" s="95">
        <v>2023</v>
      </c>
      <c r="E38" s="95">
        <v>2024</v>
      </c>
      <c r="F38" s="95">
        <v>2025</v>
      </c>
      <c r="G38" s="95">
        <v>2026</v>
      </c>
    </row>
    <row r="39" spans="2:7" x14ac:dyDescent="0.35">
      <c r="B39" s="88" t="s">
        <v>282</v>
      </c>
      <c r="C39" s="89">
        <f>'Balance Sheet'!G9</f>
        <v>95.92</v>
      </c>
      <c r="D39" s="89">
        <f>'Balance Sheet'!F9</f>
        <v>95.92</v>
      </c>
      <c r="E39" s="89">
        <f>'Balance Sheet'!E9</f>
        <v>95.92</v>
      </c>
      <c r="F39" s="89">
        <f>'Balance Sheet'!D9</f>
        <v>95.92</v>
      </c>
      <c r="G39" s="89">
        <f>'Balance Sheet'!C9</f>
        <v>95.92</v>
      </c>
    </row>
    <row r="40" spans="2:7" x14ac:dyDescent="0.35">
      <c r="B40" s="88" t="s">
        <v>407</v>
      </c>
      <c r="C40" s="89">
        <f>'Balance Sheet'!G11</f>
        <v>13715.64</v>
      </c>
      <c r="D40" s="89">
        <f>'Balance Sheet'!F11</f>
        <v>15896.31</v>
      </c>
      <c r="E40" s="89">
        <f>'Balance Sheet'!E11</f>
        <v>18632.38</v>
      </c>
      <c r="F40" s="89">
        <f>'Balance Sheet'!D11</f>
        <v>19303.89</v>
      </c>
      <c r="G40" s="89">
        <f>'Balance Sheet'!C11</f>
        <v>21275.67</v>
      </c>
    </row>
    <row r="41" spans="2:7" x14ac:dyDescent="0.35">
      <c r="B41" s="86" t="s">
        <v>286</v>
      </c>
      <c r="C41" s="92">
        <f>'Balance Sheet'!G13</f>
        <v>13811.56</v>
      </c>
      <c r="D41" s="92">
        <f>'Balance Sheet'!F13</f>
        <v>15992.23</v>
      </c>
      <c r="E41" s="92">
        <f>'Balance Sheet'!E13</f>
        <v>18728.3</v>
      </c>
      <c r="F41" s="92">
        <f>'Balance Sheet'!D13</f>
        <v>19399.810000000001</v>
      </c>
      <c r="G41" s="92">
        <f>'Balance Sheet'!C13</f>
        <v>21371.59</v>
      </c>
    </row>
    <row r="42" spans="2:7" x14ac:dyDescent="0.35">
      <c r="B42" s="88" t="s">
        <v>287</v>
      </c>
      <c r="C42" s="89">
        <f>'Balance Sheet'!G14</f>
        <v>387.53</v>
      </c>
      <c r="D42" s="89">
        <f>'Balance Sheet'!F14</f>
        <v>453.66</v>
      </c>
      <c r="E42" s="89">
        <f>'Balance Sheet'!E14</f>
        <v>695.38</v>
      </c>
      <c r="F42" s="89">
        <f>'Balance Sheet'!D14</f>
        <v>659.24</v>
      </c>
      <c r="G42" s="89">
        <f>'Balance Sheet'!C14</f>
        <v>643.39</v>
      </c>
    </row>
    <row r="43" spans="2:7" x14ac:dyDescent="0.35">
      <c r="B43" s="88" t="s">
        <v>289</v>
      </c>
      <c r="C43" s="89">
        <f>'Balance Sheet'!G16</f>
        <v>44.54</v>
      </c>
      <c r="D43" s="89">
        <f>'Balance Sheet'!F16</f>
        <v>76.150000000000006</v>
      </c>
      <c r="E43" s="89">
        <f>'Balance Sheet'!E16</f>
        <v>54.38</v>
      </c>
      <c r="F43" s="89">
        <f>'Balance Sheet'!D16</f>
        <v>259.62</v>
      </c>
      <c r="G43" s="89">
        <f>'Balance Sheet'!C16</f>
        <v>1247.17</v>
      </c>
    </row>
    <row r="44" spans="2:7" x14ac:dyDescent="0.35">
      <c r="B44" s="88" t="s">
        <v>295</v>
      </c>
      <c r="C44" s="89">
        <f>'Balance Sheet'!G22</f>
        <v>731.12</v>
      </c>
      <c r="D44" s="89">
        <f>'Balance Sheet'!F22</f>
        <v>896.06</v>
      </c>
      <c r="E44" s="89">
        <f>'Balance Sheet'!E22</f>
        <v>1052.76</v>
      </c>
      <c r="F44" s="89">
        <f>'Balance Sheet'!D22</f>
        <v>604.13</v>
      </c>
      <c r="G44" s="89">
        <f>'Balance Sheet'!C22</f>
        <v>1046.0899999999999</v>
      </c>
    </row>
    <row r="45" spans="2:7" x14ac:dyDescent="0.35">
      <c r="B45" s="86" t="s">
        <v>408</v>
      </c>
      <c r="C45" s="92">
        <f>'Balance Sheet'!G16+'Balance Sheet'!G22</f>
        <v>775.66</v>
      </c>
      <c r="D45" s="92">
        <f>'Balance Sheet'!F16+'Balance Sheet'!F22</f>
        <v>972.20999999999992</v>
      </c>
      <c r="E45" s="92">
        <f>'Balance Sheet'!E16+'Balance Sheet'!E22</f>
        <v>1107.1400000000001</v>
      </c>
      <c r="F45" s="92">
        <f>'Balance Sheet'!D16+'Balance Sheet'!D22</f>
        <v>863.75</v>
      </c>
      <c r="G45" s="92">
        <f>'Balance Sheet'!C16+'Balance Sheet'!C22</f>
        <v>2293.2600000000002</v>
      </c>
    </row>
    <row r="46" spans="2:7" x14ac:dyDescent="0.35">
      <c r="B46" s="88" t="s">
        <v>409</v>
      </c>
      <c r="C46" s="89">
        <f>'Balance Sheet'!G17+'Balance Sheet'!G18+'Balance Sheet'!G19</f>
        <v>1169.83</v>
      </c>
      <c r="D46" s="89">
        <f>'Balance Sheet'!F17+'Balance Sheet'!F18+'Balance Sheet'!F19</f>
        <v>1380.03</v>
      </c>
      <c r="E46" s="89">
        <f>'Balance Sheet'!E17+'Balance Sheet'!E18+'Balance Sheet'!E19</f>
        <v>1945.07</v>
      </c>
      <c r="F46" s="89">
        <f>'Balance Sheet'!D17+'Balance Sheet'!D18+'Balance Sheet'!D19</f>
        <v>1911.47</v>
      </c>
      <c r="G46" s="89">
        <f>'Balance Sheet'!C17+'Balance Sheet'!C18+'Balance Sheet'!C19</f>
        <v>2135.31</v>
      </c>
    </row>
    <row r="47" spans="2:7" x14ac:dyDescent="0.35">
      <c r="B47" s="88" t="s">
        <v>299</v>
      </c>
      <c r="C47" s="89">
        <f>'Balance Sheet'!G26</f>
        <v>7570.99</v>
      </c>
      <c r="D47" s="89">
        <f>'Balance Sheet'!F26</f>
        <v>7895.93</v>
      </c>
      <c r="E47" s="89">
        <f>'Balance Sheet'!E26</f>
        <v>8500.9599999999991</v>
      </c>
      <c r="F47" s="89">
        <f>'Balance Sheet'!D26</f>
        <v>8141.23</v>
      </c>
      <c r="G47" s="89">
        <f>'Balance Sheet'!C26</f>
        <v>9137.0300000000007</v>
      </c>
    </row>
    <row r="48" spans="2:7" x14ac:dyDescent="0.35">
      <c r="B48" s="86" t="s">
        <v>410</v>
      </c>
      <c r="C48" s="92">
        <f>'Balance Sheet'!G20+'Balance Sheet'!G26</f>
        <v>8785.36</v>
      </c>
      <c r="D48" s="92">
        <f>'Balance Sheet'!F20+'Balance Sheet'!F26</f>
        <v>9352.11</v>
      </c>
      <c r="E48" s="92">
        <f>'Balance Sheet'!E20+'Balance Sheet'!E26</f>
        <v>10500.41</v>
      </c>
      <c r="F48" s="92">
        <f>'Balance Sheet'!D20+'Balance Sheet'!D26</f>
        <v>10312.32</v>
      </c>
      <c r="G48" s="92">
        <f>'Balance Sheet'!C20+'Balance Sheet'!C26</f>
        <v>12519.51</v>
      </c>
    </row>
    <row r="50" spans="2:7" x14ac:dyDescent="0.35">
      <c r="B50" s="88" t="s">
        <v>411</v>
      </c>
      <c r="C50" s="89">
        <f>'Balance Sheet'!G33</f>
        <v>5702.63</v>
      </c>
      <c r="D50" s="89">
        <f>'Balance Sheet'!F33</f>
        <v>6561.57</v>
      </c>
      <c r="E50" s="89">
        <f>'Balance Sheet'!E33</f>
        <v>9425.7999999999993</v>
      </c>
      <c r="F50" s="89">
        <f>'Balance Sheet'!D33</f>
        <v>10255.01</v>
      </c>
      <c r="G50" s="89">
        <f>'Balance Sheet'!C33</f>
        <v>11269.87</v>
      </c>
    </row>
    <row r="51" spans="2:7" x14ac:dyDescent="0.35">
      <c r="B51" s="88" t="s">
        <v>412</v>
      </c>
      <c r="C51" s="89">
        <f>'Balance Sheet'!G32</f>
        <v>426.43</v>
      </c>
      <c r="D51" s="89">
        <f>'Balance Sheet'!F32</f>
        <v>1019.59</v>
      </c>
      <c r="E51" s="89">
        <f>'Balance Sheet'!E32</f>
        <v>2698.37</v>
      </c>
      <c r="F51" s="89">
        <f>'Balance Sheet'!D32</f>
        <v>1254.49</v>
      </c>
      <c r="G51" s="89">
        <f>'Balance Sheet'!C32</f>
        <v>1848.67</v>
      </c>
    </row>
    <row r="52" spans="2:7" x14ac:dyDescent="0.35">
      <c r="B52" s="88" t="s">
        <v>307</v>
      </c>
      <c r="C52" s="89">
        <f>'Balance Sheet'!G34</f>
        <v>1066.83</v>
      </c>
      <c r="D52" s="89">
        <f>'Balance Sheet'!F34</f>
        <v>1564.71</v>
      </c>
      <c r="E52" s="89">
        <f>'Balance Sheet'!E34</f>
        <v>1384.51</v>
      </c>
      <c r="F52" s="89">
        <f>'Balance Sheet'!D34</f>
        <v>1479.79</v>
      </c>
      <c r="G52" s="89">
        <f>'Balance Sheet'!C34</f>
        <v>775.91</v>
      </c>
    </row>
    <row r="53" spans="2:7" x14ac:dyDescent="0.35">
      <c r="B53" s="88" t="s">
        <v>310</v>
      </c>
      <c r="C53" s="89">
        <f>'Balance Sheet'!G37</f>
        <v>793.78</v>
      </c>
      <c r="D53" s="89">
        <f>'Balance Sheet'!F37</f>
        <v>889.41</v>
      </c>
      <c r="E53" s="89">
        <f>'Balance Sheet'!E37</f>
        <v>1134.21</v>
      </c>
      <c r="F53" s="89">
        <f>'Balance Sheet'!D37</f>
        <v>1409.19</v>
      </c>
      <c r="G53" s="89">
        <f>'Balance Sheet'!C37</f>
        <v>2067.6799999999998</v>
      </c>
    </row>
    <row r="54" spans="2:7" x14ac:dyDescent="0.35">
      <c r="B54" s="86" t="s">
        <v>413</v>
      </c>
      <c r="C54" s="92">
        <f>'Balance Sheet'!G38</f>
        <v>7832.12</v>
      </c>
      <c r="D54" s="92">
        <f>'Balance Sheet'!F38</f>
        <v>9262.84</v>
      </c>
      <c r="E54" s="92">
        <f>'Balance Sheet'!E38</f>
        <v>12387.03</v>
      </c>
      <c r="F54" s="92">
        <f>'Balance Sheet'!D38</f>
        <v>13379.69</v>
      </c>
      <c r="G54" s="92">
        <f>'Balance Sheet'!C38</f>
        <v>14349.85</v>
      </c>
    </row>
    <row r="56" spans="2:7" x14ac:dyDescent="0.35">
      <c r="B56" s="88" t="s">
        <v>315</v>
      </c>
      <c r="C56" s="89">
        <f>'Balance Sheet'!G42</f>
        <v>3871.44</v>
      </c>
      <c r="D56" s="89">
        <f>'Balance Sheet'!F42</f>
        <v>4636.9399999999996</v>
      </c>
      <c r="E56" s="89">
        <f>'Balance Sheet'!E42</f>
        <v>4889.05</v>
      </c>
      <c r="F56" s="89">
        <f>'Balance Sheet'!D42</f>
        <v>4313.6499999999996</v>
      </c>
      <c r="G56" s="89">
        <f>'Balance Sheet'!C42</f>
        <v>4461.8</v>
      </c>
    </row>
    <row r="57" spans="2:7" x14ac:dyDescent="0.35">
      <c r="B57" s="88" t="s">
        <v>314</v>
      </c>
      <c r="C57" s="89">
        <f>'Balance Sheet'!G41</f>
        <v>6152.98</v>
      </c>
      <c r="D57" s="89">
        <f>'Balance Sheet'!F41</f>
        <v>6210.64</v>
      </c>
      <c r="E57" s="89">
        <f>'Balance Sheet'!E41</f>
        <v>5923.41</v>
      </c>
      <c r="F57" s="89">
        <f>'Balance Sheet'!D41</f>
        <v>6719.27</v>
      </c>
      <c r="G57" s="89">
        <f>'Balance Sheet'!C41</f>
        <v>5743.69</v>
      </c>
    </row>
    <row r="58" spans="2:7" x14ac:dyDescent="0.35">
      <c r="B58" s="88" t="s">
        <v>414</v>
      </c>
      <c r="C58" s="89">
        <f>'Balance Sheet'!G43</f>
        <v>864.33</v>
      </c>
      <c r="D58" s="89">
        <f>'Balance Sheet'!F43</f>
        <v>843.82</v>
      </c>
      <c r="E58" s="89">
        <f>'Balance Sheet'!E43</f>
        <v>1084.01</v>
      </c>
      <c r="F58" s="89">
        <f>'Balance Sheet'!D43</f>
        <v>781.98</v>
      </c>
      <c r="G58" s="89">
        <f>'Balance Sheet'!C43</f>
        <v>1073.68</v>
      </c>
    </row>
    <row r="59" spans="2:7" x14ac:dyDescent="0.35">
      <c r="B59" s="86" t="s">
        <v>319</v>
      </c>
      <c r="C59" s="92">
        <f>'Balance Sheet'!G46</f>
        <v>15152.33</v>
      </c>
      <c r="D59" s="92">
        <f>'Balance Sheet'!F46</f>
        <v>16535.16</v>
      </c>
      <c r="E59" s="92">
        <f>'Balance Sheet'!E46</f>
        <v>17537.060000000001</v>
      </c>
      <c r="F59" s="92">
        <f>'Balance Sheet'!D46</f>
        <v>16991.68</v>
      </c>
      <c r="G59" s="92">
        <f>'Balance Sheet'!C46</f>
        <v>20184.64</v>
      </c>
    </row>
    <row r="61" spans="2:7" x14ac:dyDescent="0.35">
      <c r="B61" s="86" t="s">
        <v>320</v>
      </c>
      <c r="C61" s="92">
        <f>'Balance Sheet'!G47</f>
        <v>22984.45</v>
      </c>
      <c r="D61" s="92">
        <f>'Balance Sheet'!F47</f>
        <v>25798</v>
      </c>
      <c r="E61" s="92">
        <f>'Balance Sheet'!E47</f>
        <v>29924.09</v>
      </c>
      <c r="F61" s="92">
        <f>'Balance Sheet'!D47</f>
        <v>30371.37</v>
      </c>
      <c r="G61" s="92">
        <f>'Balance Sheet'!C47</f>
        <v>34534.49</v>
      </c>
    </row>
  </sheetData>
  <mergeCells count="1">
    <mergeCell ref="B1:G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6"/>
  <sheetViews>
    <sheetView showGridLines="0" zoomScaleNormal="100" workbookViewId="0">
      <selection activeCell="B3" sqref="B3:H56"/>
    </sheetView>
  </sheetViews>
  <sheetFormatPr defaultColWidth="8.6328125" defaultRowHeight="14.5" x14ac:dyDescent="0.35"/>
  <cols>
    <col min="1" max="1" width="2.1796875" customWidth="1"/>
    <col min="2" max="2" width="39" style="83" customWidth="1"/>
    <col min="3" max="8" width="11.1796875" customWidth="1"/>
  </cols>
  <sheetData>
    <row r="1" spans="2:8" ht="19.5" customHeight="1" x14ac:dyDescent="0.35">
      <c r="B1" s="253" t="s">
        <v>415</v>
      </c>
      <c r="C1" s="253"/>
      <c r="D1" s="253"/>
      <c r="E1" s="253"/>
      <c r="F1" s="253"/>
      <c r="G1" s="253"/>
      <c r="H1" s="253"/>
    </row>
    <row r="3" spans="2:8" ht="15" customHeight="1" x14ac:dyDescent="0.35">
      <c r="B3" s="96" t="s">
        <v>416</v>
      </c>
      <c r="C3" s="97">
        <v>2022</v>
      </c>
      <c r="D3" s="97">
        <v>2023</v>
      </c>
      <c r="E3" s="97">
        <v>2024</v>
      </c>
      <c r="F3" s="97">
        <v>2025</v>
      </c>
      <c r="G3" s="97">
        <v>2026</v>
      </c>
      <c r="H3" s="97" t="s">
        <v>417</v>
      </c>
    </row>
    <row r="4" spans="2:8" x14ac:dyDescent="0.35">
      <c r="B4" s="252" t="s">
        <v>418</v>
      </c>
      <c r="C4" s="252"/>
      <c r="D4" s="252"/>
      <c r="E4" s="252"/>
      <c r="F4" s="252"/>
      <c r="G4" s="252"/>
      <c r="H4" s="252"/>
    </row>
    <row r="5" spans="2:8" x14ac:dyDescent="0.35">
      <c r="B5" s="99" t="s">
        <v>419</v>
      </c>
      <c r="C5" s="87"/>
      <c r="D5" s="100">
        <f>'Profit &amp; Loss'!F9/'Profit &amp; Loss'!G9-1</f>
        <v>0.18823288207366473</v>
      </c>
      <c r="E5" s="100">
        <f>'Profit &amp; Loss'!E9/'Profit &amp; Loss'!F9-1</f>
        <v>2.9512774009880838E-2</v>
      </c>
      <c r="F5" s="100">
        <f>'Profit &amp; Loss'!D9/'Profit &amp; Loss'!E9-1</f>
        <v>-4.4789854310595345E-2</v>
      </c>
      <c r="G5" s="100">
        <f>'Profit &amp; Loss'!C9/'Profit &amp; Loss'!D9-1</f>
        <v>5.0862256696972752E-2</v>
      </c>
      <c r="H5" s="101">
        <f>AVERAGE(D5,E5,F5,G5)</f>
        <v>5.5954514617480744E-2</v>
      </c>
    </row>
    <row r="6" spans="2:8" x14ac:dyDescent="0.35">
      <c r="B6" s="98" t="s">
        <v>392</v>
      </c>
      <c r="C6" s="102">
        <f>'Profit &amp; Loss'!G23+'Profit &amp; Loss'!G19+'Profit &amp; Loss'!G20</f>
        <v>5183.62</v>
      </c>
      <c r="D6" s="102">
        <f>'Profit &amp; Loss'!F23+'Profit &amp; Loss'!F19+'Profit &amp; Loss'!F20</f>
        <v>6646.32</v>
      </c>
      <c r="E6" s="102">
        <f>'Profit &amp; Loss'!E23+'Profit &amp; Loss'!E19+'Profit &amp; Loss'!E20</f>
        <v>8272.94</v>
      </c>
      <c r="F6" s="102">
        <f>'Profit &amp; Loss'!D23+'Profit &amp; Loss'!D19+'Profit &amp; Loss'!D20</f>
        <v>6578.8200000000006</v>
      </c>
      <c r="G6" s="102">
        <f>'Profit &amp; Loss'!C23+'Profit &amp; Loss'!C19+'Profit &amp; Loss'!C20</f>
        <v>7419.7199999999993</v>
      </c>
      <c r="H6" s="102">
        <f t="shared" ref="H6:H18" si="0">AVERAGE(C6,D6,E6,F6,G6)</f>
        <v>6820.2839999999997</v>
      </c>
    </row>
    <row r="7" spans="2:8" x14ac:dyDescent="0.35">
      <c r="B7" s="98" t="s">
        <v>393</v>
      </c>
      <c r="C7" s="101">
        <f>('Profit &amp; Loss'!G23+'Profit &amp; Loss'!G19+'Profit &amp; Loss'!G20)/'Profit &amp; Loss'!G9</f>
        <v>0.17921840663709898</v>
      </c>
      <c r="D7" s="101">
        <f>('Profit &amp; Loss'!F23+'Profit &amp; Loss'!F19+'Profit &amp; Loss'!F20)/'Profit &amp; Loss'!F9</f>
        <v>0.19338782809388894</v>
      </c>
      <c r="E7" s="101">
        <f>('Profit &amp; Loss'!E23+'Profit &amp; Loss'!E19+'Profit &amp; Loss'!E20)/'Profit &amp; Loss'!E9</f>
        <v>0.23381696744005165</v>
      </c>
      <c r="F7" s="101">
        <f>('Profit &amp; Loss'!D23+'Profit &amp; Loss'!D19+'Profit &amp; Loss'!D20)/'Profit &amp; Loss'!D9</f>
        <v>0.19465484878108824</v>
      </c>
      <c r="G7" s="101">
        <f>('Profit &amp; Loss'!C23+'Profit &amp; Loss'!C19+'Profit &amp; Loss'!C20)/'Profit &amp; Loss'!C9</f>
        <v>0.20890986325460623</v>
      </c>
      <c r="H7" s="101">
        <f t="shared" si="0"/>
        <v>0.20199758284134681</v>
      </c>
    </row>
    <row r="8" spans="2:8" x14ac:dyDescent="0.35">
      <c r="B8" s="98" t="s">
        <v>396</v>
      </c>
      <c r="C8" s="102">
        <f>'Profit &amp; Loss'!G23+'Profit &amp; Loss'!G19</f>
        <v>4367.26</v>
      </c>
      <c r="D8" s="102">
        <f>'Profit &amp; Loss'!F23+'Profit &amp; Loss'!F19</f>
        <v>5788.3</v>
      </c>
      <c r="E8" s="102">
        <f>'Profit &amp; Loss'!E23+'Profit &amp; Loss'!E19</f>
        <v>7419.9400000000005</v>
      </c>
      <c r="F8" s="102">
        <f>'Profit &amp; Loss'!D23+'Profit &amp; Loss'!D19</f>
        <v>5552.4800000000005</v>
      </c>
      <c r="G8" s="102">
        <f>'Profit &amp; Loss'!C23+'Profit &amp; Loss'!C19</f>
        <v>6190.87</v>
      </c>
      <c r="H8" s="102">
        <f t="shared" si="0"/>
        <v>5863.7699999999995</v>
      </c>
    </row>
    <row r="9" spans="2:8" x14ac:dyDescent="0.35">
      <c r="B9" s="98" t="s">
        <v>397</v>
      </c>
      <c r="C9" s="101">
        <f>('Profit &amp; Loss'!G23+'Profit &amp; Loss'!G19)/'Profit &amp; Loss'!G9</f>
        <v>0.15099358721702921</v>
      </c>
      <c r="D9" s="101">
        <f>('Profit &amp; Loss'!F23+'Profit &amp; Loss'!F19)/'Profit &amp; Loss'!F9</f>
        <v>0.16842203886599766</v>
      </c>
      <c r="E9" s="101">
        <f>('Profit &amp; Loss'!E23+'Profit &amp; Loss'!E19)/'Profit &amp; Loss'!E9</f>
        <v>0.20970874554718597</v>
      </c>
      <c r="F9" s="101">
        <f>('Profit &amp; Loss'!D23+'Profit &amp; Loss'!D19)/'Profit &amp; Loss'!D9</f>
        <v>0.16428738812735671</v>
      </c>
      <c r="G9" s="101">
        <f>('Profit &amp; Loss'!C23+'Profit &amp; Loss'!C19)/'Profit &amp; Loss'!C9</f>
        <v>0.17431032506981989</v>
      </c>
      <c r="H9" s="101">
        <f t="shared" si="0"/>
        <v>0.1735444169654779</v>
      </c>
    </row>
    <row r="10" spans="2:8" x14ac:dyDescent="0.35">
      <c r="B10" s="99" t="s">
        <v>346</v>
      </c>
      <c r="C10" s="103">
        <f>'Profit &amp; Loss'!G19</f>
        <v>95.41</v>
      </c>
      <c r="D10" s="103">
        <f>'Profit &amp; Loss'!F19</f>
        <v>144.44999999999999</v>
      </c>
      <c r="E10" s="103">
        <f>'Profit &amp; Loss'!E19</f>
        <v>205.17</v>
      </c>
      <c r="F10" s="103">
        <f>'Profit &amp; Loss'!D19</f>
        <v>227.02</v>
      </c>
      <c r="G10" s="103">
        <f>'Profit &amp; Loss'!C19</f>
        <v>195.41</v>
      </c>
      <c r="H10" s="104">
        <f t="shared" si="0"/>
        <v>173.49199999999999</v>
      </c>
    </row>
    <row r="11" spans="2:8" x14ac:dyDescent="0.35">
      <c r="B11" s="98" t="s">
        <v>420</v>
      </c>
      <c r="C11" s="101">
        <f>'Profit &amp; Loss'!G19/'Profit &amp; Loss'!G9</f>
        <v>3.2987040286991745E-3</v>
      </c>
      <c r="D11" s="101">
        <f>'Profit &amp; Loss'!F19/'Profit &amp; Loss'!F9</f>
        <v>4.203058499765623E-3</v>
      </c>
      <c r="E11" s="101">
        <f>'Profit &amp; Loss'!E19/'Profit &amp; Loss'!E9</f>
        <v>5.79869154250791E-3</v>
      </c>
      <c r="F11" s="101">
        <f>'Profit &amp; Loss'!D19/'Profit &amp; Loss'!D9</f>
        <v>6.7170926959975574E-3</v>
      </c>
      <c r="G11" s="101">
        <f>'Profit &amp; Loss'!C19/'Profit &amp; Loss'!C9</f>
        <v>5.5019699366799027E-3</v>
      </c>
      <c r="H11" s="101">
        <f t="shared" si="0"/>
        <v>5.1039033407300326E-3</v>
      </c>
    </row>
    <row r="12" spans="2:8" x14ac:dyDescent="0.35">
      <c r="B12" s="99" t="s">
        <v>421</v>
      </c>
      <c r="C12" s="103">
        <f>'Profit &amp; Loss'!G20</f>
        <v>816.36</v>
      </c>
      <c r="D12" s="103">
        <f>'Profit &amp; Loss'!F20</f>
        <v>858.02</v>
      </c>
      <c r="E12" s="103">
        <f>'Profit &amp; Loss'!E20</f>
        <v>853</v>
      </c>
      <c r="F12" s="103">
        <f>'Profit &amp; Loss'!D20</f>
        <v>1026.3399999999999</v>
      </c>
      <c r="G12" s="103">
        <f>'Profit &amp; Loss'!C20</f>
        <v>1228.8499999999999</v>
      </c>
      <c r="H12" s="104">
        <f t="shared" si="0"/>
        <v>956.5139999999999</v>
      </c>
    </row>
    <row r="13" spans="2:8" x14ac:dyDescent="0.35">
      <c r="B13" s="98" t="s">
        <v>395</v>
      </c>
      <c r="C13" s="101">
        <f>'Profit &amp; Loss'!G20/'Profit &amp; Loss'!G9</f>
        <v>2.8224819420069786E-2</v>
      </c>
      <c r="D13" s="101">
        <f>'Profit &amp; Loss'!F20/'Profit &amp; Loss'!F9</f>
        <v>2.4965789227891316E-2</v>
      </c>
      <c r="E13" s="101">
        <f>'Profit &amp; Loss'!E20/'Profit &amp; Loss'!E9</f>
        <v>2.4108221892865659E-2</v>
      </c>
      <c r="F13" s="101">
        <f>'Profit &amp; Loss'!D20/'Profit &amp; Loss'!D9</f>
        <v>3.036746065373153E-2</v>
      </c>
      <c r="G13" s="101">
        <f>'Profit &amp; Loss'!C20/'Profit &amp; Loss'!C9</f>
        <v>3.4599538184786331E-2</v>
      </c>
      <c r="H13" s="101">
        <f t="shared" si="0"/>
        <v>2.8453165875868925E-2</v>
      </c>
    </row>
    <row r="14" spans="2:8" x14ac:dyDescent="0.35">
      <c r="B14" s="98" t="s">
        <v>422</v>
      </c>
      <c r="C14" s="102">
        <f>'Profit &amp; Loss'!G23</f>
        <v>4271.8500000000004</v>
      </c>
      <c r="D14" s="102">
        <f>'Profit &amp; Loss'!F23</f>
        <v>5643.85</v>
      </c>
      <c r="E14" s="102">
        <f>'Profit &amp; Loss'!E23</f>
        <v>7214.77</v>
      </c>
      <c r="F14" s="102">
        <f>'Profit &amp; Loss'!D23</f>
        <v>5325.46</v>
      </c>
      <c r="G14" s="102">
        <f>'Profit &amp; Loss'!C23</f>
        <v>5995.46</v>
      </c>
      <c r="H14" s="102">
        <f t="shared" si="0"/>
        <v>5690.2780000000002</v>
      </c>
    </row>
    <row r="15" spans="2:8" x14ac:dyDescent="0.35">
      <c r="B15" s="98" t="s">
        <v>423</v>
      </c>
      <c r="C15" s="101">
        <f>'Profit &amp; Loss'!G23/'Profit &amp; Loss'!G9</f>
        <v>0.14769488318833005</v>
      </c>
      <c r="D15" s="101">
        <f>'Profit &amp; Loss'!F23/'Profit &amp; Loss'!F9</f>
        <v>0.16421898036623203</v>
      </c>
      <c r="E15" s="101">
        <f>'Profit &amp; Loss'!E23/'Profit &amp; Loss'!E9</f>
        <v>0.20391005400467807</v>
      </c>
      <c r="F15" s="101">
        <f>'Profit &amp; Loss'!D23/'Profit &amp; Loss'!D9</f>
        <v>0.15757029543135914</v>
      </c>
      <c r="G15" s="101">
        <f>'Profit &amp; Loss'!C23/'Profit &amp; Loss'!C9</f>
        <v>0.16880835513313999</v>
      </c>
      <c r="H15" s="101">
        <f t="shared" si="0"/>
        <v>0.16844051362474785</v>
      </c>
    </row>
    <row r="16" spans="2:8" x14ac:dyDescent="0.35">
      <c r="B16" s="98" t="s">
        <v>402</v>
      </c>
      <c r="C16" s="102">
        <f>'Profit &amp; Loss'!G36</f>
        <v>3030.57</v>
      </c>
      <c r="D16" s="102">
        <f>'Profit &amp; Loss'!F36</f>
        <v>4106.45</v>
      </c>
      <c r="E16" s="102">
        <f>'Profit &amp; Loss'!E36</f>
        <v>5460.23</v>
      </c>
      <c r="F16" s="102">
        <f>'Profit &amp; Loss'!D36</f>
        <v>3667.23</v>
      </c>
      <c r="G16" s="102">
        <f>'Profit &amp; Loss'!C36</f>
        <v>4325.3500000000004</v>
      </c>
      <c r="H16" s="102">
        <f t="shared" si="0"/>
        <v>4117.9660000000003</v>
      </c>
    </row>
    <row r="17" spans="2:8" x14ac:dyDescent="0.35">
      <c r="B17" s="98" t="s">
        <v>403</v>
      </c>
      <c r="C17" s="101">
        <f>'Profit &amp; Loss'!G36/'Profit &amp; Loss'!G9</f>
        <v>0.10477888552829744</v>
      </c>
      <c r="D17" s="101">
        <f>'Profit &amp; Loss'!F36/'Profit &amp; Loss'!F9</f>
        <v>0.11948528609458321</v>
      </c>
      <c r="E17" s="101">
        <f>'Profit &amp; Loss'!E36/'Profit &amp; Loss'!E9</f>
        <v>0.15432173086293299</v>
      </c>
      <c r="F17" s="101">
        <f>'Profit &amp; Loss'!D36/'Profit &amp; Loss'!D9</f>
        <v>0.10850640405049389</v>
      </c>
      <c r="G17" s="101">
        <f>'Profit &amp; Loss'!C36/'Profit &amp; Loss'!C9</f>
        <v>0.12178468689226968</v>
      </c>
      <c r="H17" s="101">
        <f t="shared" si="0"/>
        <v>0.12177539868571544</v>
      </c>
    </row>
    <row r="18" spans="2:8" x14ac:dyDescent="0.35">
      <c r="B18" s="98" t="s">
        <v>424</v>
      </c>
      <c r="C18" s="105">
        <f>'Profit &amp; Loss'!G39</f>
        <v>32</v>
      </c>
      <c r="D18" s="105">
        <f>'Profit &amp; Loss'!F39</f>
        <v>43</v>
      </c>
      <c r="E18" s="105">
        <f>'Profit &amp; Loss'!E39</f>
        <v>57</v>
      </c>
      <c r="F18" s="105">
        <f>'Profit &amp; Loss'!D39</f>
        <v>38</v>
      </c>
      <c r="G18" s="105">
        <f>'Profit &amp; Loss'!C39</f>
        <v>45</v>
      </c>
      <c r="H18" s="105">
        <f t="shared" si="0"/>
        <v>43</v>
      </c>
    </row>
    <row r="19" spans="2:8" x14ac:dyDescent="0.35">
      <c r="B19" s="99" t="s">
        <v>405</v>
      </c>
      <c r="C19" s="87"/>
      <c r="D19" s="100">
        <f>'Profit &amp; Loss'!F39/'Profit &amp; Loss'!G39-1</f>
        <v>0.34375</v>
      </c>
      <c r="E19" s="100">
        <f>'Profit &amp; Loss'!E39/'Profit &amp; Loss'!F39-1</f>
        <v>0.32558139534883712</v>
      </c>
      <c r="F19" s="100">
        <f>'Profit &amp; Loss'!D39/'Profit &amp; Loss'!E39-1</f>
        <v>-0.33333333333333337</v>
      </c>
      <c r="G19" s="100">
        <f>'Profit &amp; Loss'!C39/'Profit &amp; Loss'!D39-1</f>
        <v>0.18421052631578938</v>
      </c>
      <c r="H19" s="101">
        <f>AVERAGE(D19,E19,F19,G19)</f>
        <v>0.13005214708282328</v>
      </c>
    </row>
    <row r="21" spans="2:8" x14ac:dyDescent="0.35">
      <c r="B21" s="252" t="s">
        <v>425</v>
      </c>
      <c r="C21" s="252"/>
      <c r="D21" s="252"/>
      <c r="E21" s="252"/>
      <c r="F21" s="252"/>
      <c r="G21" s="252"/>
      <c r="H21" s="252"/>
    </row>
    <row r="22" spans="2:8" x14ac:dyDescent="0.35">
      <c r="B22" s="98" t="s">
        <v>286</v>
      </c>
      <c r="C22" s="102">
        <f>'Balance Sheet'!G13</f>
        <v>13811.56</v>
      </c>
      <c r="D22" s="102">
        <f>'Balance Sheet'!F13</f>
        <v>15992.23</v>
      </c>
      <c r="E22" s="102">
        <f>'Balance Sheet'!E13</f>
        <v>18728.3</v>
      </c>
      <c r="F22" s="102">
        <f>'Balance Sheet'!D13</f>
        <v>19399.810000000001</v>
      </c>
      <c r="G22" s="102">
        <f>'Balance Sheet'!C13</f>
        <v>21371.59</v>
      </c>
      <c r="H22" s="102">
        <f t="shared" ref="H22:H30" si="1">AVERAGE(C22,D22,E22,F22,G22)</f>
        <v>17860.697999999997</v>
      </c>
    </row>
    <row r="23" spans="2:8" x14ac:dyDescent="0.35">
      <c r="B23" s="98" t="s">
        <v>426</v>
      </c>
      <c r="C23" s="102">
        <f>'Balance Sheet'!G13+'Balance Sheet'!G14</f>
        <v>14199.09</v>
      </c>
      <c r="D23" s="102">
        <f>'Balance Sheet'!F13+'Balance Sheet'!F14</f>
        <v>16445.89</v>
      </c>
      <c r="E23" s="102">
        <f>'Balance Sheet'!E13+'Balance Sheet'!E14</f>
        <v>19423.68</v>
      </c>
      <c r="F23" s="102">
        <f>'Balance Sheet'!D13+'Balance Sheet'!D14</f>
        <v>20059.050000000003</v>
      </c>
      <c r="G23" s="102">
        <f>'Balance Sheet'!C13+'Balance Sheet'!C14</f>
        <v>22014.98</v>
      </c>
      <c r="H23" s="102">
        <f t="shared" si="1"/>
        <v>18428.538</v>
      </c>
    </row>
    <row r="24" spans="2:8" x14ac:dyDescent="0.35">
      <c r="B24" s="99" t="s">
        <v>289</v>
      </c>
      <c r="C24" s="103">
        <f>'Balance Sheet'!G16</f>
        <v>44.54</v>
      </c>
      <c r="D24" s="103">
        <f>'Balance Sheet'!F16</f>
        <v>76.150000000000006</v>
      </c>
      <c r="E24" s="103">
        <f>'Balance Sheet'!E16</f>
        <v>54.38</v>
      </c>
      <c r="F24" s="103">
        <f>'Balance Sheet'!D16</f>
        <v>259.62</v>
      </c>
      <c r="G24" s="103">
        <f>'Balance Sheet'!C16</f>
        <v>1247.17</v>
      </c>
      <c r="H24" s="104">
        <f t="shared" si="1"/>
        <v>336.37200000000001</v>
      </c>
    </row>
    <row r="25" spans="2:8" x14ac:dyDescent="0.35">
      <c r="B25" s="99" t="s">
        <v>295</v>
      </c>
      <c r="C25" s="103">
        <f>'Balance Sheet'!G22</f>
        <v>731.12</v>
      </c>
      <c r="D25" s="103">
        <f>'Balance Sheet'!F22</f>
        <v>896.06</v>
      </c>
      <c r="E25" s="103">
        <f>'Balance Sheet'!E22</f>
        <v>1052.76</v>
      </c>
      <c r="F25" s="103">
        <f>'Balance Sheet'!D22</f>
        <v>604.13</v>
      </c>
      <c r="G25" s="103">
        <f>'Balance Sheet'!C22</f>
        <v>1046.0899999999999</v>
      </c>
      <c r="H25" s="104">
        <f t="shared" si="1"/>
        <v>866.03199999999993</v>
      </c>
    </row>
    <row r="26" spans="2:8" x14ac:dyDescent="0.35">
      <c r="B26" s="98" t="s">
        <v>427</v>
      </c>
      <c r="C26" s="102">
        <f>'Balance Sheet'!G16+'Balance Sheet'!G22</f>
        <v>775.66</v>
      </c>
      <c r="D26" s="102">
        <f>'Balance Sheet'!F16+'Balance Sheet'!F22</f>
        <v>972.20999999999992</v>
      </c>
      <c r="E26" s="102">
        <f>'Balance Sheet'!E16+'Balance Sheet'!E22</f>
        <v>1107.1400000000001</v>
      </c>
      <c r="F26" s="102">
        <f>'Balance Sheet'!D16+'Balance Sheet'!D22</f>
        <v>863.75</v>
      </c>
      <c r="G26" s="102">
        <f>'Balance Sheet'!C16+'Balance Sheet'!C22</f>
        <v>2293.2600000000002</v>
      </c>
      <c r="H26" s="102">
        <f t="shared" si="1"/>
        <v>1202.404</v>
      </c>
    </row>
    <row r="27" spans="2:8" x14ac:dyDescent="0.35">
      <c r="B27" s="99" t="s">
        <v>428</v>
      </c>
      <c r="C27" s="103">
        <f>'Balance Sheet'!G43</f>
        <v>864.33</v>
      </c>
      <c r="D27" s="103">
        <f>'Balance Sheet'!F43</f>
        <v>843.82</v>
      </c>
      <c r="E27" s="103">
        <f>'Balance Sheet'!E43</f>
        <v>1084.01</v>
      </c>
      <c r="F27" s="103">
        <f>'Balance Sheet'!D43</f>
        <v>781.98</v>
      </c>
      <c r="G27" s="103">
        <f>'Balance Sheet'!C43</f>
        <v>1073.68</v>
      </c>
      <c r="H27" s="104">
        <f t="shared" si="1"/>
        <v>929.56399999999996</v>
      </c>
    </row>
    <row r="28" spans="2:8" x14ac:dyDescent="0.35">
      <c r="B28" s="98" t="s">
        <v>429</v>
      </c>
      <c r="C28" s="102">
        <f>'Balance Sheet'!G16+'Balance Sheet'!G22-'Balance Sheet'!G43</f>
        <v>-88.670000000000073</v>
      </c>
      <c r="D28" s="102">
        <f>'Balance Sheet'!F16+'Balance Sheet'!F22-'Balance Sheet'!F43</f>
        <v>128.38999999999987</v>
      </c>
      <c r="E28" s="102">
        <f>'Balance Sheet'!E16+'Balance Sheet'!E22-'Balance Sheet'!E43</f>
        <v>23.130000000000109</v>
      </c>
      <c r="F28" s="102">
        <f>'Balance Sheet'!D16+'Balance Sheet'!D22-'Balance Sheet'!D43</f>
        <v>81.769999999999982</v>
      </c>
      <c r="G28" s="102">
        <f>'Balance Sheet'!C16+'Balance Sheet'!C22-'Balance Sheet'!C43</f>
        <v>1219.5800000000002</v>
      </c>
      <c r="H28" s="102">
        <f t="shared" si="1"/>
        <v>272.84000000000003</v>
      </c>
    </row>
    <row r="29" spans="2:8" x14ac:dyDescent="0.35">
      <c r="B29" s="98" t="s">
        <v>320</v>
      </c>
      <c r="C29" s="102">
        <f>'Balance Sheet'!G47</f>
        <v>22984.45</v>
      </c>
      <c r="D29" s="102">
        <f>'Balance Sheet'!F47</f>
        <v>25798</v>
      </c>
      <c r="E29" s="102">
        <f>'Balance Sheet'!E47</f>
        <v>29924.09</v>
      </c>
      <c r="F29" s="102">
        <f>'Balance Sheet'!D47</f>
        <v>30371.37</v>
      </c>
      <c r="G29" s="102">
        <f>'Balance Sheet'!C47</f>
        <v>34534.49</v>
      </c>
      <c r="H29" s="102">
        <f t="shared" si="1"/>
        <v>28722.48</v>
      </c>
    </row>
    <row r="30" spans="2:8" x14ac:dyDescent="0.35">
      <c r="B30" s="99" t="s">
        <v>306</v>
      </c>
      <c r="C30" s="103">
        <f>'Balance Sheet'!G33</f>
        <v>5702.63</v>
      </c>
      <c r="D30" s="103">
        <f>'Balance Sheet'!F33</f>
        <v>6561.57</v>
      </c>
      <c r="E30" s="103">
        <f>'Balance Sheet'!E33</f>
        <v>9425.7999999999993</v>
      </c>
      <c r="F30" s="103">
        <f>'Balance Sheet'!D33</f>
        <v>10255.01</v>
      </c>
      <c r="G30" s="103">
        <f>'Balance Sheet'!C33</f>
        <v>11269.87</v>
      </c>
      <c r="H30" s="104">
        <f t="shared" si="1"/>
        <v>8642.9760000000006</v>
      </c>
    </row>
    <row r="32" spans="2:8" x14ac:dyDescent="0.35">
      <c r="B32" s="252" t="s">
        <v>430</v>
      </c>
      <c r="C32" s="252"/>
      <c r="D32" s="252"/>
      <c r="E32" s="252"/>
      <c r="F32" s="252"/>
      <c r="G32" s="252"/>
      <c r="H32" s="252"/>
    </row>
    <row r="33" spans="2:8" x14ac:dyDescent="0.35">
      <c r="B33" s="99" t="s">
        <v>431</v>
      </c>
      <c r="C33" s="100">
        <f>'Profit &amp; Loss'!G36/('Balance Sheet'!G13+'Balance Sheet'!G14)</f>
        <v>0.21343410035431848</v>
      </c>
      <c r="D33" s="100">
        <f>'Profit &amp; Loss'!F36/('Balance Sheet'!F13+'Balance Sheet'!F14)</f>
        <v>0.24969460454861367</v>
      </c>
      <c r="E33" s="100">
        <f>'Profit &amp; Loss'!E36/('Balance Sheet'!E13+'Balance Sheet'!E14)</f>
        <v>0.28111202408606401</v>
      </c>
      <c r="F33" s="100">
        <f>'Profit &amp; Loss'!D36/('Balance Sheet'!D13+'Balance Sheet'!D14)</f>
        <v>0.18282171887502147</v>
      </c>
      <c r="G33" s="100">
        <f>'Profit &amp; Loss'!C36/('Balance Sheet'!C13+'Balance Sheet'!C14)</f>
        <v>0.19647303790419071</v>
      </c>
      <c r="H33" s="100">
        <f>AVERAGE(C33,D33,E33,F33,G33)</f>
        <v>0.22470709715364165</v>
      </c>
    </row>
    <row r="34" spans="2:8" x14ac:dyDescent="0.35">
      <c r="B34" s="99" t="s">
        <v>432</v>
      </c>
      <c r="C34" s="100">
        <f>'Profit &amp; Loss'!G36/'Balance Sheet'!G47</f>
        <v>0.13185305717561221</v>
      </c>
      <c r="D34" s="100">
        <f>'Profit &amp; Loss'!F36/'Balance Sheet'!F47</f>
        <v>0.15917706798976664</v>
      </c>
      <c r="E34" s="100">
        <f>'Profit &amp; Loss'!E36/'Balance Sheet'!E47</f>
        <v>0.18246937500856331</v>
      </c>
      <c r="F34" s="100">
        <f>'Profit &amp; Loss'!D36/'Balance Sheet'!D47</f>
        <v>0.12074628177787174</v>
      </c>
      <c r="G34" s="100">
        <f>'Profit &amp; Loss'!C36/'Balance Sheet'!C47</f>
        <v>0.12524725281884866</v>
      </c>
      <c r="H34" s="100">
        <f>AVERAGE(C34,D34,E34,F34,G34)</f>
        <v>0.14389860695413251</v>
      </c>
    </row>
    <row r="35" spans="2:8" x14ac:dyDescent="0.35">
      <c r="B35" s="99" t="s">
        <v>433</v>
      </c>
      <c r="C35" s="100">
        <f>('Profit &amp; Loss'!G23+'Profit &amp; Loss'!G19)/('Balance Sheet'!G47-'Balance Sheet'!G26)</f>
        <v>0.28334066458796403</v>
      </c>
      <c r="D35" s="100">
        <f>('Profit &amp; Loss'!F23+'Profit &amp; Loss'!F19)/('Balance Sheet'!F47-'Balance Sheet'!F26)</f>
        <v>0.3233313242546812</v>
      </c>
      <c r="E35" s="100">
        <f>('Profit &amp; Loss'!E23+'Profit &amp; Loss'!E19)/('Balance Sheet'!E47-'Balance Sheet'!E26)</f>
        <v>0.34635181693804779</v>
      </c>
      <c r="F35" s="100">
        <f>('Profit &amp; Loss'!D23+'Profit &amp; Loss'!D19)/('Balance Sheet'!D47-'Balance Sheet'!D26)</f>
        <v>0.24977260602047494</v>
      </c>
      <c r="G35" s="100">
        <f>('Profit &amp; Loss'!C23+'Profit &amp; Loss'!C19)/('Balance Sheet'!C47-'Balance Sheet'!C26)</f>
        <v>0.24375941531160991</v>
      </c>
      <c r="H35" s="100">
        <f>AVERAGE(C35,D35,E35,F35,G35)</f>
        <v>0.28931116542255558</v>
      </c>
    </row>
    <row r="37" spans="2:8" x14ac:dyDescent="0.35">
      <c r="B37" s="252" t="s">
        <v>434</v>
      </c>
      <c r="C37" s="252"/>
      <c r="D37" s="252"/>
      <c r="E37" s="252"/>
      <c r="F37" s="252"/>
      <c r="G37" s="252"/>
      <c r="H37" s="252"/>
    </row>
    <row r="38" spans="2:8" x14ac:dyDescent="0.35">
      <c r="B38" s="99" t="s">
        <v>435</v>
      </c>
      <c r="C38" s="106">
        <f>('Balance Sheet'!G16+'Balance Sheet'!G22)/('Balance Sheet'!G13+'Balance Sheet'!G14)</f>
        <v>5.4627444434819414E-2</v>
      </c>
      <c r="D38" s="106">
        <f>('Balance Sheet'!F16+'Balance Sheet'!F22)/('Balance Sheet'!F13+'Balance Sheet'!F14)</f>
        <v>5.9115681790404773E-2</v>
      </c>
      <c r="E38" s="106">
        <f>('Balance Sheet'!E16+'Balance Sheet'!E22)/('Balance Sheet'!E13+'Balance Sheet'!E14)</f>
        <v>5.6999497520552236E-2</v>
      </c>
      <c r="F38" s="106">
        <f>('Balance Sheet'!D16+'Balance Sheet'!D22)/('Balance Sheet'!D13+'Balance Sheet'!D14)</f>
        <v>4.3060364274479596E-2</v>
      </c>
      <c r="G38" s="106">
        <f>('Balance Sheet'!C16+'Balance Sheet'!C22)/('Balance Sheet'!C13+'Balance Sheet'!C14)</f>
        <v>0.10416816186069669</v>
      </c>
      <c r="H38" s="106">
        <f>AVERAGE(C38,D38,E38,F38,G38)</f>
        <v>6.3594229976190547E-2</v>
      </c>
    </row>
    <row r="39" spans="2:8" x14ac:dyDescent="0.35">
      <c r="B39" s="99" t="s">
        <v>436</v>
      </c>
      <c r="C39" s="106">
        <f>('Balance Sheet'!G16+'Balance Sheet'!G22-'Balance Sheet'!G43)/('Balance Sheet'!G13+'Balance Sheet'!G14)</f>
        <v>-6.2447663899587984E-3</v>
      </c>
      <c r="D39" s="106">
        <f>('Balance Sheet'!F16+'Balance Sheet'!F22-'Balance Sheet'!F43)/('Balance Sheet'!F13+'Balance Sheet'!F14)</f>
        <v>7.8068137388733524E-3</v>
      </c>
      <c r="E39" s="106">
        <f>('Balance Sheet'!E16+'Balance Sheet'!E22-'Balance Sheet'!E43)/('Balance Sheet'!E13+'Balance Sheet'!E14)</f>
        <v>1.1908145109474676E-3</v>
      </c>
      <c r="F39" s="106">
        <f>('Balance Sheet'!D16+'Balance Sheet'!D22-'Balance Sheet'!D43)/('Balance Sheet'!D13+'Balance Sheet'!D14)</f>
        <v>4.0764642393333666E-3</v>
      </c>
      <c r="G39" s="106">
        <f>('Balance Sheet'!C16+'Balance Sheet'!C22-'Balance Sheet'!C43)/('Balance Sheet'!C13+'Balance Sheet'!C14)</f>
        <v>5.5397733724945476E-2</v>
      </c>
      <c r="H39" s="106">
        <f>AVERAGE(C39,D39,E39,F39,G39)</f>
        <v>1.2445411964828174E-2</v>
      </c>
    </row>
    <row r="40" spans="2:8" x14ac:dyDescent="0.35">
      <c r="B40" s="99" t="s">
        <v>437</v>
      </c>
      <c r="C40" s="106">
        <f>('Balance Sheet'!G16+'Balance Sheet'!G22-'Balance Sheet'!G43)/('Profit &amp; Loss'!G23+'Profit &amp; Loss'!G19+'Profit &amp; Loss'!G20)</f>
        <v>-1.7105806366979077E-2</v>
      </c>
      <c r="D40" s="106">
        <f>('Balance Sheet'!F16+'Balance Sheet'!F22-'Balance Sheet'!F43)/('Profit &amp; Loss'!F23+'Profit &amp; Loss'!F19+'Profit &amp; Loss'!F20)</f>
        <v>1.9317456878392838E-2</v>
      </c>
      <c r="E40" s="106">
        <f>('Balance Sheet'!E16+'Balance Sheet'!E22-'Balance Sheet'!E43)/('Profit &amp; Loss'!E23+'Profit &amp; Loss'!E19+'Profit &amp; Loss'!E20)</f>
        <v>2.7958621723353618E-3</v>
      </c>
      <c r="F40" s="106">
        <f>('Balance Sheet'!D16+'Balance Sheet'!D22-'Balance Sheet'!D43)/('Profit &amp; Loss'!D23+'Profit &amp; Loss'!D19+'Profit &amp; Loss'!D20)</f>
        <v>1.2429280630873009E-2</v>
      </c>
      <c r="G40" s="106">
        <f>('Balance Sheet'!C16+'Balance Sheet'!C22-'Balance Sheet'!C43)/('Profit &amp; Loss'!C23+'Profit &amp; Loss'!C19+'Profit &amp; Loss'!C20)</f>
        <v>0.16437008404629827</v>
      </c>
      <c r="H40" s="106">
        <f>AVERAGE(C40,D40,E40,F40,G40)</f>
        <v>3.6361375472184085E-2</v>
      </c>
    </row>
    <row r="41" spans="2:8" x14ac:dyDescent="0.35">
      <c r="B41" s="99" t="s">
        <v>438</v>
      </c>
      <c r="C41" s="106">
        <f>('Profit &amp; Loss'!G23+'Profit &amp; Loss'!G19)/'Profit &amp; Loss'!G19</f>
        <v>45.773608636411282</v>
      </c>
      <c r="D41" s="106">
        <f>('Profit &amp; Loss'!F23+'Profit &amp; Loss'!F19)/'Profit &amp; Loss'!F19</f>
        <v>40.07130494980963</v>
      </c>
      <c r="E41" s="106">
        <f>('Profit &amp; Loss'!E23+'Profit &amp; Loss'!E19)/'Profit &amp; Loss'!E19</f>
        <v>36.164838914071261</v>
      </c>
      <c r="F41" s="106">
        <f>('Profit &amp; Loss'!D23+'Profit &amp; Loss'!D19)/'Profit &amp; Loss'!D19</f>
        <v>24.458109417672453</v>
      </c>
      <c r="G41" s="106">
        <f>('Profit &amp; Loss'!C23+'Profit &amp; Loss'!C19)/'Profit &amp; Loss'!C19</f>
        <v>31.681439025638401</v>
      </c>
      <c r="H41" s="106">
        <f>AVERAGE(C41,D41,E41,F41,G41)</f>
        <v>35.629860188720606</v>
      </c>
    </row>
    <row r="42" spans="2:8" x14ac:dyDescent="0.35">
      <c r="B42" s="99" t="s">
        <v>439</v>
      </c>
      <c r="C42" s="100">
        <f>('Balance Sheet'!G16+'Balance Sheet'!G22)/'Balance Sheet'!G47</f>
        <v>3.3747163843381063E-2</v>
      </c>
      <c r="D42" s="100">
        <f>('Balance Sheet'!F16+'Balance Sheet'!F22)/'Balance Sheet'!F47</f>
        <v>3.7685479494534456E-2</v>
      </c>
      <c r="E42" s="100">
        <f>('Balance Sheet'!E16+'Balance Sheet'!E22)/'Balance Sheet'!E47</f>
        <v>3.6998284659617055E-2</v>
      </c>
      <c r="F42" s="100">
        <f>('Balance Sheet'!D16+'Balance Sheet'!D22)/'Balance Sheet'!D47</f>
        <v>2.8439612701040489E-2</v>
      </c>
      <c r="G42" s="100">
        <f>('Balance Sheet'!C16+'Balance Sheet'!C22)/'Balance Sheet'!C47</f>
        <v>6.6404918676951655E-2</v>
      </c>
      <c r="H42" s="100">
        <f>AVERAGE(C42,D42,E42,F42,G42)</f>
        <v>4.0655091875104944E-2</v>
      </c>
    </row>
    <row r="44" spans="2:8" x14ac:dyDescent="0.35">
      <c r="B44" s="252" t="s">
        <v>440</v>
      </c>
      <c r="C44" s="252"/>
      <c r="D44" s="252"/>
      <c r="E44" s="252"/>
      <c r="F44" s="252"/>
      <c r="G44" s="252"/>
      <c r="H44" s="252"/>
    </row>
    <row r="45" spans="2:8" x14ac:dyDescent="0.35">
      <c r="B45" s="99" t="s">
        <v>441</v>
      </c>
      <c r="C45" s="106">
        <f>'Profit &amp; Loss'!G9/'Balance Sheet'!G47</f>
        <v>1.2583933920541932</v>
      </c>
      <c r="D45" s="106">
        <f>'Profit &amp; Loss'!F9/'Balance Sheet'!F47</f>
        <v>1.3321897046282658</v>
      </c>
      <c r="E45" s="106">
        <f>'Profit &amp; Loss'!E9/'Balance Sheet'!E47</f>
        <v>1.1823958556467382</v>
      </c>
      <c r="F45" s="106">
        <f>'Profit &amp; Loss'!D9/'Balance Sheet'!D47</f>
        <v>1.1128032749263534</v>
      </c>
      <c r="G45" s="106">
        <f>'Profit &amp; Loss'!C9/'Balance Sheet'!C47</f>
        <v>1.0284318662299632</v>
      </c>
      <c r="H45" s="106">
        <f>AVERAGE(C45,D45,E45,F45,G45)</f>
        <v>1.1828428186971027</v>
      </c>
    </row>
    <row r="46" spans="2:8" x14ac:dyDescent="0.35">
      <c r="B46" s="99" t="s">
        <v>442</v>
      </c>
      <c r="C46" s="106">
        <f>'Profit &amp; Loss'!G9/'Balance Sheet'!G33</f>
        <v>5.0719545192306006</v>
      </c>
      <c r="D46" s="106">
        <f>'Profit &amp; Loss'!F9/'Balance Sheet'!F33</f>
        <v>5.2377449299481684</v>
      </c>
      <c r="E46" s="106">
        <f>'Profit &amp; Loss'!E9/'Balance Sheet'!E33</f>
        <v>3.7537524666341322</v>
      </c>
      <c r="F46" s="106">
        <f>'Profit &amp; Loss'!D9/'Balance Sheet'!D33</f>
        <v>3.2956925444246274</v>
      </c>
      <c r="G46" s="106">
        <f>'Profit &amp; Loss'!C9/'Balance Sheet'!C33</f>
        <v>3.1514445153315878</v>
      </c>
      <c r="H46" s="106">
        <f>AVERAGE(C46,D46,E46,F46,G46)</f>
        <v>4.1021177951138235</v>
      </c>
    </row>
    <row r="48" spans="2:8" x14ac:dyDescent="0.35">
      <c r="B48" s="252" t="s">
        <v>443</v>
      </c>
      <c r="C48" s="252"/>
      <c r="D48" s="252"/>
      <c r="E48" s="252"/>
      <c r="F48" s="252"/>
      <c r="G48" s="252"/>
      <c r="H48" s="252"/>
    </row>
    <row r="49" spans="2:8" x14ac:dyDescent="0.35">
      <c r="B49" s="99" t="s">
        <v>444</v>
      </c>
      <c r="C49" s="87"/>
      <c r="D49" s="100">
        <f>'Profit &amp; Loss'!F9/'Profit &amp; Loss'!G9-1</f>
        <v>0.18823288207366473</v>
      </c>
      <c r="E49" s="100">
        <f>'Profit &amp; Loss'!E9/'Profit &amp; Loss'!F9-1</f>
        <v>2.9512774009880838E-2</v>
      </c>
      <c r="F49" s="100">
        <f>'Profit &amp; Loss'!D9/'Profit &amp; Loss'!E9-1</f>
        <v>-4.4789854310595345E-2</v>
      </c>
      <c r="G49" s="100">
        <f>'Profit &amp; Loss'!C9/'Profit &amp; Loss'!D9-1</f>
        <v>5.0862256696972752E-2</v>
      </c>
      <c r="H49" s="100">
        <f>AVERAGE(D49,E49,F49,G49)</f>
        <v>5.5954514617480744E-2</v>
      </c>
    </row>
    <row r="50" spans="2:8" x14ac:dyDescent="0.35">
      <c r="B50" s="99" t="s">
        <v>445</v>
      </c>
      <c r="C50" s="87"/>
      <c r="D50" s="100">
        <f>('Profit &amp; Loss'!F23+'Profit &amp; Loss'!F19+'Profit &amp; Loss'!F20)/('Profit &amp; Loss'!G23+'Profit &amp; Loss'!G19+'Profit &amp; Loss'!G20)-1</f>
        <v>0.28217732009676633</v>
      </c>
      <c r="E50" s="100">
        <f>('Profit &amp; Loss'!E23+'Profit &amp; Loss'!E19+'Profit &amp; Loss'!E20)/('Profit &amp; Loss'!F23+'Profit &amp; Loss'!F19+'Profit &amp; Loss'!F20)-1</f>
        <v>0.24473994631615703</v>
      </c>
      <c r="F50" s="100">
        <f>('Profit &amp; Loss'!D23+'Profit &amp; Loss'!D19+'Profit &amp; Loss'!D20)/('Profit &amp; Loss'!E23+'Profit &amp; Loss'!E19+'Profit &amp; Loss'!E20)-1</f>
        <v>-0.20477847053163689</v>
      </c>
      <c r="G50" s="100">
        <f>('Profit &amp; Loss'!C23+'Profit &amp; Loss'!C19+'Profit &amp; Loss'!C20)/('Profit &amp; Loss'!D23+'Profit &amp; Loss'!D19+'Profit &amp; Loss'!D20)-1</f>
        <v>0.12781927458115572</v>
      </c>
      <c r="H50" s="100">
        <f>AVERAGE(D50,E50,F50,G50)</f>
        <v>0.11248951761561055</v>
      </c>
    </row>
    <row r="51" spans="2:8" x14ac:dyDescent="0.35">
      <c r="B51" s="99" t="s">
        <v>446</v>
      </c>
      <c r="C51" s="87"/>
      <c r="D51" s="100">
        <f>'Profit &amp; Loss'!F36/'Profit &amp; Loss'!G36-1</f>
        <v>0.3550091236962023</v>
      </c>
      <c r="E51" s="100">
        <f>'Profit &amp; Loss'!E36/'Profit &amp; Loss'!F36-1</f>
        <v>0.32967161416795521</v>
      </c>
      <c r="F51" s="100">
        <f>'Profit &amp; Loss'!D36/'Profit &amp; Loss'!E36-1</f>
        <v>-0.32837444576510511</v>
      </c>
      <c r="G51" s="100">
        <f>'Profit &amp; Loss'!C36/'Profit &amp; Loss'!D36-1</f>
        <v>0.17945970119136256</v>
      </c>
      <c r="H51" s="100">
        <f>AVERAGE(D51,E51,F51,G51)</f>
        <v>0.13394149832260374</v>
      </c>
    </row>
    <row r="53" spans="2:8" x14ac:dyDescent="0.35">
      <c r="B53" s="252" t="s">
        <v>447</v>
      </c>
      <c r="C53" s="252"/>
      <c r="D53" s="252"/>
      <c r="E53" s="252"/>
      <c r="F53" s="252"/>
      <c r="G53" s="252"/>
      <c r="H53" s="252"/>
    </row>
    <row r="54" spans="2:8" x14ac:dyDescent="0.35">
      <c r="B54" s="99" t="s">
        <v>404</v>
      </c>
      <c r="C54" s="107">
        <f>'Profit &amp; Loss'!G39</f>
        <v>32</v>
      </c>
      <c r="D54" s="107">
        <f>'Profit &amp; Loss'!F39</f>
        <v>43</v>
      </c>
      <c r="E54" s="107">
        <f>'Profit &amp; Loss'!E39</f>
        <v>57</v>
      </c>
      <c r="F54" s="107">
        <f>'Profit &amp; Loss'!D39</f>
        <v>38</v>
      </c>
      <c r="G54" s="107">
        <f>'Profit &amp; Loss'!C39</f>
        <v>45</v>
      </c>
      <c r="H54" s="107">
        <f>AVERAGE(C54,D54,E54,F54,G54)</f>
        <v>43</v>
      </c>
    </row>
    <row r="55" spans="2:8" x14ac:dyDescent="0.35">
      <c r="B55" s="99" t="s">
        <v>448</v>
      </c>
      <c r="C55" s="107">
        <f>IF('Profit &amp; Loss'!G39&lt;&gt;0,'Balance Sheet'!G13/('Profit &amp; Loss'!G36/'Profit &amp; Loss'!G39),0)</f>
        <v>145.8372253404475</v>
      </c>
      <c r="D55" s="107">
        <f>IF('Profit &amp; Loss'!F39&lt;&gt;0,'Balance Sheet'!F13/('Profit &amp; Loss'!F36/'Profit &amp; Loss'!F39),0)</f>
        <v>167.45994472110948</v>
      </c>
      <c r="E55" s="107">
        <f>IF('Profit &amp; Loss'!E39&lt;&gt;0,'Balance Sheet'!E13/('Profit &amp; Loss'!E36/'Profit &amp; Loss'!E39),0)</f>
        <v>195.50698413803082</v>
      </c>
      <c r="F55" s="107">
        <f>IF('Profit &amp; Loss'!D39&lt;&gt;0,'Balance Sheet'!D13/('Profit &amp; Loss'!D36/'Profit &amp; Loss'!D39),0)</f>
        <v>201.02169212184674</v>
      </c>
      <c r="G55" s="107">
        <f>IF('Profit &amp; Loss'!C39&lt;&gt;0,'Balance Sheet'!C13/('Profit &amp; Loss'!C36/'Profit &amp; Loss'!C39),0)</f>
        <v>222.34537089484084</v>
      </c>
      <c r="H55" s="107">
        <f>AVERAGE(C55,D55,E55,F55,G55)</f>
        <v>186.43424344325507</v>
      </c>
    </row>
    <row r="56" spans="2:8" x14ac:dyDescent="0.35">
      <c r="B56" s="99" t="s">
        <v>449</v>
      </c>
      <c r="C56" s="107">
        <f>IF('Profit &amp; Loss'!G39&lt;&gt;0,('Balance Sheet'!G16+'Balance Sheet'!G22-'Balance Sheet'!G43)/('Profit &amp; Loss'!G36/'Profit &amp; Loss'!G39),0)</f>
        <v>-0.93627271437386439</v>
      </c>
      <c r="D56" s="107">
        <f>IF('Profit &amp; Loss'!F39&lt;&gt;0,('Balance Sheet'!F16+'Balance Sheet'!F22-'Balance Sheet'!F43)/('Profit &amp; Loss'!F36/'Profit &amp; Loss'!F39),0)</f>
        <v>1.3444142751037989</v>
      </c>
      <c r="E56" s="107">
        <f>IF('Profit &amp; Loss'!E39&lt;&gt;0,('Balance Sheet'!E16+'Balance Sheet'!E22-'Balance Sheet'!E43)/('Profit &amp; Loss'!E36/'Profit &amp; Loss'!E39),0)</f>
        <v>0.24145686170729186</v>
      </c>
      <c r="F56" s="107">
        <f>IF('Profit &amp; Loss'!D39&lt;&gt;0,('Balance Sheet'!D16+'Balance Sheet'!D22-'Balance Sheet'!D43)/('Profit &amp; Loss'!D36/'Profit &amp; Loss'!D39),0)</f>
        <v>0.84730436869244607</v>
      </c>
      <c r="G56" s="107">
        <f>IF('Profit &amp; Loss'!C39&lt;&gt;0,('Balance Sheet'!C16+'Balance Sheet'!C22-'Balance Sheet'!C43)/('Profit &amp; Loss'!C36/'Profit &amp; Loss'!C39),0)</f>
        <v>12.68824488191707</v>
      </c>
      <c r="H56" s="107">
        <f>AVERAGE(C56,D56,E56,F56,G56)</f>
        <v>2.8370295346093486</v>
      </c>
    </row>
  </sheetData>
  <mergeCells count="8">
    <mergeCell ref="B44:H44"/>
    <mergeCell ref="B48:H48"/>
    <mergeCell ref="B53:H53"/>
    <mergeCell ref="B1:H1"/>
    <mergeCell ref="B4:H4"/>
    <mergeCell ref="B21:H21"/>
    <mergeCell ref="B32:H32"/>
    <mergeCell ref="B37:H3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14"/>
  <sheetViews>
    <sheetView showGridLines="0" zoomScaleNormal="100" workbookViewId="0">
      <selection activeCell="B3" sqref="B3"/>
    </sheetView>
  </sheetViews>
  <sheetFormatPr defaultColWidth="8.6328125" defaultRowHeight="14.5" x14ac:dyDescent="0.35"/>
  <cols>
    <col min="1" max="1" width="2.1796875" customWidth="1"/>
    <col min="2" max="2" width="26.26953125" customWidth="1"/>
    <col min="3" max="4" width="7.90625" customWidth="1"/>
    <col min="5" max="7" width="8.90625" customWidth="1"/>
  </cols>
  <sheetData>
    <row r="1" spans="2:7" ht="15" customHeight="1" x14ac:dyDescent="0.35">
      <c r="B1" s="283" t="s">
        <v>450</v>
      </c>
      <c r="C1" s="283"/>
      <c r="D1" s="283"/>
      <c r="E1" s="283"/>
      <c r="F1" s="283"/>
      <c r="G1" s="283"/>
    </row>
    <row r="2" spans="2:7" ht="7.5" customHeight="1" x14ac:dyDescent="0.35">
      <c r="B2" s="283"/>
      <c r="C2" s="283"/>
      <c r="D2" s="283"/>
      <c r="E2" s="283"/>
      <c r="F2" s="283"/>
      <c r="G2" s="283"/>
    </row>
    <row r="3" spans="2:7" ht="15" customHeight="1" x14ac:dyDescent="0.35">
      <c r="B3" s="108" t="s">
        <v>451</v>
      </c>
      <c r="C3" s="109">
        <v>2022</v>
      </c>
      <c r="D3" s="109">
        <v>2023</v>
      </c>
      <c r="E3" s="109">
        <v>2024</v>
      </c>
      <c r="F3" s="109">
        <v>2025</v>
      </c>
      <c r="G3" s="109">
        <v>2026</v>
      </c>
    </row>
    <row r="4" spans="2:7" ht="15" customHeight="1" x14ac:dyDescent="0.35">
      <c r="B4" s="110" t="s">
        <v>452</v>
      </c>
      <c r="C4" s="87"/>
      <c r="D4" s="111">
        <f>C8</f>
        <v>5702.63</v>
      </c>
      <c r="E4" s="111">
        <f>D8</f>
        <v>6561.57</v>
      </c>
      <c r="F4" s="111">
        <f>E8</f>
        <v>9425.7999999999993</v>
      </c>
      <c r="G4" s="111">
        <f>F8</f>
        <v>10255.01</v>
      </c>
    </row>
    <row r="5" spans="2:7" ht="15" customHeight="1" x14ac:dyDescent="0.35">
      <c r="B5" s="112" t="s">
        <v>453</v>
      </c>
      <c r="C5" s="87"/>
      <c r="D5" s="113">
        <f>'Balance Sheet'!F33-'Balance Sheet'!G33+'Profit &amp; Loss'!F20</f>
        <v>1716.9599999999996</v>
      </c>
      <c r="E5" s="113">
        <f>'Balance Sheet'!E33-'Balance Sheet'!F33+'Profit &amp; Loss'!E20</f>
        <v>3717.2299999999996</v>
      </c>
      <c r="F5" s="113">
        <f>'Balance Sheet'!D33-'Balance Sheet'!E33+'Profit &amp; Loss'!D20</f>
        <v>1855.5500000000009</v>
      </c>
      <c r="G5" s="113">
        <f>'Balance Sheet'!C33-'Balance Sheet'!D33+'Profit &amp; Loss'!C20</f>
        <v>2243.7100000000005</v>
      </c>
    </row>
    <row r="6" spans="2:7" ht="15" customHeight="1" x14ac:dyDescent="0.35">
      <c r="B6" s="112" t="s">
        <v>454</v>
      </c>
      <c r="C6" s="113">
        <f>C7+C8</f>
        <v>6518.99</v>
      </c>
      <c r="D6" s="113">
        <f>D4+D5</f>
        <v>7419.59</v>
      </c>
      <c r="E6" s="113">
        <f>E4+E5</f>
        <v>10278.799999999999</v>
      </c>
      <c r="F6" s="113">
        <f>F4+F5</f>
        <v>11281.35</v>
      </c>
      <c r="G6" s="113">
        <f>G4+G5</f>
        <v>12498.720000000001</v>
      </c>
    </row>
    <row r="7" spans="2:7" ht="15" customHeight="1" x14ac:dyDescent="0.35">
      <c r="B7" s="112" t="s">
        <v>455</v>
      </c>
      <c r="C7" s="113">
        <f>'Profit &amp; Loss'!G20</f>
        <v>816.36</v>
      </c>
      <c r="D7" s="113">
        <f>'Profit &amp; Loss'!F20</f>
        <v>858.02</v>
      </c>
      <c r="E7" s="113">
        <f>'Profit &amp; Loss'!E20</f>
        <v>853</v>
      </c>
      <c r="F7" s="113">
        <f>'Profit &amp; Loss'!D20</f>
        <v>1026.3399999999999</v>
      </c>
      <c r="G7" s="113">
        <f>'Profit &amp; Loss'!C20</f>
        <v>1228.8499999999999</v>
      </c>
    </row>
    <row r="8" spans="2:7" ht="15" customHeight="1" x14ac:dyDescent="0.35">
      <c r="B8" s="110" t="s">
        <v>456</v>
      </c>
      <c r="C8" s="111">
        <f>'Balance Sheet'!G33</f>
        <v>5702.63</v>
      </c>
      <c r="D8" s="111">
        <f>D4+D5-D7</f>
        <v>6561.57</v>
      </c>
      <c r="E8" s="111">
        <f>E4+E5-E7</f>
        <v>9425.7999999999993</v>
      </c>
      <c r="F8" s="111">
        <f>F4+F5-F7</f>
        <v>10255.01</v>
      </c>
      <c r="G8" s="111">
        <f>G4+G5-G7</f>
        <v>11269.87</v>
      </c>
    </row>
    <row r="10" spans="2:7" ht="15" customHeight="1" x14ac:dyDescent="0.35">
      <c r="B10" s="112" t="s">
        <v>457</v>
      </c>
      <c r="C10" s="87"/>
      <c r="D10" s="113">
        <f>D5-D7</f>
        <v>858.9399999999996</v>
      </c>
      <c r="E10" s="113">
        <f>E5-E7</f>
        <v>2864.2299999999996</v>
      </c>
      <c r="F10" s="113">
        <f>F5-F7</f>
        <v>829.21000000000095</v>
      </c>
      <c r="G10" s="113">
        <f>G5-G7</f>
        <v>1014.8600000000006</v>
      </c>
    </row>
    <row r="11" spans="2:7" ht="15" customHeight="1" x14ac:dyDescent="0.35">
      <c r="B11" s="110" t="s">
        <v>458</v>
      </c>
      <c r="C11" s="87"/>
      <c r="D11" s="114">
        <f>D10/'Profit &amp; Loss'!F9</f>
        <v>2.4992558447827506E-2</v>
      </c>
      <c r="E11" s="114">
        <f>E10/'Profit &amp; Loss'!E9</f>
        <v>8.095133926401242E-2</v>
      </c>
      <c r="F11" s="114">
        <f>F10/'Profit &amp; Loss'!D9</f>
        <v>2.4534756560867503E-2</v>
      </c>
      <c r="G11" s="114">
        <f>G10/'Profit &amp; Loss'!C9</f>
        <v>2.8574429199830966E-2</v>
      </c>
    </row>
    <row r="13" spans="2:7" ht="15" customHeight="1" x14ac:dyDescent="0.35">
      <c r="B13" s="110" t="s">
        <v>459</v>
      </c>
      <c r="C13" s="87"/>
      <c r="D13" s="115">
        <f>MEDIAN(D11:G11)</f>
        <v>2.6783493823829236E-2</v>
      </c>
    </row>
    <row r="14" spans="2:7" ht="15" customHeight="1" x14ac:dyDescent="0.35">
      <c r="B14" s="110" t="s">
        <v>460</v>
      </c>
      <c r="C14" s="87"/>
      <c r="D14" s="115">
        <f>AVERAGE(D11:G11)</f>
        <v>3.9763270868134602E-2</v>
      </c>
    </row>
  </sheetData>
  <mergeCells count="1">
    <mergeCell ref="B1:G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12"/>
  <sheetViews>
    <sheetView showGridLines="0" zoomScaleNormal="100" workbookViewId="0">
      <selection activeCell="B3" sqref="B3"/>
    </sheetView>
  </sheetViews>
  <sheetFormatPr defaultColWidth="8.6328125" defaultRowHeight="14.5" x14ac:dyDescent="0.35"/>
  <cols>
    <col min="1" max="1" width="2.1796875" customWidth="1"/>
    <col min="2" max="2" width="46.54296875" customWidth="1"/>
  </cols>
  <sheetData>
    <row r="1" spans="2:7" ht="15" customHeight="1" x14ac:dyDescent="0.35">
      <c r="B1" s="282" t="s">
        <v>461</v>
      </c>
      <c r="C1" s="282"/>
      <c r="D1" s="282"/>
      <c r="E1" s="282"/>
      <c r="F1" s="282"/>
      <c r="G1" s="282"/>
    </row>
    <row r="2" spans="2:7" ht="9" customHeight="1" x14ac:dyDescent="0.35">
      <c r="B2" s="282"/>
      <c r="C2" s="282"/>
      <c r="D2" s="282"/>
      <c r="E2" s="282"/>
      <c r="F2" s="282"/>
      <c r="G2" s="282"/>
    </row>
    <row r="3" spans="2:7" ht="15" customHeight="1" x14ac:dyDescent="0.35">
      <c r="B3" s="108" t="s">
        <v>451</v>
      </c>
      <c r="C3" s="109">
        <v>2022</v>
      </c>
      <c r="D3" s="109">
        <v>2023</v>
      </c>
      <c r="E3" s="109">
        <v>2024</v>
      </c>
      <c r="F3" s="109">
        <v>2025</v>
      </c>
      <c r="G3" s="109">
        <v>2026</v>
      </c>
    </row>
    <row r="4" spans="2:7" ht="15" customHeight="1" x14ac:dyDescent="0.35">
      <c r="B4" s="87" t="s">
        <v>462</v>
      </c>
      <c r="C4" s="111">
        <f>'Balance Sheet'!G41</f>
        <v>6152.98</v>
      </c>
      <c r="D4" s="111">
        <f>'Balance Sheet'!F41</f>
        <v>6210.64</v>
      </c>
      <c r="E4" s="111">
        <f>'Balance Sheet'!E41</f>
        <v>5923.41</v>
      </c>
      <c r="F4" s="111">
        <f>'Balance Sheet'!D41</f>
        <v>6719.27</v>
      </c>
      <c r="G4" s="111">
        <f>'Balance Sheet'!C41</f>
        <v>5743.69</v>
      </c>
    </row>
    <row r="5" spans="2:7" ht="15" customHeight="1" x14ac:dyDescent="0.35">
      <c r="B5" s="87" t="s">
        <v>463</v>
      </c>
      <c r="C5" s="111">
        <f>'Balance Sheet'!G42</f>
        <v>3871.44</v>
      </c>
      <c r="D5" s="111">
        <f>'Balance Sheet'!F42</f>
        <v>4636.9399999999996</v>
      </c>
      <c r="E5" s="111">
        <f>'Balance Sheet'!E42</f>
        <v>4889.05</v>
      </c>
      <c r="F5" s="111">
        <f>'Balance Sheet'!D42</f>
        <v>4313.6499999999996</v>
      </c>
      <c r="G5" s="111">
        <f>'Balance Sheet'!C42</f>
        <v>4461.8</v>
      </c>
    </row>
    <row r="6" spans="2:7" ht="15" customHeight="1" x14ac:dyDescent="0.35">
      <c r="B6" s="87" t="s">
        <v>464</v>
      </c>
      <c r="C6" s="111">
        <f>'Balance Sheet'!G23</f>
        <v>4164.3</v>
      </c>
      <c r="D6" s="111">
        <f>'Balance Sheet'!F23</f>
        <v>3635.44</v>
      </c>
      <c r="E6" s="111">
        <f>'Balance Sheet'!E23</f>
        <v>3831.34</v>
      </c>
      <c r="F6" s="111">
        <f>'Balance Sheet'!D23</f>
        <v>3848</v>
      </c>
      <c r="G6" s="111">
        <f>'Balance Sheet'!C23</f>
        <v>3863.04</v>
      </c>
    </row>
    <row r="7" spans="2:7" ht="15" customHeight="1" x14ac:dyDescent="0.35">
      <c r="B7" s="87" t="s">
        <v>465</v>
      </c>
      <c r="C7" s="111">
        <f>C4+C5-C6</f>
        <v>5860.12</v>
      </c>
      <c r="D7" s="111">
        <f>D4+D5-D6</f>
        <v>7212.1399999999994</v>
      </c>
      <c r="E7" s="111">
        <f>E4+E5-E6</f>
        <v>6981.119999999999</v>
      </c>
      <c r="F7" s="111">
        <f>F4+F5-F6</f>
        <v>7184.92</v>
      </c>
      <c r="G7" s="111">
        <f>G4+G5-G6</f>
        <v>6342.45</v>
      </c>
    </row>
    <row r="8" spans="2:7" ht="15" customHeight="1" x14ac:dyDescent="0.35">
      <c r="B8" s="112" t="s">
        <v>466</v>
      </c>
      <c r="C8" s="87"/>
      <c r="D8" s="111">
        <f>D7-C7</f>
        <v>1352.0199999999995</v>
      </c>
      <c r="E8" s="111">
        <f>E7-D7</f>
        <v>-231.02000000000044</v>
      </c>
      <c r="F8" s="111">
        <f>F7-E7</f>
        <v>203.80000000000109</v>
      </c>
      <c r="G8" s="111">
        <f>G7-F7</f>
        <v>-842.47000000000025</v>
      </c>
    </row>
    <row r="9" spans="2:7" ht="15" customHeight="1" x14ac:dyDescent="0.35">
      <c r="B9" s="87" t="s">
        <v>467</v>
      </c>
      <c r="C9" s="87"/>
      <c r="D9" s="115">
        <f>D8/'Profit &amp; Loss'!F9</f>
        <v>3.9339696454504094E-2</v>
      </c>
      <c r="E9" s="115">
        <f>E8/'Profit &amp; Loss'!E9</f>
        <v>-6.5292865435988695E-3</v>
      </c>
      <c r="F9" s="115">
        <f>F8/'Profit &amp; Loss'!D9</f>
        <v>6.0300567855004379E-3</v>
      </c>
      <c r="G9" s="115">
        <f>G8/'Profit &amp; Loss'!C9</f>
        <v>-2.3720611087225417E-2</v>
      </c>
    </row>
    <row r="11" spans="2:7" ht="15" customHeight="1" x14ac:dyDescent="0.35">
      <c r="B11" s="87" t="s">
        <v>468</v>
      </c>
      <c r="C11" s="87"/>
      <c r="D11" s="115">
        <f>MEDIAN(D9:G9)</f>
        <v>-2.496148790492158E-4</v>
      </c>
    </row>
    <row r="12" spans="2:7" ht="15" customHeight="1" x14ac:dyDescent="0.35">
      <c r="B12" s="87" t="s">
        <v>469</v>
      </c>
      <c r="C12" s="87"/>
      <c r="D12" s="115">
        <f>AVERAGE(D9:G9)</f>
        <v>3.7799639022950606E-3</v>
      </c>
    </row>
  </sheetData>
  <mergeCells count="1">
    <mergeCell ref="B1:G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47"/>
  <sheetViews>
    <sheetView showGridLines="0" zoomScaleNormal="100" workbookViewId="0">
      <selection activeCell="B3" sqref="B3"/>
    </sheetView>
  </sheetViews>
  <sheetFormatPr defaultColWidth="8.6328125" defaultRowHeight="14.5" x14ac:dyDescent="0.35"/>
  <cols>
    <col min="1" max="1" width="2.81640625" customWidth="1"/>
    <col min="2" max="2" width="40.08984375" customWidth="1"/>
    <col min="3" max="7" width="9.54296875" customWidth="1"/>
    <col min="9" max="9" width="25" customWidth="1"/>
  </cols>
  <sheetData>
    <row r="1" spans="2:9" ht="24" customHeight="1" x14ac:dyDescent="0.35">
      <c r="B1" s="285" t="s">
        <v>470</v>
      </c>
      <c r="C1" s="285"/>
      <c r="D1" s="285"/>
      <c r="E1" s="285"/>
      <c r="F1" s="285"/>
      <c r="G1" s="285"/>
    </row>
    <row r="3" spans="2:9" ht="15" customHeight="1" x14ac:dyDescent="0.35">
      <c r="B3" s="116" t="s">
        <v>471</v>
      </c>
      <c r="C3" s="117">
        <v>44621</v>
      </c>
      <c r="D3" s="117">
        <v>44986</v>
      </c>
      <c r="E3" s="117">
        <v>45352</v>
      </c>
      <c r="F3" s="117">
        <v>45717</v>
      </c>
      <c r="G3" s="118" t="s">
        <v>472</v>
      </c>
    </row>
    <row r="4" spans="2:9" ht="15" customHeight="1" x14ac:dyDescent="0.35">
      <c r="B4" s="98" t="s">
        <v>473</v>
      </c>
      <c r="C4" s="105">
        <f>'Profit &amp; Loss'!G11</f>
        <v>29101.279999999999</v>
      </c>
      <c r="D4" s="105">
        <f>'Profit &amp; Loss'!F11</f>
        <v>34488.589999999997</v>
      </c>
      <c r="E4" s="105">
        <f>'Profit &amp; Loss'!E11</f>
        <v>35494.730000000003</v>
      </c>
      <c r="F4" s="105">
        <f>'Profit &amp; Loss'!D11</f>
        <v>33905.620000000003</v>
      </c>
      <c r="G4" s="105">
        <f>'Profit &amp; Loss'!C11</f>
        <v>35583.54</v>
      </c>
      <c r="I4" s="119" t="s">
        <v>474</v>
      </c>
    </row>
    <row r="5" spans="2:9" ht="15" customHeight="1" x14ac:dyDescent="0.35">
      <c r="B5" s="99" t="s">
        <v>475</v>
      </c>
      <c r="C5" s="87"/>
      <c r="D5" s="120">
        <f>(D4/C4)-1</f>
        <v>0.18512278497715551</v>
      </c>
      <c r="E5" s="120">
        <f>(E4/D4)-1</f>
        <v>2.9173126532572313E-2</v>
      </c>
      <c r="F5" s="120">
        <f>(F4/E4)-1</f>
        <v>-4.4770308155605121E-2</v>
      </c>
      <c r="G5" s="120">
        <f>(G4/F4)-1</f>
        <v>4.9487960992897317E-2</v>
      </c>
      <c r="I5" s="121">
        <f>MEDIAN(D5:G5)</f>
        <v>3.9330543762734815E-2</v>
      </c>
    </row>
    <row r="6" spans="2:9" ht="15" customHeight="1" x14ac:dyDescent="0.35">
      <c r="B6" s="99" t="s">
        <v>476</v>
      </c>
      <c r="C6" s="107">
        <f>'Profit &amp; Loss'!G15</f>
        <v>16254.59</v>
      </c>
      <c r="D6" s="107">
        <f>'Profit &amp; Loss'!F15</f>
        <v>17330.580000000002</v>
      </c>
      <c r="E6" s="107">
        <f>'Profit &amp; Loss'!E15</f>
        <v>15868.21</v>
      </c>
      <c r="F6" s="107">
        <f>'Profit &amp; Loss'!D15</f>
        <v>15793.92</v>
      </c>
      <c r="G6" s="107">
        <f>'Profit &amp; Loss'!C15</f>
        <v>15384.05</v>
      </c>
    </row>
    <row r="7" spans="2:9" ht="15" customHeight="1" x14ac:dyDescent="0.35">
      <c r="B7" s="99" t="s">
        <v>477</v>
      </c>
      <c r="C7" s="107">
        <f>'Profit &amp; Loss'!G18</f>
        <v>1786.67</v>
      </c>
      <c r="D7" s="107">
        <f>'Profit &amp; Loss'!F18</f>
        <v>2028.07</v>
      </c>
      <c r="E7" s="107">
        <f>'Profit &amp; Loss'!E18</f>
        <v>2326.1799999999998</v>
      </c>
      <c r="F7" s="107">
        <f>'Profit &amp; Loss'!D18</f>
        <v>2597.23</v>
      </c>
      <c r="G7" s="107">
        <f>'Profit &amp; Loss'!C18</f>
        <v>2799.59</v>
      </c>
    </row>
    <row r="8" spans="2:9" ht="15" customHeight="1" x14ac:dyDescent="0.35">
      <c r="B8" s="99" t="s">
        <v>478</v>
      </c>
      <c r="C8" s="107">
        <f>'Profit &amp; Loss'!G17</f>
        <v>-1324.97</v>
      </c>
      <c r="D8" s="107">
        <f>'Profit &amp; Loss'!F17</f>
        <v>-309.73</v>
      </c>
      <c r="E8" s="107">
        <f>'Profit &amp; Loss'!E17</f>
        <v>363.8</v>
      </c>
      <c r="F8" s="107">
        <f>'Profit &amp; Loss'!D17</f>
        <v>-205</v>
      </c>
      <c r="G8" s="107">
        <f>'Profit &amp; Loss'!C17</f>
        <v>603.67999999999995</v>
      </c>
    </row>
    <row r="9" spans="2:9" ht="15" customHeight="1" x14ac:dyDescent="0.35">
      <c r="B9" s="99" t="s">
        <v>479</v>
      </c>
      <c r="C9" s="107">
        <f>'Profit &amp; Loss'!G21</f>
        <v>4210.25</v>
      </c>
      <c r="D9" s="107">
        <f>'Profit &amp; Loss'!F21</f>
        <v>5044.18</v>
      </c>
      <c r="E9" s="107">
        <f>'Profit &amp; Loss'!E21</f>
        <v>5493.36</v>
      </c>
      <c r="F9" s="107">
        <f>'Profit &amp; Loss'!D21</f>
        <v>5786.4</v>
      </c>
      <c r="G9" s="107">
        <f>'Profit &amp; Loss'!C21</f>
        <v>6086.25</v>
      </c>
    </row>
    <row r="10" spans="2:9" ht="15" customHeight="1" x14ac:dyDescent="0.35">
      <c r="B10" s="99" t="s">
        <v>480</v>
      </c>
      <c r="C10" s="107">
        <f>'Profit &amp; Loss'!G16</f>
        <v>3371.13</v>
      </c>
      <c r="D10" s="107">
        <f>'Profit &amp; Loss'!F16</f>
        <v>4135.6499999999996</v>
      </c>
      <c r="E10" s="107">
        <f>'Profit &amp; Loss'!E16</f>
        <v>3858.2</v>
      </c>
      <c r="F10" s="107">
        <f>'Profit &amp; Loss'!D16</f>
        <v>3926.86</v>
      </c>
      <c r="G10" s="107">
        <f>'Profit &amp; Loss'!C16</f>
        <v>4014.05</v>
      </c>
    </row>
    <row r="11" spans="2:9" ht="15" customHeight="1" x14ac:dyDescent="0.35">
      <c r="B11" s="99" t="s">
        <v>349</v>
      </c>
      <c r="C11" s="107">
        <f>C6+C7+C8+C9+C10</f>
        <v>24297.670000000002</v>
      </c>
      <c r="D11" s="107">
        <f>D6+D7+D8+D9+D10</f>
        <v>28228.75</v>
      </c>
      <c r="E11" s="107">
        <f>E6+E7+E8+E9+E10</f>
        <v>27909.75</v>
      </c>
      <c r="F11" s="107">
        <f>F6+F7+F8+F9+F10</f>
        <v>27899.410000000003</v>
      </c>
      <c r="G11" s="107">
        <f>G6+G7+G8+G9+G10</f>
        <v>28887.62</v>
      </c>
    </row>
    <row r="12" spans="2:9" ht="15" customHeight="1" x14ac:dyDescent="0.35">
      <c r="B12" s="98" t="s">
        <v>392</v>
      </c>
      <c r="C12" s="105">
        <f>C4-C11</f>
        <v>4803.6099999999969</v>
      </c>
      <c r="D12" s="105">
        <f>D4-D11</f>
        <v>6259.8399999999965</v>
      </c>
      <c r="E12" s="105">
        <f>E4-E11</f>
        <v>7584.9800000000032</v>
      </c>
      <c r="F12" s="105">
        <f>F4-F11</f>
        <v>6006.2099999999991</v>
      </c>
      <c r="G12" s="105">
        <f>G4-G11</f>
        <v>6695.9200000000019</v>
      </c>
    </row>
    <row r="13" spans="2:9" ht="15" customHeight="1" x14ac:dyDescent="0.35">
      <c r="B13" s="99" t="s">
        <v>481</v>
      </c>
      <c r="C13" s="107">
        <f>'Profit &amp; Loss'!G20</f>
        <v>816.36</v>
      </c>
      <c r="D13" s="107">
        <f>'Profit &amp; Loss'!F20</f>
        <v>858.02</v>
      </c>
      <c r="E13" s="107">
        <f>'Profit &amp; Loss'!E20</f>
        <v>853</v>
      </c>
      <c r="F13" s="107">
        <f>'Profit &amp; Loss'!D20</f>
        <v>1026.3399999999999</v>
      </c>
      <c r="G13" s="107">
        <f>'Profit &amp; Loss'!C20</f>
        <v>1228.8499999999999</v>
      </c>
    </row>
    <row r="14" spans="2:9" ht="15" customHeight="1" x14ac:dyDescent="0.35">
      <c r="B14" s="98" t="s">
        <v>396</v>
      </c>
      <c r="C14" s="105">
        <f>C12-C13</f>
        <v>3987.2499999999968</v>
      </c>
      <c r="D14" s="105">
        <f>D12-D13</f>
        <v>5401.8199999999961</v>
      </c>
      <c r="E14" s="105">
        <f>E12-E13</f>
        <v>6731.9800000000032</v>
      </c>
      <c r="F14" s="105">
        <f>F12-F13</f>
        <v>4979.869999999999</v>
      </c>
      <c r="G14" s="105">
        <f>G12-G13</f>
        <v>5467.0700000000015</v>
      </c>
    </row>
    <row r="15" spans="2:9" ht="15" customHeight="1" x14ac:dyDescent="0.35">
      <c r="B15" s="99" t="s">
        <v>482</v>
      </c>
      <c r="C15" s="107">
        <f>'Profit &amp; Loss'!G12</f>
        <v>380.01</v>
      </c>
      <c r="D15" s="107">
        <f>'Profit &amp; Loss'!F12</f>
        <v>386.48</v>
      </c>
      <c r="E15" s="107">
        <f>'Profit &amp; Loss'!E12</f>
        <v>687.96</v>
      </c>
      <c r="F15" s="107">
        <f>'Profit &amp; Loss'!D12</f>
        <v>572.61</v>
      </c>
      <c r="G15" s="107">
        <f>'Profit &amp; Loss'!C12</f>
        <v>723.8</v>
      </c>
    </row>
    <row r="16" spans="2:9" ht="15" customHeight="1" x14ac:dyDescent="0.35">
      <c r="B16" s="99" t="s">
        <v>483</v>
      </c>
      <c r="C16" s="107">
        <f>'Profit &amp; Loss'!G19</f>
        <v>95.41</v>
      </c>
      <c r="D16" s="107">
        <f>'Profit &amp; Loss'!F19</f>
        <v>144.44999999999999</v>
      </c>
      <c r="E16" s="107">
        <f>'Profit &amp; Loss'!E19</f>
        <v>205.17</v>
      </c>
      <c r="F16" s="107">
        <f>'Profit &amp; Loss'!D19</f>
        <v>227.02</v>
      </c>
      <c r="G16" s="107">
        <f>'Profit &amp; Loss'!C19</f>
        <v>195.41</v>
      </c>
    </row>
    <row r="17" spans="2:7" ht="15" customHeight="1" x14ac:dyDescent="0.35">
      <c r="B17" s="98" t="s">
        <v>484</v>
      </c>
      <c r="C17" s="105">
        <f>C14+C15-C16</f>
        <v>4271.8499999999967</v>
      </c>
      <c r="D17" s="105">
        <f>D14+D15-D16</f>
        <v>5643.8499999999958</v>
      </c>
      <c r="E17" s="105">
        <f>E14+E15-E16</f>
        <v>7214.7700000000032</v>
      </c>
      <c r="F17" s="105">
        <f>F14+F15-F16</f>
        <v>5325.4599999999982</v>
      </c>
      <c r="G17" s="105">
        <f>G14+G15-G16</f>
        <v>5995.4600000000019</v>
      </c>
    </row>
    <row r="18" spans="2:7" ht="15" customHeight="1" x14ac:dyDescent="0.35">
      <c r="B18" s="99" t="s">
        <v>485</v>
      </c>
      <c r="C18" s="107">
        <f>'Profit &amp; Loss'!G30</f>
        <v>1102.9100000000001</v>
      </c>
      <c r="D18" s="107">
        <f>'Profit &amp; Loss'!F30</f>
        <v>1493.5</v>
      </c>
      <c r="E18" s="107">
        <f>'Profit &amp; Loss'!E30</f>
        <v>1790.08</v>
      </c>
      <c r="F18" s="107">
        <f>'Profit &amp; Loss'!D30</f>
        <v>1393.36</v>
      </c>
      <c r="G18" s="107">
        <f>'Profit &amp; Loss'!C30</f>
        <v>1608.75</v>
      </c>
    </row>
    <row r="19" spans="2:7" ht="15" customHeight="1" x14ac:dyDescent="0.35">
      <c r="B19" s="98" t="s">
        <v>486</v>
      </c>
      <c r="C19" s="105">
        <f>C18/C17</f>
        <v>0.2581808818193525</v>
      </c>
      <c r="D19" s="105">
        <f>D18/D17</f>
        <v>0.26462432559334514</v>
      </c>
      <c r="E19" s="105">
        <f>E18/E17</f>
        <v>0.24811324546728436</v>
      </c>
      <c r="F19" s="105">
        <f>F18/F17</f>
        <v>0.26164124789220095</v>
      </c>
      <c r="G19" s="105">
        <f>G18/G17</f>
        <v>0.26832803487972556</v>
      </c>
    </row>
    <row r="20" spans="2:7" ht="15" customHeight="1" x14ac:dyDescent="0.35">
      <c r="B20" s="99" t="s">
        <v>487</v>
      </c>
      <c r="C20" s="107">
        <f>-'Profit &amp; Loss'!G34</f>
        <v>54.24</v>
      </c>
      <c r="D20" s="107">
        <f>-'Profit &amp; Loss'!F34</f>
        <v>88.88</v>
      </c>
      <c r="E20" s="107">
        <f>-'Profit &amp; Loss'!E34</f>
        <v>97.46</v>
      </c>
      <c r="F20" s="107">
        <f>-'Profit &amp; Loss'!D34</f>
        <v>42.48</v>
      </c>
      <c r="G20" s="107">
        <f>-'Profit &amp; Loss'!C34</f>
        <v>69.34</v>
      </c>
    </row>
    <row r="21" spans="2:7" ht="15" customHeight="1" x14ac:dyDescent="0.35">
      <c r="B21" s="98" t="s">
        <v>488</v>
      </c>
      <c r="C21" s="105">
        <f>C17-C18-C20</f>
        <v>3114.6999999999971</v>
      </c>
      <c r="D21" s="105">
        <f>D17-D18-D20</f>
        <v>4061.4699999999957</v>
      </c>
      <c r="E21" s="105">
        <f>E17-E18-E20</f>
        <v>5327.2300000000032</v>
      </c>
      <c r="F21" s="105">
        <f>F17-F18-F20</f>
        <v>3889.6199999999985</v>
      </c>
      <c r="G21" s="105">
        <f>G17-G18-G20</f>
        <v>4317.3700000000017</v>
      </c>
    </row>
    <row r="23" spans="2:7" ht="15" customHeight="1" x14ac:dyDescent="0.35">
      <c r="B23" s="286" t="s">
        <v>489</v>
      </c>
      <c r="C23" s="286"/>
      <c r="D23" s="286"/>
      <c r="E23" s="286"/>
    </row>
    <row r="24" spans="2:7" ht="15" customHeight="1" x14ac:dyDescent="0.35">
      <c r="B24" s="99" t="s">
        <v>490</v>
      </c>
      <c r="C24" s="120">
        <f>AVERAGE(D5:G5)</f>
        <v>5.4753391086755004E-2</v>
      </c>
      <c r="D24" s="87"/>
      <c r="E24" s="87"/>
    </row>
    <row r="25" spans="2:7" ht="15" customHeight="1" x14ac:dyDescent="0.35">
      <c r="B25" s="99" t="s">
        <v>491</v>
      </c>
      <c r="C25" s="120">
        <f>(G4/C4)^(1/4)-1</f>
        <v>5.1560501706604533E-2</v>
      </c>
      <c r="D25" s="120">
        <f>_xlfn.RRI(4,C4,G4)</f>
        <v>5.1560501706604533E-2</v>
      </c>
      <c r="E25" s="99" t="s">
        <v>492</v>
      </c>
    </row>
    <row r="27" spans="2:7" ht="15" customHeight="1" x14ac:dyDescent="0.35">
      <c r="B27" s="286" t="s">
        <v>493</v>
      </c>
      <c r="C27" s="286"/>
      <c r="D27" s="286"/>
      <c r="E27" s="286"/>
      <c r="F27" s="286"/>
      <c r="G27" s="286"/>
    </row>
    <row r="28" spans="2:7" ht="15" customHeight="1" x14ac:dyDescent="0.35">
      <c r="B28" s="99" t="s">
        <v>392</v>
      </c>
      <c r="C28" s="120">
        <f>C12/C4</f>
        <v>0.16506524798909178</v>
      </c>
      <c r="D28" s="120">
        <f>D12/D4</f>
        <v>0.18150466574597562</v>
      </c>
      <c r="E28" s="120">
        <f>E12/E4</f>
        <v>0.2136931313465408</v>
      </c>
      <c r="F28" s="120">
        <f>F12/F4</f>
        <v>0.1771449688871638</v>
      </c>
      <c r="G28" s="120">
        <f>G12/G4</f>
        <v>0.18817464479363216</v>
      </c>
    </row>
    <row r="29" spans="2:7" ht="15" customHeight="1" x14ac:dyDescent="0.35">
      <c r="B29" s="99" t="s">
        <v>396</v>
      </c>
      <c r="C29" s="120">
        <f>C14/C4</f>
        <v>0.13701287366053991</v>
      </c>
      <c r="D29" s="120">
        <f>D14/D4</f>
        <v>0.15662629292760291</v>
      </c>
      <c r="E29" s="120">
        <f>E14/E4</f>
        <v>0.18966139480424285</v>
      </c>
      <c r="F29" s="120">
        <f>F14/F4</f>
        <v>0.14687447095791195</v>
      </c>
      <c r="G29" s="120">
        <f>G14/G4</f>
        <v>0.15364041913761253</v>
      </c>
    </row>
    <row r="30" spans="2:7" ht="15" customHeight="1" x14ac:dyDescent="0.35">
      <c r="B30" s="99" t="s">
        <v>494</v>
      </c>
      <c r="C30" s="120">
        <f>C17/C4</f>
        <v>0.14679251221939368</v>
      </c>
      <c r="D30" s="120">
        <f>D17/D4</f>
        <v>0.16364397616719026</v>
      </c>
      <c r="E30" s="120">
        <f>E17/E4</f>
        <v>0.20326313230161216</v>
      </c>
      <c r="F30" s="120">
        <f>F17/F4</f>
        <v>0.1570671764739886</v>
      </c>
      <c r="G30" s="120">
        <f>G17/G4</f>
        <v>0.1684897005750412</v>
      </c>
    </row>
    <row r="31" spans="2:7" ht="15" customHeight="1" x14ac:dyDescent="0.35">
      <c r="B31" s="99" t="s">
        <v>495</v>
      </c>
      <c r="C31" s="120">
        <f>C21/C4</f>
        <v>0.10702965642748351</v>
      </c>
      <c r="D31" s="120">
        <f>D21/D4</f>
        <v>0.11776271514724133</v>
      </c>
      <c r="E31" s="120">
        <f>E21/E4</f>
        <v>0.15008509713977267</v>
      </c>
      <c r="F31" s="120">
        <f>F21/F4</f>
        <v>0.11471903477948488</v>
      </c>
      <c r="G31" s="120">
        <f>G21/G4</f>
        <v>0.12133053653458879</v>
      </c>
    </row>
    <row r="33" spans="2:7" ht="15" customHeight="1" x14ac:dyDescent="0.35">
      <c r="B33" s="286" t="s">
        <v>486</v>
      </c>
      <c r="C33" s="286"/>
      <c r="D33" s="286"/>
      <c r="E33" s="286"/>
      <c r="F33" s="286"/>
      <c r="G33" s="286"/>
    </row>
    <row r="34" spans="2:7" ht="15" customHeight="1" x14ac:dyDescent="0.35">
      <c r="B34" s="99" t="s">
        <v>496</v>
      </c>
      <c r="C34" s="120">
        <f>C18/C17</f>
        <v>0.2581808818193525</v>
      </c>
      <c r="D34" s="120">
        <f>D18/D17</f>
        <v>0.26462432559334514</v>
      </c>
      <c r="E34" s="120">
        <f>E18/E17</f>
        <v>0.24811324546728436</v>
      </c>
      <c r="F34" s="120">
        <f>F18/F17</f>
        <v>0.26164124789220095</v>
      </c>
      <c r="G34" s="120">
        <f>G18/G17</f>
        <v>0.26832803487972556</v>
      </c>
    </row>
    <row r="35" spans="2:7" ht="15" customHeight="1" x14ac:dyDescent="0.35">
      <c r="B35" s="99" t="s">
        <v>497</v>
      </c>
      <c r="C35" s="100">
        <v>0.25</v>
      </c>
      <c r="D35" s="100">
        <v>0.25</v>
      </c>
      <c r="E35" s="100">
        <v>0.25</v>
      </c>
      <c r="F35" s="100">
        <v>0.25</v>
      </c>
      <c r="G35" s="100">
        <v>0.25</v>
      </c>
    </row>
    <row r="37" spans="2:7" ht="15" customHeight="1" x14ac:dyDescent="0.35">
      <c r="B37" s="286" t="s">
        <v>498</v>
      </c>
      <c r="C37" s="286"/>
      <c r="D37" s="286"/>
      <c r="E37" s="286"/>
      <c r="F37" s="286"/>
      <c r="G37" s="286"/>
    </row>
    <row r="38" spans="2:7" ht="15" customHeight="1" x14ac:dyDescent="0.35">
      <c r="B38" s="99" t="s">
        <v>499</v>
      </c>
      <c r="C38" s="122">
        <f>C14*(1-C35)</f>
        <v>2990.4374999999977</v>
      </c>
      <c r="D38" s="122">
        <f>D14*(1-D35)</f>
        <v>4051.3649999999971</v>
      </c>
      <c r="E38" s="122">
        <f>E14*(1-E35)</f>
        <v>5048.9850000000024</v>
      </c>
      <c r="F38" s="122">
        <f>F14*(1-F35)</f>
        <v>3734.9024999999992</v>
      </c>
      <c r="G38" s="122">
        <f>G14*(1-G35)</f>
        <v>4100.3025000000016</v>
      </c>
    </row>
    <row r="39" spans="2:7" ht="15" customHeight="1" x14ac:dyDescent="0.35">
      <c r="B39" s="99" t="s">
        <v>500</v>
      </c>
      <c r="C39" s="122">
        <f>'Balance Sheet'!G13</f>
        <v>13811.56</v>
      </c>
      <c r="D39" s="122">
        <f>'Balance Sheet'!F13</f>
        <v>15992.23</v>
      </c>
      <c r="E39" s="122">
        <f>'Balance Sheet'!E13</f>
        <v>18728.3</v>
      </c>
      <c r="F39" s="122">
        <f>'Balance Sheet'!D13</f>
        <v>19399.810000000001</v>
      </c>
      <c r="G39" s="122">
        <f>'Balance Sheet'!C13</f>
        <v>21371.59</v>
      </c>
    </row>
    <row r="40" spans="2:7" ht="15" customHeight="1" x14ac:dyDescent="0.35">
      <c r="B40" s="99" t="s">
        <v>501</v>
      </c>
      <c r="C40" s="122">
        <f>'Balance Sheet'!G16+'Balance Sheet'!G22</f>
        <v>775.66</v>
      </c>
      <c r="D40" s="122">
        <f>'Balance Sheet'!F16+'Balance Sheet'!F22</f>
        <v>972.20999999999992</v>
      </c>
      <c r="E40" s="122">
        <f>'Balance Sheet'!E16+'Balance Sheet'!E22</f>
        <v>1107.1400000000001</v>
      </c>
      <c r="F40" s="122">
        <f>'Balance Sheet'!D16+'Balance Sheet'!D22</f>
        <v>863.75</v>
      </c>
      <c r="G40" s="122">
        <f>'Balance Sheet'!C16+'Balance Sheet'!C22</f>
        <v>2293.2600000000002</v>
      </c>
    </row>
    <row r="41" spans="2:7" ht="15" customHeight="1" x14ac:dyDescent="0.35">
      <c r="B41" s="99" t="s">
        <v>502</v>
      </c>
      <c r="C41" s="122">
        <f>'Balance Sheet'!G43</f>
        <v>864.33</v>
      </c>
      <c r="D41" s="122">
        <f>'Balance Sheet'!F43</f>
        <v>843.82</v>
      </c>
      <c r="E41" s="122">
        <f>'Balance Sheet'!E43</f>
        <v>1084.01</v>
      </c>
      <c r="F41" s="122">
        <f>'Balance Sheet'!D43</f>
        <v>781.98</v>
      </c>
      <c r="G41" s="122">
        <f>'Balance Sheet'!C43</f>
        <v>1073.68</v>
      </c>
    </row>
    <row r="42" spans="2:7" ht="15" customHeight="1" x14ac:dyDescent="0.35">
      <c r="B42" s="99" t="s">
        <v>503</v>
      </c>
      <c r="C42" s="122">
        <f>C39+C40+C41</f>
        <v>15451.55</v>
      </c>
      <c r="D42" s="122">
        <f>D39+D40+D41</f>
        <v>17808.259999999998</v>
      </c>
      <c r="E42" s="122">
        <f>E39+E40+E41</f>
        <v>20919.449999999997</v>
      </c>
      <c r="F42" s="122">
        <f>F39+F40+F41</f>
        <v>21045.54</v>
      </c>
      <c r="G42" s="122">
        <f>G39+G40+G41</f>
        <v>24738.53</v>
      </c>
    </row>
    <row r="44" spans="2:7" ht="15" customHeight="1" x14ac:dyDescent="0.35">
      <c r="B44" s="99" t="s">
        <v>504</v>
      </c>
      <c r="C44" s="120">
        <f>C14/C42</f>
        <v>0.25804854529157251</v>
      </c>
      <c r="D44" s="120">
        <f>D14/D42</f>
        <v>0.30333227389986422</v>
      </c>
      <c r="E44" s="120">
        <f>E14/E42</f>
        <v>0.32180482756477841</v>
      </c>
      <c r="F44" s="120">
        <f>F14/F42</f>
        <v>0.23662353163663175</v>
      </c>
      <c r="G44" s="120">
        <f>G14/G42</f>
        <v>0.22099413344285218</v>
      </c>
    </row>
    <row r="45" spans="2:7" ht="15" customHeight="1" x14ac:dyDescent="0.35">
      <c r="B45" s="99" t="s">
        <v>505</v>
      </c>
      <c r="C45" s="120">
        <f>C38/C42</f>
        <v>0.19353640896867938</v>
      </c>
      <c r="D45" s="120">
        <f>D38/D42</f>
        <v>0.22749920542489818</v>
      </c>
      <c r="E45" s="120">
        <f>E38/E42</f>
        <v>0.24135362067358382</v>
      </c>
      <c r="F45" s="120">
        <f>F38/F42</f>
        <v>0.17746764872747381</v>
      </c>
      <c r="G45" s="120">
        <f>G38/G42</f>
        <v>0.16574560008213915</v>
      </c>
    </row>
    <row r="47" spans="2:7" ht="15" customHeight="1" x14ac:dyDescent="0.35">
      <c r="B47" s="123" t="s">
        <v>506</v>
      </c>
      <c r="C47" s="284">
        <f>'Fixed Assets Schedule'!D13*Assumption!G45</f>
        <v>4.4392462561268446E-3</v>
      </c>
      <c r="D47" s="284"/>
    </row>
  </sheetData>
  <mergeCells count="6">
    <mergeCell ref="C47:D47"/>
    <mergeCell ref="B1:G1"/>
    <mergeCell ref="B23:E23"/>
    <mergeCell ref="B27:G27"/>
    <mergeCell ref="B33:G33"/>
    <mergeCell ref="B37:G37"/>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G14"/>
  <sheetViews>
    <sheetView showGridLines="0" zoomScaleNormal="100" workbookViewId="0">
      <selection activeCell="B3" sqref="B3"/>
    </sheetView>
  </sheetViews>
  <sheetFormatPr defaultColWidth="8.6328125" defaultRowHeight="14" x14ac:dyDescent="0.3"/>
  <cols>
    <col min="1" max="1" width="2.1796875" style="124" customWidth="1"/>
    <col min="2" max="2" width="24.90625" style="124" customWidth="1"/>
    <col min="3" max="7" width="10.08984375" style="124" customWidth="1"/>
    <col min="8" max="16384" width="8.6328125" style="124"/>
  </cols>
  <sheetData>
    <row r="1" spans="2:7" ht="15" customHeight="1" x14ac:dyDescent="0.3">
      <c r="B1" s="287" t="s">
        <v>507</v>
      </c>
      <c r="C1" s="287"/>
      <c r="D1" s="287"/>
      <c r="E1" s="287"/>
      <c r="F1" s="287"/>
      <c r="G1" s="287"/>
    </row>
    <row r="2" spans="2:7" ht="9" customHeight="1" x14ac:dyDescent="0.3">
      <c r="B2" s="287"/>
      <c r="C2" s="287"/>
      <c r="D2" s="287"/>
      <c r="E2" s="287"/>
      <c r="F2" s="287"/>
      <c r="G2" s="287"/>
    </row>
    <row r="3" spans="2:7" ht="15" customHeight="1" x14ac:dyDescent="0.3">
      <c r="B3" s="125" t="s">
        <v>508</v>
      </c>
      <c r="C3" s="126">
        <v>2022</v>
      </c>
      <c r="D3" s="126">
        <v>2023</v>
      </c>
      <c r="E3" s="126">
        <v>2024</v>
      </c>
      <c r="F3" s="126">
        <v>2025</v>
      </c>
      <c r="G3" s="126">
        <v>2026</v>
      </c>
    </row>
    <row r="4" spans="2:7" ht="15" customHeight="1" x14ac:dyDescent="0.3">
      <c r="B4" s="127" t="s">
        <v>396</v>
      </c>
      <c r="C4" s="128">
        <f>'Profit &amp; Loss'!G23+'Profit &amp; Loss'!G19</f>
        <v>4367.26</v>
      </c>
      <c r="D4" s="128">
        <f>'Profit &amp; Loss'!F23+'Profit &amp; Loss'!F19</f>
        <v>5788.3</v>
      </c>
      <c r="E4" s="128">
        <f>'Profit &amp; Loss'!E23+'Profit &amp; Loss'!E19</f>
        <v>7419.9400000000005</v>
      </c>
      <c r="F4" s="128">
        <f>'Profit &amp; Loss'!D23+'Profit &amp; Loss'!D19</f>
        <v>5552.4800000000005</v>
      </c>
      <c r="G4" s="128">
        <f>'Profit &amp; Loss'!C23+'Profit &amp; Loss'!C19</f>
        <v>6190.87</v>
      </c>
    </row>
    <row r="5" spans="2:7" ht="15" customHeight="1" x14ac:dyDescent="0.3">
      <c r="B5" s="127" t="s">
        <v>509</v>
      </c>
      <c r="C5" s="128">
        <f>C4*('Profit &amp; Loss'!G30/'Profit &amp; Loss'!G25)</f>
        <v>1158.9318784451959</v>
      </c>
      <c r="D5" s="128">
        <f>D4*('Profit &amp; Loss'!F30/'Profit &amp; Loss'!F25)</f>
        <v>1545.1040128829775</v>
      </c>
      <c r="E5" s="128">
        <f>E4*('Profit &amp; Loss'!E30/'Profit &amp; Loss'!E25)</f>
        <v>1840.9853945725226</v>
      </c>
      <c r="F5" s="128">
        <f>F4*('Profit &amp; Loss'!D30/'Profit &amp; Loss'!D25)</f>
        <v>1559.0572898379</v>
      </c>
      <c r="G5" s="128">
        <f>G4*('Profit &amp; Loss'!C30/'Profit &amp; Loss'!C25)</f>
        <v>1706.0325483696906</v>
      </c>
    </row>
    <row r="6" spans="2:7" ht="15" customHeight="1" x14ac:dyDescent="0.3">
      <c r="B6" s="127" t="s">
        <v>510</v>
      </c>
      <c r="C6" s="128">
        <f>C4-C5</f>
        <v>3208.3281215548041</v>
      </c>
      <c r="D6" s="128">
        <f>D4-D5</f>
        <v>4243.1959871170229</v>
      </c>
      <c r="E6" s="128">
        <f>E4-E5</f>
        <v>5578.9546054274779</v>
      </c>
      <c r="F6" s="128">
        <f>F4-F5</f>
        <v>3993.4227101621004</v>
      </c>
      <c r="G6" s="128">
        <f>G4-G5</f>
        <v>4484.8374516303093</v>
      </c>
    </row>
    <row r="7" spans="2:7" ht="15" customHeight="1" x14ac:dyDescent="0.3">
      <c r="B7" s="127" t="s">
        <v>511</v>
      </c>
      <c r="C7" s="127"/>
      <c r="D7" s="128">
        <f>'Fixed Assets Schedule'!D10</f>
        <v>858.9399999999996</v>
      </c>
      <c r="E7" s="128">
        <f>'Fixed Assets Schedule'!E10</f>
        <v>2864.2299999999996</v>
      </c>
      <c r="F7" s="128">
        <f>'Fixed Assets Schedule'!F10</f>
        <v>829.21000000000095</v>
      </c>
      <c r="G7" s="128">
        <f>'Fixed Assets Schedule'!G10</f>
        <v>1014.8600000000006</v>
      </c>
    </row>
    <row r="8" spans="2:7" ht="15" customHeight="1" x14ac:dyDescent="0.3">
      <c r="B8" s="127" t="s">
        <v>512</v>
      </c>
      <c r="C8" s="127"/>
      <c r="D8" s="128">
        <f>'Working Capital Changes'!D8</f>
        <v>1352.0199999999995</v>
      </c>
      <c r="E8" s="128">
        <f>'Working Capital Changes'!E8</f>
        <v>-231.02000000000044</v>
      </c>
      <c r="F8" s="128">
        <f>'Working Capital Changes'!F8</f>
        <v>203.80000000000109</v>
      </c>
      <c r="G8" s="128">
        <f>'Working Capital Changes'!G8</f>
        <v>-842.47000000000025</v>
      </c>
    </row>
    <row r="9" spans="2:7" ht="15" customHeight="1" x14ac:dyDescent="0.3">
      <c r="B9" s="127" t="s">
        <v>513</v>
      </c>
      <c r="C9" s="127"/>
      <c r="D9" s="128">
        <f>SUM(D7:D8)</f>
        <v>2210.9599999999991</v>
      </c>
      <c r="E9" s="128">
        <f>SUM(E7:E8)</f>
        <v>2633.2099999999991</v>
      </c>
      <c r="F9" s="128">
        <f>SUM(F7:F8)</f>
        <v>1033.010000000002</v>
      </c>
      <c r="G9" s="128">
        <f>SUM(G7:G8)</f>
        <v>172.39000000000033</v>
      </c>
    </row>
    <row r="10" spans="2:7" ht="15" customHeight="1" x14ac:dyDescent="0.3">
      <c r="B10" s="129" t="s">
        <v>514</v>
      </c>
      <c r="C10" s="130">
        <f>C6</f>
        <v>3208.3281215548041</v>
      </c>
      <c r="D10" s="130">
        <f>D6-D9</f>
        <v>2032.2359871170238</v>
      </c>
      <c r="E10" s="130">
        <f>E6-E9</f>
        <v>2945.7446054274787</v>
      </c>
      <c r="F10" s="130">
        <f>F6-F9</f>
        <v>2960.4127101620984</v>
      </c>
      <c r="G10" s="130">
        <f>G6-G9</f>
        <v>4312.4474516303089</v>
      </c>
    </row>
    <row r="12" spans="2:7" ht="15" customHeight="1" x14ac:dyDescent="0.3">
      <c r="B12" s="129" t="s">
        <v>515</v>
      </c>
      <c r="C12" s="127"/>
      <c r="D12" s="131">
        <f>D9/D6</f>
        <v>0.52106007045462999</v>
      </c>
      <c r="E12" s="131">
        <f>E9/E6</f>
        <v>0.47198985943321436</v>
      </c>
      <c r="F12" s="131">
        <f>F9/F6</f>
        <v>0.25867784979819236</v>
      </c>
      <c r="G12" s="131">
        <f>G9/G6</f>
        <v>3.8438405373495493E-2</v>
      </c>
    </row>
    <row r="13" spans="2:7" ht="15" customHeight="1" x14ac:dyDescent="0.3">
      <c r="B13" s="127" t="s">
        <v>516</v>
      </c>
      <c r="C13" s="131">
        <f>MEDIAN(D12:G12)</f>
        <v>0.36533385461570334</v>
      </c>
    </row>
    <row r="14" spans="2:7" ht="15" customHeight="1" x14ac:dyDescent="0.3">
      <c r="B14" s="127" t="s">
        <v>517</v>
      </c>
      <c r="C14" s="131">
        <f>AVERAGE(D12:G12)</f>
        <v>0.32254154626488302</v>
      </c>
    </row>
  </sheetData>
  <mergeCells count="1">
    <mergeCell ref="B1:G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C32"/>
  <sheetViews>
    <sheetView showGridLines="0" zoomScale="76" zoomScaleNormal="76" workbookViewId="0">
      <selection activeCell="B26" sqref="B26:C26"/>
    </sheetView>
  </sheetViews>
  <sheetFormatPr defaultColWidth="8.6328125" defaultRowHeight="14" x14ac:dyDescent="0.3"/>
  <cols>
    <col min="1" max="1" width="2" style="124" customWidth="1"/>
    <col min="2" max="2" width="42" style="124" customWidth="1"/>
    <col min="3" max="3" width="18" style="124" customWidth="1"/>
    <col min="4" max="4" width="5" style="124" customWidth="1"/>
    <col min="5" max="16384" width="8.6328125" style="124"/>
  </cols>
  <sheetData>
    <row r="1" spans="2:3" ht="21.75" customHeight="1" x14ac:dyDescent="0.3">
      <c r="B1" s="290" t="s">
        <v>518</v>
      </c>
      <c r="C1" s="290"/>
    </row>
    <row r="2" spans="2:3" ht="15" customHeight="1" x14ac:dyDescent="0.3">
      <c r="B2" s="291" t="s">
        <v>519</v>
      </c>
      <c r="C2" s="291"/>
    </row>
    <row r="3" spans="2:3" ht="15.75" customHeight="1" x14ac:dyDescent="0.3">
      <c r="B3" s="132" t="s">
        <v>520</v>
      </c>
      <c r="C3" s="133" t="s">
        <v>521</v>
      </c>
    </row>
    <row r="5" spans="2:3" ht="18" customHeight="1" x14ac:dyDescent="0.3">
      <c r="B5" s="288" t="s">
        <v>522</v>
      </c>
      <c r="C5" s="288"/>
    </row>
    <row r="6" spans="2:3" ht="15.75" customHeight="1" x14ac:dyDescent="0.3">
      <c r="B6" s="132" t="s">
        <v>523</v>
      </c>
      <c r="C6" s="134">
        <v>6.8500000000000005E-2</v>
      </c>
    </row>
    <row r="7" spans="2:3" ht="15.75" customHeight="1" x14ac:dyDescent="0.3">
      <c r="B7" s="135" t="s">
        <v>524</v>
      </c>
      <c r="C7" s="134">
        <v>1.8700000000000001E-2</v>
      </c>
    </row>
    <row r="8" spans="2:3" ht="15.75" customHeight="1" x14ac:dyDescent="0.3">
      <c r="B8" s="132" t="s">
        <v>525</v>
      </c>
      <c r="C8" s="133">
        <v>0.98</v>
      </c>
    </row>
    <row r="9" spans="2:3" ht="15.75" customHeight="1" x14ac:dyDescent="0.3">
      <c r="B9" s="132" t="s">
        <v>526</v>
      </c>
      <c r="C9" s="134">
        <v>7.4999999999999997E-2</v>
      </c>
    </row>
    <row r="10" spans="2:3" ht="15.75" customHeight="1" x14ac:dyDescent="0.3">
      <c r="B10" s="132" t="s">
        <v>527</v>
      </c>
      <c r="C10" s="134">
        <f>C6+C8*C9</f>
        <v>0.14200000000000002</v>
      </c>
    </row>
    <row r="12" spans="2:3" ht="18" customHeight="1" x14ac:dyDescent="0.3">
      <c r="B12" s="288" t="s">
        <v>528</v>
      </c>
      <c r="C12" s="288"/>
    </row>
    <row r="13" spans="2:3" ht="15" customHeight="1" x14ac:dyDescent="0.3">
      <c r="B13" s="132" t="s">
        <v>529</v>
      </c>
      <c r="C13" s="136">
        <f>'Profit &amp; Loss'!C19</f>
        <v>195.41</v>
      </c>
    </row>
    <row r="14" spans="2:3" ht="15" customHeight="1" x14ac:dyDescent="0.3">
      <c r="B14" s="132" t="s">
        <v>530</v>
      </c>
      <c r="C14" s="136">
        <f>'Balance Sheet'!C16+'Balance Sheet'!C22</f>
        <v>2293.2600000000002</v>
      </c>
    </row>
    <row r="15" spans="2:3" ht="15" customHeight="1" x14ac:dyDescent="0.3">
      <c r="B15" s="132" t="s">
        <v>531</v>
      </c>
      <c r="C15" s="137">
        <f>C13/C14</f>
        <v>8.5210573593923047E-2</v>
      </c>
    </row>
    <row r="16" spans="2:3" ht="15" customHeight="1" x14ac:dyDescent="0.3">
      <c r="B16" s="132" t="s">
        <v>532</v>
      </c>
      <c r="C16" s="138">
        <f>Assumption!G35</f>
        <v>0.25</v>
      </c>
    </row>
    <row r="17" spans="2:3" ht="15.75" customHeight="1" x14ac:dyDescent="0.3">
      <c r="B17" s="132" t="s">
        <v>533</v>
      </c>
      <c r="C17" s="137">
        <f>C15*(1-C16)</f>
        <v>6.3907930195442289E-2</v>
      </c>
    </row>
    <row r="19" spans="2:3" ht="18" customHeight="1" x14ac:dyDescent="0.3">
      <c r="B19" s="288" t="s">
        <v>534</v>
      </c>
      <c r="C19" s="288"/>
    </row>
    <row r="20" spans="2:3" ht="15" customHeight="1" x14ac:dyDescent="0.3">
      <c r="B20" s="132" t="s">
        <v>535</v>
      </c>
      <c r="C20" s="139">
        <f>'Balance Sheet'!C9</f>
        <v>95.92</v>
      </c>
    </row>
    <row r="21" spans="2:3" ht="15" customHeight="1" x14ac:dyDescent="0.3">
      <c r="B21" s="132" t="s">
        <v>536</v>
      </c>
      <c r="C21" s="139">
        <v>1</v>
      </c>
    </row>
    <row r="22" spans="2:3" ht="15" customHeight="1" x14ac:dyDescent="0.3">
      <c r="B22" s="132" t="s">
        <v>537</v>
      </c>
      <c r="C22" s="139">
        <f>C20/C21</f>
        <v>95.92</v>
      </c>
    </row>
    <row r="23" spans="2:3" ht="15" customHeight="1" x14ac:dyDescent="0.3">
      <c r="B23" s="132" t="s">
        <v>538</v>
      </c>
      <c r="C23" s="139">
        <v>2747</v>
      </c>
    </row>
    <row r="24" spans="2:3" ht="15" customHeight="1" x14ac:dyDescent="0.3">
      <c r="B24" s="132" t="s">
        <v>539</v>
      </c>
      <c r="C24" s="139">
        <f>C22*C23</f>
        <v>263492.24</v>
      </c>
    </row>
    <row r="26" spans="2:3" ht="18" customHeight="1" x14ac:dyDescent="0.3">
      <c r="B26" s="288" t="s">
        <v>540</v>
      </c>
      <c r="C26" s="288"/>
    </row>
    <row r="27" spans="2:3" ht="15" customHeight="1" x14ac:dyDescent="0.3">
      <c r="B27" s="132" t="s">
        <v>541</v>
      </c>
      <c r="C27" s="140">
        <f>C24+C14</f>
        <v>265785.5</v>
      </c>
    </row>
    <row r="28" spans="2:3" ht="15" customHeight="1" x14ac:dyDescent="0.3">
      <c r="B28" s="132" t="s">
        <v>542</v>
      </c>
      <c r="C28" s="137">
        <f>C14/C27</f>
        <v>8.6282359270915838E-3</v>
      </c>
    </row>
    <row r="29" spans="2:3" ht="15" customHeight="1" x14ac:dyDescent="0.3">
      <c r="B29" s="132" t="s">
        <v>543</v>
      </c>
      <c r="C29" s="137">
        <f>C24/C27</f>
        <v>0.99137176407290839</v>
      </c>
    </row>
    <row r="31" spans="2:3" ht="21.75" customHeight="1" x14ac:dyDescent="0.3">
      <c r="B31" s="289" t="s">
        <v>544</v>
      </c>
      <c r="C31" s="289"/>
    </row>
    <row r="32" spans="2:3" ht="19.5" customHeight="1" x14ac:dyDescent="0.3">
      <c r="B32" s="141" t="s">
        <v>545</v>
      </c>
      <c r="C32" s="142">
        <f>(C29*C10)+(C28*C17)</f>
        <v>0.14132620319769137</v>
      </c>
    </row>
  </sheetData>
  <mergeCells count="7">
    <mergeCell ref="B26:C26"/>
    <mergeCell ref="B31:C31"/>
    <mergeCell ref="B1:C1"/>
    <mergeCell ref="B2:C2"/>
    <mergeCell ref="B5:C5"/>
    <mergeCell ref="B12:C12"/>
    <mergeCell ref="B19:C19"/>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S44"/>
  <sheetViews>
    <sheetView showGridLines="0" zoomScale="58" zoomScaleNormal="58" workbookViewId="0">
      <selection activeCell="F3" sqref="F3"/>
    </sheetView>
  </sheetViews>
  <sheetFormatPr defaultColWidth="8.6328125" defaultRowHeight="14" x14ac:dyDescent="0.3"/>
  <cols>
    <col min="1" max="1" width="3" style="124" customWidth="1"/>
    <col min="2" max="2" width="26" style="124" customWidth="1"/>
    <col min="3" max="3" width="14" style="124" customWidth="1"/>
    <col min="4" max="6" width="12" style="124" customWidth="1"/>
    <col min="7" max="7" width="28" style="124" customWidth="1"/>
    <col min="8" max="10" width="10" style="124" customWidth="1"/>
    <col min="11" max="11" width="14" style="124" customWidth="1"/>
    <col min="12" max="13" width="5" style="124" customWidth="1"/>
    <col min="14" max="14" width="6" style="124" customWidth="1"/>
    <col min="15" max="15" width="18" style="124" customWidth="1"/>
    <col min="16" max="16" width="12" style="124" customWidth="1"/>
    <col min="17" max="17" width="16" style="124" customWidth="1"/>
    <col min="18" max="18" width="14" style="124" customWidth="1"/>
    <col min="19" max="19" width="12" style="124" customWidth="1"/>
    <col min="20" max="16384" width="8.6328125" style="124"/>
  </cols>
  <sheetData>
    <row r="1" spans="2:19" s="2" customFormat="1" ht="15" customHeight="1" x14ac:dyDescent="0.35"/>
    <row r="2" spans="2:19" ht="24" customHeight="1" x14ac:dyDescent="0.3">
      <c r="B2" s="294" t="s">
        <v>546</v>
      </c>
      <c r="C2" s="294"/>
      <c r="D2" s="294"/>
      <c r="E2" s="294"/>
      <c r="F2" s="294"/>
      <c r="G2" s="294"/>
      <c r="H2" s="294"/>
      <c r="I2" s="294"/>
      <c r="J2" s="294"/>
      <c r="K2" s="294"/>
      <c r="L2" s="294"/>
      <c r="M2" s="294"/>
    </row>
    <row r="3" spans="2:19" s="143" customFormat="1" ht="14.25" customHeight="1" x14ac:dyDescent="0.3">
      <c r="B3" s="144" t="s">
        <v>547</v>
      </c>
    </row>
    <row r="5" spans="2:19" ht="14.25" customHeight="1" x14ac:dyDescent="0.3">
      <c r="B5" s="145" t="s">
        <v>548</v>
      </c>
      <c r="N5" s="145" t="s">
        <v>548</v>
      </c>
    </row>
    <row r="6" spans="2:19" ht="14.25" customHeight="1" x14ac:dyDescent="0.3">
      <c r="N6" s="146" t="s">
        <v>549</v>
      </c>
      <c r="O6" s="146" t="s">
        <v>550</v>
      </c>
      <c r="P6" s="146" t="s">
        <v>551</v>
      </c>
      <c r="Q6" s="146" t="s">
        <v>552</v>
      </c>
      <c r="R6" s="146" t="s">
        <v>553</v>
      </c>
      <c r="S6" s="146" t="s">
        <v>554</v>
      </c>
    </row>
    <row r="7" spans="2:19" ht="14.25" customHeight="1" x14ac:dyDescent="0.3">
      <c r="B7" s="127"/>
      <c r="C7" s="127"/>
      <c r="D7" s="127"/>
      <c r="E7" s="127"/>
      <c r="F7" s="127"/>
      <c r="G7" s="127"/>
      <c r="H7" s="147" t="s">
        <v>555</v>
      </c>
      <c r="I7" s="147" t="s">
        <v>555</v>
      </c>
      <c r="J7" s="147" t="s">
        <v>556</v>
      </c>
      <c r="K7" s="147" t="s">
        <v>557</v>
      </c>
      <c r="N7" s="148">
        <v>1</v>
      </c>
      <c r="O7" s="148" t="s">
        <v>275</v>
      </c>
      <c r="P7" s="149">
        <v>2747.4</v>
      </c>
      <c r="Q7" s="149">
        <v>263530</v>
      </c>
      <c r="R7" s="149">
        <v>3928.93</v>
      </c>
      <c r="S7" s="150">
        <v>0.18</v>
      </c>
    </row>
    <row r="8" spans="2:19" ht="14.25" customHeight="1" x14ac:dyDescent="0.3">
      <c r="B8" s="147" t="s">
        <v>558</v>
      </c>
      <c r="C8" s="127"/>
      <c r="D8" s="127"/>
      <c r="E8" s="147" t="s">
        <v>559</v>
      </c>
      <c r="F8" s="147" t="s">
        <v>560</v>
      </c>
      <c r="G8" s="147" t="s">
        <v>561</v>
      </c>
      <c r="H8" s="147" t="s">
        <v>562</v>
      </c>
      <c r="I8" s="147" t="s">
        <v>563</v>
      </c>
      <c r="J8" s="147" t="s">
        <v>564</v>
      </c>
      <c r="K8" s="147" t="s">
        <v>565</v>
      </c>
      <c r="L8" s="145"/>
      <c r="N8" s="151">
        <v>2</v>
      </c>
      <c r="O8" s="151" t="s">
        <v>566</v>
      </c>
      <c r="P8" s="152">
        <v>515.15</v>
      </c>
      <c r="Q8" s="152">
        <v>60066.63</v>
      </c>
      <c r="R8" s="152">
        <v>635.13</v>
      </c>
      <c r="S8" s="153">
        <v>0.09</v>
      </c>
    </row>
    <row r="9" spans="2:19" ht="14.25" customHeight="1" x14ac:dyDescent="0.3">
      <c r="B9" s="127"/>
      <c r="C9" s="127"/>
      <c r="D9" s="127"/>
      <c r="E9" s="127"/>
      <c r="F9" s="127"/>
      <c r="G9" s="127"/>
      <c r="H9" s="127"/>
      <c r="I9" s="127"/>
      <c r="J9" s="127"/>
      <c r="K9" s="127"/>
      <c r="N9" s="148">
        <v>3</v>
      </c>
      <c r="O9" s="148" t="s">
        <v>567</v>
      </c>
      <c r="P9" s="149">
        <v>216.5</v>
      </c>
      <c r="Q9" s="149">
        <v>17508.669999999998</v>
      </c>
      <c r="R9" s="149">
        <v>302.73</v>
      </c>
      <c r="S9" s="150">
        <v>0.05</v>
      </c>
    </row>
    <row r="10" spans="2:19" ht="14.25" customHeight="1" x14ac:dyDescent="0.3">
      <c r="B10" s="154" t="s">
        <v>275</v>
      </c>
      <c r="C10" s="127"/>
      <c r="D10" s="154" t="s">
        <v>44</v>
      </c>
      <c r="E10" s="155">
        <f t="shared" ref="E10:F14" si="0">Q7</f>
        <v>263530</v>
      </c>
      <c r="F10" s="155">
        <f t="shared" si="0"/>
        <v>3928.93</v>
      </c>
      <c r="G10" s="156">
        <v>0.25</v>
      </c>
      <c r="H10" s="157">
        <f>F10/E10</f>
        <v>1.4908852882024816E-2</v>
      </c>
      <c r="I10" s="158">
        <f>F10/(F10+E10)</f>
        <v>1.4689844156633693E-2</v>
      </c>
      <c r="J10" s="159">
        <v>0.98</v>
      </c>
      <c r="K10" s="160">
        <f>J10/(1+(1-G10)*H10)</f>
        <v>0.96916316669678038</v>
      </c>
      <c r="N10" s="151">
        <v>4</v>
      </c>
      <c r="O10" s="151" t="s">
        <v>568</v>
      </c>
      <c r="P10" s="152">
        <v>3168.4</v>
      </c>
      <c r="Q10" s="152">
        <v>14428.99</v>
      </c>
      <c r="R10" s="152">
        <v>79.099999999999994</v>
      </c>
      <c r="S10" s="153">
        <v>0.03</v>
      </c>
    </row>
    <row r="11" spans="2:19" ht="14.25" customHeight="1" x14ac:dyDescent="0.3">
      <c r="B11" s="154" t="s">
        <v>566</v>
      </c>
      <c r="C11" s="127"/>
      <c r="D11" s="154" t="s">
        <v>44</v>
      </c>
      <c r="E11" s="155">
        <f t="shared" si="0"/>
        <v>60066.63</v>
      </c>
      <c r="F11" s="155">
        <f t="shared" si="0"/>
        <v>635.13</v>
      </c>
      <c r="G11" s="156">
        <v>0.25</v>
      </c>
      <c r="H11" s="157">
        <f>F11/E11</f>
        <v>1.0573757841916552E-2</v>
      </c>
      <c r="I11" s="158">
        <f>F11/(F11+E11)</f>
        <v>1.0463123309768943E-2</v>
      </c>
      <c r="J11" s="159">
        <v>0.85</v>
      </c>
      <c r="K11" s="160">
        <f>J11/(1+(1-G11)*H11)</f>
        <v>0.84331226524166236</v>
      </c>
      <c r="N11" s="148">
        <v>5</v>
      </c>
      <c r="O11" s="148" t="s">
        <v>569</v>
      </c>
      <c r="P11" s="149">
        <v>995.2</v>
      </c>
      <c r="Q11" s="149">
        <v>4744.68</v>
      </c>
      <c r="R11" s="149">
        <v>18.37</v>
      </c>
      <c r="S11" s="150">
        <v>0.02</v>
      </c>
    </row>
    <row r="12" spans="2:19" ht="14.25" customHeight="1" x14ac:dyDescent="0.3">
      <c r="B12" s="154" t="s">
        <v>567</v>
      </c>
      <c r="C12" s="127"/>
      <c r="D12" s="154" t="s">
        <v>44</v>
      </c>
      <c r="E12" s="155">
        <f t="shared" si="0"/>
        <v>17508.669999999998</v>
      </c>
      <c r="F12" s="155">
        <f t="shared" si="0"/>
        <v>302.73</v>
      </c>
      <c r="G12" s="156">
        <v>0.25</v>
      </c>
      <c r="H12" s="157">
        <f>F12/E12</f>
        <v>1.7290291038668273E-2</v>
      </c>
      <c r="I12" s="158">
        <f>F12/(F12+E12)</f>
        <v>1.6996418024411337E-2</v>
      </c>
      <c r="J12" s="159">
        <v>0.72</v>
      </c>
      <c r="K12" s="160">
        <f>J12/(1+(1-G12)*H12)</f>
        <v>0.7107827692902754</v>
      </c>
    </row>
    <row r="13" spans="2:19" ht="14.25" customHeight="1" x14ac:dyDescent="0.3">
      <c r="B13" s="154" t="s">
        <v>568</v>
      </c>
      <c r="C13" s="127"/>
      <c r="D13" s="154" t="s">
        <v>44</v>
      </c>
      <c r="E13" s="155">
        <f t="shared" si="0"/>
        <v>14428.99</v>
      </c>
      <c r="F13" s="155">
        <f t="shared" si="0"/>
        <v>79.099999999999994</v>
      </c>
      <c r="G13" s="156">
        <v>0.25</v>
      </c>
      <c r="H13" s="157">
        <f>F13/E13</f>
        <v>5.4820191849879992E-3</v>
      </c>
      <c r="I13" s="158">
        <f>F13/(F13+E13)</f>
        <v>5.4521305009825544E-3</v>
      </c>
      <c r="J13" s="159">
        <v>0.65</v>
      </c>
      <c r="K13" s="160">
        <f>J13/(1+(1-G13)*H13)</f>
        <v>0.64733845861302719</v>
      </c>
    </row>
    <row r="14" spans="2:19" ht="14.25" customHeight="1" x14ac:dyDescent="0.3">
      <c r="B14" s="154" t="s">
        <v>569</v>
      </c>
      <c r="C14" s="127"/>
      <c r="D14" s="154" t="s">
        <v>44</v>
      </c>
      <c r="E14" s="155">
        <f t="shared" si="0"/>
        <v>4744.68</v>
      </c>
      <c r="F14" s="155">
        <f t="shared" si="0"/>
        <v>18.37</v>
      </c>
      <c r="G14" s="156">
        <v>0.25</v>
      </c>
      <c r="H14" s="157">
        <f>F14/E14</f>
        <v>3.8717047303506243E-3</v>
      </c>
      <c r="I14" s="158">
        <f>F14/(F14+E14)</f>
        <v>3.8567724462266824E-3</v>
      </c>
      <c r="J14" s="159">
        <v>1.1000000000000001</v>
      </c>
      <c r="K14" s="160">
        <f>J14/(1+(1-G14)*H14)</f>
        <v>1.0968150918653787</v>
      </c>
    </row>
    <row r="15" spans="2:19" x14ac:dyDescent="0.3">
      <c r="B15" s="127"/>
      <c r="C15" s="127"/>
      <c r="D15" s="127"/>
      <c r="E15" s="127"/>
      <c r="F15" s="127"/>
      <c r="G15" s="127"/>
      <c r="H15" s="127"/>
      <c r="I15" s="127"/>
      <c r="J15" s="127"/>
      <c r="K15" s="127"/>
    </row>
    <row r="16" spans="2:19" ht="14.25" customHeight="1" x14ac:dyDescent="0.3">
      <c r="F16" s="147" t="s">
        <v>570</v>
      </c>
      <c r="G16" s="158">
        <f>AVERAGE(G10:G14)</f>
        <v>0.25</v>
      </c>
      <c r="H16" s="157">
        <f>AVERAGE(H10:H14)</f>
        <v>1.0425325135589653E-2</v>
      </c>
      <c r="I16" s="157">
        <f>AVERAGE(I10:I14)</f>
        <v>1.0291657687604641E-2</v>
      </c>
      <c r="J16" s="160">
        <f>AVERAGE(J10:J14)</f>
        <v>0.86</v>
      </c>
      <c r="K16" s="160">
        <f>AVERAGE(K10:K14)</f>
        <v>0.85348235034142483</v>
      </c>
    </row>
    <row r="17" spans="2:13" ht="14.25" customHeight="1" x14ac:dyDescent="0.3">
      <c r="F17" s="147" t="s">
        <v>571</v>
      </c>
      <c r="G17" s="158">
        <f>MEDIAN(G10:G14)</f>
        <v>0.25</v>
      </c>
      <c r="H17" s="157">
        <f>MEDIAN(H10:H14)</f>
        <v>1.0573757841916552E-2</v>
      </c>
      <c r="I17" s="157">
        <f>MEDIAN(I10:I14)</f>
        <v>1.0463123309768943E-2</v>
      </c>
      <c r="J17" s="160">
        <f>MEDIAN(J10:J14)</f>
        <v>0.85</v>
      </c>
      <c r="K17" s="160">
        <f>MEDIAN(K10:K14)</f>
        <v>0.84331226524166236</v>
      </c>
    </row>
    <row r="20" spans="2:13" ht="14.25" customHeight="1" x14ac:dyDescent="0.3">
      <c r="B20" s="292" t="s">
        <v>572</v>
      </c>
      <c r="C20" s="292"/>
      <c r="D20" s="292"/>
      <c r="E20" s="292"/>
      <c r="F20" s="292"/>
      <c r="G20" s="292" t="s">
        <v>573</v>
      </c>
      <c r="H20" s="292"/>
      <c r="I20" s="292"/>
      <c r="J20" s="292"/>
      <c r="K20" s="292"/>
      <c r="L20" s="292"/>
      <c r="M20" s="292"/>
    </row>
    <row r="22" spans="2:13" ht="14.25" customHeight="1" x14ac:dyDescent="0.3">
      <c r="B22" s="161" t="s">
        <v>574</v>
      </c>
      <c r="C22" s="127"/>
      <c r="D22" s="127"/>
      <c r="E22" s="162">
        <f>WACC!C15</f>
        <v>8.5210573593923047E-2</v>
      </c>
      <c r="G22" s="161" t="s">
        <v>575</v>
      </c>
      <c r="H22" s="127"/>
      <c r="I22" s="127"/>
      <c r="J22" s="127"/>
      <c r="K22" s="162">
        <f>WACC!C6</f>
        <v>6.8500000000000005E-2</v>
      </c>
    </row>
    <row r="23" spans="2:13" ht="14.25" customHeight="1" x14ac:dyDescent="0.3">
      <c r="B23" s="161" t="s">
        <v>486</v>
      </c>
      <c r="C23" s="127"/>
      <c r="D23" s="127"/>
      <c r="E23" s="158">
        <f>G17</f>
        <v>0.25</v>
      </c>
      <c r="G23" s="161" t="s">
        <v>576</v>
      </c>
      <c r="H23" s="127"/>
      <c r="I23" s="127"/>
      <c r="J23" s="127"/>
      <c r="K23" s="162">
        <f>WACC!C9</f>
        <v>7.4999999999999997E-2</v>
      </c>
    </row>
    <row r="24" spans="2:13" ht="14.25" customHeight="1" x14ac:dyDescent="0.3">
      <c r="B24" s="147" t="s">
        <v>577</v>
      </c>
      <c r="C24" s="127"/>
      <c r="D24" s="127"/>
      <c r="E24" s="163">
        <f>E22*(1-E23)</f>
        <v>6.3907930195442289E-2</v>
      </c>
      <c r="G24" s="161" t="s">
        <v>578</v>
      </c>
      <c r="H24" s="127"/>
      <c r="I24" s="127"/>
      <c r="J24" s="127"/>
      <c r="K24" s="160">
        <f>K33</f>
        <v>0.84988926433314271</v>
      </c>
    </row>
    <row r="25" spans="2:13" ht="14.25" customHeight="1" x14ac:dyDescent="0.3">
      <c r="G25" s="147" t="s">
        <v>573</v>
      </c>
      <c r="H25" s="127"/>
      <c r="I25" s="127"/>
      <c r="J25" s="127"/>
      <c r="K25" s="163">
        <f>K22+(K23*K24)</f>
        <v>0.13224169482498571</v>
      </c>
    </row>
    <row r="28" spans="2:13" ht="14.25" customHeight="1" x14ac:dyDescent="0.3">
      <c r="B28" s="292" t="s">
        <v>579</v>
      </c>
      <c r="C28" s="292"/>
      <c r="D28" s="292"/>
      <c r="E28" s="292"/>
      <c r="F28" s="292"/>
      <c r="G28" s="292" t="s">
        <v>578</v>
      </c>
      <c r="H28" s="292"/>
      <c r="I28" s="292"/>
      <c r="J28" s="292"/>
      <c r="K28" s="292"/>
      <c r="L28" s="292"/>
      <c r="M28" s="292"/>
    </row>
    <row r="30" spans="2:13" ht="14.25" customHeight="1" x14ac:dyDescent="0.3">
      <c r="D30" s="147" t="s">
        <v>580</v>
      </c>
      <c r="E30" s="147" t="s">
        <v>581</v>
      </c>
      <c r="G30" s="164" t="s">
        <v>582</v>
      </c>
      <c r="H30" s="165"/>
      <c r="I30" s="165"/>
      <c r="J30" s="165"/>
      <c r="K30" s="166">
        <f>K17</f>
        <v>0.84331226524166236</v>
      </c>
    </row>
    <row r="31" spans="2:13" ht="14.25" customHeight="1" x14ac:dyDescent="0.3">
      <c r="B31" s="161" t="s">
        <v>561</v>
      </c>
      <c r="C31" s="167">
        <f>WACC!C14</f>
        <v>2293.2600000000002</v>
      </c>
      <c r="D31" s="158">
        <f>C31/$C$33</f>
        <v>8.6282359270915838E-3</v>
      </c>
      <c r="E31" s="158">
        <f>I16</f>
        <v>1.0291657687604641E-2</v>
      </c>
      <c r="G31" s="164" t="s">
        <v>583</v>
      </c>
      <c r="H31" s="165"/>
      <c r="I31" s="165"/>
      <c r="J31" s="165"/>
      <c r="K31" s="168">
        <f>E35</f>
        <v>1.03986773149338E-2</v>
      </c>
    </row>
    <row r="32" spans="2:13" ht="14.25" customHeight="1" x14ac:dyDescent="0.3">
      <c r="B32" s="161" t="s">
        <v>584</v>
      </c>
      <c r="C32" s="167">
        <f>WACC!C24</f>
        <v>263492.24</v>
      </c>
      <c r="D32" s="158">
        <f>C32/$C$33</f>
        <v>0.99137176407290839</v>
      </c>
      <c r="E32" s="158">
        <f>E33-E31</f>
        <v>0.98970834231239535</v>
      </c>
      <c r="G32" s="164" t="s">
        <v>486</v>
      </c>
      <c r="H32" s="165"/>
      <c r="I32" s="165"/>
      <c r="J32" s="165"/>
      <c r="K32" s="114">
        <v>0.25</v>
      </c>
    </row>
    <row r="33" spans="2:13" ht="14.25" customHeight="1" x14ac:dyDescent="0.3">
      <c r="B33" s="161" t="s">
        <v>585</v>
      </c>
      <c r="C33" s="169">
        <f>SUM(C31:C32)</f>
        <v>265785.5</v>
      </c>
      <c r="D33" s="158">
        <f>C33/$C$33</f>
        <v>1</v>
      </c>
      <c r="E33" s="158">
        <f>D33</f>
        <v>1</v>
      </c>
      <c r="G33" s="170" t="s">
        <v>578</v>
      </c>
      <c r="H33" s="165"/>
      <c r="I33" s="165"/>
      <c r="J33" s="165"/>
      <c r="K33" s="171">
        <f>K30*(1+(1-K32)*K31)</f>
        <v>0.84988926433314271</v>
      </c>
    </row>
    <row r="35" spans="2:13" ht="14.25" customHeight="1" x14ac:dyDescent="0.3">
      <c r="B35" s="147" t="s">
        <v>586</v>
      </c>
      <c r="D35" s="172">
        <f>D31/D32</f>
        <v>8.7033303143955968E-3</v>
      </c>
      <c r="E35" s="172">
        <f>E31/E32</f>
        <v>1.03986773149338E-2</v>
      </c>
    </row>
    <row r="36" spans="2:13" ht="14.25" customHeight="1" x14ac:dyDescent="0.3">
      <c r="G36" s="292" t="s">
        <v>546</v>
      </c>
      <c r="H36" s="292"/>
      <c r="I36" s="292"/>
      <c r="J36" s="292"/>
      <c r="K36" s="292"/>
      <c r="L36" s="292"/>
      <c r="M36" s="292"/>
    </row>
    <row r="38" spans="2:13" ht="14.25" customHeight="1" x14ac:dyDescent="0.3">
      <c r="B38" s="173"/>
      <c r="G38" s="164" t="s">
        <v>573</v>
      </c>
      <c r="H38" s="165"/>
      <c r="I38" s="165"/>
      <c r="J38" s="165"/>
      <c r="K38" s="114">
        <f>K25</f>
        <v>0.13224169482498571</v>
      </c>
    </row>
    <row r="39" spans="2:13" ht="14.25" customHeight="1" x14ac:dyDescent="0.3">
      <c r="B39" s="173"/>
      <c r="G39" s="164" t="s">
        <v>587</v>
      </c>
      <c r="H39" s="165"/>
      <c r="I39" s="165"/>
      <c r="J39" s="165"/>
      <c r="K39" s="114">
        <f>E32</f>
        <v>0.98970834231239535</v>
      </c>
    </row>
    <row r="40" spans="2:13" ht="14.25" customHeight="1" x14ac:dyDescent="0.3">
      <c r="B40" s="173"/>
    </row>
    <row r="41" spans="2:13" ht="14.25" customHeight="1" x14ac:dyDescent="0.3">
      <c r="B41" s="173"/>
      <c r="G41" s="161" t="s">
        <v>572</v>
      </c>
      <c r="H41" s="127"/>
      <c r="I41" s="127"/>
      <c r="J41" s="127"/>
      <c r="K41" s="158">
        <f>E24</f>
        <v>6.3907930195442289E-2</v>
      </c>
    </row>
    <row r="42" spans="2:13" ht="14.25" customHeight="1" x14ac:dyDescent="0.3">
      <c r="G42" s="161" t="s">
        <v>588</v>
      </c>
      <c r="H42" s="127"/>
      <c r="I42" s="127"/>
      <c r="J42" s="127"/>
      <c r="K42" s="158">
        <f>E31</f>
        <v>1.0291657687604641E-2</v>
      </c>
    </row>
    <row r="44" spans="2:13" ht="14.25" customHeight="1" x14ac:dyDescent="0.3">
      <c r="G44" s="293" t="s">
        <v>544</v>
      </c>
      <c r="H44" s="293"/>
      <c r="I44" s="293"/>
      <c r="J44" s="293"/>
      <c r="K44" s="174">
        <f>(K38*K39)+(K41*K42)</f>
        <v>0.13153842711091313</v>
      </c>
    </row>
  </sheetData>
  <mergeCells count="7">
    <mergeCell ref="G36:M36"/>
    <mergeCell ref="G44:J44"/>
    <mergeCell ref="B2:M2"/>
    <mergeCell ref="B20:F20"/>
    <mergeCell ref="G20:M20"/>
    <mergeCell ref="B28:F28"/>
    <mergeCell ref="G28:M28"/>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Q19"/>
  <sheetViews>
    <sheetView showGridLines="0" zoomScale="62" zoomScaleNormal="57" workbookViewId="0">
      <selection activeCell="I17" sqref="I17"/>
    </sheetView>
  </sheetViews>
  <sheetFormatPr defaultColWidth="8.6328125" defaultRowHeight="14" x14ac:dyDescent="0.3"/>
  <cols>
    <col min="1" max="1" width="2" style="124" customWidth="1"/>
    <col min="2" max="2" width="22" style="124" customWidth="1"/>
    <col min="3" max="18" width="13" style="124" customWidth="1"/>
    <col min="19" max="16384" width="8.6328125" style="124"/>
  </cols>
  <sheetData>
    <row r="1" spans="2:17" ht="38.25" customHeight="1" x14ac:dyDescent="0.3">
      <c r="B1" s="295" t="s">
        <v>589</v>
      </c>
      <c r="C1" s="295"/>
      <c r="D1" s="295"/>
      <c r="E1" s="295"/>
      <c r="F1" s="295"/>
      <c r="G1" s="295"/>
      <c r="H1" s="295"/>
      <c r="I1" s="295"/>
      <c r="J1" s="295"/>
      <c r="K1" s="295"/>
      <c r="L1" s="295"/>
      <c r="M1" s="295"/>
      <c r="N1" s="295"/>
      <c r="O1" s="295"/>
      <c r="P1" s="295"/>
      <c r="Q1" s="295"/>
    </row>
    <row r="3" spans="2:17" ht="15" customHeight="1" x14ac:dyDescent="0.3">
      <c r="B3" s="296" t="s">
        <v>590</v>
      </c>
      <c r="C3" s="296"/>
      <c r="D3" s="296"/>
    </row>
    <row r="4" spans="2:17" ht="15" customHeight="1" x14ac:dyDescent="0.3">
      <c r="B4" s="180" t="s">
        <v>591</v>
      </c>
      <c r="C4" s="346" t="s">
        <v>592</v>
      </c>
      <c r="D4" s="346"/>
      <c r="E4" s="346"/>
      <c r="F4" s="346"/>
      <c r="G4" s="346"/>
      <c r="H4" s="346"/>
      <c r="I4" s="346"/>
      <c r="J4" s="346" t="s">
        <v>593</v>
      </c>
      <c r="K4" s="346"/>
      <c r="L4" s="346"/>
      <c r="M4" s="346"/>
      <c r="N4" s="346"/>
      <c r="O4" s="346" t="s">
        <v>594</v>
      </c>
      <c r="P4" s="346"/>
      <c r="Q4" s="346"/>
    </row>
    <row r="5" spans="2:17" ht="23.25" customHeight="1" x14ac:dyDescent="0.3">
      <c r="B5" s="347"/>
      <c r="C5" s="180" t="s">
        <v>595</v>
      </c>
      <c r="D5" s="180" t="s">
        <v>596</v>
      </c>
      <c r="E5" s="180" t="s">
        <v>597</v>
      </c>
      <c r="F5" s="180" t="s">
        <v>598</v>
      </c>
      <c r="G5" s="180" t="s">
        <v>599</v>
      </c>
      <c r="H5" s="180" t="s">
        <v>600</v>
      </c>
      <c r="I5" s="180"/>
      <c r="J5" s="180" t="s">
        <v>601</v>
      </c>
      <c r="K5" s="180" t="s">
        <v>602</v>
      </c>
      <c r="L5" s="180" t="s">
        <v>603</v>
      </c>
      <c r="M5" s="180" t="s">
        <v>604</v>
      </c>
      <c r="N5" s="180"/>
      <c r="O5" s="180" t="s">
        <v>605</v>
      </c>
      <c r="P5" s="180" t="s">
        <v>606</v>
      </c>
      <c r="Q5" s="180" t="s">
        <v>607</v>
      </c>
    </row>
    <row r="6" spans="2:17" ht="18" customHeight="1" x14ac:dyDescent="0.3">
      <c r="B6" s="344" t="s">
        <v>275</v>
      </c>
      <c r="C6" s="345">
        <f>'Balance Sheet'!C9/WACC!C21</f>
        <v>95.92</v>
      </c>
      <c r="D6" s="345">
        <f>WACC!C23</f>
        <v>2747</v>
      </c>
      <c r="E6" s="345">
        <f>C6*D6</f>
        <v>263492.24</v>
      </c>
      <c r="F6" s="345">
        <f>'Balance Sheet'!C16+'Balance Sheet'!C22</f>
        <v>2293.2600000000002</v>
      </c>
      <c r="G6" s="345">
        <f>'Balance Sheet'!C43</f>
        <v>1073.68</v>
      </c>
      <c r="H6" s="345">
        <f>E6+F6-G6</f>
        <v>264711.82</v>
      </c>
      <c r="J6" s="345">
        <f>'Profit &amp; Loss'!C11</f>
        <v>35583.54</v>
      </c>
      <c r="K6" s="345">
        <f>'Profit &amp; Loss'!C23+'Profit &amp; Loss'!C20+'Profit &amp; Loss'!C19</f>
        <v>7419.7199999999993</v>
      </c>
      <c r="L6" s="345">
        <f>'Profit &amp; Loss'!C31</f>
        <v>4229.1000000000004</v>
      </c>
      <c r="M6" s="345">
        <f>'Profit &amp; Loss'!C40</f>
        <v>45</v>
      </c>
      <c r="O6" s="348">
        <f>H6/J6</f>
        <v>7.4391648498153922</v>
      </c>
      <c r="P6" s="348">
        <f>H6/K6</f>
        <v>35.67679373345625</v>
      </c>
      <c r="Q6" s="348">
        <f>D6/M6</f>
        <v>61.044444444444444</v>
      </c>
    </row>
    <row r="7" spans="2:17" ht="15.75" customHeight="1" x14ac:dyDescent="0.3">
      <c r="B7" s="164" t="s">
        <v>566</v>
      </c>
      <c r="C7" s="175">
        <v>116.6</v>
      </c>
      <c r="D7" s="175">
        <v>515.15</v>
      </c>
      <c r="E7" s="176">
        <f>C7*D7</f>
        <v>60066.49</v>
      </c>
      <c r="F7" s="175">
        <v>635.13</v>
      </c>
      <c r="G7" s="175">
        <v>210</v>
      </c>
      <c r="H7" s="176">
        <f>E7+F7-G7</f>
        <v>60491.619999999995</v>
      </c>
      <c r="J7" s="175">
        <v>9200</v>
      </c>
      <c r="K7" s="175">
        <v>1105</v>
      </c>
      <c r="L7" s="175">
        <v>632</v>
      </c>
      <c r="M7" s="175">
        <v>9.66</v>
      </c>
      <c r="O7" s="177">
        <f>H7/J7</f>
        <v>6.575176086956521</v>
      </c>
      <c r="P7" s="177">
        <f>H7/K7</f>
        <v>54.743547511312215</v>
      </c>
      <c r="Q7" s="177">
        <f>D7/M7</f>
        <v>53.328157349896479</v>
      </c>
    </row>
    <row r="8" spans="2:17" ht="15.75" customHeight="1" x14ac:dyDescent="0.3">
      <c r="B8" s="164" t="s">
        <v>567</v>
      </c>
      <c r="C8" s="175">
        <v>80.87</v>
      </c>
      <c r="D8" s="175">
        <v>216.5</v>
      </c>
      <c r="E8" s="176">
        <f>C8*D8</f>
        <v>17508.355</v>
      </c>
      <c r="F8" s="175">
        <v>302.73</v>
      </c>
      <c r="G8" s="175">
        <v>180</v>
      </c>
      <c r="H8" s="176">
        <f>E8+F8-G8</f>
        <v>17631.084999999999</v>
      </c>
      <c r="J8" s="175">
        <v>7800</v>
      </c>
      <c r="K8" s="175">
        <v>860</v>
      </c>
      <c r="L8" s="175">
        <v>599</v>
      </c>
      <c r="M8" s="175">
        <v>7.29</v>
      </c>
      <c r="O8" s="177">
        <f>H8/J8</f>
        <v>2.2603955128205127</v>
      </c>
      <c r="P8" s="177">
        <f>H8/K8</f>
        <v>20.501261627906977</v>
      </c>
      <c r="Q8" s="177">
        <f>D8/M8</f>
        <v>29.698216735253773</v>
      </c>
    </row>
    <row r="9" spans="2:17" ht="15.75" customHeight="1" x14ac:dyDescent="0.3">
      <c r="B9" s="164" t="s">
        <v>568</v>
      </c>
      <c r="C9" s="175">
        <v>4.5599999999999996</v>
      </c>
      <c r="D9" s="175">
        <v>3168.4</v>
      </c>
      <c r="E9" s="176">
        <f>C9*D9</f>
        <v>14447.903999999999</v>
      </c>
      <c r="F9" s="175">
        <v>79.099999999999994</v>
      </c>
      <c r="G9" s="175">
        <v>95</v>
      </c>
      <c r="H9" s="176">
        <f>E9+F9-G9</f>
        <v>14432.003999999999</v>
      </c>
      <c r="J9" s="175">
        <v>4200</v>
      </c>
      <c r="K9" s="175">
        <v>462</v>
      </c>
      <c r="L9" s="175">
        <v>195</v>
      </c>
      <c r="M9" s="175">
        <v>433.42</v>
      </c>
      <c r="O9" s="177">
        <f>H9/J9</f>
        <v>3.4361914285714281</v>
      </c>
      <c r="P9" s="177">
        <f>H9/K9</f>
        <v>31.238103896103894</v>
      </c>
      <c r="Q9" s="177">
        <f>D9/M9</f>
        <v>7.3102302616399797</v>
      </c>
    </row>
    <row r="10" spans="2:17" ht="15.75" customHeight="1" x14ac:dyDescent="0.3">
      <c r="B10" s="164" t="s">
        <v>569</v>
      </c>
      <c r="C10" s="175">
        <v>4.7699999999999996</v>
      </c>
      <c r="D10" s="175">
        <v>995.2</v>
      </c>
      <c r="E10" s="176">
        <f>C10*D10</f>
        <v>4747.1039999999994</v>
      </c>
      <c r="F10" s="175">
        <v>18.37</v>
      </c>
      <c r="G10" s="175">
        <v>45</v>
      </c>
      <c r="H10" s="176">
        <f>E10+F10-G10</f>
        <v>4720.4739999999993</v>
      </c>
      <c r="J10" s="175">
        <v>1500</v>
      </c>
      <c r="K10" s="175">
        <v>165</v>
      </c>
      <c r="L10" s="175">
        <v>144</v>
      </c>
      <c r="M10" s="175">
        <v>30.5</v>
      </c>
      <c r="O10" s="177">
        <f>H10/J10</f>
        <v>3.1469826666666663</v>
      </c>
      <c r="P10" s="177">
        <f>H10/K10</f>
        <v>28.608933333333329</v>
      </c>
      <c r="Q10" s="177">
        <f>D10/M10</f>
        <v>32.629508196721311</v>
      </c>
    </row>
    <row r="12" spans="2:17" ht="15" customHeight="1" x14ac:dyDescent="0.3">
      <c r="B12" s="346" t="s">
        <v>608</v>
      </c>
      <c r="C12" s="346"/>
      <c r="D12" s="346"/>
      <c r="M12" s="178" t="s">
        <v>570</v>
      </c>
      <c r="O12" s="179">
        <f>AVERAGE(O6:O10)</f>
        <v>4.5715821089661031</v>
      </c>
      <c r="P12" s="179">
        <f>AVERAGE(P6:P10)</f>
        <v>34.153728020422534</v>
      </c>
      <c r="Q12" s="179">
        <f>AVERAGE(Q6:Q10)</f>
        <v>36.802111397591197</v>
      </c>
    </row>
    <row r="13" spans="2:17" ht="15" customHeight="1" x14ac:dyDescent="0.3">
      <c r="E13" s="180" t="s">
        <v>605</v>
      </c>
      <c r="F13" s="180" t="s">
        <v>606</v>
      </c>
      <c r="G13" s="180" t="s">
        <v>609</v>
      </c>
      <c r="M13" s="178" t="s">
        <v>571</v>
      </c>
      <c r="O13" s="179">
        <f>MEDIAN(O6:O10)</f>
        <v>3.4361914285714281</v>
      </c>
      <c r="P13" s="179">
        <f>MEDIAN(P6:P10)</f>
        <v>31.238103896103894</v>
      </c>
      <c r="Q13" s="179">
        <f>MEDIAN(Q6:Q10)</f>
        <v>32.629508196721311</v>
      </c>
    </row>
    <row r="14" spans="2:17" ht="15" customHeight="1" x14ac:dyDescent="0.3">
      <c r="B14" s="164" t="s">
        <v>610</v>
      </c>
      <c r="C14" s="127"/>
      <c r="D14" s="127"/>
      <c r="E14" s="176">
        <f>O13*J6</f>
        <v>122271.85514622855</v>
      </c>
      <c r="F14" s="176">
        <f>P13*K6</f>
        <v>231777.98423999996</v>
      </c>
      <c r="G14" s="176">
        <f>Q13*M6*C6</f>
        <v>140842.00918032788</v>
      </c>
    </row>
    <row r="15" spans="2:17" ht="15" customHeight="1" x14ac:dyDescent="0.3">
      <c r="B15" s="164" t="s">
        <v>429</v>
      </c>
      <c r="C15" s="127"/>
      <c r="D15" s="127"/>
      <c r="E15" s="181">
        <f>'Balance Sheet'!C16+'Balance Sheet'!C22-'Balance Sheet'!C43</f>
        <v>1219.5800000000002</v>
      </c>
      <c r="F15" s="181">
        <f>'Balance Sheet'!C16+'Balance Sheet'!C22-'Balance Sheet'!C43</f>
        <v>1219.5800000000002</v>
      </c>
      <c r="G15" s="181">
        <f>'Balance Sheet'!C16+'Balance Sheet'!C22-'Balance Sheet'!C43</f>
        <v>1219.5800000000002</v>
      </c>
      <c r="M15" s="178" t="s">
        <v>611</v>
      </c>
      <c r="O15" s="179">
        <f>MAX(O6:O10)</f>
        <v>7.4391648498153922</v>
      </c>
      <c r="P15" s="179">
        <f>MAX(P6:P10)</f>
        <v>54.743547511312215</v>
      </c>
      <c r="Q15" s="179">
        <f>MAX(Q6:Q10)</f>
        <v>61.044444444444444</v>
      </c>
    </row>
    <row r="16" spans="2:17" ht="15" customHeight="1" x14ac:dyDescent="0.3">
      <c r="B16" s="164" t="s">
        <v>612</v>
      </c>
      <c r="C16" s="127"/>
      <c r="D16" s="127"/>
      <c r="E16" s="176">
        <f>E14-E15</f>
        <v>121052.27514622855</v>
      </c>
      <c r="F16" s="176">
        <f>F14-F15</f>
        <v>230558.40423999997</v>
      </c>
      <c r="G16" s="176">
        <f>G14-G15</f>
        <v>139622.42918032789</v>
      </c>
      <c r="M16" s="178" t="s">
        <v>613</v>
      </c>
      <c r="O16" s="179">
        <f>PERCENTILE(O6:O10,0.75)</f>
        <v>6.575176086956521</v>
      </c>
      <c r="P16" s="179">
        <f>PERCENTILE(P6:P10,0.75)</f>
        <v>35.67679373345625</v>
      </c>
      <c r="Q16" s="179">
        <f>PERCENTILE(Q6:Q10,0.75)</f>
        <v>53.328157349896479</v>
      </c>
    </row>
    <row r="17" spans="2:17" ht="15" customHeight="1" x14ac:dyDescent="0.3">
      <c r="B17" s="164" t="s">
        <v>614</v>
      </c>
      <c r="C17" s="127"/>
      <c r="D17" s="127"/>
      <c r="E17" s="181">
        <f>'Balance Sheet'!C9/WACC!C21</f>
        <v>95.92</v>
      </c>
      <c r="F17" s="181">
        <f>'Balance Sheet'!C9/WACC!C21</f>
        <v>95.92</v>
      </c>
      <c r="G17" s="181">
        <f>'Balance Sheet'!C9/WACC!C21</f>
        <v>95.92</v>
      </c>
    </row>
    <row r="18" spans="2:17" ht="15" customHeight="1" x14ac:dyDescent="0.3">
      <c r="B18" s="170" t="s">
        <v>615</v>
      </c>
      <c r="C18" s="127"/>
      <c r="D18" s="127"/>
      <c r="E18" s="176">
        <f>E16/E17</f>
        <v>1262.0128768372451</v>
      </c>
      <c r="F18" s="176">
        <f>F16/F17</f>
        <v>2403.6530884070057</v>
      </c>
      <c r="G18" s="176">
        <f>G16/G17</f>
        <v>1455.6133150576302</v>
      </c>
      <c r="M18" s="178" t="s">
        <v>616</v>
      </c>
      <c r="O18" s="179">
        <f>PERCENTILE(O6:O10,0.25)</f>
        <v>3.1469826666666663</v>
      </c>
      <c r="P18" s="179">
        <f>PERCENTILE(P6:P10,0.25)</f>
        <v>28.608933333333329</v>
      </c>
      <c r="Q18" s="179">
        <f>PERCENTILE(Q6:Q10,0.25)</f>
        <v>29.698216735253773</v>
      </c>
    </row>
    <row r="19" spans="2:17" ht="15" customHeight="1" x14ac:dyDescent="0.3">
      <c r="M19" s="178" t="s">
        <v>617</v>
      </c>
      <c r="O19" s="179">
        <f>MIN(O6:O10)</f>
        <v>2.2603955128205127</v>
      </c>
      <c r="P19" s="179">
        <f>MIN(P6:P10)</f>
        <v>20.501261627906977</v>
      </c>
      <c r="Q19" s="179">
        <f>MIN(Q6:Q10)</f>
        <v>7.3102302616399797</v>
      </c>
    </row>
  </sheetData>
  <mergeCells count="6">
    <mergeCell ref="B12:D12"/>
    <mergeCell ref="B1:Q1"/>
    <mergeCell ref="B3:D3"/>
    <mergeCell ref="C4:I4"/>
    <mergeCell ref="J4:N4"/>
    <mergeCell ref="O4:Q4"/>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M20"/>
  <sheetViews>
    <sheetView showGridLines="0" zoomScale="54" zoomScaleNormal="74" workbookViewId="0">
      <selection activeCell="J24" sqref="J24"/>
    </sheetView>
  </sheetViews>
  <sheetFormatPr defaultColWidth="8.6328125" defaultRowHeight="14" x14ac:dyDescent="0.3"/>
  <cols>
    <col min="1" max="1" width="5.08984375" style="124" customWidth="1"/>
    <col min="2" max="2" width="23.54296875" style="124" bestFit="1" customWidth="1"/>
    <col min="3" max="3" width="18.7265625" style="124" bestFit="1" customWidth="1"/>
    <col min="4" max="4" width="17.6328125" style="124" bestFit="1" customWidth="1"/>
    <col min="5" max="5" width="19.7265625" style="124" bestFit="1" customWidth="1"/>
    <col min="6" max="6" width="17" style="124" bestFit="1" customWidth="1"/>
    <col min="7" max="7" width="8.6328125" style="124"/>
    <col min="8" max="8" width="27.7265625" style="124" bestFit="1" customWidth="1"/>
    <col min="9" max="9" width="16.1796875" style="124" bestFit="1" customWidth="1"/>
    <col min="10" max="10" width="17.6328125" style="124" bestFit="1" customWidth="1"/>
    <col min="11" max="11" width="19.7265625" style="124" bestFit="1" customWidth="1"/>
    <col min="12" max="12" width="3.6328125" style="124" customWidth="1"/>
    <col min="13" max="16384" width="8.6328125" style="124"/>
  </cols>
  <sheetData>
    <row r="1" spans="2:13" ht="37.5" customHeight="1" x14ac:dyDescent="0.3">
      <c r="B1" s="349" t="s">
        <v>618</v>
      </c>
      <c r="C1" s="350"/>
      <c r="D1" s="350"/>
      <c r="E1" s="350"/>
      <c r="F1" s="350"/>
      <c r="G1" s="350"/>
      <c r="H1" s="350"/>
      <c r="I1" s="350"/>
      <c r="J1" s="350"/>
      <c r="K1" s="351"/>
    </row>
    <row r="2" spans="2:13" ht="13.5" customHeight="1" x14ac:dyDescent="0.3">
      <c r="B2" s="352"/>
      <c r="C2" s="353"/>
      <c r="D2" s="353"/>
      <c r="E2" s="353"/>
      <c r="F2" s="353"/>
      <c r="G2" s="353"/>
      <c r="H2" s="353"/>
      <c r="I2" s="353"/>
      <c r="J2" s="353"/>
      <c r="K2" s="354"/>
    </row>
    <row r="3" spans="2:13" ht="24.5" customHeight="1" x14ac:dyDescent="0.3">
      <c r="B3" s="305" t="s">
        <v>619</v>
      </c>
      <c r="C3" s="306" t="s">
        <v>620</v>
      </c>
      <c r="D3" s="306"/>
      <c r="E3" s="306"/>
      <c r="F3" s="306"/>
      <c r="G3" s="306"/>
      <c r="H3" s="306"/>
      <c r="I3" s="306"/>
      <c r="J3" s="306"/>
      <c r="K3" s="306"/>
      <c r="M3" s="182" t="s">
        <v>621</v>
      </c>
    </row>
    <row r="4" spans="2:13" ht="48" customHeight="1" x14ac:dyDescent="0.3">
      <c r="B4" s="249" t="s">
        <v>61</v>
      </c>
      <c r="C4" s="297" t="s">
        <v>622</v>
      </c>
      <c r="D4" s="297"/>
      <c r="E4" s="297"/>
      <c r="F4" s="297"/>
      <c r="G4" s="297"/>
      <c r="H4" s="297"/>
      <c r="I4" s="297"/>
      <c r="J4" s="297"/>
      <c r="K4" s="298"/>
    </row>
    <row r="5" spans="2:13" ht="39.75" customHeight="1" x14ac:dyDescent="0.3">
      <c r="B5" s="249" t="s">
        <v>623</v>
      </c>
      <c r="C5" s="297" t="s">
        <v>624</v>
      </c>
      <c r="D5" s="297"/>
      <c r="E5" s="297"/>
      <c r="F5" s="297"/>
      <c r="G5" s="297"/>
      <c r="H5" s="297"/>
      <c r="I5" s="297"/>
      <c r="J5" s="297"/>
      <c r="K5" s="298"/>
    </row>
    <row r="6" spans="2:13" ht="37.5" customHeight="1" x14ac:dyDescent="0.3">
      <c r="B6" s="249" t="s">
        <v>625</v>
      </c>
      <c r="C6" s="297" t="s">
        <v>626</v>
      </c>
      <c r="D6" s="297"/>
      <c r="E6" s="297"/>
      <c r="F6" s="297"/>
      <c r="G6" s="297"/>
      <c r="H6" s="297"/>
      <c r="I6" s="297"/>
      <c r="J6" s="297"/>
      <c r="K6" s="298"/>
    </row>
    <row r="7" spans="2:13" ht="44.25" customHeight="1" x14ac:dyDescent="0.3">
      <c r="B7" s="249" t="s">
        <v>627</v>
      </c>
      <c r="C7" s="297" t="s">
        <v>628</v>
      </c>
      <c r="D7" s="297"/>
      <c r="E7" s="297"/>
      <c r="F7" s="297"/>
      <c r="G7" s="297"/>
      <c r="H7" s="297"/>
      <c r="I7" s="297"/>
      <c r="J7" s="297"/>
      <c r="K7" s="298"/>
    </row>
    <row r="8" spans="2:13" ht="13.5" customHeight="1" x14ac:dyDescent="0.3"/>
    <row r="9" spans="2:13" ht="30.75" customHeight="1" x14ac:dyDescent="0.3">
      <c r="B9" s="303" t="s">
        <v>629</v>
      </c>
      <c r="C9" s="304" t="s">
        <v>275</v>
      </c>
      <c r="D9" s="304" t="s">
        <v>566</v>
      </c>
      <c r="E9" s="304" t="s">
        <v>567</v>
      </c>
      <c r="F9" s="304" t="s">
        <v>569</v>
      </c>
      <c r="H9" s="303" t="s">
        <v>630</v>
      </c>
      <c r="I9" s="303" t="s">
        <v>275</v>
      </c>
      <c r="J9" s="303" t="s">
        <v>566</v>
      </c>
      <c r="K9" s="303" t="s">
        <v>567</v>
      </c>
    </row>
    <row r="10" spans="2:13" ht="13.5" customHeight="1" x14ac:dyDescent="0.3">
      <c r="B10" s="231" t="s">
        <v>631</v>
      </c>
      <c r="C10" s="232">
        <v>2450</v>
      </c>
      <c r="D10" s="232">
        <v>555</v>
      </c>
      <c r="E10" s="232">
        <v>258</v>
      </c>
      <c r="F10" s="233">
        <v>995</v>
      </c>
      <c r="H10" s="231" t="s">
        <v>632</v>
      </c>
      <c r="I10" s="243">
        <v>35</v>
      </c>
      <c r="J10" s="243">
        <v>28</v>
      </c>
      <c r="K10" s="244">
        <v>32</v>
      </c>
    </row>
    <row r="11" spans="2:13" ht="13.5" customHeight="1" x14ac:dyDescent="0.3">
      <c r="B11" s="234" t="s">
        <v>633</v>
      </c>
      <c r="C11" s="235">
        <v>33906</v>
      </c>
      <c r="D11" s="235">
        <v>11545</v>
      </c>
      <c r="E11" s="235">
        <v>7823</v>
      </c>
      <c r="F11" s="236">
        <v>1620</v>
      </c>
      <c r="H11" s="234" t="s">
        <v>634</v>
      </c>
      <c r="I11" s="245">
        <v>55</v>
      </c>
      <c r="J11" s="245">
        <v>45</v>
      </c>
      <c r="K11" s="246">
        <v>58</v>
      </c>
    </row>
    <row r="12" spans="2:13" ht="13.5" customHeight="1" x14ac:dyDescent="0.3">
      <c r="B12" s="234" t="s">
        <v>635</v>
      </c>
      <c r="C12" s="235">
        <v>3569</v>
      </c>
      <c r="D12" s="235">
        <v>1180</v>
      </c>
      <c r="E12" s="235">
        <v>1109</v>
      </c>
      <c r="F12" s="236">
        <v>86.4</v>
      </c>
      <c r="H12" s="234" t="s">
        <v>636</v>
      </c>
      <c r="I12" s="245">
        <v>78</v>
      </c>
      <c r="J12" s="245">
        <v>65</v>
      </c>
      <c r="K12" s="246">
        <v>72</v>
      </c>
    </row>
    <row r="13" spans="2:13" ht="28.5" customHeight="1" x14ac:dyDescent="0.3">
      <c r="B13" s="234" t="s">
        <v>598</v>
      </c>
      <c r="C13" s="235">
        <v>1125</v>
      </c>
      <c r="D13" s="235">
        <v>300</v>
      </c>
      <c r="E13" s="235">
        <v>100</v>
      </c>
      <c r="F13" s="236">
        <v>18.37</v>
      </c>
      <c r="H13" s="234" t="s">
        <v>637</v>
      </c>
      <c r="I13" s="245">
        <v>12</v>
      </c>
      <c r="J13" s="245">
        <v>8</v>
      </c>
      <c r="K13" s="246">
        <v>18</v>
      </c>
    </row>
    <row r="14" spans="2:13" ht="13.5" customHeight="1" x14ac:dyDescent="0.3">
      <c r="B14" s="234" t="s">
        <v>599</v>
      </c>
      <c r="C14" s="235">
        <v>1200</v>
      </c>
      <c r="D14" s="235">
        <v>852</v>
      </c>
      <c r="E14" s="235">
        <v>800</v>
      </c>
      <c r="F14" s="236">
        <v>55</v>
      </c>
      <c r="H14" s="234" t="s">
        <v>638</v>
      </c>
      <c r="I14" s="245">
        <v>15</v>
      </c>
      <c r="J14" s="245">
        <v>12</v>
      </c>
      <c r="K14" s="246">
        <v>22</v>
      </c>
    </row>
    <row r="15" spans="2:13" ht="13.5" customHeight="1" x14ac:dyDescent="0.3">
      <c r="B15" s="234" t="s">
        <v>639</v>
      </c>
      <c r="C15" s="235">
        <v>0.17100000000000001</v>
      </c>
      <c r="D15" s="235">
        <v>0.158</v>
      </c>
      <c r="E15" s="235">
        <v>0.13800000000000001</v>
      </c>
      <c r="F15" s="236">
        <v>0.13600000000000001</v>
      </c>
      <c r="H15" s="239" t="s">
        <v>640</v>
      </c>
      <c r="I15" s="247">
        <v>0.27200000000000002</v>
      </c>
      <c r="J15" s="247">
        <v>0.251</v>
      </c>
      <c r="K15" s="248">
        <v>0.23400000000000001</v>
      </c>
    </row>
    <row r="16" spans="2:13" ht="25.5" customHeight="1" x14ac:dyDescent="0.3">
      <c r="B16" s="234" t="s">
        <v>607</v>
      </c>
      <c r="C16" s="235" t="s">
        <v>641</v>
      </c>
      <c r="D16" s="235">
        <v>58</v>
      </c>
      <c r="E16" s="235">
        <v>31.15</v>
      </c>
      <c r="F16" s="236">
        <v>54</v>
      </c>
    </row>
    <row r="17" spans="2:6" ht="13.5" customHeight="1" x14ac:dyDescent="0.3">
      <c r="B17" s="234" t="s">
        <v>642</v>
      </c>
      <c r="C17" s="235">
        <v>0.27200000000000002</v>
      </c>
      <c r="D17" s="235">
        <v>0.251</v>
      </c>
      <c r="E17" s="235">
        <v>0.23400000000000001</v>
      </c>
      <c r="F17" s="236">
        <v>0.192</v>
      </c>
    </row>
    <row r="18" spans="2:6" ht="13.5" customHeight="1" x14ac:dyDescent="0.3">
      <c r="B18" s="234" t="s">
        <v>643</v>
      </c>
      <c r="C18" s="235" t="s">
        <v>644</v>
      </c>
      <c r="D18" s="237">
        <v>0.22</v>
      </c>
      <c r="E18" s="237">
        <v>0.17299999999999999</v>
      </c>
      <c r="F18" s="238">
        <v>0.151</v>
      </c>
    </row>
    <row r="19" spans="2:6" ht="13.5" customHeight="1" x14ac:dyDescent="0.3">
      <c r="B19" s="234" t="s">
        <v>606</v>
      </c>
      <c r="C19" s="235" t="s">
        <v>645</v>
      </c>
      <c r="D19" s="237">
        <v>34.86</v>
      </c>
      <c r="E19" s="237">
        <v>22</v>
      </c>
      <c r="F19" s="238">
        <v>28.5</v>
      </c>
    </row>
    <row r="20" spans="2:6" ht="13.5" customHeight="1" x14ac:dyDescent="0.3">
      <c r="B20" s="239" t="s">
        <v>604</v>
      </c>
      <c r="C20" s="240" t="s">
        <v>644</v>
      </c>
      <c r="D20" s="241">
        <v>12.3</v>
      </c>
      <c r="E20" s="241">
        <v>8.4</v>
      </c>
      <c r="F20" s="242">
        <v>18.100000000000001</v>
      </c>
    </row>
  </sheetData>
  <mergeCells count="6">
    <mergeCell ref="C7:K7"/>
    <mergeCell ref="B1:K2"/>
    <mergeCell ref="C3:K3"/>
    <mergeCell ref="C4:K4"/>
    <mergeCell ref="C5:K5"/>
    <mergeCell ref="C6:K6"/>
  </mergeCells>
  <pageMargins left="0.7" right="0.7" top="0.75" bottom="0.75" header="0.511811023622047" footer="0.511811023622047"/>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W26"/>
  <sheetViews>
    <sheetView showGridLines="0" zoomScale="69" zoomScaleNormal="69" workbookViewId="0">
      <selection activeCell="D22" sqref="D22"/>
    </sheetView>
  </sheetViews>
  <sheetFormatPr defaultColWidth="8.6328125" defaultRowHeight="14.5" x14ac:dyDescent="0.35"/>
  <cols>
    <col min="1" max="1" width="4.90625" customWidth="1"/>
    <col min="2" max="2" width="24.1796875" customWidth="1"/>
    <col min="3" max="3" width="14" customWidth="1"/>
    <col min="4" max="13" width="11" customWidth="1"/>
    <col min="14" max="14" width="22" customWidth="1"/>
    <col min="15" max="23" width="14" customWidth="1"/>
  </cols>
  <sheetData>
    <row r="1" spans="2:23" ht="25.5" customHeight="1" x14ac:dyDescent="0.35">
      <c r="B1" s="299" t="s">
        <v>646</v>
      </c>
      <c r="C1" s="299"/>
      <c r="D1" s="299"/>
      <c r="E1" s="299"/>
      <c r="F1" s="299"/>
      <c r="G1" s="299"/>
      <c r="H1" s="299"/>
      <c r="I1" s="299"/>
      <c r="J1" s="299"/>
      <c r="K1" s="299"/>
      <c r="L1" s="299"/>
      <c r="M1" s="299"/>
    </row>
    <row r="4" spans="2:23" ht="18" customHeight="1" x14ac:dyDescent="0.35">
      <c r="B4" s="183" t="s">
        <v>647</v>
      </c>
      <c r="C4" s="124"/>
      <c r="D4" s="124"/>
      <c r="E4" s="124"/>
      <c r="F4" s="124"/>
      <c r="G4" s="124"/>
      <c r="H4" s="124"/>
      <c r="I4" s="124"/>
      <c r="J4" s="124"/>
      <c r="K4" s="124"/>
      <c r="L4" s="124"/>
      <c r="M4" s="124"/>
      <c r="N4" s="124"/>
      <c r="O4" s="124"/>
      <c r="P4" s="124"/>
      <c r="Q4" s="124"/>
      <c r="R4" s="124"/>
      <c r="S4" s="124"/>
      <c r="T4" s="124"/>
      <c r="U4" s="124"/>
      <c r="V4" s="124"/>
      <c r="W4" s="124"/>
    </row>
    <row r="5" spans="2:23" x14ac:dyDescent="0.35">
      <c r="B5" s="184" t="s">
        <v>648</v>
      </c>
      <c r="C5" s="184" t="s">
        <v>649</v>
      </c>
      <c r="D5" s="184" t="s">
        <v>650</v>
      </c>
      <c r="E5" s="184" t="s">
        <v>651</v>
      </c>
      <c r="F5" s="184" t="s">
        <v>652</v>
      </c>
      <c r="G5" s="184" t="s">
        <v>653</v>
      </c>
      <c r="H5" s="184" t="s">
        <v>654</v>
      </c>
      <c r="I5" s="184" t="s">
        <v>655</v>
      </c>
      <c r="J5" s="184" t="s">
        <v>656</v>
      </c>
      <c r="K5" s="184" t="s">
        <v>657</v>
      </c>
      <c r="L5" s="184" t="s">
        <v>658</v>
      </c>
      <c r="M5" s="185" t="s">
        <v>659</v>
      </c>
      <c r="N5" s="184" t="s">
        <v>660</v>
      </c>
      <c r="O5" s="186">
        <f>Assumption!I5</f>
        <v>3.9330543762734815E-2</v>
      </c>
      <c r="P5" s="124"/>
      <c r="Q5" s="124"/>
      <c r="R5" s="124"/>
      <c r="S5" s="124"/>
      <c r="T5" s="124"/>
      <c r="U5" s="124"/>
      <c r="V5" s="124"/>
      <c r="W5" s="124"/>
    </row>
    <row r="6" spans="2:23" x14ac:dyDescent="0.35">
      <c r="B6" s="98" t="s">
        <v>661</v>
      </c>
      <c r="C6" s="187">
        <f>'Profit &amp; Loss'!C11</f>
        <v>35583.54</v>
      </c>
      <c r="D6" s="188">
        <f t="shared" ref="D6:M6" si="0">C6*(1+D7)</f>
        <v>36983.059977203033</v>
      </c>
      <c r="E6" s="188">
        <f t="shared" si="0"/>
        <v>38534.550040056369</v>
      </c>
      <c r="F6" s="188">
        <f t="shared" si="0"/>
        <v>40252.119628910026</v>
      </c>
      <c r="G6" s="188">
        <f t="shared" si="0"/>
        <v>42151.73891321721</v>
      </c>
      <c r="H6" s="188">
        <f t="shared" si="0"/>
        <v>44251.479395230061</v>
      </c>
      <c r="I6" s="188">
        <f t="shared" si="0"/>
        <v>46571.79151291876</v>
      </c>
      <c r="J6" s="188">
        <f t="shared" si="0"/>
        <v>49135.825062609045</v>
      </c>
      <c r="K6" s="188">
        <f t="shared" si="0"/>
        <v>51969.79927631787</v>
      </c>
      <c r="L6" s="188">
        <f t="shared" si="0"/>
        <v>55103.430586458395</v>
      </c>
      <c r="M6" s="189">
        <f t="shared" si="0"/>
        <v>58570.427526939668</v>
      </c>
      <c r="N6" s="98" t="s">
        <v>575</v>
      </c>
      <c r="O6" s="186">
        <f>'DCF Valuation'!$R$4</f>
        <v>6.2917987203019665E-2</v>
      </c>
      <c r="P6" s="124"/>
      <c r="Q6" s="124"/>
      <c r="R6" s="124"/>
      <c r="S6" s="124"/>
      <c r="T6" s="124"/>
      <c r="U6" s="124"/>
      <c r="V6" s="124"/>
      <c r="W6" s="124"/>
    </row>
    <row r="7" spans="2:23" x14ac:dyDescent="0.35">
      <c r="B7" s="98" t="s">
        <v>662</v>
      </c>
      <c r="C7" s="127"/>
      <c r="D7" s="186">
        <f>O5</f>
        <v>3.9330543762734815E-2</v>
      </c>
      <c r="E7" s="190">
        <f t="shared" ref="E7:M7" si="1">D7-$O$8</f>
        <v>4.1951370811655356E-2</v>
      </c>
      <c r="F7" s="190">
        <f t="shared" si="1"/>
        <v>4.4572197860575896E-2</v>
      </c>
      <c r="G7" s="190">
        <f t="shared" si="1"/>
        <v>4.7193024909496437E-2</v>
      </c>
      <c r="H7" s="190">
        <f t="shared" si="1"/>
        <v>4.9813851958416977E-2</v>
      </c>
      <c r="I7" s="190">
        <f t="shared" si="1"/>
        <v>5.2434679007337517E-2</v>
      </c>
      <c r="J7" s="190">
        <f t="shared" si="1"/>
        <v>5.5055506056258058E-2</v>
      </c>
      <c r="K7" s="190">
        <f t="shared" si="1"/>
        <v>5.7676333105178598E-2</v>
      </c>
      <c r="L7" s="190">
        <f t="shared" si="1"/>
        <v>6.0297160154099139E-2</v>
      </c>
      <c r="M7" s="191">
        <f t="shared" si="1"/>
        <v>6.2917987203019679E-2</v>
      </c>
      <c r="N7" s="127"/>
      <c r="O7" s="190">
        <f>O5-O6</f>
        <v>-2.358744344028485E-2</v>
      </c>
      <c r="P7" s="124"/>
      <c r="Q7" s="124"/>
      <c r="R7" s="124"/>
      <c r="S7" s="124"/>
      <c r="T7" s="124"/>
      <c r="U7" s="124"/>
      <c r="V7" s="124"/>
      <c r="W7" s="124"/>
    </row>
    <row r="8" spans="2:23" x14ac:dyDescent="0.35">
      <c r="B8" s="124"/>
      <c r="C8" s="124"/>
      <c r="D8" s="124"/>
      <c r="E8" s="124"/>
      <c r="F8" s="124"/>
      <c r="G8" s="124"/>
      <c r="H8" s="124"/>
      <c r="I8" s="124"/>
      <c r="J8" s="124"/>
      <c r="K8" s="124"/>
      <c r="L8" s="124"/>
      <c r="M8" s="124"/>
      <c r="N8" s="98" t="s">
        <v>663</v>
      </c>
      <c r="O8" s="190">
        <f>O7/9</f>
        <v>-2.6208270489205387E-3</v>
      </c>
      <c r="P8" s="124"/>
      <c r="Q8" s="124"/>
      <c r="R8" s="124"/>
      <c r="S8" s="124"/>
      <c r="T8" s="124"/>
      <c r="U8" s="124"/>
      <c r="V8" s="124"/>
      <c r="W8" s="124"/>
    </row>
    <row r="9" spans="2:23" ht="18" customHeight="1" x14ac:dyDescent="0.35">
      <c r="B9" s="192" t="s">
        <v>664</v>
      </c>
      <c r="C9" s="124"/>
      <c r="D9" s="124"/>
      <c r="E9" s="124"/>
      <c r="F9" s="124"/>
      <c r="G9" s="124"/>
      <c r="H9" s="124"/>
      <c r="I9" s="124"/>
      <c r="J9" s="124"/>
      <c r="K9" s="124"/>
      <c r="L9" s="124"/>
      <c r="M9" s="124"/>
      <c r="N9" s="124"/>
      <c r="O9" s="124"/>
      <c r="P9" s="124"/>
      <c r="Q9" s="124"/>
      <c r="R9" s="124"/>
      <c r="S9" s="124"/>
      <c r="T9" s="124"/>
      <c r="U9" s="124"/>
      <c r="V9" s="124"/>
      <c r="W9" s="124"/>
    </row>
    <row r="10" spans="2:23" x14ac:dyDescent="0.35">
      <c r="B10" s="184" t="s">
        <v>648</v>
      </c>
      <c r="C10" s="184" t="s">
        <v>649</v>
      </c>
      <c r="D10" s="184" t="s">
        <v>650</v>
      </c>
      <c r="E10" s="184" t="s">
        <v>651</v>
      </c>
      <c r="F10" s="184" t="s">
        <v>652</v>
      </c>
      <c r="G10" s="184" t="s">
        <v>653</v>
      </c>
      <c r="H10" s="184" t="s">
        <v>654</v>
      </c>
      <c r="I10" s="184" t="s">
        <v>655</v>
      </c>
      <c r="J10" s="184" t="s">
        <v>656</v>
      </c>
      <c r="K10" s="184" t="s">
        <v>657</v>
      </c>
      <c r="L10" s="184" t="s">
        <v>658</v>
      </c>
      <c r="M10" s="185" t="s">
        <v>659</v>
      </c>
      <c r="N10" s="184" t="s">
        <v>660</v>
      </c>
      <c r="O10" s="186">
        <f>Assumption!C24</f>
        <v>5.4753391086755004E-2</v>
      </c>
      <c r="P10" s="124"/>
      <c r="Q10" s="124"/>
      <c r="R10" s="124"/>
      <c r="S10" s="124"/>
      <c r="T10" s="124"/>
      <c r="U10" s="124"/>
      <c r="V10" s="124"/>
      <c r="W10" s="124"/>
    </row>
    <row r="11" spans="2:23" x14ac:dyDescent="0.35">
      <c r="B11" s="98" t="s">
        <v>661</v>
      </c>
      <c r="C11" s="188">
        <f>C6</f>
        <v>35583.54</v>
      </c>
      <c r="D11" s="188">
        <f t="shared" ref="D11:M11" si="2">C11*(1+D12)</f>
        <v>37531.859481871194</v>
      </c>
      <c r="E11" s="188">
        <f t="shared" si="2"/>
        <v>39620.90411497988</v>
      </c>
      <c r="F11" s="188">
        <f t="shared" si="2"/>
        <v>41862.169346500428</v>
      </c>
      <c r="G11" s="188">
        <f t="shared" si="2"/>
        <v>44268.194311557614</v>
      </c>
      <c r="H11" s="188">
        <f t="shared" si="2"/>
        <v>46852.664479558429</v>
      </c>
      <c r="I11" s="188">
        <f t="shared" si="2"/>
        <v>49630.525120401129</v>
      </c>
      <c r="J11" s="188">
        <f t="shared" si="2"/>
        <v>52618.106800590278</v>
      </c>
      <c r="K11" s="188">
        <f t="shared" si="2"/>
        <v>55833.264261932643</v>
      </c>
      <c r="L11" s="188">
        <f t="shared" si="2"/>
        <v>59295.530195762025</v>
      </c>
      <c r="M11" s="189">
        <f t="shared" si="2"/>
        <v>63026.285605815247</v>
      </c>
      <c r="N11" s="98" t="s">
        <v>575</v>
      </c>
      <c r="O11" s="186">
        <f>'DCF Valuation'!$R$4</f>
        <v>6.2917987203019665E-2</v>
      </c>
      <c r="P11" s="124"/>
      <c r="Q11" s="124"/>
      <c r="R11" s="124"/>
      <c r="S11" s="124"/>
      <c r="T11" s="124"/>
      <c r="U11" s="124"/>
      <c r="V11" s="124"/>
      <c r="W11" s="124"/>
    </row>
    <row r="12" spans="2:23" x14ac:dyDescent="0.35">
      <c r="B12" s="98" t="s">
        <v>662</v>
      </c>
      <c r="C12" s="127"/>
      <c r="D12" s="186">
        <f>O10</f>
        <v>5.4753391086755004E-2</v>
      </c>
      <c r="E12" s="190">
        <f t="shared" ref="E12:M12" si="3">D12-$O$13</f>
        <v>5.5660568433006631E-2</v>
      </c>
      <c r="F12" s="190">
        <f t="shared" si="3"/>
        <v>5.6567745779258258E-2</v>
      </c>
      <c r="G12" s="190">
        <f t="shared" si="3"/>
        <v>5.7474923125509884E-2</v>
      </c>
      <c r="H12" s="190">
        <f t="shared" si="3"/>
        <v>5.8382100471761511E-2</v>
      </c>
      <c r="I12" s="190">
        <f t="shared" si="3"/>
        <v>5.9289277818013138E-2</v>
      </c>
      <c r="J12" s="190">
        <f t="shared" si="3"/>
        <v>6.0196455164264764E-2</v>
      </c>
      <c r="K12" s="190">
        <f t="shared" si="3"/>
        <v>6.1103632510516391E-2</v>
      </c>
      <c r="L12" s="190">
        <f t="shared" si="3"/>
        <v>6.2010809856768018E-2</v>
      </c>
      <c r="M12" s="191">
        <f t="shared" si="3"/>
        <v>6.2917987203019651E-2</v>
      </c>
      <c r="N12" s="127"/>
      <c r="O12" s="190">
        <f>O10-O11</f>
        <v>-8.1645961162646608E-3</v>
      </c>
      <c r="P12" s="124"/>
      <c r="Q12" s="124"/>
      <c r="R12" s="124"/>
      <c r="S12" s="124"/>
      <c r="T12" s="124"/>
      <c r="U12" s="124"/>
      <c r="V12" s="124"/>
      <c r="W12" s="124"/>
    </row>
    <row r="13" spans="2:23" x14ac:dyDescent="0.35">
      <c r="B13" s="124"/>
      <c r="C13" s="124"/>
      <c r="D13" s="124"/>
      <c r="E13" s="124"/>
      <c r="F13" s="124"/>
      <c r="G13" s="124"/>
      <c r="H13" s="124"/>
      <c r="I13" s="124"/>
      <c r="J13" s="124"/>
      <c r="K13" s="124"/>
      <c r="L13" s="124"/>
      <c r="M13" s="124"/>
      <c r="N13" s="98" t="s">
        <v>663</v>
      </c>
      <c r="O13" s="190">
        <f>O12/9</f>
        <v>-9.0717734625162894E-4</v>
      </c>
      <c r="P13" s="124"/>
      <c r="Q13" s="124"/>
      <c r="R13" s="124"/>
      <c r="S13" s="124"/>
      <c r="T13" s="124"/>
      <c r="U13" s="124"/>
      <c r="V13" s="124"/>
      <c r="W13" s="124"/>
    </row>
    <row r="14" spans="2:23" ht="18" customHeight="1" x14ac:dyDescent="0.35">
      <c r="B14" s="193" t="s">
        <v>665</v>
      </c>
      <c r="C14" s="124"/>
      <c r="D14" s="124"/>
      <c r="E14" s="124"/>
      <c r="F14" s="124"/>
      <c r="G14" s="124"/>
      <c r="H14" s="124"/>
      <c r="I14" s="124"/>
      <c r="J14" s="124"/>
      <c r="K14" s="124"/>
      <c r="L14" s="124"/>
      <c r="M14" s="124"/>
      <c r="N14" s="124"/>
      <c r="O14" s="124"/>
      <c r="P14" s="124"/>
      <c r="Q14" s="124"/>
      <c r="R14" s="124"/>
      <c r="S14" s="124"/>
      <c r="T14" s="124"/>
      <c r="U14" s="124"/>
      <c r="V14" s="124"/>
      <c r="W14" s="124"/>
    </row>
    <row r="15" spans="2:23" x14ac:dyDescent="0.35">
      <c r="B15" s="184" t="s">
        <v>648</v>
      </c>
      <c r="C15" s="184" t="s">
        <v>649</v>
      </c>
      <c r="D15" s="184" t="s">
        <v>650</v>
      </c>
      <c r="E15" s="184" t="s">
        <v>651</v>
      </c>
      <c r="F15" s="184" t="s">
        <v>652</v>
      </c>
      <c r="G15" s="184" t="s">
        <v>653</v>
      </c>
      <c r="H15" s="184" t="s">
        <v>654</v>
      </c>
      <c r="I15" s="184" t="s">
        <v>655</v>
      </c>
      <c r="J15" s="184" t="s">
        <v>656</v>
      </c>
      <c r="K15" s="184" t="s">
        <v>657</v>
      </c>
      <c r="L15" s="184" t="s">
        <v>658</v>
      </c>
      <c r="M15" s="185" t="s">
        <v>659</v>
      </c>
      <c r="N15" s="184" t="s">
        <v>660</v>
      </c>
      <c r="O15" s="186">
        <f>Assumption!C47</f>
        <v>4.4392462561268446E-3</v>
      </c>
      <c r="P15" s="124"/>
      <c r="Q15" s="124"/>
      <c r="R15" s="124"/>
      <c r="S15" s="124"/>
      <c r="T15" s="124"/>
      <c r="U15" s="124"/>
      <c r="V15" s="124"/>
      <c r="W15" s="124"/>
    </row>
    <row r="16" spans="2:23" x14ac:dyDescent="0.35">
      <c r="B16" s="98" t="s">
        <v>661</v>
      </c>
      <c r="C16" s="188">
        <f>C11</f>
        <v>35583.54</v>
      </c>
      <c r="D16" s="188">
        <f t="shared" ref="D16:M16" si="4">C16*(1+D17)</f>
        <v>35741.504096724741</v>
      </c>
      <c r="E16" s="188">
        <f t="shared" si="4"/>
        <v>35667.934083960616</v>
      </c>
      <c r="F16" s="188">
        <f t="shared" si="4"/>
        <v>35362.758187382889</v>
      </c>
      <c r="G16" s="188">
        <f t="shared" si="4"/>
        <v>34830.418987536686</v>
      </c>
      <c r="H16" s="188">
        <f t="shared" si="4"/>
        <v>34079.777995051372</v>
      </c>
      <c r="I16" s="188">
        <f t="shared" si="4"/>
        <v>33123.876239203193</v>
      </c>
      <c r="J16" s="188">
        <f t="shared" si="4"/>
        <v>31979.559564286948</v>
      </c>
      <c r="K16" s="188">
        <f t="shared" si="4"/>
        <v>30666.983520411999</v>
      </c>
      <c r="L16" s="188">
        <f t="shared" si="4"/>
        <v>29209.018181158088</v>
      </c>
      <c r="M16" s="189">
        <f t="shared" si="4"/>
        <v>27630.577598234908</v>
      </c>
      <c r="N16" s="98" t="s">
        <v>575</v>
      </c>
      <c r="O16" s="186">
        <f>'DCF Valuation'!$R$4</f>
        <v>6.2917987203019665E-2</v>
      </c>
      <c r="P16" s="124"/>
      <c r="Q16" s="124"/>
      <c r="R16" s="124"/>
      <c r="S16" s="124"/>
      <c r="T16" s="124"/>
      <c r="U16" s="124"/>
      <c r="V16" s="124"/>
      <c r="W16" s="124"/>
    </row>
    <row r="17" spans="2:23" x14ac:dyDescent="0.35">
      <c r="B17" s="98" t="s">
        <v>662</v>
      </c>
      <c r="C17" s="127"/>
      <c r="D17" s="186">
        <f>O15</f>
        <v>4.4392462561268446E-3</v>
      </c>
      <c r="E17" s="190">
        <f t="shared" ref="E17:M17" si="5">D17-(-O18)</f>
        <v>-2.0583916268612466E-3</v>
      </c>
      <c r="F17" s="190">
        <f t="shared" si="5"/>
        <v>-8.5560295098493378E-3</v>
      </c>
      <c r="G17" s="190">
        <f t="shared" si="5"/>
        <v>-1.5053667392837429E-2</v>
      </c>
      <c r="H17" s="190">
        <f t="shared" si="5"/>
        <v>-2.1551305275825522E-2</v>
      </c>
      <c r="I17" s="190">
        <f t="shared" si="5"/>
        <v>-2.8048943158813615E-2</v>
      </c>
      <c r="J17" s="190">
        <f t="shared" si="5"/>
        <v>-3.4546581041801708E-2</v>
      </c>
      <c r="K17" s="190">
        <f t="shared" si="5"/>
        <v>-4.1044218924789801E-2</v>
      </c>
      <c r="L17" s="190">
        <f t="shared" si="5"/>
        <v>-4.7541856807777894E-2</v>
      </c>
      <c r="M17" s="191">
        <f t="shared" si="5"/>
        <v>-5.4039494690765986E-2</v>
      </c>
      <c r="N17" s="127"/>
      <c r="O17" s="190">
        <f>O15-O16</f>
        <v>-5.8478740946892822E-2</v>
      </c>
      <c r="P17" s="124"/>
      <c r="Q17" s="124"/>
      <c r="R17" s="124"/>
      <c r="S17" s="124"/>
      <c r="T17" s="124"/>
      <c r="U17" s="124"/>
      <c r="V17" s="124"/>
      <c r="W17" s="124"/>
    </row>
    <row r="18" spans="2:23" x14ac:dyDescent="0.35">
      <c r="B18" s="124"/>
      <c r="C18" s="124"/>
      <c r="D18" s="124"/>
      <c r="E18" s="124"/>
      <c r="F18" s="124"/>
      <c r="G18" s="124"/>
      <c r="H18" s="124"/>
      <c r="I18" s="124"/>
      <c r="J18" s="124"/>
      <c r="K18" s="124"/>
      <c r="L18" s="124"/>
      <c r="M18" s="124"/>
      <c r="N18" s="98" t="s">
        <v>663</v>
      </c>
      <c r="O18" s="190">
        <f>O17/9</f>
        <v>-6.4976378829880912E-3</v>
      </c>
      <c r="P18" s="194">
        <f>O17/9</f>
        <v>-6.4976378829880912E-3</v>
      </c>
      <c r="Q18" s="194">
        <f>O17/9</f>
        <v>-6.4976378829880912E-3</v>
      </c>
      <c r="R18" s="194">
        <f>O17/9</f>
        <v>-6.4976378829880912E-3</v>
      </c>
      <c r="S18" s="194">
        <f>O17/9</f>
        <v>-6.4976378829880912E-3</v>
      </c>
      <c r="T18" s="194">
        <f>O17/9</f>
        <v>-6.4976378829880912E-3</v>
      </c>
      <c r="U18" s="194">
        <f>O17/9</f>
        <v>-6.4976378829880912E-3</v>
      </c>
      <c r="V18" s="194">
        <f>O17/9</f>
        <v>-6.4976378829880912E-3</v>
      </c>
      <c r="W18" s="194">
        <f>O17/9</f>
        <v>-6.4976378829880912E-3</v>
      </c>
    </row>
    <row r="19" spans="2:23" ht="18" customHeight="1" x14ac:dyDescent="0.35">
      <c r="B19" s="195" t="s">
        <v>666</v>
      </c>
      <c r="C19" s="196">
        <v>2</v>
      </c>
      <c r="D19" s="124"/>
      <c r="E19" s="124"/>
      <c r="F19" s="124"/>
      <c r="G19" s="124"/>
      <c r="H19" s="124"/>
      <c r="I19" s="124"/>
      <c r="J19" s="124"/>
      <c r="K19" s="124"/>
      <c r="L19" s="124"/>
      <c r="M19" s="124"/>
      <c r="N19" s="124"/>
      <c r="O19" s="124"/>
      <c r="P19" s="124"/>
      <c r="Q19" s="124"/>
      <c r="R19" s="124"/>
      <c r="S19" s="124"/>
      <c r="T19" s="124"/>
      <c r="U19" s="124"/>
      <c r="V19" s="124"/>
      <c r="W19" s="124"/>
    </row>
    <row r="20" spans="2:23" x14ac:dyDescent="0.35">
      <c r="B20" s="197" t="s">
        <v>648</v>
      </c>
      <c r="C20" s="197" t="s">
        <v>649</v>
      </c>
      <c r="D20" s="197" t="s">
        <v>650</v>
      </c>
      <c r="E20" s="197" t="s">
        <v>651</v>
      </c>
      <c r="F20" s="197" t="s">
        <v>652</v>
      </c>
      <c r="G20" s="197" t="s">
        <v>653</v>
      </c>
      <c r="H20" s="197" t="s">
        <v>654</v>
      </c>
      <c r="I20" s="197" t="s">
        <v>655</v>
      </c>
      <c r="J20" s="197" t="s">
        <v>656</v>
      </c>
      <c r="K20" s="197" t="s">
        <v>657</v>
      </c>
      <c r="L20" s="197" t="s">
        <v>658</v>
      </c>
      <c r="M20" s="197" t="s">
        <v>659</v>
      </c>
      <c r="N20" s="124"/>
      <c r="O20" s="124"/>
      <c r="P20" s="124"/>
      <c r="Q20" s="124"/>
      <c r="R20" s="124"/>
      <c r="S20" s="124"/>
      <c r="T20" s="124"/>
      <c r="U20" s="124"/>
      <c r="V20" s="124"/>
      <c r="W20" s="124"/>
    </row>
    <row r="21" spans="2:23" x14ac:dyDescent="0.35">
      <c r="B21" s="98" t="s">
        <v>661</v>
      </c>
      <c r="C21" s="188">
        <f>C6</f>
        <v>35583.54</v>
      </c>
      <c r="D21" s="188">
        <f t="shared" ref="D21:M21" si="6">C21*(1+D22)</f>
        <v>37531.859481871194</v>
      </c>
      <c r="E21" s="188">
        <f t="shared" si="6"/>
        <v>39620.90411497988</v>
      </c>
      <c r="F21" s="188">
        <f t="shared" si="6"/>
        <v>41862.169346500428</v>
      </c>
      <c r="G21" s="188">
        <f t="shared" si="6"/>
        <v>44268.194311557614</v>
      </c>
      <c r="H21" s="188">
        <f t="shared" si="6"/>
        <v>46852.664479558429</v>
      </c>
      <c r="I21" s="188">
        <f t="shared" si="6"/>
        <v>49630.525120401129</v>
      </c>
      <c r="J21" s="188">
        <f t="shared" si="6"/>
        <v>52618.106800590278</v>
      </c>
      <c r="K21" s="188">
        <f t="shared" si="6"/>
        <v>55833.264261932643</v>
      </c>
      <c r="L21" s="188">
        <f t="shared" si="6"/>
        <v>59295.530195762025</v>
      </c>
      <c r="M21" s="188">
        <f t="shared" si="6"/>
        <v>63026.285605815247</v>
      </c>
      <c r="N21" s="124"/>
      <c r="O21" s="124"/>
      <c r="P21" s="124"/>
      <c r="Q21" s="124"/>
      <c r="R21" s="124"/>
      <c r="S21" s="124"/>
      <c r="T21" s="124"/>
      <c r="U21" s="124"/>
      <c r="V21" s="124"/>
      <c r="W21" s="124"/>
    </row>
    <row r="22" spans="2:23" x14ac:dyDescent="0.35">
      <c r="B22" s="98" t="s">
        <v>662</v>
      </c>
      <c r="C22" s="127"/>
      <c r="D22" s="190">
        <f t="shared" ref="D22:M22" si="7">CHOOSE($C$19,D7,D12,D17)</f>
        <v>5.4753391086755004E-2</v>
      </c>
      <c r="E22" s="190">
        <f t="shared" si="7"/>
        <v>5.5660568433006631E-2</v>
      </c>
      <c r="F22" s="190">
        <f t="shared" si="7"/>
        <v>5.6567745779258258E-2</v>
      </c>
      <c r="G22" s="190">
        <f t="shared" si="7"/>
        <v>5.7474923125509884E-2</v>
      </c>
      <c r="H22" s="190">
        <f t="shared" si="7"/>
        <v>5.8382100471761511E-2</v>
      </c>
      <c r="I22" s="190">
        <f t="shared" si="7"/>
        <v>5.9289277818013138E-2</v>
      </c>
      <c r="J22" s="190">
        <f t="shared" si="7"/>
        <v>6.0196455164264764E-2</v>
      </c>
      <c r="K22" s="190">
        <f t="shared" si="7"/>
        <v>6.1103632510516391E-2</v>
      </c>
      <c r="L22" s="190">
        <f t="shared" si="7"/>
        <v>6.2010809856768018E-2</v>
      </c>
      <c r="M22" s="190">
        <f t="shared" si="7"/>
        <v>6.2917987203019651E-2</v>
      </c>
      <c r="N22" s="124"/>
      <c r="O22" s="124"/>
      <c r="P22" s="124"/>
      <c r="Q22" s="124"/>
      <c r="R22" s="124"/>
      <c r="S22" s="124"/>
      <c r="T22" s="124"/>
      <c r="U22" s="124"/>
      <c r="V22" s="124"/>
      <c r="W22" s="124"/>
    </row>
    <row r="23" spans="2:23" x14ac:dyDescent="0.35">
      <c r="O23" s="198"/>
    </row>
    <row r="24" spans="2:23" x14ac:dyDescent="0.35">
      <c r="O24" s="198"/>
    </row>
    <row r="25" spans="2:23" x14ac:dyDescent="0.35">
      <c r="O25" s="198"/>
    </row>
    <row r="26" spans="2:23" x14ac:dyDescent="0.35">
      <c r="O26" s="198"/>
    </row>
  </sheetData>
  <mergeCells count="1">
    <mergeCell ref="B1:M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R24"/>
  <sheetViews>
    <sheetView showGridLines="0" zoomScale="77" zoomScaleNormal="77" workbookViewId="0">
      <selection activeCell="E13" sqref="E13"/>
    </sheetView>
  </sheetViews>
  <sheetFormatPr defaultColWidth="8.6328125" defaultRowHeight="14" x14ac:dyDescent="0.3"/>
  <cols>
    <col min="1" max="1" width="4.08984375" style="124" customWidth="1"/>
    <col min="2" max="2" width="30" style="199" customWidth="1"/>
    <col min="3" max="3" width="22.54296875" style="200" customWidth="1"/>
    <col min="4" max="4" width="14" style="200" customWidth="1"/>
    <col min="5" max="5" width="14.6328125" style="200" customWidth="1"/>
    <col min="6" max="6" width="23.81640625" style="200" customWidth="1"/>
    <col min="7" max="7" width="13.54296875" style="200" customWidth="1"/>
    <col min="8" max="16384" width="8.6328125" style="124"/>
  </cols>
  <sheetData>
    <row r="2" spans="2:18" ht="20.25" customHeight="1" x14ac:dyDescent="0.3">
      <c r="B2" s="287" t="s">
        <v>667</v>
      </c>
      <c r="C2" s="287"/>
      <c r="D2" s="287"/>
      <c r="E2" s="287"/>
      <c r="F2" s="287"/>
      <c r="G2" s="287"/>
    </row>
    <row r="3" spans="2:18" ht="14.25" customHeight="1" x14ac:dyDescent="0.3">
      <c r="B3" s="201" t="s">
        <v>668</v>
      </c>
      <c r="C3" s="202" t="s">
        <v>669</v>
      </c>
      <c r="D3" s="203" t="s">
        <v>670</v>
      </c>
      <c r="E3" s="203" t="s">
        <v>671</v>
      </c>
      <c r="F3" s="203" t="s">
        <v>672</v>
      </c>
      <c r="G3" s="203" t="s">
        <v>673</v>
      </c>
      <c r="R3" s="204">
        <f>'Growth Rate Analysis'!C24</f>
        <v>6.2917987203019665E-2</v>
      </c>
    </row>
    <row r="4" spans="2:18" ht="14.25" customHeight="1" x14ac:dyDescent="0.3">
      <c r="B4" s="205">
        <v>2022</v>
      </c>
      <c r="C4" s="206">
        <f>'Historical Analysis'!C5</f>
        <v>28923.48</v>
      </c>
      <c r="D4" s="207"/>
      <c r="E4" s="208">
        <v>1</v>
      </c>
      <c r="F4" s="209">
        <f>LN(C4)</f>
        <v>10.2724090009836</v>
      </c>
      <c r="G4" s="207"/>
    </row>
    <row r="5" spans="2:18" ht="14.25" customHeight="1" x14ac:dyDescent="0.3">
      <c r="B5" s="205">
        <v>2023</v>
      </c>
      <c r="C5" s="206">
        <f>'Historical Analysis'!D5</f>
        <v>34367.83</v>
      </c>
      <c r="D5" s="210">
        <f>C5/C4-1</f>
        <v>0.18823288207366473</v>
      </c>
      <c r="E5" s="208">
        <v>2</v>
      </c>
      <c r="F5" s="209">
        <f>LN(C5)</f>
        <v>10.444876231394478</v>
      </c>
      <c r="G5" s="209">
        <f>C5/C4</f>
        <v>1.1882328820736647</v>
      </c>
    </row>
    <row r="6" spans="2:18" ht="14.25" customHeight="1" x14ac:dyDescent="0.3">
      <c r="B6" s="205">
        <v>2024</v>
      </c>
      <c r="C6" s="206">
        <f>'Historical Analysis'!E5</f>
        <v>35382.120000000003</v>
      </c>
      <c r="D6" s="210">
        <f>C6/C5-1</f>
        <v>2.9512774009880838E-2</v>
      </c>
      <c r="E6" s="208">
        <v>3</v>
      </c>
      <c r="F6" s="209">
        <f>LN(C6)</f>
        <v>10.473961886777836</v>
      </c>
      <c r="G6" s="209">
        <f>C6/C5</f>
        <v>1.0295127740098808</v>
      </c>
    </row>
    <row r="7" spans="2:18" ht="14.25" customHeight="1" x14ac:dyDescent="0.3">
      <c r="B7" s="205">
        <v>2025</v>
      </c>
      <c r="C7" s="206">
        <f>'Historical Analysis'!F5</f>
        <v>33797.360000000001</v>
      </c>
      <c r="D7" s="210">
        <f>C7/C6-1</f>
        <v>-4.4789854310595345E-2</v>
      </c>
      <c r="E7" s="208">
        <v>4</v>
      </c>
      <c r="F7" s="209">
        <f>LN(C7)</f>
        <v>10.428137971911763</v>
      </c>
      <c r="G7" s="209">
        <f>C7/C6</f>
        <v>0.95521014568940465</v>
      </c>
    </row>
    <row r="8" spans="2:18" ht="14.25" customHeight="1" x14ac:dyDescent="0.3">
      <c r="B8" s="205">
        <v>2026</v>
      </c>
      <c r="C8" s="206">
        <f>'Historical Analysis'!G5</f>
        <v>35516.370000000003</v>
      </c>
      <c r="D8" s="210">
        <f>C8/C7-1</f>
        <v>5.0862256696972752E-2</v>
      </c>
      <c r="E8" s="208">
        <v>5</v>
      </c>
      <c r="F8" s="209">
        <f>LN(C8)</f>
        <v>10.4777489959378</v>
      </c>
      <c r="G8" s="209">
        <f>C8/C7</f>
        <v>1.0508622566969728</v>
      </c>
    </row>
    <row r="10" spans="2:18" ht="14.25" customHeight="1" x14ac:dyDescent="0.3">
      <c r="B10" s="201" t="s">
        <v>674</v>
      </c>
      <c r="C10" s="203" t="s">
        <v>675</v>
      </c>
      <c r="F10" s="124"/>
      <c r="G10" s="124"/>
    </row>
    <row r="11" spans="2:18" ht="14.25" customHeight="1" x14ac:dyDescent="0.3">
      <c r="B11" s="250" t="s">
        <v>676</v>
      </c>
      <c r="C11" s="251">
        <f>AVERAGE(D5:D8)</f>
        <v>5.5954514617480744E-2</v>
      </c>
      <c r="F11" s="124"/>
      <c r="G11" s="124"/>
    </row>
    <row r="12" spans="2:18" ht="14.25" customHeight="1" x14ac:dyDescent="0.3">
      <c r="B12" s="250" t="s">
        <v>677</v>
      </c>
      <c r="C12" s="251">
        <f>(C8/C4)^(1/(E8-E4))-1</f>
        <v>5.2675479179618678E-2</v>
      </c>
      <c r="F12" s="124"/>
      <c r="G12" s="124"/>
    </row>
    <row r="13" spans="2:18" ht="14.25" customHeight="1" x14ac:dyDescent="0.3">
      <c r="B13" s="250" t="s">
        <v>678</v>
      </c>
      <c r="C13" s="251">
        <f>EXP(SLOPE(F4:F8,E4:E8))-1</f>
        <v>4.0180413931696579E-2</v>
      </c>
      <c r="F13" s="124"/>
      <c r="G13" s="124"/>
    </row>
    <row r="14" spans="2:18" ht="14.25" customHeight="1" x14ac:dyDescent="0.3">
      <c r="B14" s="250" t="s">
        <v>679</v>
      </c>
      <c r="C14" s="251">
        <f>GEOMEAN(G5:G8)-1</f>
        <v>5.2675479179618678E-2</v>
      </c>
      <c r="F14" s="124"/>
      <c r="G14" s="124"/>
    </row>
    <row r="16" spans="2:18" ht="14.25" customHeight="1" x14ac:dyDescent="0.3">
      <c r="B16" s="205" t="s">
        <v>680</v>
      </c>
      <c r="C16" s="207"/>
      <c r="G16" s="124"/>
    </row>
    <row r="17" spans="2:7" ht="14.25" customHeight="1" x14ac:dyDescent="0.3">
      <c r="B17" s="205" t="s">
        <v>681</v>
      </c>
      <c r="C17" s="207" t="s">
        <v>682</v>
      </c>
      <c r="G17" s="124"/>
    </row>
    <row r="18" spans="2:7" ht="14.25" customHeight="1" x14ac:dyDescent="0.3">
      <c r="B18" s="205" t="s">
        <v>683</v>
      </c>
      <c r="C18" s="207" t="s">
        <v>684</v>
      </c>
      <c r="G18" s="124"/>
    </row>
    <row r="19" spans="2:7" ht="14.25" customHeight="1" x14ac:dyDescent="0.3">
      <c r="B19" s="205" t="s">
        <v>685</v>
      </c>
      <c r="C19" s="207" t="s">
        <v>686</v>
      </c>
      <c r="G19" s="124"/>
    </row>
    <row r="20" spans="2:7" ht="14.25" customHeight="1" x14ac:dyDescent="0.3">
      <c r="B20" s="205" t="s">
        <v>424</v>
      </c>
      <c r="C20" s="206">
        <f>'Profit &amp; Loss'!C39</f>
        <v>45</v>
      </c>
    </row>
    <row r="21" spans="2:7" ht="14.25" customHeight="1" x14ac:dyDescent="0.3">
      <c r="B21" s="205" t="s">
        <v>687</v>
      </c>
      <c r="C21" s="211">
        <v>0.72</v>
      </c>
    </row>
    <row r="22" spans="2:7" ht="14.25" customHeight="1" x14ac:dyDescent="0.3">
      <c r="B22" s="205" t="s">
        <v>681</v>
      </c>
      <c r="C22" s="211">
        <f>1-C21</f>
        <v>0.28000000000000003</v>
      </c>
    </row>
    <row r="23" spans="2:7" ht="14.25" customHeight="1" x14ac:dyDescent="0.3">
      <c r="B23" s="205" t="s">
        <v>688</v>
      </c>
      <c r="C23" s="212">
        <f>AVERAGE('Ratio Analysis'!C33,'Ratio Analysis'!D33,'Ratio Analysis'!E33,'Ratio Analysis'!F33,'Ratio Analysis'!G33)</f>
        <v>0.22470709715364165</v>
      </c>
    </row>
    <row r="24" spans="2:7" ht="14.25" customHeight="1" x14ac:dyDescent="0.3">
      <c r="B24" s="205" t="s">
        <v>689</v>
      </c>
      <c r="C24" s="212">
        <f>C22*C23</f>
        <v>6.2917987203019665E-2</v>
      </c>
    </row>
  </sheetData>
  <mergeCells count="1">
    <mergeCell ref="B2:G2"/>
  </mergeCell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R33"/>
  <sheetViews>
    <sheetView showGridLines="0" tabSelected="1" zoomScale="58" zoomScaleNormal="69" workbookViewId="0">
      <selection activeCell="O28" sqref="O28"/>
    </sheetView>
  </sheetViews>
  <sheetFormatPr defaultColWidth="8.6328125" defaultRowHeight="14" x14ac:dyDescent="0.3"/>
  <cols>
    <col min="1" max="1" width="4.7265625" style="124" customWidth="1"/>
    <col min="2" max="2" width="36.7265625" style="124" customWidth="1"/>
    <col min="3" max="3" width="11" style="200" customWidth="1"/>
    <col min="4" max="5" width="9.7265625" style="200" customWidth="1"/>
    <col min="6" max="6" width="11.453125" style="200" customWidth="1"/>
    <col min="7" max="12" width="9.7265625" style="200" customWidth="1"/>
    <col min="13" max="13" width="11.36328125" style="200" customWidth="1"/>
    <col min="14" max="14" width="24.6328125" style="199" customWidth="1"/>
    <col min="15" max="15" width="14.7265625" style="124" customWidth="1"/>
    <col min="16" max="16" width="2" style="124" customWidth="1"/>
    <col min="17" max="17" width="30.36328125" style="124" customWidth="1"/>
    <col min="18" max="18" width="6.54296875" style="124" customWidth="1"/>
    <col min="19" max="16384" width="8.6328125" style="124"/>
  </cols>
  <sheetData>
    <row r="1" spans="2:18" ht="27.75" customHeight="1" x14ac:dyDescent="0.3">
      <c r="B1" s="300" t="s">
        <v>690</v>
      </c>
      <c r="C1" s="300"/>
      <c r="D1" s="300"/>
      <c r="E1" s="300"/>
      <c r="F1" s="300"/>
      <c r="G1" s="300"/>
      <c r="H1" s="300"/>
      <c r="I1" s="300"/>
      <c r="J1" s="300"/>
      <c r="K1" s="300"/>
      <c r="L1" s="300"/>
      <c r="M1" s="300"/>
    </row>
    <row r="3" spans="2:18" x14ac:dyDescent="0.3">
      <c r="D3" s="326">
        <v>1</v>
      </c>
      <c r="E3" s="326">
        <v>2</v>
      </c>
      <c r="F3" s="326">
        <v>3</v>
      </c>
      <c r="G3" s="326">
        <v>4</v>
      </c>
      <c r="H3" s="326">
        <v>5</v>
      </c>
      <c r="I3" s="326">
        <v>6</v>
      </c>
      <c r="J3" s="326">
        <v>7</v>
      </c>
      <c r="K3" s="326">
        <v>8</v>
      </c>
      <c r="L3" s="326">
        <v>9</v>
      </c>
      <c r="M3" s="326">
        <v>10</v>
      </c>
    </row>
    <row r="4" spans="2:18" x14ac:dyDescent="0.3">
      <c r="B4" s="325" t="s">
        <v>691</v>
      </c>
      <c r="C4" s="326" t="s">
        <v>649</v>
      </c>
      <c r="D4" s="326" t="s">
        <v>650</v>
      </c>
      <c r="E4" s="326" t="s">
        <v>651</v>
      </c>
      <c r="F4" s="326" t="s">
        <v>652</v>
      </c>
      <c r="G4" s="326" t="s">
        <v>653</v>
      </c>
      <c r="H4" s="326" t="s">
        <v>654</v>
      </c>
      <c r="I4" s="326" t="s">
        <v>655</v>
      </c>
      <c r="J4" s="326" t="s">
        <v>656</v>
      </c>
      <c r="K4" s="326" t="s">
        <v>657</v>
      </c>
      <c r="L4" s="326" t="s">
        <v>658</v>
      </c>
      <c r="M4" s="326" t="s">
        <v>659</v>
      </c>
      <c r="N4" s="307" t="s">
        <v>692</v>
      </c>
      <c r="O4" s="316" t="s">
        <v>692</v>
      </c>
      <c r="Q4" s="307" t="s">
        <v>693</v>
      </c>
      <c r="R4" s="323">
        <f>'Growth Rate Analysis'!C24</f>
        <v>6.2917987203019665E-2</v>
      </c>
    </row>
    <row r="5" spans="2:18" x14ac:dyDescent="0.3">
      <c r="B5" s="123" t="s">
        <v>694</v>
      </c>
      <c r="C5" s="213">
        <f>'Growth Scenerio'!C21</f>
        <v>35583.54</v>
      </c>
      <c r="D5" s="213">
        <f>'Growth Scenerio'!D21</f>
        <v>37531.859481871194</v>
      </c>
      <c r="E5" s="213">
        <f>'Growth Scenerio'!E21</f>
        <v>39620.90411497988</v>
      </c>
      <c r="F5" s="213">
        <f>'Growth Scenerio'!F21</f>
        <v>41862.169346500428</v>
      </c>
      <c r="G5" s="213">
        <f>'Growth Scenerio'!G21</f>
        <v>44268.194311557614</v>
      </c>
      <c r="H5" s="213">
        <f>'Growth Scenerio'!H21</f>
        <v>46852.664479558429</v>
      </c>
      <c r="I5" s="213">
        <f>'Growth Scenerio'!I21</f>
        <v>49630.525120401129</v>
      </c>
      <c r="J5" s="213">
        <f>'Growth Scenerio'!J21</f>
        <v>52618.106800590278</v>
      </c>
      <c r="K5" s="213">
        <f>'Growth Scenerio'!K21</f>
        <v>55833.264261932643</v>
      </c>
      <c r="L5" s="213">
        <f>'Growth Scenerio'!L21</f>
        <v>59295.530195762025</v>
      </c>
      <c r="M5" s="213">
        <f>'Growth Scenerio'!M21</f>
        <v>63026.285605815247</v>
      </c>
      <c r="N5" s="307" t="s">
        <v>695</v>
      </c>
      <c r="O5" s="317">
        <f>M5*(1+R4)</f>
        <v>66991.772637015791</v>
      </c>
      <c r="Q5" s="307" t="s">
        <v>696</v>
      </c>
      <c r="R5" s="324">
        <f>COC!K44</f>
        <v>0.13153842711091313</v>
      </c>
    </row>
    <row r="6" spans="2:18" ht="14.25" customHeight="1" x14ac:dyDescent="0.3">
      <c r="B6" s="123" t="s">
        <v>419</v>
      </c>
      <c r="C6" s="214"/>
      <c r="D6" s="215">
        <f>'Growth Scenerio'!D22</f>
        <v>5.4753391086755004E-2</v>
      </c>
      <c r="E6" s="215">
        <f>'Growth Scenerio'!E22</f>
        <v>5.5660568433006631E-2</v>
      </c>
      <c r="F6" s="215">
        <f>'Growth Scenerio'!F22</f>
        <v>5.6567745779258258E-2</v>
      </c>
      <c r="G6" s="215">
        <f>'Growth Scenerio'!G22</f>
        <v>5.7474923125509884E-2</v>
      </c>
      <c r="H6" s="215">
        <f>'Growth Scenerio'!H22</f>
        <v>5.8382100471761511E-2</v>
      </c>
      <c r="I6" s="215">
        <f>'Growth Scenerio'!I22</f>
        <v>5.9289277818013138E-2</v>
      </c>
      <c r="J6" s="215">
        <f>'Growth Scenerio'!J22</f>
        <v>6.0196455164264764E-2</v>
      </c>
      <c r="K6" s="215">
        <f>'Growth Scenerio'!K22</f>
        <v>6.1103632510516391E-2</v>
      </c>
      <c r="L6" s="215">
        <f>'Growth Scenerio'!L22</f>
        <v>6.2010809856768018E-2</v>
      </c>
      <c r="M6" s="215">
        <f>'Growth Scenerio'!M22</f>
        <v>6.2917987203019651E-2</v>
      </c>
      <c r="N6" s="318" t="s">
        <v>697</v>
      </c>
      <c r="O6" s="319">
        <f>R4</f>
        <v>6.2917987203019665E-2</v>
      </c>
      <c r="Q6" s="307" t="s">
        <v>698</v>
      </c>
      <c r="R6" s="323">
        <f>R4*R5</f>
        <v>8.2761330736697662E-3</v>
      </c>
    </row>
    <row r="7" spans="2:18" x14ac:dyDescent="0.3">
      <c r="B7" s="123" t="s">
        <v>396</v>
      </c>
      <c r="C7" s="214"/>
      <c r="D7" s="213">
        <f t="shared" ref="D7:M7" si="0">D8*D5</f>
        <v>5883.6102769927338</v>
      </c>
      <c r="E7" s="213">
        <f t="shared" si="0"/>
        <v>6211.0953694484297</v>
      </c>
      <c r="F7" s="213">
        <f t="shared" si="0"/>
        <v>6562.4430333181162</v>
      </c>
      <c r="G7" s="213">
        <f t="shared" si="0"/>
        <v>6939.6189421736126</v>
      </c>
      <c r="H7" s="213">
        <f t="shared" si="0"/>
        <v>7344.7684724913315</v>
      </c>
      <c r="I7" s="213">
        <f t="shared" si="0"/>
        <v>7780.2344909658541</v>
      </c>
      <c r="J7" s="213">
        <f t="shared" si="0"/>
        <v>8248.5770276687472</v>
      </c>
      <c r="K7" s="213">
        <f t="shared" si="0"/>
        <v>8752.595047102106</v>
      </c>
      <c r="L7" s="213">
        <f t="shared" si="0"/>
        <v>9295.3505543212432</v>
      </c>
      <c r="M7" s="213">
        <f t="shared" si="0"/>
        <v>9880.1953015456093</v>
      </c>
      <c r="N7" s="307" t="s">
        <v>396</v>
      </c>
      <c r="O7" s="317">
        <f>O8*O5</f>
        <v>10501.83730309159</v>
      </c>
      <c r="Q7" s="312"/>
      <c r="R7" s="312"/>
    </row>
    <row r="8" spans="2:18" x14ac:dyDescent="0.3">
      <c r="B8" s="308" t="s">
        <v>699</v>
      </c>
      <c r="C8" s="327"/>
      <c r="D8" s="328">
        <f>AVERAGE(Assumption!$C$29:$G$29)</f>
        <v>0.15676309029758201</v>
      </c>
      <c r="E8" s="328">
        <f>AVERAGE(Assumption!$C$29:$G$29)</f>
        <v>0.15676309029758201</v>
      </c>
      <c r="F8" s="328">
        <f>AVERAGE(Assumption!$C$29:$G$29)</f>
        <v>0.15676309029758201</v>
      </c>
      <c r="G8" s="328">
        <f>AVERAGE(Assumption!$C$29:$G$29)</f>
        <v>0.15676309029758201</v>
      </c>
      <c r="H8" s="328">
        <f>AVERAGE(Assumption!$C$29:$G$29)</f>
        <v>0.15676309029758201</v>
      </c>
      <c r="I8" s="328">
        <f>AVERAGE(Assumption!$C$29:$G$29)</f>
        <v>0.15676309029758201</v>
      </c>
      <c r="J8" s="328">
        <f>AVERAGE(Assumption!$C$29:$G$29)</f>
        <v>0.15676309029758201</v>
      </c>
      <c r="K8" s="328">
        <f>AVERAGE(Assumption!$C$29:$G$29)</f>
        <v>0.15676309029758201</v>
      </c>
      <c r="L8" s="328">
        <f>AVERAGE(Assumption!$C$29:$G$29)</f>
        <v>0.15676309029758201</v>
      </c>
      <c r="M8" s="328">
        <f>AVERAGE(Assumption!$C$29:$G$29)</f>
        <v>0.15676309029758201</v>
      </c>
      <c r="N8" s="307" t="s">
        <v>397</v>
      </c>
      <c r="O8" s="319">
        <f>M8</f>
        <v>0.15676309029758201</v>
      </c>
    </row>
    <row r="9" spans="2:18" x14ac:dyDescent="0.3">
      <c r="B9" s="308" t="s">
        <v>509</v>
      </c>
      <c r="C9" s="327"/>
      <c r="D9" s="309">
        <f>D7*Assumption!C$34</f>
        <v>1519.0356895953889</v>
      </c>
      <c r="E9" s="309">
        <f>E7*Assumption!D$34</f>
        <v>1643.6069233362396</v>
      </c>
      <c r="F9" s="309">
        <f>F7*Assumption!E$34</f>
        <v>1628.2290391907279</v>
      </c>
      <c r="G9" s="309">
        <f>G7*Assumption!F$34</f>
        <v>1815.6905599266595</v>
      </c>
      <c r="H9" s="309">
        <f>H7*Assumption!$G$34</f>
        <v>1970.8072908701627</v>
      </c>
      <c r="I9" s="309">
        <f>I7*Assumption!$G$34</f>
        <v>2087.6550318643294</v>
      </c>
      <c r="J9" s="309">
        <f>J7*Assumption!$G$34</f>
        <v>2213.3244643884027</v>
      </c>
      <c r="K9" s="309">
        <f>K7*Assumption!$G$34</f>
        <v>2348.5666290869272</v>
      </c>
      <c r="L9" s="309">
        <f>L7*Assumption!$G$34</f>
        <v>2494.2031477591868</v>
      </c>
      <c r="M9" s="309">
        <f>M7*Assumption!$G$34</f>
        <v>2651.1333894916311</v>
      </c>
      <c r="N9" s="307" t="s">
        <v>700</v>
      </c>
      <c r="O9" s="317">
        <f>25%*O7</f>
        <v>2625.4593257728975</v>
      </c>
    </row>
    <row r="10" spans="2:18" x14ac:dyDescent="0.3">
      <c r="B10" s="308" t="s">
        <v>701</v>
      </c>
      <c r="C10" s="327"/>
      <c r="D10" s="309">
        <f t="shared" ref="D10:M10" si="1">D7-D9</f>
        <v>4364.5745873973447</v>
      </c>
      <c r="E10" s="309">
        <f t="shared" si="1"/>
        <v>4567.4884461121901</v>
      </c>
      <c r="F10" s="309">
        <f t="shared" si="1"/>
        <v>4934.2139941273881</v>
      </c>
      <c r="G10" s="309">
        <f t="shared" si="1"/>
        <v>5123.9283822469533</v>
      </c>
      <c r="H10" s="309">
        <f t="shared" si="1"/>
        <v>5373.9611816211691</v>
      </c>
      <c r="I10" s="309">
        <f t="shared" si="1"/>
        <v>5692.5794591015247</v>
      </c>
      <c r="J10" s="309">
        <f t="shared" si="1"/>
        <v>6035.2525632803445</v>
      </c>
      <c r="K10" s="309">
        <f t="shared" si="1"/>
        <v>6404.0284180151793</v>
      </c>
      <c r="L10" s="309">
        <f t="shared" si="1"/>
        <v>6801.1474065620569</v>
      </c>
      <c r="M10" s="309">
        <f t="shared" si="1"/>
        <v>7229.0619120539777</v>
      </c>
      <c r="N10" s="307" t="s">
        <v>701</v>
      </c>
      <c r="O10" s="317">
        <f>O7-O9</f>
        <v>7876.3779773186925</v>
      </c>
    </row>
    <row r="11" spans="2:18" x14ac:dyDescent="0.3">
      <c r="B11" s="308" t="s">
        <v>702</v>
      </c>
      <c r="C11" s="327"/>
      <c r="D11" s="309">
        <f>D5*'Fixed Assets Schedule'!$D$13</f>
        <v>1005.2343266295238</v>
      </c>
      <c r="E11" s="309">
        <f>E5*'Fixed Assets Schedule'!$D$13</f>
        <v>1061.186240658094</v>
      </c>
      <c r="F11" s="309">
        <f>F5*'Fixed Assets Schedule'!$D$13</f>
        <v>1121.2151541440878</v>
      </c>
      <c r="G11" s="309">
        <f>G5*'Fixed Assets Schedule'!$D$13</f>
        <v>1185.6569089356758</v>
      </c>
      <c r="H11" s="309">
        <f>H5*'Fixed Assets Schedule'!$D$13</f>
        <v>1254.8780497181965</v>
      </c>
      <c r="I11" s="309">
        <f>I5*'Fixed Assets Schedule'!$D$13</f>
        <v>1329.2788630356654</v>
      </c>
      <c r="J11" s="309">
        <f>J5*'Fixed Assets Schedule'!$D$13</f>
        <v>1409.2967385151969</v>
      </c>
      <c r="K11" s="309">
        <f>K5*'Fixed Assets Schedule'!$D$13</f>
        <v>1495.4098885236986</v>
      </c>
      <c r="L11" s="309">
        <f>L5*'Fixed Assets Schedule'!$D$13</f>
        <v>1588.1414667788722</v>
      </c>
      <c r="M11" s="309">
        <f>M5*'Fixed Assets Schedule'!$D$13</f>
        <v>1688.0641312622502</v>
      </c>
      <c r="N11" s="320"/>
      <c r="O11" s="312"/>
    </row>
    <row r="12" spans="2:18" x14ac:dyDescent="0.3">
      <c r="B12" s="308" t="s">
        <v>703</v>
      </c>
      <c r="C12" s="309">
        <f>'Working Capital Changes'!G7</f>
        <v>6342.45</v>
      </c>
      <c r="D12" s="309">
        <f>C12+D5*'Working Capital Changes'!$D$12</f>
        <v>6484.3190740274831</v>
      </c>
      <c r="E12" s="309">
        <f>D12+E5*'Working Capital Changes'!$D$12</f>
        <v>6634.0846613584008</v>
      </c>
      <c r="F12" s="309">
        <f>E12+F5*'Working Capital Changes'!$D$12</f>
        <v>6792.3221503599352</v>
      </c>
      <c r="G12" s="309">
        <f>F12+G5*'Working Capital Changes'!$D$12</f>
        <v>6959.6543268774067</v>
      </c>
      <c r="H12" s="309">
        <f>G12+H5*'Working Capital Changes'!$D$12</f>
        <v>7136.7557073364796</v>
      </c>
      <c r="I12" s="309">
        <f>H12+I5*'Working Capital Changes'!$D$12</f>
        <v>7324.3573007435443</v>
      </c>
      <c r="J12" s="309">
        <f>I12+J5*'Working Capital Changes'!$D$12</f>
        <v>7523.2518450568814</v>
      </c>
      <c r="K12" s="309">
        <f>J12+K5*'Working Capital Changes'!$D$12</f>
        <v>7734.2995685142878</v>
      </c>
      <c r="L12" s="309">
        <f>K12+L5*'Working Capital Changes'!$D$12</f>
        <v>7958.434532221715</v>
      </c>
      <c r="M12" s="309">
        <f>L12+M5*'Working Capital Changes'!$D$12</f>
        <v>8196.6716167074355</v>
      </c>
      <c r="N12" s="320"/>
      <c r="O12" s="312"/>
    </row>
    <row r="13" spans="2:18" x14ac:dyDescent="0.3">
      <c r="B13" s="308" t="s">
        <v>704</v>
      </c>
      <c r="C13" s="327"/>
      <c r="D13" s="309">
        <f t="shared" ref="D13:M13" si="2">D12-C12</f>
        <v>141.86907402748329</v>
      </c>
      <c r="E13" s="309">
        <f t="shared" si="2"/>
        <v>149.7655873309177</v>
      </c>
      <c r="F13" s="309">
        <f t="shared" si="2"/>
        <v>158.23748900153441</v>
      </c>
      <c r="G13" s="309">
        <f t="shared" si="2"/>
        <v>167.33217651747145</v>
      </c>
      <c r="H13" s="309">
        <f t="shared" si="2"/>
        <v>177.10138045907297</v>
      </c>
      <c r="I13" s="309">
        <f t="shared" si="2"/>
        <v>187.60159340706468</v>
      </c>
      <c r="J13" s="309">
        <f t="shared" si="2"/>
        <v>198.89454431333706</v>
      </c>
      <c r="K13" s="309">
        <f t="shared" si="2"/>
        <v>211.04772345740639</v>
      </c>
      <c r="L13" s="309">
        <f t="shared" si="2"/>
        <v>224.13496370742723</v>
      </c>
      <c r="M13" s="309">
        <f t="shared" si="2"/>
        <v>238.23708448572052</v>
      </c>
      <c r="N13" s="320"/>
      <c r="O13" s="312"/>
    </row>
    <row r="14" spans="2:18" x14ac:dyDescent="0.3">
      <c r="B14" s="308" t="s">
        <v>513</v>
      </c>
      <c r="C14" s="327"/>
      <c r="D14" s="309">
        <f t="shared" ref="D14:M14" si="3">D11+D13</f>
        <v>1147.1034006570071</v>
      </c>
      <c r="E14" s="309">
        <f t="shared" si="3"/>
        <v>1210.9518279890117</v>
      </c>
      <c r="F14" s="309">
        <f t="shared" si="3"/>
        <v>1279.4526431456222</v>
      </c>
      <c r="G14" s="309">
        <f t="shared" si="3"/>
        <v>1352.9890854531473</v>
      </c>
      <c r="H14" s="309">
        <f t="shared" si="3"/>
        <v>1431.9794301772695</v>
      </c>
      <c r="I14" s="309">
        <f t="shared" si="3"/>
        <v>1516.8804564427301</v>
      </c>
      <c r="J14" s="309">
        <f t="shared" si="3"/>
        <v>1608.191282828534</v>
      </c>
      <c r="K14" s="309">
        <f t="shared" si="3"/>
        <v>1706.4576119811049</v>
      </c>
      <c r="L14" s="309">
        <f t="shared" si="3"/>
        <v>1812.2764304862994</v>
      </c>
      <c r="M14" s="309">
        <f t="shared" si="3"/>
        <v>1926.3012157479707</v>
      </c>
      <c r="N14" s="320"/>
      <c r="O14" s="321">
        <f>O10*O16</f>
        <v>65.185952278811413</v>
      </c>
    </row>
    <row r="15" spans="2:18" x14ac:dyDescent="0.3">
      <c r="B15" s="308" t="s">
        <v>705</v>
      </c>
      <c r="C15" s="327"/>
      <c r="D15" s="309">
        <f t="shared" ref="D15:M15" si="4">D10-D14</f>
        <v>3217.4711867403375</v>
      </c>
      <c r="E15" s="309">
        <f t="shared" si="4"/>
        <v>3356.5366181231784</v>
      </c>
      <c r="F15" s="309">
        <f t="shared" si="4"/>
        <v>3654.7613509817656</v>
      </c>
      <c r="G15" s="309">
        <f t="shared" si="4"/>
        <v>3770.9392967938061</v>
      </c>
      <c r="H15" s="309">
        <f t="shared" si="4"/>
        <v>3941.9817514438996</v>
      </c>
      <c r="I15" s="309">
        <f t="shared" si="4"/>
        <v>4175.6990026587946</v>
      </c>
      <c r="J15" s="309">
        <f t="shared" si="4"/>
        <v>4427.0612804518105</v>
      </c>
      <c r="K15" s="309">
        <f t="shared" si="4"/>
        <v>4697.5708060340748</v>
      </c>
      <c r="L15" s="309">
        <f t="shared" si="4"/>
        <v>4988.8709760757574</v>
      </c>
      <c r="M15" s="309">
        <f t="shared" si="4"/>
        <v>5302.760696306007</v>
      </c>
      <c r="N15" s="320"/>
      <c r="O15" s="321">
        <f>O10-O14</f>
        <v>7811.1920250398807</v>
      </c>
    </row>
    <row r="16" spans="2:18" x14ac:dyDescent="0.3">
      <c r="B16" s="308" t="s">
        <v>706</v>
      </c>
      <c r="C16" s="327"/>
      <c r="D16" s="328">
        <f t="shared" ref="D16:M16" si="5">D14/D10</f>
        <v>0.26282135353334413</v>
      </c>
      <c r="E16" s="328">
        <f t="shared" si="5"/>
        <v>0.2651242235806342</v>
      </c>
      <c r="F16" s="328">
        <f t="shared" si="5"/>
        <v>0.25930222010403348</v>
      </c>
      <c r="G16" s="328">
        <f t="shared" si="5"/>
        <v>0.2640530828145245</v>
      </c>
      <c r="H16" s="328">
        <f t="shared" si="5"/>
        <v>0.26646627725458982</v>
      </c>
      <c r="I16" s="328">
        <f t="shared" si="5"/>
        <v>0.26646627725458988</v>
      </c>
      <c r="J16" s="328">
        <f t="shared" si="5"/>
        <v>0.26646627725458977</v>
      </c>
      <c r="K16" s="328">
        <f t="shared" si="5"/>
        <v>0.26646627725458982</v>
      </c>
      <c r="L16" s="328">
        <f t="shared" si="5"/>
        <v>0.26646627725458982</v>
      </c>
      <c r="M16" s="328">
        <f t="shared" si="5"/>
        <v>0.26646627725458988</v>
      </c>
      <c r="N16" s="320"/>
      <c r="O16" s="322">
        <f>R6</f>
        <v>8.2761330736697662E-3</v>
      </c>
    </row>
    <row r="18" spans="2:13" x14ac:dyDescent="0.3">
      <c r="B18" s="331" t="s">
        <v>707</v>
      </c>
      <c r="M18" s="332">
        <f>O15/(R5-R4)</f>
        <v>113831.85586575282</v>
      </c>
    </row>
    <row r="20" spans="2:13" x14ac:dyDescent="0.3">
      <c r="B20" s="98" t="s">
        <v>708</v>
      </c>
      <c r="C20" s="207"/>
      <c r="D20" s="216">
        <f>1/(1+$R$5)^1</f>
        <v>0.88375257617475522</v>
      </c>
      <c r="E20" s="216">
        <f>1/(1+$R$5)^2</f>
        <v>0.78101861589551647</v>
      </c>
      <c r="F20" s="216">
        <f>1/(1+$R$5)^3</f>
        <v>0.69022721383810426</v>
      </c>
      <c r="G20" s="216">
        <f>1/(1+$R$5)^4</f>
        <v>0.60999007837534824</v>
      </c>
      <c r="H20" s="216">
        <f>1/(1+$R$5)^5</f>
        <v>0.5390803032052548</v>
      </c>
      <c r="I20" s="216">
        <f>1/(1+$R$5)^6</f>
        <v>0.4764136067227121</v>
      </c>
      <c r="J20" s="216">
        <f>1/(1+$R$5)^7</f>
        <v>0.42103175226590345</v>
      </c>
      <c r="K20" s="216">
        <f>1/(1+$R$5)^8</f>
        <v>0.37208789571636347</v>
      </c>
      <c r="L20" s="216">
        <f>1/(1+$R$5)^9</f>
        <v>0.32883363640277985</v>
      </c>
      <c r="M20" s="216">
        <f>1/(1+$R$5)^10</f>
        <v>0.29060757330386949</v>
      </c>
    </row>
    <row r="22" spans="2:13" x14ac:dyDescent="0.3">
      <c r="B22" s="307" t="s">
        <v>709</v>
      </c>
      <c r="C22" s="314">
        <f>SUM(D22:M22)</f>
        <v>21195.595482578236</v>
      </c>
      <c r="D22" s="315">
        <f t="shared" ref="D22:M22" si="6">D15*D20</f>
        <v>2843.4484500498202</v>
      </c>
      <c r="E22" s="315">
        <f t="shared" si="6"/>
        <v>2621.5175836891826</v>
      </c>
      <c r="F22" s="315">
        <f t="shared" si="6"/>
        <v>2522.6157445313302</v>
      </c>
      <c r="G22" s="315">
        <f t="shared" si="6"/>
        <v>2300.2355571999342</v>
      </c>
      <c r="H22" s="315">
        <f t="shared" si="6"/>
        <v>2125.0447177979586</v>
      </c>
      <c r="I22" s="315">
        <f t="shared" si="6"/>
        <v>1989.3598224451082</v>
      </c>
      <c r="J22" s="315">
        <f t="shared" si="6"/>
        <v>1863.9333682971601</v>
      </c>
      <c r="K22" s="315">
        <f t="shared" si="6"/>
        <v>1747.9092361958403</v>
      </c>
      <c r="L22" s="315">
        <f t="shared" si="6"/>
        <v>1640.508584607277</v>
      </c>
      <c r="M22" s="315">
        <f t="shared" si="6"/>
        <v>1541.022417764626</v>
      </c>
    </row>
    <row r="23" spans="2:13" x14ac:dyDescent="0.3">
      <c r="B23" s="307" t="s">
        <v>710</v>
      </c>
      <c r="C23" s="313"/>
      <c r="D23" s="313"/>
      <c r="E23" s="313"/>
      <c r="F23" s="313"/>
      <c r="G23" s="313"/>
      <c r="H23" s="313"/>
      <c r="I23" s="313"/>
      <c r="J23" s="313"/>
      <c r="K23" s="313"/>
      <c r="L23" s="313"/>
      <c r="M23" s="314">
        <f>M18*M20</f>
        <v>33080.399397822272</v>
      </c>
    </row>
    <row r="24" spans="2:13" x14ac:dyDescent="0.3">
      <c r="I24" s="301" t="s">
        <v>711</v>
      </c>
      <c r="J24" s="301"/>
      <c r="K24" s="301"/>
      <c r="L24" s="301"/>
      <c r="M24" s="301"/>
    </row>
    <row r="25" spans="2:13" x14ac:dyDescent="0.3">
      <c r="B25" s="331" t="s">
        <v>712</v>
      </c>
      <c r="C25" s="332">
        <f>C22+M23</f>
        <v>54275.994880400511</v>
      </c>
      <c r="I25" s="217">
        <f>C32</f>
        <v>546.42436280651077</v>
      </c>
      <c r="J25" s="218">
        <f>R5-0.02</f>
        <v>0.11153842711091312</v>
      </c>
      <c r="K25" s="218">
        <f>R5-0.01</f>
        <v>0.12153842711091313</v>
      </c>
      <c r="L25" s="218">
        <f>R5</f>
        <v>0.13153842711091313</v>
      </c>
      <c r="M25" s="218">
        <f>R5+0.01</f>
        <v>0.14153842711091313</v>
      </c>
    </row>
    <row r="26" spans="2:13" x14ac:dyDescent="0.3">
      <c r="B26" s="308" t="s">
        <v>713</v>
      </c>
      <c r="C26" s="309">
        <f>'Balance Sheet'!C43</f>
        <v>1073.68</v>
      </c>
      <c r="I26" s="219">
        <f>R4-0.01</f>
        <v>5.2917987203019663E-2</v>
      </c>
      <c r="J26" s="220">
        <f>(D15*(1/(1+J25)^1)+E15*(1/(1+J25)^2)+F15*(1/(1+J25)^3)+G15*(1/(1+J25)^4)+H15*(1/(1+J25)^5)+I15*(1/(1+J25)^6)+J15*(1/(1+J25)^7)+K15*(1/(1+J25)^8)+L15*(1/(1+J25)^9)+M15*(1/(1+J25)^10)+(O15/(J25-I26))*(1/(1+J25)^10)+C26-C27-C28)/C31</f>
        <v>704.71266480256111</v>
      </c>
      <c r="K26" s="220">
        <f>(D15*(1/(1+K25)^1)+E15*(1/(1+K25)^2)+F15*(1/(1+K25)^3)+G15*(1/(1+K25)^4)+H15*(1/(1+K25)^5)+I15*(1/(1+K25)^6)+J15*(1/(1+K25)^7)+K15*(1/(1+K25)^8)+L15*(1/(1+K25)^9)+M15*(1/(1+K25)^10)+(O15/(K25-I26))*(1/(1+K25)^10)+C26-C27-C28)/C31</f>
        <v>588.40921618928076</v>
      </c>
      <c r="L26" s="220">
        <f>(D15*(1/(1+L25)^1)+E15*(1/(1+L25)^2)+F15*(1/(1+L25)^3)+G15*(1/(1+L25)^4)+H15*(1/(1+L25)^5)+I15*(1/(1+L25)^6)+J15*(1/(1+L25)^7)+K15*(1/(1+L25)^8)+L15*(1/(1+L25)^9)+M15*(1/(1+L25)^10)+(O15/(L25-I26))*(1/(1+L25)^10)+C26-C27-C28)/C31</f>
        <v>502.55855769621462</v>
      </c>
      <c r="M26" s="220">
        <f>(D15*(1/(1+M25)^1)+E15*(1/(1+M25)^2)+F15*(1/(1+M25)^3)+G15*(1/(1+M25)^4)+H15*(1/(1+M25)^5)+I15*(1/(1+M25)^6)+J15*(1/(1+M25)^7)+K15*(1/(1+M25)^8)+L15*(1/(1+M25)^9)+M15*(1/(1+M25)^10)+(O15/(M25-I26))*(1/(1+M25)^10)+C26-C27-C28)/C31</f>
        <v>436.77469658916874</v>
      </c>
    </row>
    <row r="27" spans="2:13" x14ac:dyDescent="0.3">
      <c r="B27" s="308" t="s">
        <v>714</v>
      </c>
      <c r="C27" s="309">
        <f>'Balance Sheet'!C16+'Balance Sheet'!C22</f>
        <v>2293.2600000000002</v>
      </c>
      <c r="I27" s="219">
        <f>R4</f>
        <v>6.2917987203019665E-2</v>
      </c>
      <c r="J27" s="220">
        <f>(D15*(1/(1+J25)^1)+E15*(1/(1+J25)^2)+F15*(1/(1+J25)^3)+G15*(1/(1+J25)^4)+H15*(1/(1+J25)^5)+I15*(1/(1+J25)^6)+J15*(1/(1+J25)^7)+K15*(1/(1+J25)^8)+L15*(1/(1+J25)^9)+M15*(1/(1+J25)^10)+(O15/(J25-I27))*(1/(1+J25)^10)+C26-C27-C28)/C31</f>
        <v>803.95463414523044</v>
      </c>
      <c r="K27" s="220">
        <f>(D15*(1/(1+K25)^1)+E15*(1/(1+K25)^2)+F15*(1/(1+K25)^3)+G15*(1/(1+K25)^4)+H15*(1/(1+K25)^5)+I15*(1/(1+K25)^6)+J15*(1/(1+K25)^7)+K15*(1/(1+K25)^8)+L15*(1/(1+K25)^9)+M15*(1/(1+K25)^10)+(O15/(K25-I27))*(1/(1+K25)^10)+C26-C27-C28)/C31</f>
        <v>652.70226041007277</v>
      </c>
      <c r="L27" s="221">
        <f>(D15*(1/(1+L25)^1)+E15*(1/(1+L25)^2)+F15*(1/(1+L25)^3)+G15*(1/(1+L25)^4)+H15*(1/(1+L25)^5)+I15*(1/(1+L25)^6)+J15*(1/(1+L25)^7)+K15*(1/(1+L25)^8)+L15*(1/(1+L25)^9)+M15*(1/(1+L25)^10)+(O15/(L25-I27))*(1/(1+L25)^10)+C26-C27-C28)/C31</f>
        <v>546.42436280651077</v>
      </c>
      <c r="M27" s="220">
        <f>(D15*(1/(1+M25)^1)+E15*(1/(1+M25)^2)+F15*(1/(1+M25)^3)+G15*(1/(1+M25)^4)+H15*(1/(1+M25)^5)+I15*(1/(1+M25)^6)+J15*(1/(1+M25)^7)+K15*(1/(1+M25)^8)+L15*(1/(1+M25)^9)+M15*(1/(1+M25)^10)+(O15/(M25-I27))*(1/(1+M25)^10)+C26-C27-C28)/C31</f>
        <v>467.87992665036461</v>
      </c>
    </row>
    <row r="28" spans="2:13" x14ac:dyDescent="0.3">
      <c r="B28" s="308" t="s">
        <v>487</v>
      </c>
      <c r="C28" s="309">
        <f>'Balance Sheet'!C14</f>
        <v>643.39</v>
      </c>
      <c r="I28" s="219">
        <f>R4+0.01</f>
        <v>7.291798720301966E-2</v>
      </c>
      <c r="J28" s="220">
        <f>(D15*(1/(1+J25)^1)+E15*(1/(1+J25)^2)+F15*(1/(1+J25)^3)+G15*(1/(1+J25)^4)+H15*(1/(1+J25)^5)+I15*(1/(1+J25)^6)+J15*(1/(1+J25)^7)+K15*(1/(1+J25)^8)+L15*(1/(1+J25)^9)+M15*(1/(1+J25)^10)+(O15/(J25-I28))*(1/(1+J25)^10)+C26-C27-C28)/C31</f>
        <v>954.59009852801478</v>
      </c>
      <c r="K28" s="220">
        <f>(D15*(1/(1+K25)^1)+E15*(1/(1+K25)^2)+F15*(1/(1+K25)^3)+G15*(1/(1+K25)^4)+H15*(1/(1+K25)^5)+I15*(1/(1+K25)^6)+J15*(1/(1+K25)^7)+K15*(1/(1+K25)^8)+L15*(1/(1+K25)^9)+M15*(1/(1+K25)^10)+(O15/(K25-I28))*(1/(1+K25)^10)+C26-C27-C28)/C31</f>
        <v>743.44222462689447</v>
      </c>
      <c r="L28" s="220">
        <f>(D15*(1/(1+L25)^1)+E15*(1/(1+L25)^2)+F15*(1/(1+L25)^3)+G15*(1/(1+L25)^4)+H15*(1/(1+L25)^5)+I15*(1/(1+L25)^6)+J15*(1/(1+L25)^7)+K15*(1/(1+L25)^8)+L15*(1/(1+L25)^9)+M15*(1/(1+L25)^10)+(O15/(L25-I28))*(1/(1+L25)^10)+C26-C27-C28)/C31</f>
        <v>605.25621224510553</v>
      </c>
      <c r="M28" s="220">
        <f>(D15*(1/(1+M25)^1)+E15*(1/(1+M25)^2)+F15*(1/(1+M25)^3)+G15*(1/(1+M25)^4)+H15*(1/(1+M25)^5)+I15*(1/(1+M25)^6)+J15*(1/(1+M25)^7)+K15*(1/(1+M25)^8)+L15*(1/(1+M25)^9)+M15*(1/(1+M25)^10)+(O15/(M25-I28))*(1/(1+M25)^10)+C26-C27-C28)/C31</f>
        <v>508.05103565461201</v>
      </c>
    </row>
    <row r="29" spans="2:13" ht="15" customHeight="1" x14ac:dyDescent="0.3">
      <c r="B29" s="310" t="s">
        <v>715</v>
      </c>
      <c r="C29" s="311">
        <f>C25+C26-C27-C28</f>
        <v>52413.02488040051</v>
      </c>
      <c r="I29" s="219">
        <f>R4+0.02</f>
        <v>8.2917987203019669E-2</v>
      </c>
      <c r="J29" s="220">
        <f>(D15*(1/(1+J25)^1)+E15*(1/(1+J25)^2)+F15*(1/(1+J25)^3)+G15*(1/(1+J25)^4)+H15*(1/(1+J25)^5)+I15*(1/(1+J25)^6)+J15*(1/(1+J25)^7)+K15*(1/(1+J25)^8)+L15*(1/(1+J25)^9)+M15*(1/(1+J25)^10)+(O15/(J25-I29))*(1/(1+J25)^10)+C26-C27-C28)/C31</f>
        <v>1210.4898180148862</v>
      </c>
      <c r="K29" s="220">
        <f>(D15*(1/(1+K25)^1)+E15*(1/(1+K25)^2)+F15*(1/(1+K25)^3)+G15*(1/(1+K25)^4)+H15*(1/(1+K25)^5)+I15*(1/(1+K25)^6)+J15*(1/(1+K25)^7)+K15*(1/(1+K25)^8)+L15*(1/(1+K25)^9)+M15*(1/(1+K25)^10)+(O15/(K25-I29))*(1/(1+K25)^10)+C26-C27-C28)/C31</f>
        <v>881.17283132900627</v>
      </c>
      <c r="L29" s="220">
        <f>(D15*(1/(1+L25)^1)+E15*(1/(1+L25)^2)+F15*(1/(1+L25)^3)+G15*(1/(1+L25)^4)+H15*(1/(1+L25)^5)+I15*(1/(1+L25)^6)+J15*(1/(1+L25)^7)+K15*(1/(1+L25)^8)+L15*(1/(1+L25)^9)+M15*(1/(1+L25)^10)+(O15/(L25-I29))*(1/(1+L25)^10)+C26-C27-C28)/C31</f>
        <v>688.28852122295859</v>
      </c>
      <c r="M29" s="220">
        <f>(D15*(1/(1+M25)^1)+E15*(1/(1+M25)^2)+F15*(1/(1+M25)^3)+G15*(1/(1+M25)^4)+H15*(1/(1+M25)^5)+I15*(1/(1+M25)^6)+J15*(1/(1+M25)^7)+K15*(1/(1+M25)^8)+L15*(1/(1+M25)^9)+M15*(1/(1+M25)^10)+(O15/(M25-I29))*(1/(1+M25)^10)+C26-C27-C28)/C31</f>
        <v>561.92764023936547</v>
      </c>
    </row>
    <row r="30" spans="2:13" x14ac:dyDescent="0.3">
      <c r="B30" s="312"/>
      <c r="C30" s="313"/>
      <c r="I30" s="219">
        <f>R4+0.03</f>
        <v>9.2917987203019664E-2</v>
      </c>
      <c r="J30" s="220">
        <f>(D15*(1/(1+J25)^1)+E15*(1/(1+J25)^2)+F15*(1/(1+J25)^3)+G15*(1/(1+J25)^4)+H15*(1/(1+J25)^5)+I15*(1/(1+J25)^6)+J15*(1/(1+J25)^7)+K15*(1/(1+J25)^8)+L15*(1/(1+J25)^9)+M15*(1/(1+J25)^10)+(O15/(J25-I30))*(1/(1+J25)^10)+C26-C27-C28)/C31</f>
        <v>1741.2484782708118</v>
      </c>
      <c r="K30" s="220">
        <f>(D15*(1/(1+K25)^1)+E15*(1/(1+K25)^2)+F15*(1/(1+K25)^3)+G15*(1/(1+K25)^4)+H15*(1/(1+K25)^5)+I15*(1/(1+K25)^6)+J15*(1/(1+K25)^7)+K15*(1/(1+K25)^8)+L15*(1/(1+K25)^9)+M15*(1/(1+K25)^10)+(O15/(K25-I30))*(1/(1+K25)^10)+C26-C27-C28)/C31</f>
        <v>1115.14976208858</v>
      </c>
      <c r="L30" s="220">
        <f>(D15*(1/(1+L25)^1)+E15*(1/(1+L25)^2)+F15*(1/(1+L25)^3)+G15*(1/(1+L25)^4)+H15*(1/(1+L25)^5)+I15*(1/(1+L25)^6)+J15*(1/(1+L25)^7)+K15*(1/(1+L25)^8)+L15*(1/(1+L25)^9)+M15*(1/(1+L25)^10)+(O15/(L25-I30))*(1/(1+L25)^10)+C26-C27-C28)/C31</f>
        <v>814.31998255426879</v>
      </c>
      <c r="M30" s="220">
        <f>(D15*(1/(1+M25)^1)+E15*(1/(1+M25)^2)+F15*(1/(1+M25)^3)+G15*(1/(1+M25)^4)+H15*(1/(1+M25)^5)+I15*(1/(1+M25)^6)+J15*(1/(1+M25)^7)+K15*(1/(1+M25)^8)+L15*(1/(1+M25)^9)+M15*(1/(1+M25)^10)+(O15/(M25-I30))*(1/(1+M25)^10)+C26-C27-C28)/C31</f>
        <v>637.96636622278061</v>
      </c>
    </row>
    <row r="31" spans="2:13" x14ac:dyDescent="0.3">
      <c r="B31" s="307" t="s">
        <v>716</v>
      </c>
      <c r="C31" s="333">
        <f>WACC!C22</f>
        <v>95.92</v>
      </c>
    </row>
    <row r="32" spans="2:13" ht="15" customHeight="1" x14ac:dyDescent="0.3">
      <c r="B32" s="329" t="s">
        <v>717</v>
      </c>
      <c r="C32" s="330">
        <f>C29/C31</f>
        <v>546.42436280651077</v>
      </c>
      <c r="F32" s="222" t="s">
        <v>718</v>
      </c>
    </row>
    <row r="33" spans="2:3" x14ac:dyDescent="0.3">
      <c r="B33" s="312"/>
      <c r="C33" s="313"/>
    </row>
  </sheetData>
  <mergeCells count="2">
    <mergeCell ref="B1:M1"/>
    <mergeCell ref="I24:M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Company Overview</vt:lpstr>
      <vt:lpstr>Promoters</vt:lpstr>
      <vt:lpstr>Public</vt:lpstr>
      <vt:lpstr>Balance Sheet</vt:lpstr>
      <vt:lpstr>Profit &amp; Loss</vt:lpstr>
      <vt:lpstr>Cash Flow</vt:lpstr>
      <vt:lpstr>Stock Analysis</vt:lpstr>
      <vt:lpstr>Historical Analysis</vt:lpstr>
      <vt:lpstr>Ratio Analysis</vt:lpstr>
      <vt:lpstr>Fixed Assets Schedule</vt:lpstr>
      <vt:lpstr>Working Capital Changes</vt:lpstr>
      <vt:lpstr>Assumption</vt:lpstr>
      <vt:lpstr>FCFF</vt:lpstr>
      <vt:lpstr>WACC</vt:lpstr>
      <vt:lpstr>COC</vt:lpstr>
      <vt:lpstr>Relative Valuation</vt:lpstr>
      <vt:lpstr>Peer Comps.</vt:lpstr>
      <vt:lpstr>Growth Scenerio</vt:lpstr>
      <vt:lpstr>Growth Rate Analysis</vt:lpstr>
      <vt:lpstr>DCF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Naina Sinsinwar</dc:creator>
  <dc:description/>
  <cp:lastModifiedBy>Naina Sinsinwar</cp:lastModifiedBy>
  <cp:revision>0</cp:revision>
  <dcterms:created xsi:type="dcterms:W3CDTF">2026-06-13T09:27:45Z</dcterms:created>
  <dcterms:modified xsi:type="dcterms:W3CDTF">2026-06-29T08:55:30Z</dcterms:modified>
  <dc:language>en-US</dc:language>
</cp:coreProperties>
</file>