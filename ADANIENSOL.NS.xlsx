
<file path=[Content_Types].xml><?xml version="1.0" encoding="utf-8"?>
<Types xmlns="http://schemas.openxmlformats.org/package/2006/content-type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naina\Downloads\CSA Advisor\"/>
    </mc:Choice>
  </mc:AlternateContent>
  <xr:revisionPtr revIDLastSave="0" documentId="13_ncr:1_{E4D80265-CC40-4E1D-811C-217BF8F82457}" xr6:coauthVersionLast="47" xr6:coauthVersionMax="47" xr10:uidLastSave="{00000000-0000-0000-0000-000000000000}"/>
  <bookViews>
    <workbookView xWindow="-110" yWindow="-110" windowWidth="19420" windowHeight="11500" tabRatio="500" firstSheet="19" activeTab="21" xr2:uid="{00000000-000D-0000-FFFF-FFFF00000000}"/>
  </bookViews>
  <sheets>
    <sheet name="Company Cover" sheetId="1" r:id="rId1"/>
    <sheet name="Promoters" sheetId="2" r:id="rId2"/>
    <sheet name="Public" sheetId="3" r:id="rId3"/>
    <sheet name="Consolidated Balance Sheet" sheetId="5" r:id="rId4"/>
    <sheet name="Consolidated Profit &amp; Loss" sheetId="6" r:id="rId5"/>
    <sheet name="Consolidated Cash Flow" sheetId="7" r:id="rId6"/>
    <sheet name="Peer Comps" sheetId="22" r:id="rId7"/>
    <sheet name="Stock Analysis" sheetId="4" r:id="rId8"/>
    <sheet name="Ratio Analysis" sheetId="8" r:id="rId9"/>
    <sheet name="Assumption" sheetId="17" r:id="rId10"/>
    <sheet name="Historical FS" sheetId="9" r:id="rId11"/>
    <sheet name="Fixed Assets Schedule" sheetId="10" r:id="rId12"/>
    <sheet name="Working Capital Changes" sheetId="11" r:id="rId13"/>
    <sheet name="FCFF" sheetId="12" r:id="rId14"/>
    <sheet name="Beta Calculation" sheetId="13" r:id="rId15"/>
    <sheet name="Wacc" sheetId="14" r:id="rId16"/>
    <sheet name="Cost of Capital" sheetId="15" r:id="rId17"/>
    <sheet name="Peer Comp." sheetId="20" r:id="rId18"/>
    <sheet name="Relative Valuation" sheetId="21" r:id="rId19"/>
    <sheet name="Growth rate analysis" sheetId="16" r:id="rId20"/>
    <sheet name="Growth Scenerio" sheetId="18" r:id="rId21"/>
    <sheet name="DCF Valuation" sheetId="19"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 i="21" l="1"/>
  <c r="L10" i="21"/>
  <c r="K10" i="21"/>
  <c r="J10" i="21"/>
  <c r="G10" i="21"/>
  <c r="F10" i="21"/>
  <c r="F11" i="15" s="1"/>
  <c r="D10" i="21"/>
  <c r="C10" i="21"/>
  <c r="E10" i="21" s="1"/>
  <c r="H10" i="21" s="1"/>
  <c r="P10" i="21" s="1"/>
  <c r="P9" i="21"/>
  <c r="M9" i="21"/>
  <c r="L9" i="21"/>
  <c r="K9" i="21"/>
  <c r="J9" i="21"/>
  <c r="G9" i="21"/>
  <c r="F9" i="21"/>
  <c r="F10" i="15" s="1"/>
  <c r="D9" i="21"/>
  <c r="C9" i="21"/>
  <c r="E9" i="21" s="1"/>
  <c r="H9" i="21" s="1"/>
  <c r="O9" i="21" s="1"/>
  <c r="M8" i="21"/>
  <c r="Q8" i="21" s="1"/>
  <c r="L8" i="21"/>
  <c r="K8" i="21"/>
  <c r="J8" i="21"/>
  <c r="G8" i="21"/>
  <c r="F8" i="21"/>
  <c r="F9" i="15" s="1"/>
  <c r="D8" i="21"/>
  <c r="C8" i="21"/>
  <c r="E8" i="21" s="1"/>
  <c r="M7" i="21"/>
  <c r="L7" i="21"/>
  <c r="K7" i="21"/>
  <c r="J7" i="21"/>
  <c r="G7" i="21"/>
  <c r="F7" i="21"/>
  <c r="D7" i="21"/>
  <c r="Q7" i="21" s="1"/>
  <c r="C7" i="21"/>
  <c r="M6" i="21"/>
  <c r="K6" i="21"/>
  <c r="J6" i="21"/>
  <c r="G6" i="21"/>
  <c r="F6" i="21"/>
  <c r="C15" i="21" s="1"/>
  <c r="D15" i="21" s="1"/>
  <c r="D6" i="21"/>
  <c r="Q6" i="21" s="1"/>
  <c r="C6" i="21"/>
  <c r="H3" i="20"/>
  <c r="L6" i="21" s="1"/>
  <c r="F32" i="19"/>
  <c r="C28" i="19"/>
  <c r="C27" i="19"/>
  <c r="C26" i="19"/>
  <c r="O16" i="18"/>
  <c r="O11" i="18"/>
  <c r="O6" i="18"/>
  <c r="C6" i="18"/>
  <c r="G42" i="17"/>
  <c r="F42" i="17"/>
  <c r="G41" i="17"/>
  <c r="F41" i="17"/>
  <c r="E41" i="17"/>
  <c r="D41" i="17"/>
  <c r="C41" i="17"/>
  <c r="G40" i="17"/>
  <c r="F40" i="17"/>
  <c r="E40" i="17"/>
  <c r="E42" i="17" s="1"/>
  <c r="D40" i="17"/>
  <c r="C40" i="17"/>
  <c r="G39" i="17"/>
  <c r="F39" i="17"/>
  <c r="E39" i="17"/>
  <c r="D39" i="17"/>
  <c r="C39" i="17"/>
  <c r="G20" i="17"/>
  <c r="F20" i="17"/>
  <c r="E20" i="17"/>
  <c r="D20" i="17"/>
  <c r="C20" i="17"/>
  <c r="G18" i="17"/>
  <c r="F18" i="17"/>
  <c r="E18" i="17"/>
  <c r="D18" i="17"/>
  <c r="C18" i="17"/>
  <c r="G16" i="17"/>
  <c r="F16" i="17"/>
  <c r="E16" i="17"/>
  <c r="D16" i="17"/>
  <c r="C16" i="17"/>
  <c r="G15" i="17"/>
  <c r="F15" i="17"/>
  <c r="E15" i="17"/>
  <c r="D15" i="17"/>
  <c r="C15" i="17"/>
  <c r="G13" i="17"/>
  <c r="F13" i="17"/>
  <c r="E13" i="17"/>
  <c r="D13" i="17"/>
  <c r="C13" i="17"/>
  <c r="G10" i="17"/>
  <c r="F10" i="17"/>
  <c r="E10" i="17"/>
  <c r="D10" i="17"/>
  <c r="C10" i="17"/>
  <c r="G9" i="17"/>
  <c r="F9" i="17"/>
  <c r="E9" i="17"/>
  <c r="D9" i="17"/>
  <c r="C9" i="17"/>
  <c r="G8" i="17"/>
  <c r="F8" i="17"/>
  <c r="F11" i="17" s="1"/>
  <c r="E8" i="17"/>
  <c r="D8" i="17"/>
  <c r="C8" i="17"/>
  <c r="G7" i="17"/>
  <c r="F7" i="17"/>
  <c r="E7" i="17"/>
  <c r="D7" i="17"/>
  <c r="C7" i="17"/>
  <c r="G6" i="17"/>
  <c r="G11" i="17" s="1"/>
  <c r="G12" i="17" s="1"/>
  <c r="F6" i="17"/>
  <c r="E6" i="17"/>
  <c r="E11" i="17" s="1"/>
  <c r="D6" i="17"/>
  <c r="D11" i="17" s="1"/>
  <c r="C6" i="17"/>
  <c r="C11" i="17" s="1"/>
  <c r="G4" i="17"/>
  <c r="F4" i="17"/>
  <c r="E4" i="17"/>
  <c r="D4" i="17"/>
  <c r="C4" i="17"/>
  <c r="C23" i="16"/>
  <c r="C21" i="16"/>
  <c r="C9" i="16"/>
  <c r="C8" i="16"/>
  <c r="C24" i="14"/>
  <c r="C26" i="14" s="1"/>
  <c r="C20" i="14"/>
  <c r="C18" i="14"/>
  <c r="C17" i="14"/>
  <c r="C16" i="14" s="1"/>
  <c r="C21" i="14" s="1"/>
  <c r="C11" i="14"/>
  <c r="C12" i="14" s="1"/>
  <c r="G5" i="13"/>
  <c r="G4" i="13"/>
  <c r="G3" i="13"/>
  <c r="E8" i="12"/>
  <c r="D8" i="12"/>
  <c r="G7" i="12"/>
  <c r="F7" i="12"/>
  <c r="E7" i="12"/>
  <c r="D7" i="12"/>
  <c r="C7" i="12"/>
  <c r="E6" i="12"/>
  <c r="D6" i="12"/>
  <c r="C6" i="12"/>
  <c r="C11" i="12" s="1"/>
  <c r="C15" i="12" s="1"/>
  <c r="G5" i="12"/>
  <c r="G6" i="12" s="1"/>
  <c r="F5" i="12"/>
  <c r="F6" i="12" s="1"/>
  <c r="G4" i="12"/>
  <c r="F4" i="12"/>
  <c r="E4" i="12"/>
  <c r="E5" i="12" s="1"/>
  <c r="D4" i="12"/>
  <c r="D5" i="12" s="1"/>
  <c r="C4" i="12"/>
  <c r="C5" i="12" s="1"/>
  <c r="G22" i="11"/>
  <c r="F22" i="11"/>
  <c r="G21" i="11"/>
  <c r="F21" i="11"/>
  <c r="E21" i="11"/>
  <c r="D21" i="11"/>
  <c r="C21" i="11"/>
  <c r="G20" i="11"/>
  <c r="F20" i="11"/>
  <c r="E20" i="11"/>
  <c r="D20" i="11"/>
  <c r="C20" i="11"/>
  <c r="G19" i="11"/>
  <c r="F19" i="11"/>
  <c r="E19" i="11"/>
  <c r="D19" i="11"/>
  <c r="C19" i="11"/>
  <c r="G12" i="11"/>
  <c r="F12" i="11"/>
  <c r="E12" i="11"/>
  <c r="D12" i="11"/>
  <c r="C12" i="11"/>
  <c r="G11" i="11"/>
  <c r="F11" i="11"/>
  <c r="E11" i="11"/>
  <c r="D11" i="11"/>
  <c r="C11" i="11"/>
  <c r="G10" i="11"/>
  <c r="F10" i="11"/>
  <c r="E10" i="11"/>
  <c r="D10" i="11"/>
  <c r="C10" i="11"/>
  <c r="G9" i="11"/>
  <c r="F9" i="11"/>
  <c r="E9" i="11"/>
  <c r="D9" i="11"/>
  <c r="C9" i="11"/>
  <c r="G7" i="11"/>
  <c r="F7" i="11"/>
  <c r="E7" i="11"/>
  <c r="D7" i="11"/>
  <c r="C7" i="11"/>
  <c r="C14" i="11" s="1"/>
  <c r="G6" i="11"/>
  <c r="F6" i="11"/>
  <c r="E6" i="11"/>
  <c r="D6" i="11"/>
  <c r="C6" i="11"/>
  <c r="G5" i="11"/>
  <c r="F5" i="11"/>
  <c r="E5" i="11"/>
  <c r="D5" i="11"/>
  <c r="C5" i="11"/>
  <c r="G4" i="11"/>
  <c r="F4" i="11"/>
  <c r="E4" i="11"/>
  <c r="D4" i="11"/>
  <c r="C4" i="11"/>
  <c r="G25" i="10"/>
  <c r="F25" i="10"/>
  <c r="E25" i="10"/>
  <c r="D25" i="10"/>
  <c r="C25" i="10"/>
  <c r="E22" i="10"/>
  <c r="E24" i="10" s="1"/>
  <c r="D22" i="10"/>
  <c r="D24" i="10" s="1"/>
  <c r="G21" i="10"/>
  <c r="F21" i="10"/>
  <c r="E21" i="10"/>
  <c r="D21" i="10"/>
  <c r="C21" i="10"/>
  <c r="E20" i="10"/>
  <c r="E23" i="10" s="1"/>
  <c r="G17" i="10"/>
  <c r="F17" i="10"/>
  <c r="E17" i="10"/>
  <c r="D17" i="10"/>
  <c r="C17" i="10"/>
  <c r="G16" i="10"/>
  <c r="F16" i="10"/>
  <c r="E16" i="10"/>
  <c r="D16" i="10"/>
  <c r="C16" i="10"/>
  <c r="G15" i="10"/>
  <c r="F15" i="10"/>
  <c r="E15" i="10"/>
  <c r="D15" i="10"/>
  <c r="C15" i="10"/>
  <c r="G14" i="10"/>
  <c r="F14" i="10"/>
  <c r="E14" i="10"/>
  <c r="D14" i="10"/>
  <c r="C14" i="10"/>
  <c r="G11" i="10"/>
  <c r="F11" i="10"/>
  <c r="E11" i="10"/>
  <c r="D11" i="10"/>
  <c r="G10" i="10"/>
  <c r="F10" i="10"/>
  <c r="E10" i="10"/>
  <c r="D10" i="10"/>
  <c r="C10" i="10"/>
  <c r="G7" i="10"/>
  <c r="F7" i="10"/>
  <c r="E7" i="10"/>
  <c r="D7" i="10"/>
  <c r="C7" i="10"/>
  <c r="G6" i="10"/>
  <c r="G20" i="10" s="1"/>
  <c r="G23" i="10" s="1"/>
  <c r="F6" i="10"/>
  <c r="F20" i="10" s="1"/>
  <c r="E6" i="10"/>
  <c r="D6" i="10"/>
  <c r="D20" i="10" s="1"/>
  <c r="D23" i="10" s="1"/>
  <c r="G5" i="10"/>
  <c r="F5" i="10"/>
  <c r="E5" i="10"/>
  <c r="D5" i="10"/>
  <c r="G61" i="9"/>
  <c r="F61" i="9"/>
  <c r="E61" i="9"/>
  <c r="D61" i="9"/>
  <c r="C61" i="9"/>
  <c r="G59" i="9"/>
  <c r="F59" i="9"/>
  <c r="E59" i="9"/>
  <c r="D59" i="9"/>
  <c r="C59" i="9"/>
  <c r="G58" i="9"/>
  <c r="F58" i="9"/>
  <c r="E58" i="9"/>
  <c r="D58" i="9"/>
  <c r="C58" i="9"/>
  <c r="G57" i="9"/>
  <c r="F57" i="9"/>
  <c r="E57" i="9"/>
  <c r="D57" i="9"/>
  <c r="C57" i="9"/>
  <c r="G56" i="9"/>
  <c r="F56" i="9"/>
  <c r="E56" i="9"/>
  <c r="D56" i="9"/>
  <c r="C56" i="9"/>
  <c r="G54" i="9"/>
  <c r="F54" i="9"/>
  <c r="E54" i="9"/>
  <c r="D54" i="9"/>
  <c r="C54" i="9"/>
  <c r="G53" i="9"/>
  <c r="F53" i="9"/>
  <c r="E53" i="9"/>
  <c r="D53" i="9"/>
  <c r="C53" i="9"/>
  <c r="G52" i="9"/>
  <c r="F52" i="9"/>
  <c r="E52" i="9"/>
  <c r="D52" i="9"/>
  <c r="C52" i="9"/>
  <c r="G51" i="9"/>
  <c r="F51" i="9"/>
  <c r="E51" i="9"/>
  <c r="D51" i="9"/>
  <c r="C51" i="9"/>
  <c r="G50" i="9"/>
  <c r="F50" i="9"/>
  <c r="E50" i="9"/>
  <c r="D50" i="9"/>
  <c r="C50" i="9"/>
  <c r="G48" i="9"/>
  <c r="F48" i="9"/>
  <c r="E48" i="9"/>
  <c r="D48" i="9"/>
  <c r="C48" i="9"/>
  <c r="G47" i="9"/>
  <c r="F47" i="9"/>
  <c r="E47" i="9"/>
  <c r="D47" i="9"/>
  <c r="C47" i="9"/>
  <c r="G46" i="9"/>
  <c r="F46" i="9"/>
  <c r="E46" i="9"/>
  <c r="D46" i="9"/>
  <c r="C46" i="9"/>
  <c r="G45" i="9"/>
  <c r="F45" i="9"/>
  <c r="E45" i="9"/>
  <c r="D45" i="9"/>
  <c r="C45" i="9"/>
  <c r="G44" i="9"/>
  <c r="F44" i="9"/>
  <c r="E44" i="9"/>
  <c r="D44" i="9"/>
  <c r="C44" i="9"/>
  <c r="G43" i="9"/>
  <c r="F43" i="9"/>
  <c r="E43" i="9"/>
  <c r="D43" i="9"/>
  <c r="C43" i="9"/>
  <c r="G42" i="9"/>
  <c r="F42" i="9"/>
  <c r="E42" i="9"/>
  <c r="D42" i="9"/>
  <c r="C42" i="9"/>
  <c r="G41" i="9"/>
  <c r="F41" i="9"/>
  <c r="E41" i="9"/>
  <c r="D41" i="9"/>
  <c r="C41" i="9"/>
  <c r="G40" i="9"/>
  <c r="F40" i="9"/>
  <c r="E40" i="9"/>
  <c r="D40" i="9"/>
  <c r="C40" i="9"/>
  <c r="G39" i="9"/>
  <c r="F39" i="9"/>
  <c r="E39" i="9"/>
  <c r="D39" i="9"/>
  <c r="C39" i="9"/>
  <c r="G35" i="9"/>
  <c r="F35" i="9"/>
  <c r="E35" i="9"/>
  <c r="D35" i="9"/>
  <c r="G34" i="9"/>
  <c r="F34" i="9"/>
  <c r="E34" i="9"/>
  <c r="D34" i="9"/>
  <c r="C34" i="9"/>
  <c r="G32" i="9"/>
  <c r="F32" i="9"/>
  <c r="E32" i="9"/>
  <c r="D32" i="9"/>
  <c r="C32" i="9"/>
  <c r="G31" i="9"/>
  <c r="F31" i="9"/>
  <c r="E31" i="9"/>
  <c r="D31" i="9"/>
  <c r="C31" i="9"/>
  <c r="G29" i="9"/>
  <c r="F29" i="9"/>
  <c r="E29" i="9"/>
  <c r="D29" i="9"/>
  <c r="C29" i="9"/>
  <c r="G28" i="9"/>
  <c r="F28" i="9"/>
  <c r="E28" i="9"/>
  <c r="D28" i="9"/>
  <c r="C28" i="9"/>
  <c r="G26" i="9"/>
  <c r="F26" i="9"/>
  <c r="E26" i="9"/>
  <c r="D26" i="9"/>
  <c r="C26" i="9"/>
  <c r="G25" i="9"/>
  <c r="F25" i="9"/>
  <c r="E25" i="9"/>
  <c r="D25" i="9"/>
  <c r="C25" i="9"/>
  <c r="G23" i="9"/>
  <c r="F23" i="9"/>
  <c r="E23" i="9"/>
  <c r="D23" i="9"/>
  <c r="C23" i="9"/>
  <c r="G21" i="9"/>
  <c r="F21" i="9"/>
  <c r="E21" i="9"/>
  <c r="D21" i="9"/>
  <c r="C21" i="9"/>
  <c r="G20" i="9"/>
  <c r="F20" i="9"/>
  <c r="E20" i="9"/>
  <c r="D20" i="9"/>
  <c r="C20" i="9"/>
  <c r="G18" i="9"/>
  <c r="F18" i="9"/>
  <c r="E18" i="9"/>
  <c r="D18" i="9"/>
  <c r="C18" i="9"/>
  <c r="G17" i="9"/>
  <c r="F17" i="9"/>
  <c r="E17" i="9"/>
  <c r="D17" i="9"/>
  <c r="C17" i="9"/>
  <c r="G15" i="9"/>
  <c r="F15" i="9"/>
  <c r="E15" i="9"/>
  <c r="D15" i="9"/>
  <c r="C15" i="9"/>
  <c r="G14" i="9"/>
  <c r="F14" i="9"/>
  <c r="E14" i="9"/>
  <c r="D14" i="9"/>
  <c r="C14" i="9"/>
  <c r="G12" i="9"/>
  <c r="F12" i="9"/>
  <c r="E12" i="9"/>
  <c r="D12" i="9"/>
  <c r="C12" i="9"/>
  <c r="G11" i="9"/>
  <c r="F11" i="9"/>
  <c r="E11" i="9"/>
  <c r="D11" i="9"/>
  <c r="C11" i="9"/>
  <c r="G9" i="9"/>
  <c r="F9" i="9"/>
  <c r="E9" i="9"/>
  <c r="D9" i="9"/>
  <c r="C9" i="9"/>
  <c r="G8" i="9"/>
  <c r="F8" i="9"/>
  <c r="E8" i="9"/>
  <c r="D8" i="9"/>
  <c r="C8" i="9"/>
  <c r="G6" i="9"/>
  <c r="F6" i="9"/>
  <c r="E6" i="9"/>
  <c r="D6" i="9"/>
  <c r="G5" i="9"/>
  <c r="F5" i="9"/>
  <c r="E5" i="9"/>
  <c r="C7" i="16" s="1"/>
  <c r="D5" i="9"/>
  <c r="C6" i="16" s="1"/>
  <c r="C5" i="9"/>
  <c r="C5" i="16" s="1"/>
  <c r="F5" i="16" s="1"/>
  <c r="G56" i="8"/>
  <c r="F56" i="8"/>
  <c r="H56" i="8" s="1"/>
  <c r="E56" i="8"/>
  <c r="D56" i="8"/>
  <c r="C56" i="8"/>
  <c r="G55" i="8"/>
  <c r="F55" i="8"/>
  <c r="E55" i="8"/>
  <c r="D55" i="8"/>
  <c r="C55" i="8"/>
  <c r="H55" i="8" s="1"/>
  <c r="G54" i="8"/>
  <c r="F54" i="8"/>
  <c r="H54" i="8" s="1"/>
  <c r="E54" i="8"/>
  <c r="D54" i="8"/>
  <c r="C54" i="8"/>
  <c r="G51" i="8"/>
  <c r="F51" i="8"/>
  <c r="E51" i="8"/>
  <c r="D51" i="8"/>
  <c r="H51" i="8" s="1"/>
  <c r="G50" i="8"/>
  <c r="F50" i="8"/>
  <c r="E50" i="8"/>
  <c r="H50" i="8" s="1"/>
  <c r="D50" i="8"/>
  <c r="G49" i="8"/>
  <c r="F49" i="8"/>
  <c r="E49" i="8"/>
  <c r="D49" i="8"/>
  <c r="H49" i="8" s="1"/>
  <c r="G46" i="8"/>
  <c r="F46" i="8"/>
  <c r="E46" i="8"/>
  <c r="D46" i="8"/>
  <c r="C46" i="8"/>
  <c r="H46" i="8" s="1"/>
  <c r="G45" i="8"/>
  <c r="F45" i="8"/>
  <c r="E45" i="8"/>
  <c r="D45" i="8"/>
  <c r="C45" i="8"/>
  <c r="G42" i="8"/>
  <c r="F42" i="8"/>
  <c r="E42" i="8"/>
  <c r="D42" i="8"/>
  <c r="C42" i="8"/>
  <c r="H42" i="8" s="1"/>
  <c r="G41" i="8"/>
  <c r="F41" i="8"/>
  <c r="E41" i="8"/>
  <c r="D41" i="8"/>
  <c r="C41" i="8"/>
  <c r="G40" i="8"/>
  <c r="F40" i="8"/>
  <c r="E40" i="8"/>
  <c r="D40" i="8"/>
  <c r="C40" i="8"/>
  <c r="H40" i="8" s="1"/>
  <c r="G39" i="8"/>
  <c r="F39" i="8"/>
  <c r="E39" i="8"/>
  <c r="D39" i="8"/>
  <c r="C39" i="8"/>
  <c r="G38" i="8"/>
  <c r="F38" i="8"/>
  <c r="E38" i="8"/>
  <c r="D38" i="8"/>
  <c r="C38" i="8"/>
  <c r="H38" i="8" s="1"/>
  <c r="G35" i="8"/>
  <c r="F35" i="8"/>
  <c r="E35" i="8"/>
  <c r="D35" i="8"/>
  <c r="C35" i="8"/>
  <c r="G34" i="8"/>
  <c r="F34" i="8"/>
  <c r="E34" i="8"/>
  <c r="D34" i="8"/>
  <c r="C34" i="8"/>
  <c r="G33" i="8"/>
  <c r="F33" i="8"/>
  <c r="E33" i="8"/>
  <c r="D33" i="8"/>
  <c r="C33" i="8"/>
  <c r="H33" i="8" s="1"/>
  <c r="G30" i="8"/>
  <c r="F30" i="8"/>
  <c r="E30" i="8"/>
  <c r="D30" i="8"/>
  <c r="C30" i="8"/>
  <c r="H30" i="8" s="1"/>
  <c r="G29" i="8"/>
  <c r="F29" i="8"/>
  <c r="E29" i="8"/>
  <c r="D29" i="8"/>
  <c r="C29" i="8"/>
  <c r="H28" i="8"/>
  <c r="G28" i="8"/>
  <c r="F28" i="8"/>
  <c r="E28" i="8"/>
  <c r="D28" i="8"/>
  <c r="C28" i="8"/>
  <c r="G27" i="8"/>
  <c r="F27" i="8"/>
  <c r="E27" i="8"/>
  <c r="D27" i="8"/>
  <c r="C27" i="8"/>
  <c r="G26" i="8"/>
  <c r="H26" i="8" s="1"/>
  <c r="F26" i="8"/>
  <c r="E26" i="8"/>
  <c r="D26" i="8"/>
  <c r="C26" i="8"/>
  <c r="G25" i="8"/>
  <c r="F25" i="8"/>
  <c r="E25" i="8"/>
  <c r="D25" i="8"/>
  <c r="C25" i="8"/>
  <c r="G24" i="8"/>
  <c r="F24" i="8"/>
  <c r="H24" i="8" s="1"/>
  <c r="E24" i="8"/>
  <c r="D24" i="8"/>
  <c r="C24" i="8"/>
  <c r="G23" i="8"/>
  <c r="F23" i="8"/>
  <c r="E23" i="8"/>
  <c r="D23" i="8"/>
  <c r="C23" i="8"/>
  <c r="G22" i="8"/>
  <c r="F22" i="8"/>
  <c r="E22" i="8"/>
  <c r="H22" i="8" s="1"/>
  <c r="D22" i="8"/>
  <c r="C22" i="8"/>
  <c r="G19" i="8"/>
  <c r="F19" i="8"/>
  <c r="E19" i="8"/>
  <c r="D19" i="8"/>
  <c r="H19" i="8" s="1"/>
  <c r="H18" i="8"/>
  <c r="G18" i="8"/>
  <c r="F18" i="8"/>
  <c r="E18" i="8"/>
  <c r="D18" i="8"/>
  <c r="C18" i="8"/>
  <c r="G17" i="8"/>
  <c r="F17" i="8"/>
  <c r="E17" i="8"/>
  <c r="D17" i="8"/>
  <c r="C17" i="8"/>
  <c r="H17" i="8" s="1"/>
  <c r="G16" i="8"/>
  <c r="H16" i="8" s="1"/>
  <c r="F16" i="8"/>
  <c r="E16" i="8"/>
  <c r="D16" i="8"/>
  <c r="C16" i="8"/>
  <c r="G15" i="8"/>
  <c r="F15" i="8"/>
  <c r="E15" i="8"/>
  <c r="D15" i="8"/>
  <c r="C15" i="8"/>
  <c r="H15" i="8" s="1"/>
  <c r="G14" i="8"/>
  <c r="F14" i="8"/>
  <c r="H14" i="8" s="1"/>
  <c r="E14" i="8"/>
  <c r="D14" i="8"/>
  <c r="C14" i="8"/>
  <c r="G13" i="8"/>
  <c r="F13" i="8"/>
  <c r="E13" i="8"/>
  <c r="D13" i="8"/>
  <c r="C13" i="8"/>
  <c r="H13" i="8" s="1"/>
  <c r="G12" i="8"/>
  <c r="F12" i="8"/>
  <c r="E12" i="8"/>
  <c r="H12" i="8" s="1"/>
  <c r="D12" i="8"/>
  <c r="C12" i="8"/>
  <c r="G11" i="8"/>
  <c r="F11" i="8"/>
  <c r="E11" i="8"/>
  <c r="D11" i="8"/>
  <c r="C11" i="8"/>
  <c r="H11" i="8" s="1"/>
  <c r="G10" i="8"/>
  <c r="F10" i="8"/>
  <c r="E10" i="8"/>
  <c r="D10" i="8"/>
  <c r="H10" i="8" s="1"/>
  <c r="C10" i="8"/>
  <c r="G9" i="8"/>
  <c r="F9" i="8"/>
  <c r="E9" i="8"/>
  <c r="D9" i="8"/>
  <c r="C9" i="8"/>
  <c r="H9" i="8" s="1"/>
  <c r="G8" i="8"/>
  <c r="F8" i="8"/>
  <c r="E8" i="8"/>
  <c r="D8" i="8"/>
  <c r="C8" i="8"/>
  <c r="H8" i="8" s="1"/>
  <c r="G7" i="8"/>
  <c r="F7" i="8"/>
  <c r="E7" i="8"/>
  <c r="D7" i="8"/>
  <c r="C7" i="8"/>
  <c r="H7" i="8" s="1"/>
  <c r="G6" i="8"/>
  <c r="F6" i="8"/>
  <c r="E6" i="8"/>
  <c r="D6" i="8"/>
  <c r="C6" i="8"/>
  <c r="G5" i="8"/>
  <c r="F5" i="8"/>
  <c r="E5" i="8"/>
  <c r="D5" i="8"/>
  <c r="H5" i="8" s="1"/>
  <c r="M40" i="6"/>
  <c r="L40" i="6"/>
  <c r="K40" i="6"/>
  <c r="J40" i="6"/>
  <c r="M39" i="6"/>
  <c r="L39" i="6"/>
  <c r="K39" i="6"/>
  <c r="J39" i="6"/>
  <c r="M36" i="6"/>
  <c r="L36" i="6"/>
  <c r="K36" i="6"/>
  <c r="J36" i="6"/>
  <c r="M35" i="6"/>
  <c r="L35" i="6"/>
  <c r="K35" i="6"/>
  <c r="J35" i="6"/>
  <c r="M34" i="6"/>
  <c r="L34" i="6"/>
  <c r="K34" i="6"/>
  <c r="J34" i="6"/>
  <c r="M33" i="6"/>
  <c r="L33" i="6"/>
  <c r="K33" i="6"/>
  <c r="J33" i="6"/>
  <c r="M32" i="6"/>
  <c r="L32" i="6"/>
  <c r="K32" i="6"/>
  <c r="J32" i="6"/>
  <c r="M31" i="6"/>
  <c r="L31" i="6"/>
  <c r="K31" i="6"/>
  <c r="J31" i="6"/>
  <c r="M30" i="6"/>
  <c r="L30" i="6"/>
  <c r="K30" i="6"/>
  <c r="J30" i="6"/>
  <c r="M29" i="6"/>
  <c r="L29" i="6"/>
  <c r="K29" i="6"/>
  <c r="J29" i="6"/>
  <c r="M28" i="6"/>
  <c r="L28" i="6"/>
  <c r="K28" i="6"/>
  <c r="J28" i="6"/>
  <c r="M26" i="6"/>
  <c r="L26" i="6"/>
  <c r="K26" i="6"/>
  <c r="J26" i="6"/>
  <c r="M25" i="6"/>
  <c r="L25" i="6"/>
  <c r="K25" i="6"/>
  <c r="J25" i="6"/>
  <c r="M24" i="6"/>
  <c r="L24" i="6"/>
  <c r="K24" i="6"/>
  <c r="J24" i="6"/>
  <c r="M23" i="6"/>
  <c r="L23" i="6"/>
  <c r="K23" i="6"/>
  <c r="J23" i="6"/>
  <c r="M22" i="6"/>
  <c r="L22" i="6"/>
  <c r="K22" i="6"/>
  <c r="J22" i="6"/>
  <c r="M21" i="6"/>
  <c r="L21" i="6"/>
  <c r="K21" i="6"/>
  <c r="J21" i="6"/>
  <c r="M20" i="6"/>
  <c r="L20" i="6"/>
  <c r="K20" i="6"/>
  <c r="J20" i="6"/>
  <c r="M19" i="6"/>
  <c r="L19" i="6"/>
  <c r="K19" i="6"/>
  <c r="J19" i="6"/>
  <c r="M17" i="6"/>
  <c r="L17" i="6"/>
  <c r="K17" i="6"/>
  <c r="J17" i="6"/>
  <c r="M16" i="6"/>
  <c r="L16" i="6"/>
  <c r="K16" i="6"/>
  <c r="J16" i="6"/>
  <c r="M15" i="6"/>
  <c r="L15" i="6"/>
  <c r="K15" i="6"/>
  <c r="J15" i="6"/>
  <c r="M13" i="6"/>
  <c r="L13" i="6"/>
  <c r="K13" i="6"/>
  <c r="J13" i="6"/>
  <c r="M12" i="6"/>
  <c r="L12" i="6"/>
  <c r="K12" i="6"/>
  <c r="J12" i="6"/>
  <c r="M11" i="6"/>
  <c r="L11" i="6"/>
  <c r="K11" i="6"/>
  <c r="J11" i="6"/>
  <c r="M10" i="6"/>
  <c r="L10" i="6"/>
  <c r="K10" i="6"/>
  <c r="J10" i="6"/>
  <c r="M9" i="6"/>
  <c r="L9" i="6"/>
  <c r="K9" i="6"/>
  <c r="J9" i="6"/>
  <c r="M8" i="6"/>
  <c r="L8" i="6"/>
  <c r="K8" i="6"/>
  <c r="J8" i="6"/>
  <c r="M59" i="5"/>
  <c r="L59" i="5"/>
  <c r="K59" i="5"/>
  <c r="J59" i="5"/>
  <c r="M58" i="5"/>
  <c r="L58" i="5"/>
  <c r="K58" i="5"/>
  <c r="M56" i="5"/>
  <c r="M55" i="5"/>
  <c r="L55" i="5"/>
  <c r="K55" i="5"/>
  <c r="J55" i="5"/>
  <c r="M52" i="5"/>
  <c r="L52" i="5"/>
  <c r="K52" i="5"/>
  <c r="J52" i="5"/>
  <c r="M49" i="5"/>
  <c r="L49" i="5"/>
  <c r="K49" i="5"/>
  <c r="J49" i="5"/>
  <c r="M48" i="5"/>
  <c r="L48" i="5"/>
  <c r="K48" i="5"/>
  <c r="J48" i="5"/>
  <c r="M47" i="5"/>
  <c r="L47" i="5"/>
  <c r="K47" i="5"/>
  <c r="J47" i="5"/>
  <c r="M46" i="5"/>
  <c r="L46" i="5"/>
  <c r="K46" i="5"/>
  <c r="J46" i="5"/>
  <c r="M45" i="5"/>
  <c r="L45" i="5"/>
  <c r="K45" i="5"/>
  <c r="J45" i="5"/>
  <c r="M44" i="5"/>
  <c r="L44" i="5"/>
  <c r="K44" i="5"/>
  <c r="J44" i="5"/>
  <c r="M43" i="5"/>
  <c r="L43" i="5"/>
  <c r="K43" i="5"/>
  <c r="J43" i="5"/>
  <c r="M42" i="5"/>
  <c r="L42" i="5"/>
  <c r="K42" i="5"/>
  <c r="J42" i="5"/>
  <c r="M40" i="5"/>
  <c r="L40" i="5"/>
  <c r="K40" i="5"/>
  <c r="J40" i="5"/>
  <c r="M39" i="5"/>
  <c r="L39" i="5"/>
  <c r="K39" i="5"/>
  <c r="J39" i="5"/>
  <c r="M38" i="5"/>
  <c r="L38" i="5"/>
  <c r="K38" i="5"/>
  <c r="J38" i="5"/>
  <c r="M37" i="5"/>
  <c r="L37" i="5"/>
  <c r="M36" i="5"/>
  <c r="L36" i="5"/>
  <c r="K36" i="5"/>
  <c r="J36" i="5"/>
  <c r="M35" i="5"/>
  <c r="L35" i="5"/>
  <c r="K35" i="5"/>
  <c r="J35" i="5"/>
  <c r="M34" i="5"/>
  <c r="M33" i="5"/>
  <c r="L33" i="5"/>
  <c r="K33" i="5"/>
  <c r="J33" i="5"/>
  <c r="M32" i="5"/>
  <c r="L32" i="5"/>
  <c r="K32" i="5"/>
  <c r="J32" i="5"/>
  <c r="M31" i="5"/>
  <c r="L31" i="5"/>
  <c r="K31" i="5"/>
  <c r="J31" i="5"/>
  <c r="M28" i="5"/>
  <c r="L28" i="5"/>
  <c r="K28" i="5"/>
  <c r="J28" i="5"/>
  <c r="M27" i="5"/>
  <c r="L27" i="5"/>
  <c r="K27" i="5"/>
  <c r="J27" i="5"/>
  <c r="M26" i="5"/>
  <c r="L26" i="5"/>
  <c r="K26" i="5"/>
  <c r="J26" i="5"/>
  <c r="M25" i="5"/>
  <c r="L25" i="5"/>
  <c r="K25" i="5"/>
  <c r="J25" i="5"/>
  <c r="M24" i="5"/>
  <c r="L24" i="5"/>
  <c r="K24" i="5"/>
  <c r="J24" i="5"/>
  <c r="M23" i="5"/>
  <c r="L23" i="5"/>
  <c r="K23" i="5"/>
  <c r="J23" i="5"/>
  <c r="M21" i="5"/>
  <c r="L21" i="5"/>
  <c r="K21" i="5"/>
  <c r="J21" i="5"/>
  <c r="M20" i="5"/>
  <c r="L20" i="5"/>
  <c r="K20" i="5"/>
  <c r="J20" i="5"/>
  <c r="M19" i="5"/>
  <c r="L19" i="5"/>
  <c r="K19" i="5"/>
  <c r="J19" i="5"/>
  <c r="M18" i="5"/>
  <c r="L18" i="5"/>
  <c r="K18" i="5"/>
  <c r="J18" i="5"/>
  <c r="M17" i="5"/>
  <c r="L17" i="5"/>
  <c r="K17" i="5"/>
  <c r="J17" i="5"/>
  <c r="M15" i="5"/>
  <c r="L15" i="5"/>
  <c r="K15" i="5"/>
  <c r="J15" i="5"/>
  <c r="J14" i="5"/>
  <c r="M13" i="5"/>
  <c r="L13" i="5"/>
  <c r="K13" i="5"/>
  <c r="J13" i="5"/>
  <c r="M12" i="5"/>
  <c r="L12" i="5"/>
  <c r="K12" i="5"/>
  <c r="J12" i="5"/>
  <c r="M11" i="5"/>
  <c r="L11" i="5"/>
  <c r="K11" i="5"/>
  <c r="J11" i="5"/>
  <c r="M10" i="5"/>
  <c r="L10" i="5"/>
  <c r="K10" i="5"/>
  <c r="J10" i="5"/>
  <c r="M9" i="5"/>
  <c r="L9" i="5"/>
  <c r="K9" i="5"/>
  <c r="J9" i="5"/>
  <c r="K19" i="15"/>
  <c r="G14" i="15"/>
  <c r="C20" i="15" s="1"/>
  <c r="G13" i="15"/>
  <c r="F8" i="15"/>
  <c r="J7" i="15"/>
  <c r="J14" i="15" s="1"/>
  <c r="F7" i="15"/>
  <c r="C19" i="15" s="1"/>
  <c r="C28" i="15" l="1"/>
  <c r="E10" i="15"/>
  <c r="I10" i="15" s="1"/>
  <c r="E7" i="21"/>
  <c r="Q10" i="21"/>
  <c r="O10" i="21"/>
  <c r="Q9" i="21"/>
  <c r="O13" i="21" s="1"/>
  <c r="E14" i="21" s="1"/>
  <c r="E16" i="21" s="1"/>
  <c r="E18" i="21" s="1"/>
  <c r="G7" i="16"/>
  <c r="D7" i="16"/>
  <c r="F7" i="16"/>
  <c r="D14" i="11"/>
  <c r="D15" i="11" s="1"/>
  <c r="G6" i="16"/>
  <c r="F6" i="16"/>
  <c r="D6" i="16"/>
  <c r="C30" i="14"/>
  <c r="C31" i="19"/>
  <c r="C21" i="15"/>
  <c r="K38" i="15" s="1"/>
  <c r="C22" i="11"/>
  <c r="H6" i="8"/>
  <c r="D22" i="11"/>
  <c r="G14" i="17"/>
  <c r="G28" i="17"/>
  <c r="C33" i="14"/>
  <c r="C35" i="14" s="1"/>
  <c r="E14" i="11"/>
  <c r="G8" i="16"/>
  <c r="F8" i="16"/>
  <c r="G9" i="16"/>
  <c r="D8" i="16"/>
  <c r="D9" i="16"/>
  <c r="E6" i="21"/>
  <c r="C17" i="21"/>
  <c r="D17" i="21" s="1"/>
  <c r="E17" i="21" s="1"/>
  <c r="E11" i="15"/>
  <c r="H11" i="15" s="1"/>
  <c r="K11" i="15" s="1"/>
  <c r="F14" i="11"/>
  <c r="F15" i="11" s="1"/>
  <c r="O18" i="21"/>
  <c r="O12" i="21"/>
  <c r="O19" i="21"/>
  <c r="J13" i="15"/>
  <c r="H29" i="8"/>
  <c r="F23" i="10"/>
  <c r="C28" i="10" s="1"/>
  <c r="F22" i="10"/>
  <c r="G14" i="11"/>
  <c r="H8" i="21"/>
  <c r="E9" i="15"/>
  <c r="H9" i="15" s="1"/>
  <c r="K9" i="15" s="1"/>
  <c r="O15" i="21"/>
  <c r="C11" i="18"/>
  <c r="C21" i="18"/>
  <c r="H27" i="8"/>
  <c r="E22" i="11"/>
  <c r="C24" i="16"/>
  <c r="C25" i="16" s="1"/>
  <c r="R4" i="19" s="1"/>
  <c r="H25" i="8"/>
  <c r="O16" i="21"/>
  <c r="H23" i="8"/>
  <c r="H34" i="8"/>
  <c r="D25" i="17"/>
  <c r="C12" i="17"/>
  <c r="D12" i="17"/>
  <c r="D5" i="17"/>
  <c r="H45" i="8"/>
  <c r="G22" i="10"/>
  <c r="E12" i="17"/>
  <c r="E5" i="17"/>
  <c r="H41" i="8"/>
  <c r="F12" i="17"/>
  <c r="F5" i="17"/>
  <c r="K20" i="15"/>
  <c r="H39" i="8"/>
  <c r="C25" i="17"/>
  <c r="C42" i="17"/>
  <c r="C13" i="16"/>
  <c r="H35" i="8"/>
  <c r="F9" i="16"/>
  <c r="C14" i="16" s="1"/>
  <c r="G5" i="17"/>
  <c r="D42" i="17"/>
  <c r="H10" i="15" l="1"/>
  <c r="K10" i="15" s="1"/>
  <c r="I9" i="15"/>
  <c r="H7" i="21"/>
  <c r="E8" i="15"/>
  <c r="C12" i="19"/>
  <c r="G15" i="11"/>
  <c r="G29" i="17"/>
  <c r="G38" i="17"/>
  <c r="G45" i="17" s="1"/>
  <c r="G44" i="17"/>
  <c r="G17" i="17"/>
  <c r="F24" i="10"/>
  <c r="F8" i="12"/>
  <c r="F10" i="12" s="1"/>
  <c r="D16" i="11"/>
  <c r="D9" i="12"/>
  <c r="D10" i="12" s="1"/>
  <c r="E28" i="17"/>
  <c r="E14" i="17"/>
  <c r="F16" i="11"/>
  <c r="F9" i="12"/>
  <c r="G8" i="12"/>
  <c r="G24" i="10"/>
  <c r="I11" i="15"/>
  <c r="O6" i="19"/>
  <c r="C5" i="19"/>
  <c r="C16" i="18"/>
  <c r="E15" i="11"/>
  <c r="C24" i="17"/>
  <c r="O10" i="18" s="1"/>
  <c r="I5" i="17"/>
  <c r="O5" i="18" s="1"/>
  <c r="D28" i="17"/>
  <c r="D14" i="17"/>
  <c r="P8" i="21"/>
  <c r="O8" i="21"/>
  <c r="C12" i="16"/>
  <c r="C27" i="10"/>
  <c r="C36" i="14"/>
  <c r="C38" i="14" s="1"/>
  <c r="C28" i="17"/>
  <c r="C14" i="17"/>
  <c r="H6" i="21"/>
  <c r="E7" i="15"/>
  <c r="F14" i="17"/>
  <c r="F28" i="17"/>
  <c r="C15" i="16"/>
  <c r="O7" i="21" l="1"/>
  <c r="P7" i="21"/>
  <c r="N13" i="21" s="1"/>
  <c r="D14" i="21" s="1"/>
  <c r="D16" i="21" s="1"/>
  <c r="D18" i="21" s="1"/>
  <c r="H8" i="15"/>
  <c r="K8" i="15" s="1"/>
  <c r="I8" i="15"/>
  <c r="E16" i="11"/>
  <c r="D17" i="11" s="1"/>
  <c r="E9" i="12"/>
  <c r="E10" i="12" s="1"/>
  <c r="E17" i="17"/>
  <c r="E44" i="17"/>
  <c r="E38" i="17"/>
  <c r="E45" i="17" s="1"/>
  <c r="E29" i="17"/>
  <c r="R5" i="19"/>
  <c r="F13" i="12"/>
  <c r="F11" i="12"/>
  <c r="C30" i="10"/>
  <c r="C29" i="10"/>
  <c r="C47" i="17" s="1"/>
  <c r="O15" i="18" s="1"/>
  <c r="N18" i="21"/>
  <c r="N19" i="21"/>
  <c r="N12" i="21"/>
  <c r="N16" i="21"/>
  <c r="G21" i="17"/>
  <c r="G31" i="17" s="1"/>
  <c r="G30" i="17"/>
  <c r="G34" i="17"/>
  <c r="G19" i="17"/>
  <c r="D17" i="17"/>
  <c r="D38" i="17"/>
  <c r="D45" i="17" s="1"/>
  <c r="D29" i="17"/>
  <c r="D44" i="17"/>
  <c r="D7" i="18"/>
  <c r="O7" i="18"/>
  <c r="O8" i="18" s="1"/>
  <c r="G10" i="12"/>
  <c r="I7" i="15"/>
  <c r="H7" i="15"/>
  <c r="C29" i="15"/>
  <c r="O12" i="18"/>
  <c r="O13" i="18" s="1"/>
  <c r="D12" i="18"/>
  <c r="G9" i="12"/>
  <c r="G16" i="11"/>
  <c r="C17" i="17"/>
  <c r="C29" i="17"/>
  <c r="C38" i="17"/>
  <c r="C45" i="17" s="1"/>
  <c r="C44" i="17"/>
  <c r="D13" i="12"/>
  <c r="D11" i="12"/>
  <c r="M16" i="21"/>
  <c r="M18" i="21"/>
  <c r="M15" i="21"/>
  <c r="M19" i="21"/>
  <c r="M13" i="21"/>
  <c r="C14" i="21" s="1"/>
  <c r="C16" i="21" s="1"/>
  <c r="C18" i="21" s="1"/>
  <c r="M12" i="21"/>
  <c r="F29" i="17"/>
  <c r="F38" i="17"/>
  <c r="F45" i="17" s="1"/>
  <c r="F44" i="17"/>
  <c r="F17" i="17"/>
  <c r="O6" i="21"/>
  <c r="P6" i="21"/>
  <c r="N15" i="21" l="1"/>
  <c r="I13" i="15"/>
  <c r="E28" i="15" s="1"/>
  <c r="I14" i="15"/>
  <c r="D24" i="11"/>
  <c r="F30" i="17"/>
  <c r="F21" i="17"/>
  <c r="F31" i="17" s="1"/>
  <c r="F34" i="17"/>
  <c r="F19" i="17"/>
  <c r="G13" i="12"/>
  <c r="G11" i="12"/>
  <c r="D25" i="11"/>
  <c r="J20" i="19"/>
  <c r="I20" i="19"/>
  <c r="H20" i="19"/>
  <c r="G20" i="19"/>
  <c r="K20" i="19"/>
  <c r="M20" i="19"/>
  <c r="L20" i="19"/>
  <c r="F20" i="19"/>
  <c r="E20" i="19"/>
  <c r="D20" i="19"/>
  <c r="R6" i="19"/>
  <c r="O16" i="19" s="1"/>
  <c r="E7" i="18"/>
  <c r="F7" i="18" s="1"/>
  <c r="G7" i="18" s="1"/>
  <c r="H7" i="18" s="1"/>
  <c r="I7" i="18" s="1"/>
  <c r="J7" i="18" s="1"/>
  <c r="K7" i="18" s="1"/>
  <c r="L7" i="18" s="1"/>
  <c r="M7" i="18" s="1"/>
  <c r="D6" i="18"/>
  <c r="L8" i="19"/>
  <c r="K8" i="19"/>
  <c r="J8" i="19"/>
  <c r="I8" i="19"/>
  <c r="F8" i="19"/>
  <c r="D8" i="19"/>
  <c r="E8" i="19"/>
  <c r="M8" i="19"/>
  <c r="H8" i="19"/>
  <c r="G8" i="19"/>
  <c r="C30" i="17"/>
  <c r="C21" i="17"/>
  <c r="C31" i="17" s="1"/>
  <c r="C34" i="17"/>
  <c r="C19" i="17"/>
  <c r="D17" i="18"/>
  <c r="O17" i="18"/>
  <c r="O18" i="18" s="1"/>
  <c r="D21" i="17"/>
  <c r="D31" i="17" s="1"/>
  <c r="D30" i="17"/>
  <c r="D34" i="17"/>
  <c r="D19" i="17"/>
  <c r="E12" i="18"/>
  <c r="D22" i="18"/>
  <c r="D11" i="18"/>
  <c r="E11" i="18" s="1"/>
  <c r="F14" i="12"/>
  <c r="F15" i="12"/>
  <c r="C30" i="15"/>
  <c r="D18" i="11"/>
  <c r="E30" i="17"/>
  <c r="E21" i="17"/>
  <c r="E31" i="17" s="1"/>
  <c r="E34" i="17"/>
  <c r="E19" i="17"/>
  <c r="D14" i="12"/>
  <c r="D15" i="12"/>
  <c r="H13" i="15"/>
  <c r="H14" i="15"/>
  <c r="K7" i="15"/>
  <c r="E13" i="12"/>
  <c r="D18" i="12" s="1"/>
  <c r="E11" i="12"/>
  <c r="D6" i="19" l="1"/>
  <c r="D21" i="18"/>
  <c r="K39" i="15"/>
  <c r="G14" i="12"/>
  <c r="G15" i="12"/>
  <c r="F12" i="18"/>
  <c r="E22" i="18"/>
  <c r="E6" i="19" s="1"/>
  <c r="O8" i="19"/>
  <c r="E14" i="12"/>
  <c r="E15" i="12"/>
  <c r="D30" i="15"/>
  <c r="E30" i="15" s="1"/>
  <c r="E29" i="15" s="1"/>
  <c r="K36" i="15" s="1"/>
  <c r="D28" i="15"/>
  <c r="E17" i="18"/>
  <c r="F17" i="18" s="1"/>
  <c r="G17" i="18" s="1"/>
  <c r="H17" i="18" s="1"/>
  <c r="I17" i="18" s="1"/>
  <c r="J17" i="18" s="1"/>
  <c r="K17" i="18" s="1"/>
  <c r="L17" i="18" s="1"/>
  <c r="M17" i="18" s="1"/>
  <c r="D16" i="18"/>
  <c r="E16" i="18" s="1"/>
  <c r="F16" i="18" s="1"/>
  <c r="G16" i="18" s="1"/>
  <c r="H16" i="18" s="1"/>
  <c r="I16" i="18" s="1"/>
  <c r="J16" i="18" s="1"/>
  <c r="K16" i="18" s="1"/>
  <c r="L16" i="18" s="1"/>
  <c r="M16" i="18" s="1"/>
  <c r="D29" i="15"/>
  <c r="K13" i="15"/>
  <c r="K14" i="15"/>
  <c r="K27" i="15" s="1"/>
  <c r="D17" i="12"/>
  <c r="E6" i="18"/>
  <c r="F6" i="18" s="1"/>
  <c r="G6" i="18" s="1"/>
  <c r="H6" i="18" s="1"/>
  <c r="I6" i="18" s="1"/>
  <c r="J6" i="18" s="1"/>
  <c r="K6" i="18" s="1"/>
  <c r="L6" i="18" s="1"/>
  <c r="M6" i="18" s="1"/>
  <c r="E32" i="15" l="1"/>
  <c r="K28" i="15" s="1"/>
  <c r="K30" i="15" s="1"/>
  <c r="K21" i="15" s="1"/>
  <c r="K22" i="15" s="1"/>
  <c r="K35" i="15" s="1"/>
  <c r="K41" i="15" s="1"/>
  <c r="G12" i="18"/>
  <c r="F22" i="18"/>
  <c r="F6" i="19" s="1"/>
  <c r="D32" i="15"/>
  <c r="E21" i="18"/>
  <c r="D5" i="19"/>
  <c r="F11" i="18"/>
  <c r="G11" i="18" s="1"/>
  <c r="D12" i="19" l="1"/>
  <c r="D13" i="19" s="1"/>
  <c r="D11" i="19"/>
  <c r="D14" i="19" s="1"/>
  <c r="D7" i="19"/>
  <c r="F21" i="18"/>
  <c r="E5" i="19"/>
  <c r="H12" i="18"/>
  <c r="G22" i="18"/>
  <c r="G6" i="19" s="1"/>
  <c r="I12" i="18" l="1"/>
  <c r="H22" i="18"/>
  <c r="H6" i="19" s="1"/>
  <c r="E11" i="19"/>
  <c r="E12" i="19"/>
  <c r="E13" i="19" s="1"/>
  <c r="E7" i="19"/>
  <c r="G21" i="18"/>
  <c r="F5" i="19"/>
  <c r="D9" i="19"/>
  <c r="D10" i="19" s="1"/>
  <c r="H11" i="18"/>
  <c r="I11" i="18" s="1"/>
  <c r="E14" i="19" l="1"/>
  <c r="D15" i="19"/>
  <c r="D22" i="19" s="1"/>
  <c r="D16" i="19"/>
  <c r="F11" i="19"/>
  <c r="F12" i="19"/>
  <c r="F13" i="19" s="1"/>
  <c r="F7" i="19"/>
  <c r="H21" i="18"/>
  <c r="G5" i="19"/>
  <c r="E9" i="19"/>
  <c r="E10" i="19"/>
  <c r="E15" i="19" s="1"/>
  <c r="E22" i="19" s="1"/>
  <c r="E16" i="19"/>
  <c r="J12" i="18"/>
  <c r="I22" i="18"/>
  <c r="I6" i="19" s="1"/>
  <c r="K12" i="18" l="1"/>
  <c r="J22" i="18"/>
  <c r="J6" i="19" s="1"/>
  <c r="G11" i="19"/>
  <c r="G12" i="19"/>
  <c r="G13" i="19" s="1"/>
  <c r="G7" i="19"/>
  <c r="I21" i="18"/>
  <c r="H5" i="19"/>
  <c r="F9" i="19"/>
  <c r="F10" i="19"/>
  <c r="F14" i="19"/>
  <c r="F16" i="19" s="1"/>
  <c r="J11" i="18"/>
  <c r="K11" i="18" s="1"/>
  <c r="F15" i="19" l="1"/>
  <c r="F22" i="19" s="1"/>
  <c r="I5" i="19"/>
  <c r="J21" i="18"/>
  <c r="G9" i="19"/>
  <c r="G10" i="19"/>
  <c r="G14" i="19"/>
  <c r="G16" i="19" s="1"/>
  <c r="H11" i="19"/>
  <c r="H12" i="19"/>
  <c r="H13" i="19" s="1"/>
  <c r="H7" i="19"/>
  <c r="K22" i="18"/>
  <c r="K6" i="19" s="1"/>
  <c r="L12" i="18"/>
  <c r="H14" i="19" l="1"/>
  <c r="I11" i="19"/>
  <c r="I12" i="19"/>
  <c r="I13" i="19" s="1"/>
  <c r="I7" i="19"/>
  <c r="M12" i="18"/>
  <c r="M22" i="18" s="1"/>
  <c r="M6" i="19" s="1"/>
  <c r="L22" i="18"/>
  <c r="L6" i="19" s="1"/>
  <c r="H9" i="19"/>
  <c r="H10" i="19"/>
  <c r="H15" i="19" s="1"/>
  <c r="H22" i="19" s="1"/>
  <c r="G15" i="19"/>
  <c r="G22" i="19" s="1"/>
  <c r="J5" i="19"/>
  <c r="K21" i="18"/>
  <c r="L11" i="18"/>
  <c r="M11" i="18" s="1"/>
  <c r="K5" i="19" l="1"/>
  <c r="L21" i="18"/>
  <c r="I9" i="19"/>
  <c r="I10" i="19" s="1"/>
  <c r="I15" i="19" s="1"/>
  <c r="I22" i="19" s="1"/>
  <c r="J12" i="19"/>
  <c r="J13" i="19" s="1"/>
  <c r="J11" i="19"/>
  <c r="J14" i="19" s="1"/>
  <c r="J7" i="19"/>
  <c r="I14" i="19"/>
  <c r="H16" i="19"/>
  <c r="L5" i="19" l="1"/>
  <c r="M21" i="18"/>
  <c r="M5" i="19" s="1"/>
  <c r="K12" i="19"/>
  <c r="K13" i="19" s="1"/>
  <c r="K11" i="19"/>
  <c r="K7" i="19"/>
  <c r="I16" i="19"/>
  <c r="J9" i="19"/>
  <c r="J10" i="19" s="1"/>
  <c r="K14" i="19" l="1"/>
  <c r="K16" i="19" s="1"/>
  <c r="J15" i="19"/>
  <c r="J22" i="19" s="1"/>
  <c r="J16" i="19"/>
  <c r="K9" i="19"/>
  <c r="K10" i="19"/>
  <c r="M11" i="19"/>
  <c r="M12" i="19"/>
  <c r="O5" i="19"/>
  <c r="O7" i="19" s="1"/>
  <c r="M7" i="19"/>
  <c r="L11" i="19"/>
  <c r="L12" i="19"/>
  <c r="L13" i="19" s="1"/>
  <c r="L7" i="19"/>
  <c r="K15" i="19" l="1"/>
  <c r="K22" i="19" s="1"/>
  <c r="L9" i="19"/>
  <c r="L10" i="19" s="1"/>
  <c r="L14" i="19"/>
  <c r="M9" i="19"/>
  <c r="M10" i="19"/>
  <c r="O9" i="19"/>
  <c r="O10" i="19" s="1"/>
  <c r="M13" i="19"/>
  <c r="M14" i="19"/>
  <c r="M16" i="19" s="1"/>
  <c r="L15" i="19" l="1"/>
  <c r="L22" i="19" s="1"/>
  <c r="O14" i="19"/>
  <c r="O15" i="19" s="1"/>
  <c r="C18" i="19" s="1"/>
  <c r="C23" i="19" s="1"/>
  <c r="C25" i="19" s="1"/>
  <c r="M15" i="19"/>
  <c r="M22" i="19" s="1"/>
  <c r="C22" i="19" s="1"/>
  <c r="L16" i="19"/>
  <c r="C29" i="19" l="1"/>
  <c r="C32" i="19" s="1"/>
  <c r="F33" i="19" l="1"/>
  <c r="I25" i="19"/>
</calcChain>
</file>

<file path=xl/sharedStrings.xml><?xml version="1.0" encoding="utf-8"?>
<sst xmlns="http://schemas.openxmlformats.org/spreadsheetml/2006/main" count="1200" uniqueCount="648">
  <si>
    <t>Peer Comp</t>
  </si>
  <si>
    <t>Name of the company</t>
  </si>
  <si>
    <t>Country</t>
  </si>
  <si>
    <t>Total Equity</t>
  </si>
  <si>
    <t>Total Debt</t>
  </si>
  <si>
    <t>Tax Rate</t>
  </si>
  <si>
    <t>Debt/ Equity</t>
  </si>
  <si>
    <t>Debt/ Capital</t>
  </si>
  <si>
    <t>Levered/ beta</t>
  </si>
  <si>
    <t>Unlevered/ beta</t>
  </si>
  <si>
    <t>Adani Energy Solutions</t>
  </si>
  <si>
    <t>India</t>
  </si>
  <si>
    <t>Tata Power</t>
  </si>
  <si>
    <t>Torrent Power</t>
  </si>
  <si>
    <t>Power Grid Corp</t>
  </si>
  <si>
    <t>CESC Ltd</t>
  </si>
  <si>
    <t>Average</t>
  </si>
  <si>
    <t>Median</t>
  </si>
  <si>
    <t>Cost of Debt</t>
  </si>
  <si>
    <t>Cost of Equity</t>
  </si>
  <si>
    <t>Pre-tax Cost of Debt</t>
  </si>
  <si>
    <t>Risk Free Rate</t>
  </si>
  <si>
    <t>Equity Risk Premium</t>
  </si>
  <si>
    <t>After Tax Cost of Debt</t>
  </si>
  <si>
    <t>Levered Beta</t>
  </si>
  <si>
    <t>Capital Structure</t>
  </si>
  <si>
    <t>Current</t>
  </si>
  <si>
    <t>Target</t>
  </si>
  <si>
    <t>Comps Median Unlevered Beta</t>
  </si>
  <si>
    <t>Target Debt/ Equity</t>
  </si>
  <si>
    <t>Market Capitalization</t>
  </si>
  <si>
    <t>Total Capital</t>
  </si>
  <si>
    <t>Weighted Average Cost of Capital</t>
  </si>
  <si>
    <t>Equity Weight</t>
  </si>
  <si>
    <t>Debt Weight</t>
  </si>
  <si>
    <t>WACC</t>
  </si>
  <si>
    <t>ADANI ENERGY SOLUTIONS LTD.</t>
  </si>
  <si>
    <t>NSE/BSE Listed  |  Sector: Power  |  Industry: Power Transmission &amp; Distribution  |  Part of Adani Group</t>
  </si>
  <si>
    <t xml:space="preserve">  ABOUT THE COMPANY</t>
  </si>
  <si>
    <t>Adani Energy Solutions Ltd (AESL) is India's largest private power transmission company and part of the Adani Group. AESL operates across four segments: Power Transmission (~40%), Power Distribution (~50%), Smart Metering (~3%), and Trading/Others (~7%). The company serves 13 Mn+ consumers in Mumbai &amp; Mundra SEZ and operates 36 transmission assets across 16 states with 27,949 ckm network. AESL's under-construction transmission pipeline stands at ~₹71,779 Cr with a smart metering pipeline of ₹29,519 Cr across 24.6 Mn meters. The company targets 30,000 ckm of transmission lines by 2030, backed by planned capex of ₹22,000 Cr (FY27) and ₹23,000 Cr (FY28).</t>
  </si>
  <si>
    <t>Shareholding Pattern</t>
  </si>
  <si>
    <t>Adani Energy Solutions Ltd</t>
  </si>
  <si>
    <t>Scrip Code : 539254</t>
  </si>
  <si>
    <t>Quarter Ending : Mar-26</t>
  </si>
  <si>
    <t>Statement showing shareholding pattern of the Promoter and Promoter Group</t>
  </si>
  <si>
    <t>Category of shareholder</t>
  </si>
  <si>
    <t>Entity Type</t>
  </si>
  <si>
    <t>Nos. of shareholders</t>
  </si>
  <si>
    <t>No. of fully paid up equity shares held</t>
  </si>
  <si>
    <t>Total nos. shares held</t>
  </si>
  <si>
    <t>Shareholding as a % of total no. of shares (calculated as per SCRR, 1957)As a % of (A+B+C2)</t>
  </si>
  <si>
    <t>Number of Voting Rights held in each class of securities</t>
  </si>
  <si>
    <t>Total No. Of shares on fully diluted basis (including warrants, ESOP, Convertible Securities etc.)</t>
  </si>
  <si>
    <t>Shareholding , as a % assuming full conversion of convertible securities ( as a percentage of diluted share capital)As a % of (A+B+C2)</t>
  </si>
  <si>
    <t>Number of Shares pledged or otherwise encumbered</t>
  </si>
  <si>
    <t>Total Number of Shares encumbered</t>
  </si>
  <si>
    <t>Number of equity shares held in dematerialized form</t>
  </si>
  <si>
    <t>Class eg: X</t>
  </si>
  <si>
    <t>Total</t>
  </si>
  <si>
    <t>No.(a)</t>
  </si>
  <si>
    <t>As a % of total Shares held(b)</t>
  </si>
  <si>
    <t>A9) Indian</t>
  </si>
  <si>
    <t>-</t>
  </si>
  <si>
    <t>Individuals/Hindu undivided Family</t>
  </si>
  <si>
    <t>Gautambhai Shantilal Adani</t>
  </si>
  <si>
    <t>Promoter</t>
  </si>
  <si>
    <t>Rajeshbhai Shantilal Adani</t>
  </si>
  <si>
    <t>Any Other (specify)</t>
  </si>
  <si>
    <t>Gautambhai Shantilal Adani and Rajeshbhai Shantilal Adani (on behalf of S.B. Adani Family Trust)</t>
  </si>
  <si>
    <t>Promoter Group</t>
  </si>
  <si>
    <t>Shri Gautam S. Adani/Smt.Priti G. Adani (on behalf of Gautam S. Adani Family Trust)</t>
  </si>
  <si>
    <t>Adani Tradeline Private Limited</t>
  </si>
  <si>
    <t>Adani Infra (India) Limited</t>
  </si>
  <si>
    <t>Adani Properties Private Limited</t>
  </si>
  <si>
    <t>Sub Total A1</t>
  </si>
  <si>
    <t>A10) Foreign</t>
  </si>
  <si>
    <t>Afro Asia Trade And Investments Limited</t>
  </si>
  <si>
    <t>Worldwide Emerging Market Holding Limited</t>
  </si>
  <si>
    <t>Flourishing Trade And Investment Limited</t>
  </si>
  <si>
    <t>Gelt Bery Trade and Investment Limited</t>
  </si>
  <si>
    <t>Fortitude Trade and Investment Limited</t>
  </si>
  <si>
    <t>Emerging Market Investment DMCC</t>
  </si>
  <si>
    <t>Sub Total A2</t>
  </si>
  <si>
    <t>A=A1+A2</t>
  </si>
  <si>
    <t>Shareholding Pattern Public Shareholder</t>
  </si>
  <si>
    <t>Statement showing shareholding pattern of the Public shareholder</t>
  </si>
  <si>
    <t>Category &amp; Name of the Shareholders</t>
  </si>
  <si>
    <t>No. of shareholder</t>
  </si>
  <si>
    <t>Total no. shares held</t>
  </si>
  <si>
    <t>Shareholding % calculated as per SCRR, 1957 As a % of (A+B+C2)</t>
  </si>
  <si>
    <t>No. of Voting Rights</t>
  </si>
  <si>
    <t>Total as a % of Total Voting right</t>
  </si>
  <si>
    <t>No. of equity shares held in dematerialized form(Not Applicable)</t>
  </si>
  <si>
    <t>Sub-categorization of shares (XV)</t>
  </si>
  <si>
    <t>Shareholding (No. of shares) under</t>
  </si>
  <si>
    <t>SubCategory_I</t>
  </si>
  <si>
    <t>SubCategory_II</t>
  </si>
  <si>
    <t>SubCategory_III</t>
  </si>
  <si>
    <t>Institutions</t>
  </si>
  <si>
    <t>B2) Institutions (Domestic)</t>
  </si>
  <si>
    <t>Mutual Funds/</t>
  </si>
  <si>
    <t>SBI Equity Hybrid Fund</t>
  </si>
  <si>
    <t>Venture Capital Funds</t>
  </si>
  <si>
    <t>Alternate Investment Funds</t>
  </si>
  <si>
    <t>Banks</t>
  </si>
  <si>
    <t>Insurance Companies</t>
  </si>
  <si>
    <t>Life Insurance Corporation Of India</t>
  </si>
  <si>
    <t>Provident Funds/ Pension Funds</t>
  </si>
  <si>
    <t>Asset reconstruction companies</t>
  </si>
  <si>
    <t>Sovereign Wealth Funds</t>
  </si>
  <si>
    <t>NBFCs registered with RBI</t>
  </si>
  <si>
    <t>Other Financial Institutions</t>
  </si>
  <si>
    <t>Any Other(Institutions (Domestic))</t>
  </si>
  <si>
    <t>Sub Total B1</t>
  </si>
  <si>
    <t>B17) Institutions (Foreign)</t>
  </si>
  <si>
    <t>Foreign Direct Investment</t>
  </si>
  <si>
    <t>Foreign Venture Capital Investors</t>
  </si>
  <si>
    <t>Foreign Portfolio Investors Category I</t>
  </si>
  <si>
    <t>Inq Holding Llc</t>
  </si>
  <si>
    <t>Gqg Partners Emerging Markets Equity Fund</t>
  </si>
  <si>
    <t>Goldman Sachs Trust Ii - Goldman Sachs Gqg Partners International Opportunities Fund</t>
  </si>
  <si>
    <t>Foreign Portfolio Investors Category II</t>
  </si>
  <si>
    <t>Overseas Depositories (holding DRs) (balancing figure)</t>
  </si>
  <si>
    <t>Any Other(Institutions (Foreign))</t>
  </si>
  <si>
    <t>Sub Total B2</t>
  </si>
  <si>
    <t>B29) Central Government/ State Government(s)/ President of India</t>
  </si>
  <si>
    <t>Central Government / President of India</t>
  </si>
  <si>
    <t>State Government / Governor</t>
  </si>
  <si>
    <t>Shareholding by Companies or Bodies Corporate where Central / State Government is a promoter</t>
  </si>
  <si>
    <t>Sub Total B3</t>
  </si>
  <si>
    <t>B34) Non-Institutions</t>
  </si>
  <si>
    <t>Associate companies / Subsidiaries</t>
  </si>
  <si>
    <t>Directors and their relatives (excluding independent directors and nominee directors)</t>
  </si>
  <si>
    <t>Key Managerial Personnel</t>
  </si>
  <si>
    <t>Relatives of promoters (other than 'immediate relatives' of promoters disclosed under 'Promoter and Promoter Group' category)</t>
  </si>
  <si>
    <t>Trusts where any person belonging to 'Promoter and Promoter Group' category is 'trustee', 'beneficiary', or 'author of the trust'</t>
  </si>
  <si>
    <t>Investor Education and Protection Fund (IEPF)</t>
  </si>
  <si>
    <t>Resident Individuals holding nominal share capital up to Rs. 2 lakhs</t>
  </si>
  <si>
    <t>Resident Individuals holding nominal share capital in excess of Rs. 2 lakhs</t>
  </si>
  <si>
    <t>Non Resident Indians (NRIs)</t>
  </si>
  <si>
    <t>Foreign Nationals</t>
  </si>
  <si>
    <t>Foreign Companies</t>
  </si>
  <si>
    <t>Multi Ventures Limited</t>
  </si>
  <si>
    <t>Bodies Corporate</t>
  </si>
  <si>
    <t>Body Corporate - LLP</t>
  </si>
  <si>
    <t>Sub Total B4</t>
  </si>
  <si>
    <t>B=B1+B2+B3+B4</t>
  </si>
  <si>
    <t>STOCK ANALYSIS  —  ADANI ENERGY SOLUTIONS LTD.</t>
  </si>
  <si>
    <t>MARKET SNAPSHOT</t>
  </si>
  <si>
    <t>Recommendation:</t>
  </si>
  <si>
    <t>Shares Outstanding (Cr)</t>
  </si>
  <si>
    <t>120.13</t>
  </si>
  <si>
    <t>AVOID/HOLD – Adani Energy Solutions Ltd, despite operating in a structurally favourable space of power transmission, distribution, and smart metering infrastructure, currently trades at a significant premium to its intrinsic value, with our DCF-based fair value estimate of ₹543 standing nearly 64% below the current market price of ₹1,495. The company's WACC of 12.77% and projected 10-year revenue CAGR of apx13.5% with EBIT margins near 30% reflect a fundamentally sound and growing business, but these growth assumptions appear to already be priced in, and then some. On the price front, AESL has been the weakest performer among its peer set over the past five years, returning just +32.49% compared to Tata Power (+284.24%), Torrent Power (+222.02%), and Power Grid (+124.00%), having crashed over 60% in early 2023 amid group-level concerns and remaining range-bound since, with no relative-strength reversal yet visible. While the company's exposure to India's grid modernization capex cycle and potential optionality from newer verticals such as data centre power and smart metering could support a future re-rating, this remains a forward-looking, sentiment-driven case rather than one supported by current cash flow projections. Elevated valuation versus DCF fair value, persistent underperformance versus sector peers, and sensitivity of the investment case to cost-of-capital normalization for the Adani group remain key monitorables.</t>
  </si>
  <si>
    <t>Book Value per Share (₹)</t>
  </si>
  <si>
    <t>211.7</t>
  </si>
  <si>
    <t>Gross Debt (₹ Cr)</t>
  </si>
  <si>
    <t>48,898</t>
  </si>
  <si>
    <t>Net Debt (₹ Cr)</t>
  </si>
  <si>
    <t>44,951</t>
  </si>
  <si>
    <t>Net Debt / EBITDA (x)</t>
  </si>
  <si>
    <t>4.58x</t>
  </si>
  <si>
    <t>Debt / Equity (x)</t>
  </si>
  <si>
    <t>1.92x</t>
  </si>
  <si>
    <t>Interest Coverage (x)</t>
  </si>
  <si>
    <t>1.16x</t>
  </si>
  <si>
    <t>Return on Equity</t>
  </si>
  <si>
    <t>9.5%</t>
  </si>
  <si>
    <t>Return on Assets</t>
  </si>
  <si>
    <t>2.5%</t>
  </si>
  <si>
    <t>Basic EPS (₹) FY26</t>
  </si>
  <si>
    <t>19.0</t>
  </si>
  <si>
    <t>EPS CAGR (FY22-FY26)</t>
  </si>
  <si>
    <t>20.5%</t>
  </si>
  <si>
    <t>Revenue CAGR (FY22-FY26)</t>
  </si>
  <si>
    <t>25.5%</t>
  </si>
  <si>
    <t>PAT CAGR (FY22-FY26)</t>
  </si>
  <si>
    <t>17.3%</t>
  </si>
  <si>
    <t>Dividend</t>
  </si>
  <si>
    <t>Nil</t>
  </si>
  <si>
    <t>Consolidated Balance Sheet</t>
  </si>
  <si>
    <t>Mar 26</t>
  </si>
  <si>
    <t>12 mths</t>
  </si>
  <si>
    <t>EQUITIES AND LIABILITIES</t>
  </si>
  <si>
    <t>Changes %</t>
  </si>
  <si>
    <t>SHAREHOLDER'S FUNDS</t>
  </si>
  <si>
    <t>Equity Share Capital</t>
  </si>
  <si>
    <t>Total Share Capital</t>
  </si>
  <si>
    <t>Reserves and Surplus</t>
  </si>
  <si>
    <t>Total Reserves and Surplus</t>
  </si>
  <si>
    <t>Total Shareholders Funds</t>
  </si>
  <si>
    <t>Hybrid/Debt/Other Securities</t>
  </si>
  <si>
    <t>Minority Interest</t>
  </si>
  <si>
    <t>NON-CURRENT LIABILITIES</t>
  </si>
  <si>
    <t>Long Term Borrowings</t>
  </si>
  <si>
    <t>Deferred Tax Liabilities [Net]</t>
  </si>
  <si>
    <t>Other Long Term Liabilities</t>
  </si>
  <si>
    <t>Long Term Provisions</t>
  </si>
  <si>
    <t>Total Non-Current Liabilities</t>
  </si>
  <si>
    <t>CURRENT LIABILITIES</t>
  </si>
  <si>
    <t>Short Term Borrowings</t>
  </si>
  <si>
    <t>Trade Payables</t>
  </si>
  <si>
    <t>Other Current Liabilities</t>
  </si>
  <si>
    <t>Short Term Provisions</t>
  </si>
  <si>
    <t>Total Current Liabilities</t>
  </si>
  <si>
    <t>Total Capital And Liabilities</t>
  </si>
  <si>
    <t>ASSETS</t>
  </si>
  <si>
    <t>NON-CURRENT ASSETS</t>
  </si>
  <si>
    <t>Tangible Assets</t>
  </si>
  <si>
    <t>Intangible Assets</t>
  </si>
  <si>
    <t>Capital Work-In-Progress</t>
  </si>
  <si>
    <t>Intangible Assets Under Development</t>
  </si>
  <si>
    <t>Fixed Assets</t>
  </si>
  <si>
    <t>Non-Current Investments</t>
  </si>
  <si>
    <t>Deferred Tax Assets [Net]</t>
  </si>
  <si>
    <t>Long Term Loans And Advances</t>
  </si>
  <si>
    <t>Other Non-Current Assets</t>
  </si>
  <si>
    <t>Total Non-Current Assets</t>
  </si>
  <si>
    <t>CURRENT ASSETS</t>
  </si>
  <si>
    <t>Current Investments</t>
  </si>
  <si>
    <t>Inventories</t>
  </si>
  <si>
    <t>Trade Receivables</t>
  </si>
  <si>
    <t>Cash And Cash Equivalents</t>
  </si>
  <si>
    <t>Short Term Loans And Advances</t>
  </si>
  <si>
    <t>OtherCurrentAssets</t>
  </si>
  <si>
    <t>Total Current Assets</t>
  </si>
  <si>
    <t>Total Assets</t>
  </si>
  <si>
    <t>OTHER ADDITIONAL INFORMATION</t>
  </si>
  <si>
    <t>CONTINGENT LIABILITIES, COMMITMENTS</t>
  </si>
  <si>
    <t>Contingent Liabilities</t>
  </si>
  <si>
    <t>BONUS DETAILS</t>
  </si>
  <si>
    <t>NON-CURRENT INVESTMENTS</t>
  </si>
  <si>
    <t>Non-Current Investments Quoted Market Value</t>
  </si>
  <si>
    <t>Non-Current Investments Unquoted Book Value</t>
  </si>
  <si>
    <t>CURRENT INVESTMENTS</t>
  </si>
  <si>
    <t>Current Investments Quoted Market Value</t>
  </si>
  <si>
    <t>Current Investments Unquoted Book Value</t>
  </si>
  <si>
    <t>Source : Dion Global Solutions Limited</t>
  </si>
  <si>
    <t>Consolidated Profit &amp; Loss account</t>
  </si>
  <si>
    <t>Changes in %</t>
  </si>
  <si>
    <t>INCOME</t>
  </si>
  <si>
    <t>Revenue From Operations [Gross]</t>
  </si>
  <si>
    <t>Revenue From Operations [Net]</t>
  </si>
  <si>
    <t>Other Operating Revenues</t>
  </si>
  <si>
    <t>Total Operating Revenues</t>
  </si>
  <si>
    <t>Other Income</t>
  </si>
  <si>
    <t>Total Revenue</t>
  </si>
  <si>
    <t>EXPENSES</t>
  </si>
  <si>
    <t>Purchase Of Stock-In Trade</t>
  </si>
  <si>
    <t>Cost of Power Purchased</t>
  </si>
  <si>
    <t>Cost Of Fuel</t>
  </si>
  <si>
    <t>Operating And Direct Expenses</t>
  </si>
  <si>
    <t>Employee Benefit Expenses</t>
  </si>
  <si>
    <t>Finance Costs</t>
  </si>
  <si>
    <t>Depreciation And Amortisation Expenses</t>
  </si>
  <si>
    <t>Other Expenses</t>
  </si>
  <si>
    <t>Total Expenses</t>
  </si>
  <si>
    <t>Profit/Loss Before Exceptional, ExtraOrdinary Items And Tax</t>
  </si>
  <si>
    <t>Exceptional Items</t>
  </si>
  <si>
    <t>Profit/Loss Before Tax</t>
  </si>
  <si>
    <t>Tax Expenses-Continued Operations</t>
  </si>
  <si>
    <t>Current Tax</t>
  </si>
  <si>
    <t>Deferred Tax</t>
  </si>
  <si>
    <t>Total Tax Expenses</t>
  </si>
  <si>
    <t>Profit/Loss After Tax And Before ExtraOrdinary Items</t>
  </si>
  <si>
    <t>Extraordinary Items</t>
  </si>
  <si>
    <t>Profit/Loss From Continuing Operations</t>
  </si>
  <si>
    <t>Profit/Loss For The Period</t>
  </si>
  <si>
    <t>Consolidated Profit/Loss After MI And Associates</t>
  </si>
  <si>
    <t>EARNINGS PER SHARE</t>
  </si>
  <si>
    <t>Basic EPS (Rs.)</t>
  </si>
  <si>
    <t>Diluted EPS (Rs.)</t>
  </si>
  <si>
    <t>DIVIDEND AND DIVIDEND PERCENTAGE</t>
  </si>
  <si>
    <t>Cash Flow</t>
  </si>
  <si>
    <t>Net Profit/Loss Before Extraordinary Items And Tax</t>
  </si>
  <si>
    <t>Net CashFlow From Operating Activities</t>
  </si>
  <si>
    <t>Net Cash Used In Investing Activities</t>
  </si>
  <si>
    <t>Net Cash Used From Financing Activities</t>
  </si>
  <si>
    <t>Net Inc/Dec In Cash And Cash Equivalents</t>
  </si>
  <si>
    <t>Cash And Cash Equivalents Begin of Year</t>
  </si>
  <si>
    <t>Cash And Cash Equivalents End Of Year</t>
  </si>
  <si>
    <t xml:space="preserve">RATIO ANALYSIS  </t>
  </si>
  <si>
    <t>Ratio</t>
  </si>
  <si>
    <t>5Y Avg</t>
  </si>
  <si>
    <t>Income Statement Ratios</t>
  </si>
  <si>
    <t>Sales Growth</t>
  </si>
  <si>
    <t>EBITDA</t>
  </si>
  <si>
    <t>EBITDA Margins</t>
  </si>
  <si>
    <t>EBIT</t>
  </si>
  <si>
    <t>EBIT Margin</t>
  </si>
  <si>
    <t>Finance Costs % Revenue</t>
  </si>
  <si>
    <t>Depreciation</t>
  </si>
  <si>
    <t>Depreciation % of Sales</t>
  </si>
  <si>
    <t xml:space="preserve">PBT </t>
  </si>
  <si>
    <t xml:space="preserve">PBT Margin </t>
  </si>
  <si>
    <t xml:space="preserve">Net Profit </t>
  </si>
  <si>
    <t>Net Margins</t>
  </si>
  <si>
    <t>Earnings Per Share</t>
  </si>
  <si>
    <t>EPS Growth %</t>
  </si>
  <si>
    <t>Balance Statement Ratios</t>
  </si>
  <si>
    <t>Total Equity incl. Minority Interest</t>
  </si>
  <si>
    <t>Gross Debt</t>
  </si>
  <si>
    <t>Cash &amp; Equivalents</t>
  </si>
  <si>
    <t>Net Debt</t>
  </si>
  <si>
    <t>Return Ratios</t>
  </si>
  <si>
    <t>RoE: PAT / Equity (%)</t>
  </si>
  <si>
    <t>RoA: PAT / Total Assets (%)</t>
  </si>
  <si>
    <t>RoCE: EBIT / Capital Employed (%)</t>
  </si>
  <si>
    <t>Leverage &amp; Coverage Ratios</t>
  </si>
  <si>
    <t>Gross Debt / Equity (x)</t>
  </si>
  <si>
    <t>Net Debt / Equity (x)</t>
  </si>
  <si>
    <t>Interest Coverage: EBIT / Finance (x)</t>
  </si>
  <si>
    <t>Gross Debt / Total Assets (%)</t>
  </si>
  <si>
    <t>Asset &amp; Efficiency Ratios</t>
  </si>
  <si>
    <t>Asset Turnover: Revenue / Total Assets (x)</t>
  </si>
  <si>
    <t>Fixed Asset Turnover (x)</t>
  </si>
  <si>
    <t>Growth Ratios</t>
  </si>
  <si>
    <t>Revenue Growth YoY (%)</t>
  </si>
  <si>
    <t>EBITDA Growth YoY (%)</t>
  </si>
  <si>
    <t>PAT Growth YoY (%)</t>
  </si>
  <si>
    <t>Per Share Data</t>
  </si>
  <si>
    <t>Basic EPS (₹)</t>
  </si>
  <si>
    <t>Net Debt per Share (₹)</t>
  </si>
  <si>
    <t>Historical Financial Statement</t>
  </si>
  <si>
    <t>Years</t>
  </si>
  <si>
    <t>Income statement</t>
  </si>
  <si>
    <t>Revenue from Operations</t>
  </si>
  <si>
    <t>Revenue Growth</t>
  </si>
  <si>
    <t>Total Operating Expenses (ex Finance &amp; Depr)</t>
  </si>
  <si>
    <t>Opex % Revenue</t>
  </si>
  <si>
    <t>Depreciation &amp; Amortisation</t>
  </si>
  <si>
    <t>Finance Costs % of Sales</t>
  </si>
  <si>
    <t xml:space="preserve">Profit Before Tax </t>
  </si>
  <si>
    <t>PBT % Sales</t>
  </si>
  <si>
    <t>Effective Tax Rate</t>
  </si>
  <si>
    <t>Balance statement</t>
  </si>
  <si>
    <t>Reserves &amp; Surplus</t>
  </si>
  <si>
    <t>Total Borrowings</t>
  </si>
  <si>
    <t>Other Liabilities</t>
  </si>
  <si>
    <t>Total Liabilities</t>
  </si>
  <si>
    <t>Fixed Assets (Net Block)</t>
  </si>
  <si>
    <t>Capital Work in Progress</t>
  </si>
  <si>
    <t>Total Non Current Assets</t>
  </si>
  <si>
    <t>Cash &amp; Bank</t>
  </si>
  <si>
    <t>Fixed Assets Schedule</t>
  </si>
  <si>
    <t>Particular</t>
  </si>
  <si>
    <t>GROSS BLOCK</t>
  </si>
  <si>
    <t>Opening Gross Block</t>
  </si>
  <si>
    <t>Add: Capital Expenditure (Gross)</t>
  </si>
  <si>
    <t>Closing Gross Block</t>
  </si>
  <si>
    <t>ACCUMULATED DEPRECIATION</t>
  </si>
  <si>
    <t>Depreciation for the Year</t>
  </si>
  <si>
    <t xml:space="preserve">Accumulated Depreciation </t>
  </si>
  <si>
    <t>NET BLOCK</t>
  </si>
  <si>
    <t>Net Fixed Assets (Tangible)</t>
  </si>
  <si>
    <t>Capital Work In Progress</t>
  </si>
  <si>
    <t xml:space="preserve">Total Net Block </t>
  </si>
  <si>
    <t>CAPEX ANALYSIS</t>
  </si>
  <si>
    <t xml:space="preserve">Gross Capex </t>
  </si>
  <si>
    <t>Less: Depreciation</t>
  </si>
  <si>
    <t>Net Capital Expenditure</t>
  </si>
  <si>
    <t>Gross Capex / Sales %</t>
  </si>
  <si>
    <t>Net Capex / Sales %</t>
  </si>
  <si>
    <t>Depreciation / Gross Block %</t>
  </si>
  <si>
    <t>Median Gross Capex / Sales %</t>
  </si>
  <si>
    <t>Average Gross Capex / Sales %</t>
  </si>
  <si>
    <t>Median Net Capex / Sales %</t>
  </si>
  <si>
    <t>Average Net Capex / Sales %</t>
  </si>
  <si>
    <t>Change In Working Capital</t>
  </si>
  <si>
    <t>Other Current Assets</t>
  </si>
  <si>
    <t xml:space="preserve">Total Current Assets </t>
  </si>
  <si>
    <t xml:space="preserve">Total Current Liabilities </t>
  </si>
  <si>
    <t>Net Working Capital (NWC)</t>
  </si>
  <si>
    <t>Change in Working Capital</t>
  </si>
  <si>
    <t>Change in WC / Sales %</t>
  </si>
  <si>
    <t>Median Change in WC / Sales %</t>
  </si>
  <si>
    <t>Average Change in WC / Sales %</t>
  </si>
  <si>
    <t xml:space="preserve">Debtor Days </t>
  </si>
  <si>
    <t xml:space="preserve">Inventory Days </t>
  </si>
  <si>
    <t xml:space="preserve">Creditor Days </t>
  </si>
  <si>
    <t xml:space="preserve">Cash Conversion Cycle </t>
  </si>
  <si>
    <t>Median change WC / Sales %</t>
  </si>
  <si>
    <t>Average change WC / Sales %</t>
  </si>
  <si>
    <t>FCFF</t>
  </si>
  <si>
    <t>Particulars</t>
  </si>
  <si>
    <t>Less: Tax on EBIT</t>
  </si>
  <si>
    <t xml:space="preserve">NOPAT </t>
  </si>
  <si>
    <t>Add: Depreciation &amp; Amortisation</t>
  </si>
  <si>
    <t>Less: Net Capital Expenditure</t>
  </si>
  <si>
    <t>Less: Change in Working Capital</t>
  </si>
  <si>
    <t xml:space="preserve">Total Reinvestment  </t>
  </si>
  <si>
    <t>Free Cash Flow to Firm (FCFF)</t>
  </si>
  <si>
    <t>Reinvestment Rate %</t>
  </si>
  <si>
    <t>FCFF / NOPAT %</t>
  </si>
  <si>
    <t>FCFF / Revenue %</t>
  </si>
  <si>
    <t>Median Reinvestment Rate</t>
  </si>
  <si>
    <t>Average Reinvestment Rate</t>
  </si>
  <si>
    <t>Date</t>
  </si>
  <si>
    <t>Nifty 50 Daily Returns</t>
  </si>
  <si>
    <t>ADANIENSOL.NS Daily Returns</t>
  </si>
  <si>
    <t>Beta</t>
  </si>
  <si>
    <t>Beta by Coveriance</t>
  </si>
  <si>
    <t>Beta by Slope</t>
  </si>
  <si>
    <t>Adjusted Beta</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</si>
  <si>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</si>
  <si>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</si>
  <si>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</si>
  <si>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</si>
  <si>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</si>
  <si>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</si>
  <si>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</si>
  <si>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</si>
  <si>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</si>
  <si>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</si>
  <si>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</si>
  <si>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</si>
  <si>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</si>
  <si>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</si>
  <si>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</si>
  <si>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Coefficients</t>
  </si>
  <si>
    <t>t Stat</t>
  </si>
  <si>
    <t>P-value</t>
  </si>
  <si>
    <t>Lower 95%</t>
  </si>
  <si>
    <t>Upper 95%</t>
  </si>
  <si>
    <t>Lower 95.0%</t>
  </si>
  <si>
    <t>Upper 95.0%</t>
  </si>
  <si>
    <t>Intercept</t>
  </si>
  <si>
    <t>X Variable 1</t>
  </si>
  <si>
    <t>WACC Calculation</t>
  </si>
  <si>
    <t>Cost Of Capital</t>
  </si>
  <si>
    <t>As On Date:</t>
  </si>
  <si>
    <t>Jun-26</t>
  </si>
  <si>
    <t>Cost of equity using CAPM:</t>
  </si>
  <si>
    <t>Risk-free rate</t>
  </si>
  <si>
    <t>India default spread</t>
  </si>
  <si>
    <t>Equity Risk Premium (Damodaran India, total)</t>
  </si>
  <si>
    <t>Cost of equity = Rf + (Beta x ERP)</t>
  </si>
  <si>
    <t>Cost of debt:</t>
  </si>
  <si>
    <t>Pre-Tax Cost of Debt</t>
  </si>
  <si>
    <t>Finance Cost</t>
  </si>
  <si>
    <t>Marginal tax rate %</t>
  </si>
  <si>
    <t>Post-Tax Cost of Debt</t>
  </si>
  <si>
    <t>WACC Calculation :</t>
  </si>
  <si>
    <t>Face Value</t>
  </si>
  <si>
    <t>Shares Outstanding</t>
  </si>
  <si>
    <t>Share Price (as on date)</t>
  </si>
  <si>
    <t>Market Value of Equity</t>
  </si>
  <si>
    <t>Capital Structure Weights</t>
  </si>
  <si>
    <t>Weight of Debt (Wd)</t>
  </si>
  <si>
    <t>Weight of Equity (We)</t>
  </si>
  <si>
    <t>GROWTH RATE ANALYSIS</t>
  </si>
  <si>
    <t>Year</t>
  </si>
  <si>
    <t>Revenue</t>
  </si>
  <si>
    <t>%Change</t>
  </si>
  <si>
    <t>No. of years</t>
  </si>
  <si>
    <t>Logarithmic Regression</t>
  </si>
  <si>
    <t>Geomean</t>
  </si>
  <si>
    <t>Approaches to calculate 'g'</t>
  </si>
  <si>
    <t>values</t>
  </si>
  <si>
    <t>Arthmetic Method</t>
  </si>
  <si>
    <t>CAGR Method</t>
  </si>
  <si>
    <t>Log Regression</t>
  </si>
  <si>
    <t>Geometric Mean</t>
  </si>
  <si>
    <t>For FCFF Growth:</t>
  </si>
  <si>
    <t>Retention Ratio:</t>
  </si>
  <si>
    <t>1- D/P Ratio</t>
  </si>
  <si>
    <t>Return on Equity:</t>
  </si>
  <si>
    <t>PAT/Equity</t>
  </si>
  <si>
    <t>Dividend Payout Ratio:</t>
  </si>
  <si>
    <t>D/P Ratio</t>
  </si>
  <si>
    <t>RoE (Return on Equity) - 5yr Avg</t>
  </si>
  <si>
    <t>g' ( Growth Rate)</t>
  </si>
  <si>
    <t>Adani Energy Solutions Ltd.</t>
  </si>
  <si>
    <t xml:space="preserve">Particulars </t>
  </si>
  <si>
    <t>Mar-26</t>
  </si>
  <si>
    <t>Revenue from operations</t>
  </si>
  <si>
    <t>Median of Revenue Growth</t>
  </si>
  <si>
    <t>Revenue growth in %</t>
  </si>
  <si>
    <t>Less: Cost of Power Purchased</t>
  </si>
  <si>
    <t>Less: Employee Benefit Expenses</t>
  </si>
  <si>
    <t>Less: Cost Of Fuel</t>
  </si>
  <si>
    <t>Less: Other Expenses</t>
  </si>
  <si>
    <t>Less: Purchase Of Stock-In Trade</t>
  </si>
  <si>
    <t>Less: Depreciation And Amortization</t>
  </si>
  <si>
    <t>ADD: Other Income / Non-Operating Income</t>
  </si>
  <si>
    <t>Less: Finance Costs / Interest Expenses</t>
  </si>
  <si>
    <t>PBT</t>
  </si>
  <si>
    <t>Less: Total Tax Expenses</t>
  </si>
  <si>
    <t>Less: Minority Interest</t>
  </si>
  <si>
    <t>Net Profit - PAT</t>
  </si>
  <si>
    <t>Historical Growth</t>
  </si>
  <si>
    <t>Average Growth</t>
  </si>
  <si>
    <t>CAGR</t>
  </si>
  <si>
    <t>RRI</t>
  </si>
  <si>
    <t>Margins</t>
  </si>
  <si>
    <t>EBT</t>
  </si>
  <si>
    <t>Net Profit</t>
  </si>
  <si>
    <t>Effective tax rate</t>
  </si>
  <si>
    <t>Marginal Tax rate</t>
  </si>
  <si>
    <t>Return On Capital</t>
  </si>
  <si>
    <t>EBIT*(1-T)</t>
  </si>
  <si>
    <t>Book Equity</t>
  </si>
  <si>
    <t>Book Debt</t>
  </si>
  <si>
    <t>Cash and Cash Equivalents</t>
  </si>
  <si>
    <t>Capital Employed</t>
  </si>
  <si>
    <t>Pre-Tax Return on Capital</t>
  </si>
  <si>
    <t>Post Tax Return on Capital</t>
  </si>
  <si>
    <t>Growth In EBIT</t>
  </si>
  <si>
    <t>Growth Scenarios</t>
  </si>
  <si>
    <t>Scenario 1: High Growth</t>
  </si>
  <si>
    <t>INR Cr.</t>
  </si>
  <si>
    <t>LTM</t>
  </si>
  <si>
    <t>Y1E</t>
  </si>
  <si>
    <t>Y2E</t>
  </si>
  <si>
    <t>Y3E</t>
  </si>
  <si>
    <t>Y4E</t>
  </si>
  <si>
    <t>Y5E</t>
  </si>
  <si>
    <t>Y6E</t>
  </si>
  <si>
    <t>Y7E</t>
  </si>
  <si>
    <t>Y8E</t>
  </si>
  <si>
    <t>Y9E</t>
  </si>
  <si>
    <t>Y10E</t>
  </si>
  <si>
    <t>Average Revenue Growth</t>
  </si>
  <si>
    <t>Sales</t>
  </si>
  <si>
    <t>Sales Growth %</t>
  </si>
  <si>
    <t>Growth Per Year</t>
  </si>
  <si>
    <t>Scenario 2: Average Growth</t>
  </si>
  <si>
    <t>Scenario 3: EBIT Growth</t>
  </si>
  <si>
    <t>Live Scenario</t>
  </si>
  <si>
    <t xml:space="preserve">&gt;Median of Revenue Growth </t>
  </si>
  <si>
    <t xml:space="preserve">Less : Risk Free Rate </t>
  </si>
  <si>
    <t xml:space="preserve">&gt;Risk/ Range of 9years </t>
  </si>
  <si>
    <t>: Per Year Risk</t>
  </si>
  <si>
    <t>Valuation</t>
  </si>
  <si>
    <t>INR Cr</t>
  </si>
  <si>
    <t>Terminal Year</t>
  </si>
  <si>
    <t>Terminal growth rate %</t>
  </si>
  <si>
    <t xml:space="preserve">Sales </t>
  </si>
  <si>
    <t>Terminal Year Revenue</t>
  </si>
  <si>
    <t>Cost of Capital %</t>
  </si>
  <si>
    <t>projected sales/revenue</t>
  </si>
  <si>
    <t>Terminal reinvestment rate %</t>
  </si>
  <si>
    <t>EBIT Margin %</t>
  </si>
  <si>
    <t>Enterprise value = Equity Value + Minority interest</t>
  </si>
  <si>
    <t>Tax on EBIT</t>
  </si>
  <si>
    <t>EBIT(1-T)</t>
  </si>
  <si>
    <t>Non Cash Working Capital</t>
  </si>
  <si>
    <t>Reinvestment</t>
  </si>
  <si>
    <t>Free Cash Flow To Firm (FCFF)</t>
  </si>
  <si>
    <t>Implied Reinvestment rate %</t>
  </si>
  <si>
    <t>Terminal Value</t>
  </si>
  <si>
    <t>Present Value Interest Factor(PVIF)</t>
  </si>
  <si>
    <t>Present value of FCFF</t>
  </si>
  <si>
    <t>Present value of Terminal value</t>
  </si>
  <si>
    <t>Sensitivity: Intrinsic Value per Share</t>
  </si>
  <si>
    <t>Value of operating assets</t>
  </si>
  <si>
    <t>Add: Cash</t>
  </si>
  <si>
    <t>Less: Debt</t>
  </si>
  <si>
    <t>Equity Value</t>
  </si>
  <si>
    <t>No. of Shares outstanding (Cr)</t>
  </si>
  <si>
    <t xml:space="preserve">Intrinsic value per share </t>
  </si>
  <si>
    <t>Current Market Price (CMP)</t>
  </si>
  <si>
    <t>Upside / (Downside) to Intrinsic Value</t>
  </si>
  <si>
    <t>Peer comparison</t>
  </si>
  <si>
    <t>S.No.</t>
  </si>
  <si>
    <t>Name</t>
  </si>
  <si>
    <t>CMP Rs.</t>
  </si>
  <si>
    <t>No. Eq. Shares Cr.</t>
  </si>
  <si>
    <t>Debt Rs.Cr.</t>
  </si>
  <si>
    <t>EV Rs.Cr.</t>
  </si>
  <si>
    <t>NP 12M Rs.Cr.</t>
  </si>
  <si>
    <t>EPS 12M Rs.</t>
  </si>
  <si>
    <t>Sales Rs.Cr.</t>
  </si>
  <si>
    <t>EBIDT Ann Rs.Cr.</t>
  </si>
  <si>
    <t>Cash Rs.Cr.</t>
  </si>
  <si>
    <t>Relative Valuation</t>
  </si>
  <si>
    <t>Comparable Company Valuation</t>
  </si>
  <si>
    <t>Company Name</t>
  </si>
  <si>
    <t>Market Data</t>
  </si>
  <si>
    <t>Financials</t>
  </si>
  <si>
    <t>No. of shares</t>
  </si>
  <si>
    <t>Share Price</t>
  </si>
  <si>
    <t>Equity value</t>
  </si>
  <si>
    <t>Debt</t>
  </si>
  <si>
    <t>cash</t>
  </si>
  <si>
    <t>Enterprises value</t>
  </si>
  <si>
    <t>EPS</t>
  </si>
  <si>
    <t>EV/Revenue</t>
  </si>
  <si>
    <t>EV/EBITDA</t>
  </si>
  <si>
    <t>P/E Ratio</t>
  </si>
  <si>
    <t>M&amp;M Industry Comparable comps</t>
  </si>
  <si>
    <t>Overvalued</t>
  </si>
  <si>
    <t>median</t>
  </si>
  <si>
    <t>Implied Enterprise Value / Equity Value (P/E)</t>
  </si>
  <si>
    <t>Max</t>
  </si>
  <si>
    <t>Implied Market Value</t>
  </si>
  <si>
    <t>75th Percentile</t>
  </si>
  <si>
    <t>Share Outstanding</t>
  </si>
  <si>
    <t>Implied Value per Share</t>
  </si>
  <si>
    <t>25th Percentile</t>
  </si>
  <si>
    <t>Min.</t>
  </si>
  <si>
    <t>DPS/EPS</t>
  </si>
  <si>
    <t xml:space="preserve">Weighted Average Cost of Capital </t>
  </si>
  <si>
    <t xml:space="preserve">All Figures are in INR Cr. </t>
  </si>
  <si>
    <t>Company</t>
  </si>
  <si>
    <t>Business Overview</t>
  </si>
  <si>
    <t>Tata Power Company Ltd is one of India's largest integrated power companies with operations spanning power generation, transmission, distribution, renewable energy, solar manufacturing, EV charging infrastructure, and energy services. The company serves residential, commercial, and industrial customers while actively expanding its clean energy and sustainability-focused businesses.</t>
  </si>
  <si>
    <t>Adani Energy Solutions Ltd is one of India's largest private-sector power transmission companies. The company develops, owns, and operates transmission networks across multiple states and is expanding rapidly in smart metering, distribution infrastructure, and energy transition projects. It plays a key role in strengthening India's power delivery ecosystem through transmission, distribution, and utility modernization solutions.</t>
  </si>
  <si>
    <t xml:space="preserve">Tata Power Company Ltd </t>
  </si>
  <si>
    <t>Torrent Power Ltd is an integrated power utility engaged in electricity generation, transmission, distribution, and renewable energy development. The company operates distribution networks across several Indian cities and has a growing portfolio of gas-based, renewable, and conventional power assets serving industrial, commercial, and retail consumers.</t>
  </si>
  <si>
    <t>Torrent Power Ltd</t>
  </si>
  <si>
    <t>Power Grid Corporation of India</t>
  </si>
  <si>
    <t>Power Grid Corporation of India Ltd is India's largest electric power transmission company and a central transmission utility. The company owns and operates an extensive high-voltage transmission network across the country and plays a critical role in integrating renewable energy, ensuring grid stability, and facilitating interstate power transmission.</t>
  </si>
  <si>
    <t>CESC Limited</t>
  </si>
  <si>
    <t>CESC Ltd is an integrated power utility primarily engaged in electricity generation and distribution. The company supplies power to Kolkata and surrounding areas while also having investments in power generation, distribution utilities, retail electricity businesses, and emerging energy-related ventures</t>
  </si>
  <si>
    <t>REGISTERED OFFICE</t>
  </si>
  <si>
    <t>Address: Shantigram, Near Vaishno Devi Circle, S.G. Highway, Khodiyar, Ahmedabad, Gujarat – 382421</t>
  </si>
  <si>
    <t>Name of Entity</t>
  </si>
  <si>
    <t>Type</t>
  </si>
  <si>
    <t>Adani Energy Solutions Limited</t>
  </si>
  <si>
    <t>Holding Company</t>
  </si>
  <si>
    <t>Adani Transmission Step-One Limited</t>
  </si>
  <si>
    <t>Wholly Owned Subsidiary</t>
  </si>
  <si>
    <t>Adani Transmission Limited</t>
  </si>
  <si>
    <t>Adani Electricity Mumbai Limited</t>
  </si>
  <si>
    <t>Subsidiary</t>
  </si>
  <si>
    <t>Adani Electricity Navi Mumbai Limited</t>
  </si>
  <si>
    <t>Adani Electricity Services Limited</t>
  </si>
  <si>
    <t>Adani Electricity Mulund Limited</t>
  </si>
  <si>
    <t>Maharashtra Eastern Grid Power Transmission Company Limited</t>
  </si>
  <si>
    <t>Kharghar Vikhroli Transmission Private Limited</t>
  </si>
  <si>
    <t>Western Transmission (Maharashtra) Private Limited</t>
  </si>
  <si>
    <t>Maru Transmission Service Company Limited</t>
  </si>
  <si>
    <t>Fatehgarh Bhadla Transmission Limited</t>
  </si>
  <si>
    <t>Raipur Rajnandgaon Warora Transmission Limited</t>
  </si>
  <si>
    <t>Adani Smart Metering Limited</t>
  </si>
  <si>
    <t>Adani Energy Solutions Smart Metering Projects Limited</t>
  </si>
  <si>
    <t>Adani Cooling Solutions Limited</t>
  </si>
  <si>
    <t>MPSEZ Utilities Limited</t>
  </si>
  <si>
    <t>North Karanpura Transmission Company Limited</t>
  </si>
  <si>
    <t>WRSS XXI (A) Transco Limited</t>
  </si>
  <si>
    <t>Khavda Phase IV Part-A Transmission Limited</t>
  </si>
  <si>
    <t>Khavda Phase IV Part-B Transmission Limited</t>
  </si>
  <si>
    <t>Sangod Transmission Service Limited</t>
  </si>
  <si>
    <t>Rajasthan Part-I Power Transmission Limited</t>
  </si>
  <si>
    <t>Adani Transmission (India) Limited</t>
  </si>
  <si>
    <t>Various Project SPVs acquired through TBCB bidding routes</t>
  </si>
  <si>
    <t>Subsidiaries</t>
  </si>
  <si>
    <t>DCF 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</si>
</sst>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mmm\-yy"/>
    <numFmt numFmtId="165" formatCode="_ * #,##0.00_ ;_ * \-#,##0.00_ ;_ * \-??_ ;_ @_ "/>
    <numFmt numFmtId="166" formatCode="_ * #,##0.0000_ ;_ * \-#,##0.0000_ ;_ * \-??_ ;_ @_ "/>
    <numFmt numFmtId="167" formatCode="0.000"/>
    <numFmt numFmtId="168" formatCode="&quot;₹ &quot;#,##0.00"/>
    <numFmt numFmtId="169" formatCode="&quot;₹ &quot;#,##0.00;&quot;(₹ &quot;#,##0.00\);\-"/>
    <numFmt numFmtId="170" formatCode="0.00\x"/>
    <numFmt numFmtId="171" formatCode="0.0"/>
    <numFmt numFmtId="172" formatCode="&quot;₹ &quot;#,##0.00;&quot;(₹ -&quot;#,##0.00"/>
    <numFmt numFmtId="173" formatCode="0.000%"/>
    <numFmt numFmtId="174" formatCode="0.0%"/>
    <numFmt numFmtId="175" formatCode="0.0000"/>
    <numFmt numFmtId="176" formatCode="\₹\ #,##0.00"/>
  </numFmts>
  <fonts count="50" x14ac:knownFonts="1">
    <font>
      <sz val="11"/>
      <color theme="1"/>
      <name val="Calibri"/>
      <family val="2"/>
      <charset val="1"/>
    </font>
    <font>
      <i/>
      <sz val="8"/>
      <color rgb="FF666666"/>
      <name val="Arial"/>
      <family val="2"/>
    </font>
    <font>
      <b/>
      <sz val="9"/>
      <color rgb="FFFFFFFF"/>
      <name val="Arial"/>
      <family val="2"/>
    </font>
    <font>
      <sz val="8"/>
      <color rgb="FF222222"/>
      <name val="Arial"/>
      <family val="2"/>
    </font>
    <font>
      <sz val="8"/>
      <color rgb="FF000000"/>
      <name val="Arial"/>
      <family val="2"/>
    </font>
    <font>
      <b/>
      <sz val="8"/>
      <color rgb="FF000000"/>
      <name val="Arial"/>
      <family val="2"/>
    </font>
    <font>
      <b/>
      <sz val="14"/>
      <color rgb="FF1A1A2E"/>
      <name val="Arial"/>
      <family val="2"/>
    </font>
    <font>
      <i/>
      <sz val="7.5"/>
      <color rgb="FF777777"/>
      <name val="Arial"/>
      <family val="2"/>
    </font>
    <font>
      <b/>
      <sz val="10"/>
      <color rgb="FFFFFFFF"/>
      <name val="Arial"/>
      <family val="2"/>
    </font>
    <font>
      <sz val="11"/>
      <name val="Arial"/>
      <family val="2"/>
    </font>
    <font>
      <sz val="12"/>
      <color rgb="FF000000"/>
      <name val="Arial"/>
      <family val="2"/>
    </font>
    <font>
      <sz val="11"/>
      <color rgb="FF000000"/>
      <name val="Arial"/>
      <family val="2"/>
    </font>
    <font>
      <b/>
      <sz val="11"/>
      <color rgb="FF000000"/>
      <name val="Arial"/>
      <family val="2"/>
    </font>
    <font>
      <sz val="11"/>
      <color rgb="FF22222F"/>
      <name val="Arial"/>
      <family val="2"/>
    </font>
    <font>
      <b/>
      <sz val="11"/>
      <name val="Arial"/>
      <family val="2"/>
    </font>
    <font>
      <sz val="11"/>
      <color rgb="FF0000FF"/>
      <name val="Arial"/>
      <family val="2"/>
    </font>
    <font>
      <sz val="7"/>
      <color rgb="FF000000"/>
      <name val="Arial"/>
      <family val="2"/>
    </font>
    <font>
      <sz val="7"/>
      <color rgb="FFFFFFFF"/>
      <name val="Arial"/>
      <family val="2"/>
    </font>
    <font>
      <sz val="10"/>
      <color rgb="FF000000"/>
      <name val="Arial"/>
      <family val="2"/>
    </font>
    <font>
      <i/>
      <sz val="9"/>
      <color rgb="FF000000"/>
      <name val="Arial"/>
      <family val="2"/>
    </font>
    <font>
      <sz val="11"/>
      <color theme="1"/>
      <name val="Arial"/>
      <family val="2"/>
    </font>
    <font>
      <b/>
      <sz val="14"/>
      <color rgb="FFFFFFFF"/>
      <name val="Arial"/>
      <family val="2"/>
    </font>
    <font>
      <sz val="14"/>
      <color theme="1"/>
      <name val="Arial"/>
      <family val="2"/>
    </font>
    <font>
      <b/>
      <sz val="16"/>
      <color theme="0"/>
      <name val="Arial"/>
      <family val="2"/>
    </font>
    <font>
      <b/>
      <sz val="12"/>
      <color theme="0"/>
      <name val="Arial"/>
      <family val="2"/>
    </font>
    <font>
      <sz val="12"/>
      <color theme="0"/>
      <name val="Arial"/>
      <family val="2"/>
    </font>
    <font>
      <sz val="20"/>
      <color theme="0"/>
      <name val="Arial"/>
      <family val="2"/>
    </font>
    <font>
      <sz val="11"/>
      <color theme="0"/>
      <name val="Arial"/>
      <family val="2"/>
    </font>
    <font>
      <b/>
      <sz val="11"/>
      <color theme="0"/>
      <name val="Arial"/>
      <family val="2"/>
    </font>
    <font>
      <sz val="18"/>
      <color theme="0"/>
      <name val="Arial"/>
      <family val="2"/>
    </font>
    <font>
      <sz val="16"/>
      <color theme="0"/>
      <name val="Arial"/>
      <family val="2"/>
    </font>
    <font>
      <b/>
      <sz val="18"/>
      <color theme="0"/>
      <name val="Arial"/>
      <family val="2"/>
    </font>
    <font>
      <i/>
      <sz val="11"/>
      <color rgb="FF000000"/>
      <name val="Arial"/>
      <family val="2"/>
    </font>
    <font>
      <sz val="12"/>
      <color theme="1"/>
      <name val="Arial"/>
      <family val="2"/>
    </font>
    <font>
      <b/>
      <sz val="11"/>
      <color theme="1"/>
      <name val="Arial"/>
      <family val="2"/>
    </font>
    <font>
      <b/>
      <sz val="6"/>
      <color theme="1"/>
      <name val="Arial"/>
      <family val="2"/>
    </font>
    <font>
      <sz val="6"/>
      <color theme="1"/>
      <name val="Arial"/>
      <family val="2"/>
    </font>
    <font>
      <b/>
      <sz val="6"/>
      <color rgb="FF000000"/>
      <name val="Arial"/>
      <family val="2"/>
    </font>
    <font>
      <b/>
      <sz val="14"/>
      <color theme="0"/>
      <name val="Arial"/>
      <family val="2"/>
    </font>
    <font>
      <i/>
      <sz val="11"/>
      <color theme="1"/>
      <name val="Arial"/>
      <family val="2"/>
    </font>
    <font>
      <sz val="14"/>
      <color theme="0"/>
      <name val="Arial"/>
      <family val="2"/>
    </font>
    <font>
      <sz val="11"/>
      <color rgb="FF008000"/>
      <name val="Arial"/>
      <family val="2"/>
    </font>
    <font>
      <sz val="11"/>
      <color theme="4" tint="-0.249977111117893"/>
      <name val="Arial"/>
      <family val="2"/>
    </font>
    <font>
      <b/>
      <sz val="12"/>
      <name val="Arial"/>
      <family val="2"/>
    </font>
    <font>
      <i/>
      <sz val="9"/>
      <color rgb="FF808080"/>
      <name val="Arial"/>
      <family val="2"/>
    </font>
    <font>
      <b/>
      <sz val="9"/>
      <color theme="0"/>
      <name val="Arial"/>
      <family val="2"/>
    </font>
    <font>
      <b/>
      <sz val="8"/>
      <color theme="0"/>
      <name val="Arial"/>
      <family val="2"/>
    </font>
    <font>
      <b/>
      <sz val="20"/>
      <color theme="0"/>
      <name val="Arial"/>
      <family val="2"/>
    </font>
    <font>
      <b/>
      <sz val="24"/>
      <color theme="0"/>
      <name val="Arial"/>
      <family val="2"/>
    </font>
    <font>
      <b/>
      <u/>
      <sz val="11"/>
      <color rgb="FF000000"/>
      <name val="Arial"/>
      <family val="2"/>
    </font>
  </fonts>
  <fills count="32">
    <fill>
      <patternFill patternType="none"/>
    </fill>
    <fill>
      <patternFill patternType="gray125"/>
    </fill>
    <fill>
      <patternFill patternType="solid">
        <fgColor rgb="FF1A1A2E"/>
        <bgColor rgb="FF22222F"/>
      </patternFill>
    </fill>
    <fill>
      <patternFill patternType="solid">
        <fgColor rgb="FFFAFBFC"/>
        <bgColor rgb="FFF5F8FB"/>
      </patternFill>
    </fill>
    <fill>
      <patternFill patternType="solid">
        <fgColor rgb="FFFFFFFF"/>
        <bgColor rgb="FFFAFBFC"/>
      </patternFill>
    </fill>
    <fill>
      <patternFill patternType="solid">
        <fgColor theme="4" tint="0.79989013336588644"/>
        <bgColor rgb="FFD6E4F0"/>
      </patternFill>
    </fill>
    <fill>
      <patternFill patternType="solid">
        <fgColor rgb="FFE8EBEF"/>
        <bgColor rgb="FFE8EDF2"/>
      </patternFill>
    </fill>
    <fill>
      <patternFill patternType="solid">
        <fgColor theme="4" tint="-0.249977111117893"/>
        <bgColor rgb="FF2E4A7A"/>
      </patternFill>
    </fill>
    <fill>
      <patternFill patternType="solid">
        <fgColor rgb="FFFFFF00"/>
        <bgColor rgb="FFFFF2CC"/>
      </patternFill>
    </fill>
    <fill>
      <patternFill patternType="solid">
        <fgColor rgb="FF002060"/>
        <bgColor rgb="FF0F3460"/>
      </patternFill>
    </fill>
    <fill>
      <patternFill patternType="solid">
        <fgColor rgb="FFFFFFFF"/>
        <bgColor indexed="64"/>
      </patternFill>
    </fill>
    <fill>
      <patternFill patternType="solid">
        <fgColor rgb="FF243166"/>
        <bgColor indexed="64"/>
      </patternFill>
    </fill>
    <fill>
      <patternFill patternType="solid">
        <fgColor theme="8" tint="-0.499984740745262"/>
        <bgColor rgb="FF22222F"/>
      </patternFill>
    </fill>
    <fill>
      <patternFill patternType="solid">
        <fgColor theme="3" tint="0.79998168889431442"/>
        <bgColor rgb="FFF2F2F2"/>
      </patternFill>
    </fill>
    <fill>
      <patternFill patternType="solid">
        <fgColor theme="3" tint="0.79998168889431442"/>
        <bgColor rgb="FFFAFBFC"/>
      </patternFill>
    </fill>
    <fill>
      <patternFill patternType="solid">
        <fgColor theme="4" tint="-0.249977111117893"/>
        <bgColor indexed="64"/>
      </patternFill>
    </fill>
    <fill>
      <patternFill patternType="solid">
        <fgColor theme="4" tint="-0.249977111117893"/>
        <bgColor rgb="FFB31D1D"/>
      </patternFill>
    </fill>
    <fill>
      <patternFill patternType="solid">
        <fgColor theme="4" tint="0.79998168889431442"/>
        <bgColor rgb="FFF0F4F8"/>
      </patternFill>
    </fill>
    <fill>
      <patternFill patternType="solid">
        <fgColor theme="4" tint="0.79998168889431442"/>
        <bgColor indexed="64"/>
      </patternFill>
    </fill>
    <fill>
      <patternFill patternType="solid">
        <fgColor theme="4" tint="-0.249977111117893"/>
        <bgColor rgb="FFF0F4F8"/>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0"/>
        <bgColor rgb="FFF8F8FC"/>
      </patternFill>
    </fill>
    <fill>
      <patternFill patternType="solid">
        <fgColor theme="4" tint="-0.249977111117893"/>
        <bgColor rgb="FFC0504D"/>
      </patternFill>
    </fill>
    <fill>
      <patternFill patternType="solid">
        <fgColor theme="4" tint="0.79998168889431442"/>
        <bgColor rgb="FFDDDDDD"/>
      </patternFill>
    </fill>
    <fill>
      <patternFill patternType="solid">
        <fgColor rgb="FF002060"/>
        <bgColor indexed="64"/>
      </patternFill>
    </fill>
    <fill>
      <patternFill patternType="solid">
        <fgColor rgb="FF002060"/>
        <bgColor rgb="FF22222F"/>
      </patternFill>
    </fill>
    <fill>
      <patternFill patternType="solid">
        <fgColor rgb="FF002060"/>
        <bgColor rgb="FFFAFBFC"/>
      </patternFill>
    </fill>
    <fill>
      <patternFill patternType="solid">
        <fgColor rgb="FF002060"/>
        <bgColor rgb="FFE8EDF2"/>
      </patternFill>
    </fill>
    <fill>
      <patternFill patternType="solid">
        <fgColor theme="0"/>
        <bgColor indexed="64"/>
      </patternFill>
    </fill>
  </fills>
  <borders count="45">
    <border>
      <left/>
      <right/>
      <top/>
      <bottom/>
      <diagonal/>
    </border>
    <border>
      <left style="thin">
        <color auto="1"/>
      </left>
      <right style="thin">
        <color auto="1"/>
      </right>
      <top style="thin">
        <color auto="1"/>
      </top>
      <bottom style="thin">
        <color auto="1"/>
      </bottom>
      <diagonal/>
    </border>
    <border>
      <left style="medium">
        <color rgb="FFEEEEEE"/>
      </left>
      <right style="medium">
        <color rgb="FFEEEEEE"/>
      </right>
      <top/>
      <bottom/>
      <diagonal/>
    </border>
    <border>
      <left style="medium">
        <color rgb="FFEEEEEE"/>
      </left>
      <right/>
      <top/>
      <bottom/>
      <diagonal/>
    </border>
    <border>
      <left style="double">
        <color rgb="FFDDDDDD"/>
      </left>
      <right style="double">
        <color rgb="FFDDDDDD"/>
      </right>
      <top style="double">
        <color rgb="FFDDDDDD"/>
      </top>
      <bottom style="double">
        <color rgb="FFDDDDDD"/>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double">
        <color rgb="FFDDDDDD"/>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style="medium">
        <color indexed="64"/>
      </top>
      <bottom style="medium">
        <color indexed="64"/>
      </bottom>
      <diagonal/>
    </border>
    <border>
      <left style="medium">
        <color rgb="FF000000"/>
      </left>
      <right style="medium">
        <color rgb="FF000000"/>
      </right>
      <top style="medium">
        <color rgb="FF000000"/>
      </top>
      <bottom style="double">
        <color rgb="FFDDDDDD"/>
      </bottom>
      <diagonal/>
    </border>
    <border>
      <left style="thin">
        <color auto="1"/>
      </left>
      <right style="thin">
        <color auto="1"/>
      </right>
      <top style="thin">
        <color auto="1"/>
      </top>
      <bottom style="medium">
        <color indexed="64"/>
      </bottom>
      <diagonal/>
    </border>
    <border>
      <left style="thin">
        <color auto="1"/>
      </left>
      <right style="thin">
        <color auto="1"/>
      </right>
      <top/>
      <bottom style="thin">
        <color auto="1"/>
      </bottom>
      <diagonal/>
    </border>
    <border>
      <left/>
      <right/>
      <top/>
      <bottom style="medium">
        <color indexed="64"/>
      </bottom>
      <diagonal/>
    </border>
    <border>
      <left style="medium">
        <color indexed="64"/>
      </left>
      <right style="thin">
        <color auto="1"/>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style="thin">
        <color auto="1"/>
      </right>
      <top/>
      <bottom style="thin">
        <color auto="1"/>
      </bottom>
      <diagonal/>
    </border>
    <border>
      <left style="thin">
        <color auto="1"/>
      </left>
      <right/>
      <top/>
      <bottom style="thin">
        <color auto="1"/>
      </bottom>
      <diagonal/>
    </border>
    <border>
      <left/>
      <right style="medium">
        <color indexed="64"/>
      </right>
      <top/>
      <bottom style="thin">
        <color auto="1"/>
      </bottom>
      <diagonal/>
    </border>
    <border>
      <left style="thin">
        <color auto="1"/>
      </left>
      <right style="thin">
        <color auto="1"/>
      </right>
      <top style="thin">
        <color auto="1"/>
      </top>
      <bottom/>
      <diagonal/>
    </border>
    <border>
      <left/>
      <right/>
      <top/>
      <bottom style="thin">
        <color auto="1"/>
      </bottom>
      <diagonal/>
    </border>
    <border>
      <left style="thin">
        <color indexed="64"/>
      </left>
      <right/>
      <top/>
      <bottom/>
      <diagonal/>
    </border>
    <border>
      <left/>
      <right style="thin">
        <color indexed="64"/>
      </right>
      <top/>
      <bottom/>
      <diagonal/>
    </border>
    <border>
      <left/>
      <right style="thin">
        <color indexed="64"/>
      </right>
      <top/>
      <bottom style="thin">
        <color auto="1"/>
      </bottom>
      <diagonal/>
    </border>
    <border>
      <left/>
      <right style="thin">
        <color auto="1"/>
      </right>
      <top style="thin">
        <color auto="1"/>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thin">
        <color auto="1"/>
      </left>
      <right style="medium">
        <color indexed="64"/>
      </right>
      <top/>
      <bottom style="thin">
        <color auto="1"/>
      </bottom>
      <diagonal/>
    </border>
    <border>
      <left style="thin">
        <color auto="1"/>
      </left>
      <right style="medium">
        <color indexed="64"/>
      </right>
      <top style="thin">
        <color auto="1"/>
      </top>
      <bottom style="medium">
        <color indexed="64"/>
      </bottom>
      <diagonal/>
    </border>
    <border>
      <left style="thin">
        <color indexed="64"/>
      </left>
      <right style="thin">
        <color auto="1"/>
      </right>
      <top style="thin">
        <color indexed="64"/>
      </top>
      <bottom/>
      <diagonal/>
    </border>
    <border>
      <left/>
      <right/>
      <top style="thin">
        <color indexed="64"/>
      </top>
      <bottom/>
      <diagonal/>
    </border>
    <border>
      <left/>
      <right style="thin">
        <color auto="1"/>
      </right>
      <top style="thin">
        <color indexed="64"/>
      </top>
      <bottom/>
      <diagonal/>
    </border>
    <border>
      <left style="thin">
        <color auto="1"/>
      </left>
      <right style="thin">
        <color indexed="64"/>
      </right>
      <top/>
      <bottom style="thin">
        <color auto="1"/>
      </bottom>
      <diagonal/>
    </border>
  </borders>
  <cellStyleXfs count="1">
    <xf numFmtId="0" fontId="0" fillId="0" borderId="0"/>
  </cellStyleXfs>
  <cellXfs count="356">
    <xf numFmtId="0" fontId="0" fillId="0" borderId="0" xfId="0"/>
    <xf numFmtId="0" fontId="6" fillId="0" borderId="0" xfId="0" applyFont="1" applyAlignment="1">
      <alignment horizontal="left" vertical="center"/>
    </xf>
    <xf numFmtId="0" fontId="11" fillId="0" borderId="0" xfId="0" applyFont="1" applyAlignment="1">
      <alignment horizontal="left" vertical="center"/>
    </xf>
    <xf numFmtId="0" fontId="11" fillId="0" borderId="0" xfId="0" applyFont="1" applyAlignment="1">
      <alignment horizontal="center" vertical="center"/>
    </xf>
    <xf numFmtId="165" fontId="11" fillId="0" borderId="0" xfId="0" applyNumberFormat="1" applyFont="1" applyAlignment="1">
      <alignment horizontal="center" vertical="center"/>
    </xf>
    <xf numFmtId="4" fontId="11" fillId="0" borderId="0" xfId="0" applyNumberFormat="1" applyFont="1" applyAlignment="1">
      <alignment horizontal="right" vertical="center"/>
    </xf>
    <xf numFmtId="167" fontId="11" fillId="0" borderId="0" xfId="0" applyNumberFormat="1" applyFont="1" applyAlignment="1">
      <alignment horizontal="right" vertical="center"/>
    </xf>
    <xf numFmtId="0" fontId="16" fillId="10" borderId="4" xfId="0" applyFont="1" applyFill="1" applyBorder="1" applyAlignment="1">
      <alignment horizontal="left" vertical="center" wrapText="1"/>
    </xf>
    <xf numFmtId="0" fontId="16" fillId="10" borderId="4" xfId="0" applyFont="1" applyFill="1" applyBorder="1" applyAlignment="1">
      <alignment horizontal="right" vertical="center" wrapText="1"/>
    </xf>
    <xf numFmtId="3" fontId="16" fillId="10" borderId="4" xfId="0" applyNumberFormat="1" applyFont="1" applyFill="1" applyBorder="1" applyAlignment="1">
      <alignment horizontal="right" vertical="center" wrapText="1"/>
    </xf>
    <xf numFmtId="4" fontId="16" fillId="10" borderId="4" xfId="0" applyNumberFormat="1" applyFont="1" applyFill="1" applyBorder="1" applyAlignment="1">
      <alignment horizontal="right" vertical="center" wrapText="1"/>
    </xf>
    <xf numFmtId="0" fontId="2" fillId="0" borderId="0" xfId="0" applyFont="1" applyAlignment="1">
      <alignment vertical="center"/>
    </xf>
    <xf numFmtId="0" fontId="7" fillId="0" borderId="0" xfId="0" applyFont="1" applyAlignment="1">
      <alignment horizontal="left" vertical="center"/>
    </xf>
    <xf numFmtId="0" fontId="2" fillId="12" borderId="0" xfId="0" applyFont="1" applyFill="1" applyAlignment="1">
      <alignment vertical="center"/>
    </xf>
    <xf numFmtId="0" fontId="8" fillId="12" borderId="0" xfId="0" applyFont="1" applyFill="1" applyAlignment="1">
      <alignment vertical="center"/>
    </xf>
    <xf numFmtId="0" fontId="20" fillId="0" borderId="0" xfId="0" applyFont="1"/>
    <xf numFmtId="0" fontId="20" fillId="2" borderId="0" xfId="0" applyFont="1" applyFill="1"/>
    <xf numFmtId="0" fontId="22" fillId="0" borderId="0" xfId="0" applyFont="1"/>
    <xf numFmtId="0" fontId="4" fillId="13" borderId="1" xfId="0" applyFont="1" applyFill="1" applyBorder="1" applyAlignment="1">
      <alignment horizontal="left" vertical="center"/>
    </xf>
    <xf numFmtId="0" fontId="5" fillId="13" borderId="1" xfId="0" applyFont="1" applyFill="1" applyBorder="1" applyAlignment="1">
      <alignment horizontal="center" vertical="center"/>
    </xf>
    <xf numFmtId="0" fontId="4" fillId="14" borderId="1" xfId="0" applyFont="1" applyFill="1" applyBorder="1" applyAlignment="1">
      <alignment horizontal="left" vertical="center"/>
    </xf>
    <xf numFmtId="0" fontId="5" fillId="14" borderId="1" xfId="0" applyFont="1" applyFill="1" applyBorder="1" applyAlignment="1">
      <alignment horizontal="center" vertical="center"/>
    </xf>
    <xf numFmtId="0" fontId="4" fillId="14" borderId="1" xfId="0" applyFont="1" applyFill="1" applyBorder="1" applyAlignment="1">
      <alignment horizontal="center" vertical="center"/>
    </xf>
    <xf numFmtId="0" fontId="24" fillId="16" borderId="1" xfId="0" applyFont="1" applyFill="1" applyBorder="1" applyAlignment="1">
      <alignment horizontal="center" vertical="center"/>
    </xf>
    <xf numFmtId="0" fontId="11" fillId="0" borderId="1" xfId="0" applyFont="1" applyBorder="1" applyAlignment="1">
      <alignment horizontal="left" vertical="center"/>
    </xf>
    <xf numFmtId="9" fontId="11" fillId="0" borderId="1" xfId="0" applyNumberFormat="1" applyFont="1" applyBorder="1" applyAlignment="1">
      <alignment horizontal="center" vertical="center"/>
    </xf>
    <xf numFmtId="9" fontId="12" fillId="0" borderId="1" xfId="0" applyNumberFormat="1" applyFont="1" applyBorder="1" applyAlignment="1">
      <alignment horizontal="center" vertical="center"/>
    </xf>
    <xf numFmtId="0" fontId="12" fillId="0" borderId="1" xfId="0" applyFont="1" applyBorder="1" applyAlignment="1">
      <alignment horizontal="left" vertical="center"/>
    </xf>
    <xf numFmtId="168" fontId="12" fillId="0" borderId="1" xfId="0" applyNumberFormat="1" applyFont="1" applyBorder="1" applyAlignment="1">
      <alignment horizontal="center" vertical="center"/>
    </xf>
    <xf numFmtId="169" fontId="11" fillId="0" borderId="1" xfId="0" applyNumberFormat="1" applyFont="1" applyBorder="1" applyAlignment="1">
      <alignment horizontal="center" vertical="center"/>
    </xf>
    <xf numFmtId="169" fontId="12" fillId="0" borderId="1" xfId="0" applyNumberFormat="1" applyFont="1" applyBorder="1" applyAlignment="1">
      <alignment horizontal="center" vertical="center"/>
    </xf>
    <xf numFmtId="4" fontId="12" fillId="0" borderId="1" xfId="0" applyNumberFormat="1" applyFont="1" applyBorder="1" applyAlignment="1">
      <alignment horizontal="center" vertical="center"/>
    </xf>
    <xf numFmtId="170" fontId="11" fillId="0" borderId="1" xfId="0" applyNumberFormat="1" applyFont="1" applyBorder="1" applyAlignment="1">
      <alignment horizontal="center" vertical="center"/>
    </xf>
    <xf numFmtId="4" fontId="11" fillId="0" borderId="1" xfId="0" applyNumberFormat="1" applyFont="1" applyBorder="1" applyAlignment="1">
      <alignment horizontal="center" vertical="center"/>
    </xf>
    <xf numFmtId="0" fontId="9" fillId="20" borderId="21" xfId="0" applyFont="1" applyFill="1" applyBorder="1" applyAlignment="1">
      <alignment horizontal="left" vertical="center"/>
    </xf>
    <xf numFmtId="10" fontId="9" fillId="20" borderId="21" xfId="0" applyNumberFormat="1" applyFont="1" applyFill="1" applyBorder="1" applyAlignment="1">
      <alignment horizontal="center" vertical="center"/>
    </xf>
    <xf numFmtId="0" fontId="9" fillId="20" borderId="28" xfId="0" applyFont="1" applyFill="1" applyBorder="1" applyAlignment="1">
      <alignment horizontal="left" vertical="center"/>
    </xf>
    <xf numFmtId="10" fontId="9" fillId="20" borderId="28" xfId="0" applyNumberFormat="1" applyFont="1" applyFill="1" applyBorder="1" applyAlignment="1">
      <alignment horizontal="center" vertical="center"/>
    </xf>
    <xf numFmtId="0" fontId="25" fillId="16" borderId="0" xfId="0" applyFont="1" applyFill="1" applyAlignment="1">
      <alignment horizontal="left" vertical="center"/>
    </xf>
    <xf numFmtId="10" fontId="11" fillId="0" borderId="1" xfId="0" applyNumberFormat="1" applyFont="1" applyBorder="1" applyAlignment="1">
      <alignment horizontal="center" vertical="center"/>
    </xf>
    <xf numFmtId="2"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3" fontId="11" fillId="0" borderId="1" xfId="0" applyNumberFormat="1" applyFont="1" applyBorder="1" applyAlignment="1">
      <alignment horizontal="center" vertical="center"/>
    </xf>
    <xf numFmtId="0" fontId="12" fillId="0" borderId="20" xfId="0" applyFont="1" applyBorder="1" applyAlignment="1">
      <alignment horizontal="left" vertical="center"/>
    </xf>
    <xf numFmtId="10" fontId="12" fillId="0" borderId="20" xfId="0" applyNumberFormat="1" applyFont="1" applyBorder="1" applyAlignment="1">
      <alignment horizontal="center" vertical="center"/>
    </xf>
    <xf numFmtId="0" fontId="12" fillId="21" borderId="1" xfId="0" applyFont="1" applyFill="1" applyBorder="1" applyAlignment="1">
      <alignment horizontal="left" vertical="center"/>
    </xf>
    <xf numFmtId="10" fontId="12" fillId="21" borderId="1" xfId="0" applyNumberFormat="1" applyFont="1" applyFill="1" applyBorder="1" applyAlignment="1">
      <alignment horizontal="center" vertical="center"/>
    </xf>
    <xf numFmtId="0" fontId="27" fillId="15" borderId="15" xfId="0" applyFont="1" applyFill="1" applyBorder="1" applyAlignment="1">
      <alignment horizontal="left" vertical="center"/>
    </xf>
    <xf numFmtId="164" fontId="28" fillId="16" borderId="16" xfId="0" applyNumberFormat="1" applyFont="1" applyFill="1" applyBorder="1" applyAlignment="1">
      <alignment horizontal="center" vertical="center"/>
    </xf>
    <xf numFmtId="0" fontId="28" fillId="16" borderId="17" xfId="0" applyFont="1" applyFill="1" applyBorder="1" applyAlignment="1">
      <alignment horizontal="center" vertical="center"/>
    </xf>
    <xf numFmtId="4" fontId="12" fillId="0" borderId="20" xfId="0" applyNumberFormat="1" applyFont="1" applyBorder="1" applyAlignment="1">
      <alignment horizontal="center" vertical="center"/>
    </xf>
    <xf numFmtId="0" fontId="11" fillId="20" borderId="0" xfId="0" applyFont="1" applyFill="1"/>
    <xf numFmtId="10" fontId="11" fillId="20" borderId="29" xfId="0" applyNumberFormat="1" applyFont="1" applyFill="1" applyBorder="1" applyAlignment="1">
      <alignment horizontal="center" vertical="center"/>
    </xf>
    <xf numFmtId="0" fontId="14" fillId="20" borderId="20" xfId="0" applyFont="1" applyFill="1" applyBorder="1" applyAlignment="1">
      <alignment horizontal="left" vertical="center"/>
    </xf>
    <xf numFmtId="0" fontId="26" fillId="0" borderId="15" xfId="0" applyFont="1" applyBorder="1" applyAlignment="1">
      <alignment horizontal="center" vertical="center"/>
    </xf>
    <xf numFmtId="0" fontId="26" fillId="0" borderId="16" xfId="0" applyFont="1" applyBorder="1" applyAlignment="1">
      <alignment horizontal="center" vertical="center"/>
    </xf>
    <xf numFmtId="0" fontId="26" fillId="0" borderId="17" xfId="0" applyFont="1" applyBorder="1" applyAlignment="1">
      <alignment horizontal="center" vertical="center"/>
    </xf>
    <xf numFmtId="10" fontId="11" fillId="21" borderId="1" xfId="0" applyNumberFormat="1" applyFont="1" applyFill="1" applyBorder="1" applyAlignment="1">
      <alignment vertical="center"/>
    </xf>
    <xf numFmtId="173" fontId="11" fillId="21" borderId="1" xfId="0" applyNumberFormat="1" applyFont="1" applyFill="1" applyBorder="1" applyAlignment="1">
      <alignment vertical="center"/>
    </xf>
    <xf numFmtId="0" fontId="11" fillId="21" borderId="20" xfId="0" applyFont="1" applyFill="1" applyBorder="1" applyAlignment="1">
      <alignment horizontal="left" vertical="center"/>
    </xf>
    <xf numFmtId="10" fontId="11" fillId="21" borderId="20" xfId="0" applyNumberFormat="1" applyFont="1" applyFill="1" applyBorder="1" applyAlignment="1">
      <alignment vertical="center"/>
    </xf>
    <xf numFmtId="0" fontId="11" fillId="21" borderId="22" xfId="0" applyFont="1" applyFill="1" applyBorder="1" applyAlignment="1">
      <alignment horizontal="left" vertical="center"/>
    </xf>
    <xf numFmtId="10" fontId="11" fillId="21" borderId="28" xfId="0" applyNumberFormat="1" applyFont="1" applyFill="1" applyBorder="1" applyAlignment="1">
      <alignment vertical="center"/>
    </xf>
    <xf numFmtId="0" fontId="12" fillId="21" borderId="17" xfId="0" applyFont="1" applyFill="1" applyBorder="1" applyAlignment="1">
      <alignment horizontal="left" vertical="center"/>
    </xf>
    <xf numFmtId="0" fontId="11" fillId="21" borderId="17" xfId="0" applyFont="1" applyFill="1" applyBorder="1" applyAlignment="1">
      <alignment horizontal="left" vertical="center"/>
    </xf>
    <xf numFmtId="0" fontId="12" fillId="0" borderId="1" xfId="0" applyFont="1" applyBorder="1" applyAlignment="1">
      <alignment horizontal="right" vertical="center"/>
    </xf>
    <xf numFmtId="165" fontId="11" fillId="0" borderId="1" xfId="0" applyNumberFormat="1" applyFont="1" applyBorder="1" applyAlignment="1">
      <alignment horizontal="right" vertical="center"/>
    </xf>
    <xf numFmtId="174" fontId="11" fillId="0" borderId="1" xfId="0" applyNumberFormat="1" applyFont="1" applyBorder="1" applyAlignment="1">
      <alignment horizontal="right" vertical="center"/>
    </xf>
    <xf numFmtId="10" fontId="11" fillId="0" borderId="1" xfId="0" applyNumberFormat="1" applyFont="1" applyBorder="1" applyAlignment="1">
      <alignment horizontal="right" vertical="center"/>
    </xf>
    <xf numFmtId="0" fontId="12" fillId="0" borderId="21" xfId="0" applyFont="1" applyBorder="1" applyAlignment="1">
      <alignment horizontal="right" vertical="center"/>
    </xf>
    <xf numFmtId="0" fontId="12" fillId="0" borderId="17" xfId="0" applyFont="1" applyBorder="1" applyAlignment="1">
      <alignment horizontal="right" vertical="center"/>
    </xf>
    <xf numFmtId="165" fontId="11" fillId="0" borderId="17" xfId="0" applyNumberFormat="1" applyFont="1" applyBorder="1" applyAlignment="1">
      <alignment horizontal="right" vertical="center"/>
    </xf>
    <xf numFmtId="0" fontId="12" fillId="8" borderId="18" xfId="0" applyFont="1" applyFill="1" applyBorder="1" applyAlignment="1">
      <alignment horizontal="right" vertical="center"/>
    </xf>
    <xf numFmtId="0" fontId="24" fillId="16" borderId="34" xfId="0" applyFont="1" applyFill="1" applyBorder="1" applyAlignment="1">
      <alignment horizontal="left" vertical="center"/>
    </xf>
    <xf numFmtId="0" fontId="25" fillId="16" borderId="35" xfId="0" applyFont="1" applyFill="1" applyBorder="1" applyAlignment="1">
      <alignment horizontal="left" vertical="center"/>
    </xf>
    <xf numFmtId="0" fontId="25" fillId="16" borderId="36" xfId="0" applyFont="1" applyFill="1" applyBorder="1" applyAlignment="1">
      <alignment horizontal="left" vertical="center"/>
    </xf>
    <xf numFmtId="0" fontId="24" fillId="16" borderId="36" xfId="0" applyFont="1" applyFill="1" applyBorder="1" applyAlignment="1">
      <alignment horizontal="left" vertical="center"/>
    </xf>
    <xf numFmtId="0" fontId="1" fillId="0" borderId="0" xfId="0" applyFont="1" applyAlignment="1">
      <alignment horizontal="left" vertical="center"/>
    </xf>
    <xf numFmtId="0" fontId="17" fillId="11" borderId="5" xfId="0" applyFont="1" applyFill="1" applyBorder="1" applyAlignment="1">
      <alignment horizontal="center" vertical="center" wrapText="1"/>
    </xf>
    <xf numFmtId="0" fontId="12" fillId="17" borderId="1" xfId="0" applyFont="1" applyFill="1" applyBorder="1" applyAlignment="1">
      <alignment horizontal="left" vertical="center"/>
    </xf>
    <xf numFmtId="0" fontId="20" fillId="17" borderId="1" xfId="0" applyFont="1" applyFill="1" applyBorder="1"/>
    <xf numFmtId="0" fontId="24" fillId="16" borderId="1" xfId="0" applyFont="1" applyFill="1" applyBorder="1" applyAlignment="1">
      <alignment horizontal="left" vertical="center"/>
    </xf>
    <xf numFmtId="0" fontId="20" fillId="0" borderId="0" xfId="0" applyFont="1" applyAlignment="1">
      <alignment horizontal="left" vertical="center" wrapText="1"/>
    </xf>
    <xf numFmtId="4" fontId="11" fillId="0" borderId="38" xfId="0" applyNumberFormat="1" applyFont="1" applyBorder="1" applyAlignment="1">
      <alignment horizontal="right" vertical="center"/>
    </xf>
    <xf numFmtId="0" fontId="11" fillId="0" borderId="38" xfId="0" applyFont="1" applyBorder="1" applyAlignment="1">
      <alignment horizontal="left" vertical="center"/>
    </xf>
    <xf numFmtId="0" fontId="28" fillId="9" borderId="1" xfId="0" applyFont="1" applyFill="1" applyBorder="1"/>
    <xf numFmtId="0" fontId="11" fillId="20" borderId="0" xfId="0" applyFont="1" applyFill="1" applyAlignment="1">
      <alignment horizontal="left" vertical="center"/>
    </xf>
    <xf numFmtId="10" fontId="11" fillId="20" borderId="0" xfId="0" applyNumberFormat="1" applyFont="1" applyFill="1" applyAlignment="1">
      <alignment vertical="center"/>
    </xf>
    <xf numFmtId="165" fontId="11" fillId="22" borderId="0" xfId="0" applyNumberFormat="1" applyFont="1" applyFill="1" applyAlignment="1">
      <alignment horizontal="right" vertical="center"/>
    </xf>
    <xf numFmtId="10" fontId="11" fillId="22" borderId="0" xfId="0" applyNumberFormat="1" applyFont="1" applyFill="1" applyAlignment="1">
      <alignment horizontal="right" vertical="center"/>
    </xf>
    <xf numFmtId="4" fontId="11" fillId="22" borderId="0" xfId="0" applyNumberFormat="1" applyFont="1" applyFill="1" applyAlignment="1">
      <alignment horizontal="right" vertical="center"/>
    </xf>
    <xf numFmtId="4" fontId="12" fillId="22" borderId="0" xfId="0" applyNumberFormat="1" applyFont="1" applyFill="1" applyAlignment="1">
      <alignment horizontal="right" vertical="center"/>
    </xf>
    <xf numFmtId="166" fontId="11" fillId="0" borderId="1" xfId="0" applyNumberFormat="1" applyFont="1" applyBorder="1" applyAlignment="1">
      <alignment horizontal="right" vertical="center"/>
    </xf>
    <xf numFmtId="165" fontId="12" fillId="0" borderId="1" xfId="0" applyNumberFormat="1" applyFont="1" applyBorder="1" applyAlignment="1">
      <alignment horizontal="right" vertical="center"/>
    </xf>
    <xf numFmtId="4" fontId="11" fillId="0" borderId="1" xfId="0" applyNumberFormat="1" applyFont="1" applyBorder="1" applyAlignment="1">
      <alignment horizontal="right" vertical="center"/>
    </xf>
    <xf numFmtId="9" fontId="11" fillId="0" borderId="1" xfId="0" applyNumberFormat="1" applyFont="1" applyBorder="1" applyAlignment="1">
      <alignment horizontal="right" vertical="center"/>
    </xf>
    <xf numFmtId="0" fontId="28" fillId="16" borderId="1" xfId="0" applyFont="1" applyFill="1" applyBorder="1" applyAlignment="1">
      <alignment horizontal="left" vertical="center"/>
    </xf>
    <xf numFmtId="0" fontId="25" fillId="16" borderId="0" xfId="0" applyFont="1" applyFill="1" applyAlignment="1">
      <alignment vertical="center"/>
    </xf>
    <xf numFmtId="0" fontId="24" fillId="16" borderId="1" xfId="0" applyFont="1" applyFill="1" applyBorder="1" applyAlignment="1">
      <alignment horizontal="right" vertical="center"/>
    </xf>
    <xf numFmtId="0" fontId="11" fillId="18" borderId="42" xfId="0" applyFont="1" applyFill="1" applyBorder="1" applyAlignment="1">
      <alignment horizontal="left" vertical="center"/>
    </xf>
    <xf numFmtId="4" fontId="11" fillId="18" borderId="42" xfId="0" applyNumberFormat="1" applyFont="1" applyFill="1" applyBorder="1" applyAlignment="1">
      <alignment horizontal="right" vertical="center"/>
    </xf>
    <xf numFmtId="0" fontId="11" fillId="18" borderId="22" xfId="0" applyFont="1" applyFill="1" applyBorder="1" applyAlignment="1">
      <alignment horizontal="left" vertical="center"/>
    </xf>
    <xf numFmtId="4" fontId="11" fillId="18" borderId="22" xfId="0" applyNumberFormat="1" applyFont="1" applyFill="1" applyBorder="1" applyAlignment="1">
      <alignment horizontal="right" vertical="center"/>
    </xf>
    <xf numFmtId="0" fontId="12" fillId="18" borderId="42" xfId="0" applyFont="1" applyFill="1" applyBorder="1" applyAlignment="1">
      <alignment horizontal="left" vertical="center"/>
    </xf>
    <xf numFmtId="0" fontId="11" fillId="18" borderId="0" xfId="0" applyFont="1" applyFill="1" applyAlignment="1">
      <alignment horizontal="left" vertical="center"/>
    </xf>
    <xf numFmtId="4" fontId="15" fillId="18" borderId="0" xfId="0" applyNumberFormat="1" applyFont="1" applyFill="1" applyAlignment="1">
      <alignment horizontal="right" vertical="center"/>
    </xf>
    <xf numFmtId="0" fontId="12" fillId="18" borderId="38" xfId="0" applyFont="1" applyFill="1" applyBorder="1" applyAlignment="1">
      <alignment horizontal="left" vertical="center"/>
    </xf>
    <xf numFmtId="4" fontId="11" fillId="18" borderId="38" xfId="0" applyNumberFormat="1" applyFont="1" applyFill="1" applyBorder="1" applyAlignment="1">
      <alignment horizontal="right" vertical="center"/>
    </xf>
    <xf numFmtId="0" fontId="12" fillId="18" borderId="22" xfId="0" applyFont="1" applyFill="1" applyBorder="1" applyAlignment="1">
      <alignment horizontal="left" vertical="center"/>
    </xf>
    <xf numFmtId="3" fontId="12" fillId="18" borderId="22" xfId="0" applyNumberFormat="1" applyFont="1" applyFill="1" applyBorder="1" applyAlignment="1">
      <alignment horizontal="right" vertical="center"/>
    </xf>
    <xf numFmtId="0" fontId="20" fillId="0" borderId="42" xfId="0" applyFont="1" applyBorder="1"/>
    <xf numFmtId="0" fontId="20" fillId="0" borderId="29" xfId="0" applyFont="1" applyBorder="1"/>
    <xf numFmtId="0" fontId="20" fillId="0" borderId="17" xfId="0" applyFont="1" applyBorder="1"/>
    <xf numFmtId="0" fontId="16" fillId="10" borderId="1" xfId="0" applyFont="1" applyFill="1" applyBorder="1" applyAlignment="1">
      <alignment horizontal="center" vertical="center" wrapText="1"/>
    </xf>
    <xf numFmtId="0" fontId="17" fillId="11" borderId="7" xfId="0" applyFont="1" applyFill="1" applyBorder="1" applyAlignment="1">
      <alignment horizontal="center" vertical="center" wrapText="1"/>
    </xf>
    <xf numFmtId="0" fontId="11" fillId="10" borderId="11" xfId="0" applyFont="1" applyFill="1" applyBorder="1" applyAlignment="1">
      <alignment horizontal="left" vertical="center" wrapText="1"/>
    </xf>
    <xf numFmtId="0" fontId="11" fillId="10" borderId="6" xfId="0" applyFont="1" applyFill="1" applyBorder="1" applyAlignment="1">
      <alignment horizontal="right" vertical="center" wrapText="1"/>
    </xf>
    <xf numFmtId="0" fontId="11" fillId="10" borderId="10" xfId="0" applyFont="1" applyFill="1" applyBorder="1" applyAlignment="1">
      <alignment horizontal="right" vertical="center" wrapText="1"/>
    </xf>
    <xf numFmtId="3" fontId="11" fillId="10" borderId="6" xfId="0" applyNumberFormat="1" applyFont="1" applyFill="1" applyBorder="1" applyAlignment="1">
      <alignment horizontal="right" vertical="center" wrapText="1"/>
    </xf>
    <xf numFmtId="0" fontId="20" fillId="5" borderId="0" xfId="0" applyFont="1" applyFill="1"/>
    <xf numFmtId="0" fontId="35" fillId="6" borderId="2" xfId="0" applyFont="1" applyFill="1" applyBorder="1" applyAlignment="1">
      <alignment vertical="center" wrapText="1"/>
    </xf>
    <xf numFmtId="0" fontId="35" fillId="4" borderId="1" xfId="0" applyFont="1" applyFill="1" applyBorder="1" applyAlignment="1">
      <alignment vertical="center" wrapText="1"/>
    </xf>
    <xf numFmtId="164" fontId="35" fillId="4" borderId="1" xfId="0" applyNumberFormat="1" applyFont="1" applyFill="1" applyBorder="1" applyAlignment="1">
      <alignment horizontal="right" vertical="center" wrapText="1"/>
    </xf>
    <xf numFmtId="0" fontId="35" fillId="4" borderId="1" xfId="0" applyFont="1" applyFill="1" applyBorder="1" applyAlignment="1">
      <alignment horizontal="right" vertical="center" wrapText="1"/>
    </xf>
    <xf numFmtId="0" fontId="35" fillId="6" borderId="0" xfId="0" applyFont="1" applyFill="1" applyAlignment="1">
      <alignment vertical="center" wrapText="1"/>
    </xf>
    <xf numFmtId="0" fontId="35" fillId="5" borderId="0" xfId="0" applyFont="1" applyFill="1" applyAlignment="1">
      <alignment vertical="center" wrapText="1"/>
    </xf>
    <xf numFmtId="0" fontId="36" fillId="4" borderId="2" xfId="0" applyFont="1" applyFill="1" applyBorder="1" applyAlignment="1">
      <alignment vertical="center" wrapText="1"/>
    </xf>
    <xf numFmtId="0" fontId="36" fillId="4" borderId="2" xfId="0" applyFont="1" applyFill="1" applyBorder="1" applyAlignment="1">
      <alignment horizontal="right" vertical="center" wrapText="1"/>
    </xf>
    <xf numFmtId="0" fontId="35" fillId="4" borderId="3" xfId="0" applyFont="1" applyFill="1" applyBorder="1" applyAlignment="1">
      <alignment vertical="center" wrapText="1"/>
    </xf>
    <xf numFmtId="0" fontId="35" fillId="4" borderId="2" xfId="0" applyFont="1" applyFill="1" applyBorder="1" applyAlignment="1">
      <alignment horizontal="right" vertical="center" wrapText="1"/>
    </xf>
    <xf numFmtId="0" fontId="20" fillId="0" borderId="1" xfId="0" applyFont="1" applyBorder="1"/>
    <xf numFmtId="0" fontId="36" fillId="4" borderId="1" xfId="0" applyFont="1" applyFill="1" applyBorder="1" applyAlignment="1">
      <alignment vertical="center" wrapText="1"/>
    </xf>
    <xf numFmtId="4" fontId="36" fillId="4" borderId="1" xfId="0" applyNumberFormat="1" applyFont="1" applyFill="1" applyBorder="1" applyAlignment="1">
      <alignment horizontal="right" vertical="center" wrapText="1"/>
    </xf>
    <xf numFmtId="10" fontId="20" fillId="5" borderId="0" xfId="0" applyNumberFormat="1" applyFont="1" applyFill="1"/>
    <xf numFmtId="10" fontId="20" fillId="0" borderId="1" xfId="0" applyNumberFormat="1" applyFont="1" applyBorder="1"/>
    <xf numFmtId="0" fontId="35" fillId="6" borderId="1" xfId="0" applyFont="1" applyFill="1" applyBorder="1" applyAlignment="1">
      <alignment vertical="center" wrapText="1"/>
    </xf>
    <xf numFmtId="4" fontId="35" fillId="6" borderId="1" xfId="0" applyNumberFormat="1" applyFont="1" applyFill="1" applyBorder="1" applyAlignment="1">
      <alignment horizontal="right" vertical="center" wrapText="1"/>
    </xf>
    <xf numFmtId="0" fontId="36" fillId="4" borderId="1" xfId="0" applyFont="1" applyFill="1" applyBorder="1" applyAlignment="1">
      <alignment horizontal="right" vertical="center" wrapText="1"/>
    </xf>
    <xf numFmtId="0" fontId="20" fillId="4" borderId="2" xfId="0" applyFont="1" applyFill="1" applyBorder="1" applyAlignment="1">
      <alignment vertical="center" wrapText="1"/>
    </xf>
    <xf numFmtId="0" fontId="20" fillId="4" borderId="0" xfId="0" applyFont="1" applyFill="1"/>
    <xf numFmtId="0" fontId="20" fillId="4" borderId="2" xfId="0" applyFont="1" applyFill="1" applyBorder="1" applyAlignment="1">
      <alignment horizontal="right" vertical="center" wrapText="1"/>
    </xf>
    <xf numFmtId="10" fontId="20" fillId="0" borderId="0" xfId="0" applyNumberFormat="1" applyFont="1"/>
    <xf numFmtId="4" fontId="35" fillId="4" borderId="1" xfId="0" applyNumberFormat="1" applyFont="1" applyFill="1" applyBorder="1" applyAlignment="1">
      <alignment horizontal="right" vertical="center" wrapText="1"/>
    </xf>
    <xf numFmtId="0" fontId="35" fillId="6" borderId="1" xfId="0" applyFont="1" applyFill="1" applyBorder="1" applyAlignment="1">
      <alignment horizontal="right" vertical="center" wrapText="1"/>
    </xf>
    <xf numFmtId="0" fontId="35" fillId="4" borderId="2" xfId="0" applyFont="1" applyFill="1" applyBorder="1" applyAlignment="1">
      <alignment vertical="center" wrapText="1"/>
    </xf>
    <xf numFmtId="164" fontId="35" fillId="4" borderId="2" xfId="0" applyNumberFormat="1" applyFont="1" applyFill="1" applyBorder="1" applyAlignment="1">
      <alignment horizontal="right" vertical="center" wrapText="1"/>
    </xf>
    <xf numFmtId="0" fontId="35" fillId="0" borderId="0" xfId="0" applyFont="1" applyAlignment="1">
      <alignment vertical="center" wrapText="1"/>
    </xf>
    <xf numFmtId="0" fontId="35" fillId="6" borderId="2" xfId="0" applyFont="1" applyFill="1" applyBorder="1" applyAlignment="1">
      <alignment horizontal="right" vertical="center" wrapText="1"/>
    </xf>
    <xf numFmtId="4" fontId="36" fillId="4" borderId="2" xfId="0" applyNumberFormat="1" applyFont="1" applyFill="1" applyBorder="1" applyAlignment="1">
      <alignment horizontal="right" vertical="center" wrapText="1"/>
    </xf>
    <xf numFmtId="0" fontId="38" fillId="25" borderId="26" xfId="0" applyFont="1" applyFill="1" applyBorder="1" applyAlignment="1">
      <alignment horizontal="left" vertical="center" wrapText="1"/>
    </xf>
    <xf numFmtId="0" fontId="34" fillId="26" borderId="1" xfId="0" applyFont="1" applyFill="1" applyBorder="1" applyAlignment="1">
      <alignment horizontal="left" vertical="center" wrapText="1"/>
    </xf>
    <xf numFmtId="0" fontId="34" fillId="24" borderId="1" xfId="0" applyFont="1" applyFill="1" applyBorder="1" applyAlignment="1">
      <alignment horizontal="left" vertical="center" wrapText="1"/>
    </xf>
    <xf numFmtId="9" fontId="12" fillId="0" borderId="20" xfId="0" applyNumberFormat="1" applyFont="1" applyBorder="1" applyAlignment="1">
      <alignment horizontal="center" vertical="center"/>
    </xf>
    <xf numFmtId="0" fontId="28" fillId="19" borderId="1" xfId="0" applyFont="1" applyFill="1" applyBorder="1" applyAlignment="1">
      <alignment horizontal="left" vertical="center"/>
    </xf>
    <xf numFmtId="168" fontId="12" fillId="0" borderId="20" xfId="0" applyNumberFormat="1" applyFont="1" applyBorder="1" applyAlignment="1">
      <alignment horizontal="center" vertical="center"/>
    </xf>
    <xf numFmtId="0" fontId="11" fillId="0" borderId="21" xfId="0" applyFont="1" applyBorder="1" applyAlignment="1">
      <alignment horizontal="left" vertical="center"/>
    </xf>
    <xf numFmtId="169" fontId="11" fillId="0" borderId="21" xfId="0" applyNumberFormat="1" applyFont="1" applyBorder="1" applyAlignment="1">
      <alignment horizontal="center" vertical="center"/>
    </xf>
    <xf numFmtId="0" fontId="27" fillId="16" borderId="0" xfId="0" applyFont="1" applyFill="1" applyAlignment="1">
      <alignment horizontal="left" vertical="center"/>
    </xf>
    <xf numFmtId="0" fontId="27" fillId="16" borderId="0" xfId="0" applyFont="1" applyFill="1" applyAlignment="1">
      <alignment horizontal="center" vertical="center"/>
    </xf>
    <xf numFmtId="10" fontId="18" fillId="0" borderId="1" xfId="0" applyNumberFormat="1" applyFont="1" applyBorder="1" applyAlignment="1">
      <alignment horizontal="center" vertical="center"/>
    </xf>
    <xf numFmtId="0" fontId="11" fillId="20" borderId="25" xfId="0" applyFont="1" applyFill="1" applyBorder="1" applyAlignment="1">
      <alignment horizontal="left" vertical="center"/>
    </xf>
    <xf numFmtId="0" fontId="11" fillId="20" borderId="23" xfId="0" applyFont="1" applyFill="1" applyBorder="1" applyAlignment="1">
      <alignment horizontal="left" vertical="center"/>
    </xf>
    <xf numFmtId="0" fontId="27" fillId="16" borderId="1" xfId="0" applyFont="1" applyFill="1" applyBorder="1" applyAlignment="1">
      <alignment horizontal="left" vertical="center"/>
    </xf>
    <xf numFmtId="0" fontId="27" fillId="16" borderId="1" xfId="0" applyFont="1" applyFill="1" applyBorder="1" applyAlignment="1">
      <alignment horizontal="center" vertical="center"/>
    </xf>
    <xf numFmtId="0" fontId="20" fillId="20" borderId="21" xfId="0" applyFont="1" applyFill="1" applyBorder="1"/>
    <xf numFmtId="0" fontId="20" fillId="20" borderId="28" xfId="0" applyFont="1" applyFill="1" applyBorder="1"/>
    <xf numFmtId="171" fontId="11" fillId="0" borderId="1" xfId="0" applyNumberFormat="1" applyFont="1" applyBorder="1" applyAlignment="1">
      <alignment horizontal="center" vertical="center"/>
    </xf>
    <xf numFmtId="171" fontId="12" fillId="0" borderId="20" xfId="0" applyNumberFormat="1" applyFont="1" applyBorder="1" applyAlignment="1">
      <alignment horizontal="center" vertical="center"/>
    </xf>
    <xf numFmtId="0" fontId="11" fillId="20" borderId="1" xfId="0" applyFont="1" applyFill="1" applyBorder="1" applyAlignment="1">
      <alignment horizontal="left" vertical="center"/>
    </xf>
    <xf numFmtId="0" fontId="20" fillId="20" borderId="1" xfId="0" applyFont="1" applyFill="1" applyBorder="1"/>
    <xf numFmtId="10" fontId="11" fillId="20" borderId="1" xfId="0" applyNumberFormat="1" applyFont="1" applyFill="1" applyBorder="1" applyAlignment="1">
      <alignment horizontal="center" vertical="center"/>
    </xf>
    <xf numFmtId="0" fontId="28" fillId="16" borderId="1" xfId="0" applyFont="1" applyFill="1" applyBorder="1" applyAlignment="1">
      <alignment horizontal="center" vertical="center"/>
    </xf>
    <xf numFmtId="172" fontId="11" fillId="0" borderId="1" xfId="0" applyNumberFormat="1" applyFont="1" applyBorder="1" applyAlignment="1">
      <alignment horizontal="center" vertical="center"/>
    </xf>
    <xf numFmtId="169" fontId="12" fillId="0" borderId="20" xfId="0" applyNumberFormat="1" applyFont="1" applyBorder="1" applyAlignment="1">
      <alignment horizontal="center" vertical="center"/>
    </xf>
    <xf numFmtId="9" fontId="11" fillId="20" borderId="1" xfId="0" applyNumberFormat="1" applyFont="1" applyFill="1" applyBorder="1" applyAlignment="1">
      <alignment horizontal="center" vertical="center"/>
    </xf>
    <xf numFmtId="0" fontId="14" fillId="18" borderId="0" xfId="0" applyFont="1" applyFill="1" applyAlignment="1">
      <alignment horizontal="center" vertical="top"/>
    </xf>
    <xf numFmtId="14" fontId="20" fillId="0" borderId="0" xfId="0" applyNumberFormat="1" applyFont="1"/>
    <xf numFmtId="0" fontId="20" fillId="18" borderId="0" xfId="0" applyFont="1" applyFill="1"/>
    <xf numFmtId="0" fontId="20" fillId="0" borderId="38" xfId="0" applyFont="1" applyBorder="1"/>
    <xf numFmtId="2" fontId="20" fillId="0" borderId="38" xfId="0" applyNumberFormat="1" applyFont="1" applyBorder="1"/>
    <xf numFmtId="2" fontId="20" fillId="0" borderId="0" xfId="0" applyNumberFormat="1" applyFont="1"/>
    <xf numFmtId="0" fontId="39" fillId="0" borderId="37" xfId="0" applyFont="1" applyBorder="1" applyAlignment="1">
      <alignment horizontal="centerContinuous"/>
    </xf>
    <xf numFmtId="0" fontId="20" fillId="0" borderId="22" xfId="0" applyFont="1" applyBorder="1"/>
    <xf numFmtId="0" fontId="39" fillId="0" borderId="37" xfId="0" applyFont="1" applyBorder="1" applyAlignment="1">
      <alignment horizontal="center"/>
    </xf>
    <xf numFmtId="0" fontId="20" fillId="0" borderId="30" xfId="0" applyFont="1" applyBorder="1"/>
    <xf numFmtId="0" fontId="20" fillId="0" borderId="31" xfId="0" applyFont="1" applyBorder="1"/>
    <xf numFmtId="10" fontId="9" fillId="0" borderId="1" xfId="0" applyNumberFormat="1" applyFont="1" applyBorder="1" applyAlignment="1">
      <alignment horizontal="center" vertical="center"/>
    </xf>
    <xf numFmtId="3" fontId="9" fillId="0" borderId="1" xfId="0" applyNumberFormat="1" applyFont="1" applyBorder="1" applyAlignment="1">
      <alignment horizontal="center" vertical="center"/>
    </xf>
    <xf numFmtId="0" fontId="39" fillId="0" borderId="0" xfId="0" applyFont="1"/>
    <xf numFmtId="0" fontId="40" fillId="15" borderId="42" xfId="0" applyFont="1" applyFill="1" applyBorder="1"/>
    <xf numFmtId="0" fontId="40" fillId="15" borderId="38" xfId="0" applyFont="1" applyFill="1" applyBorder="1"/>
    <xf numFmtId="4" fontId="41" fillId="0" borderId="1" xfId="0" applyNumberFormat="1" applyFont="1" applyBorder="1"/>
    <xf numFmtId="10" fontId="42" fillId="0" borderId="1" xfId="0" applyNumberFormat="1" applyFont="1" applyBorder="1"/>
    <xf numFmtId="170" fontId="20" fillId="0" borderId="1" xfId="0" applyNumberFormat="1" applyFont="1" applyBorder="1"/>
    <xf numFmtId="2" fontId="42" fillId="0" borderId="1" xfId="0" applyNumberFormat="1" applyFont="1" applyBorder="1"/>
    <xf numFmtId="2" fontId="20" fillId="0" borderId="1" xfId="0" applyNumberFormat="1" applyFont="1" applyBorder="1"/>
    <xf numFmtId="0" fontId="14" fillId="0" borderId="1" xfId="0" applyFont="1" applyBorder="1"/>
    <xf numFmtId="0" fontId="28" fillId="15" borderId="38" xfId="0" applyFont="1" applyFill="1" applyBorder="1"/>
    <xf numFmtId="0" fontId="27" fillId="15" borderId="38" xfId="0" applyFont="1" applyFill="1" applyBorder="1"/>
    <xf numFmtId="10" fontId="41" fillId="0" borderId="1" xfId="0" applyNumberFormat="1" applyFont="1" applyBorder="1"/>
    <xf numFmtId="10" fontId="14" fillId="0" borderId="1" xfId="0" applyNumberFormat="1" applyFont="1" applyBorder="1"/>
    <xf numFmtId="0" fontId="27" fillId="15" borderId="1" xfId="0" applyFont="1" applyFill="1" applyBorder="1"/>
    <xf numFmtId="4" fontId="20" fillId="0" borderId="1" xfId="0" applyNumberFormat="1" applyFont="1" applyBorder="1"/>
    <xf numFmtId="10" fontId="15" fillId="0" borderId="1" xfId="0" applyNumberFormat="1" applyFont="1" applyBorder="1"/>
    <xf numFmtId="170" fontId="20" fillId="0" borderId="38" xfId="0" applyNumberFormat="1" applyFont="1" applyBorder="1"/>
    <xf numFmtId="0" fontId="43" fillId="20" borderId="38" xfId="0" applyFont="1" applyFill="1" applyBorder="1"/>
    <xf numFmtId="0" fontId="20" fillId="20" borderId="38" xfId="0" applyFont="1" applyFill="1" applyBorder="1"/>
    <xf numFmtId="10" fontId="43" fillId="20" borderId="38" xfId="0" applyNumberFormat="1" applyFont="1" applyFill="1" applyBorder="1"/>
    <xf numFmtId="0" fontId="38" fillId="15" borderId="1" xfId="0" applyFont="1" applyFill="1" applyBorder="1"/>
    <xf numFmtId="0" fontId="40" fillId="15" borderId="1" xfId="0" applyFont="1" applyFill="1" applyBorder="1"/>
    <xf numFmtId="0" fontId="33" fillId="23" borderId="1" xfId="0" applyFont="1" applyFill="1" applyBorder="1"/>
    <xf numFmtId="0" fontId="43" fillId="23" borderId="1" xfId="0" applyFont="1" applyFill="1" applyBorder="1" applyAlignment="1">
      <alignment wrapText="1"/>
    </xf>
    <xf numFmtId="0" fontId="34" fillId="0" borderId="1" xfId="0" applyFont="1" applyBorder="1"/>
    <xf numFmtId="0" fontId="28" fillId="15" borderId="1" xfId="0" applyFont="1" applyFill="1" applyBorder="1"/>
    <xf numFmtId="0" fontId="11" fillId="0" borderId="1" xfId="0" applyFont="1" applyBorder="1"/>
    <xf numFmtId="0" fontId="27" fillId="15" borderId="22" xfId="0" applyFont="1" applyFill="1" applyBorder="1" applyAlignment="1">
      <alignment horizontal="left"/>
    </xf>
    <xf numFmtId="0" fontId="27" fillId="15" borderId="22" xfId="0" applyFont="1" applyFill="1" applyBorder="1"/>
    <xf numFmtId="0" fontId="20" fillId="0" borderId="44" xfId="0" applyFont="1" applyBorder="1" applyAlignment="1">
      <alignment horizontal="left"/>
    </xf>
    <xf numFmtId="4" fontId="41" fillId="0" borderId="44" xfId="0" applyNumberFormat="1" applyFont="1" applyBorder="1"/>
    <xf numFmtId="0" fontId="20" fillId="0" borderId="44" xfId="0" applyFont="1" applyBorder="1"/>
    <xf numFmtId="175" fontId="11" fillId="0" borderId="44" xfId="0" applyNumberFormat="1" applyFont="1" applyBorder="1"/>
    <xf numFmtId="0" fontId="20" fillId="0" borderId="1" xfId="0" applyFont="1" applyBorder="1" applyAlignment="1">
      <alignment horizontal="left"/>
    </xf>
    <xf numFmtId="10" fontId="11" fillId="0" borderId="1" xfId="0" applyNumberFormat="1" applyFont="1" applyBorder="1"/>
    <xf numFmtId="175" fontId="11" fillId="0" borderId="1" xfId="0" applyNumberFormat="1" applyFont="1" applyBorder="1"/>
    <xf numFmtId="0" fontId="25" fillId="15" borderId="0" xfId="0" applyFont="1" applyFill="1"/>
    <xf numFmtId="0" fontId="20" fillId="0" borderId="1" xfId="0" applyFont="1" applyBorder="1" applyAlignment="1">
      <alignment horizontal="right"/>
    </xf>
    <xf numFmtId="0" fontId="20" fillId="20" borderId="20" xfId="0" quotePrefix="1" applyFont="1" applyFill="1" applyBorder="1"/>
    <xf numFmtId="10" fontId="14" fillId="20" borderId="20" xfId="0" applyNumberFormat="1" applyFont="1" applyFill="1" applyBorder="1"/>
    <xf numFmtId="0" fontId="20" fillId="0" borderId="35" xfId="0" applyFont="1" applyBorder="1"/>
    <xf numFmtId="0" fontId="20" fillId="21" borderId="0" xfId="0" applyFont="1" applyFill="1"/>
    <xf numFmtId="10" fontId="41" fillId="20" borderId="0" xfId="0" applyNumberFormat="1" applyFont="1" applyFill="1" applyAlignment="1">
      <alignment vertical="center"/>
    </xf>
    <xf numFmtId="0" fontId="20" fillId="22" borderId="0" xfId="0" applyFont="1" applyFill="1"/>
    <xf numFmtId="0" fontId="20" fillId="9" borderId="1" xfId="0" applyFont="1" applyFill="1" applyBorder="1"/>
    <xf numFmtId="3" fontId="34" fillId="20" borderId="1" xfId="0" applyNumberFormat="1" applyFont="1" applyFill="1" applyBorder="1" applyAlignment="1">
      <alignment horizontal="right" vertical="center" wrapText="1"/>
    </xf>
    <xf numFmtId="10" fontId="34" fillId="20" borderId="1" xfId="0" applyNumberFormat="1" applyFont="1" applyFill="1" applyBorder="1" applyAlignment="1">
      <alignment horizontal="center" vertical="center" wrapText="1"/>
    </xf>
    <xf numFmtId="10" fontId="34" fillId="20" borderId="1" xfId="0" applyNumberFormat="1" applyFont="1" applyFill="1" applyBorder="1" applyAlignment="1">
      <alignment horizontal="right" vertical="center" wrapText="1"/>
    </xf>
    <xf numFmtId="3" fontId="20" fillId="20" borderId="1" xfId="0" applyNumberFormat="1" applyFont="1" applyFill="1" applyBorder="1" applyAlignment="1">
      <alignment vertical="center" wrapText="1"/>
    </xf>
    <xf numFmtId="0" fontId="20" fillId="20" borderId="1" xfId="0" applyFont="1" applyFill="1" applyBorder="1" applyAlignment="1">
      <alignment vertical="center" wrapText="1"/>
    </xf>
    <xf numFmtId="3" fontId="34" fillId="20" borderId="1" xfId="0" applyNumberFormat="1" applyFont="1" applyFill="1" applyBorder="1" applyAlignment="1">
      <alignment vertical="center" wrapText="1"/>
    </xf>
    <xf numFmtId="4" fontId="41" fillId="18" borderId="42" xfId="0" applyNumberFormat="1" applyFont="1" applyFill="1" applyBorder="1" applyAlignment="1">
      <alignment horizontal="right" vertical="center"/>
    </xf>
    <xf numFmtId="176" fontId="41" fillId="0" borderId="0" xfId="0" applyNumberFormat="1" applyFont="1" applyAlignment="1">
      <alignment horizontal="left" vertical="center"/>
    </xf>
    <xf numFmtId="10" fontId="14" fillId="0" borderId="0" xfId="0" applyNumberFormat="1" applyFont="1" applyAlignment="1">
      <alignment horizontal="left"/>
    </xf>
    <xf numFmtId="0" fontId="3" fillId="3" borderId="0" xfId="0" applyFont="1" applyFill="1" applyAlignment="1">
      <alignment horizontal="left" vertical="top" wrapText="1"/>
    </xf>
    <xf numFmtId="0" fontId="20" fillId="0" borderId="0" xfId="0" applyFont="1"/>
    <xf numFmtId="0" fontId="31" fillId="15" borderId="15" xfId="0" applyFont="1" applyFill="1" applyBorder="1" applyAlignment="1">
      <alignment horizontal="center" vertical="center"/>
    </xf>
    <xf numFmtId="0" fontId="31" fillId="15" borderId="16" xfId="0" applyFont="1" applyFill="1" applyBorder="1" applyAlignment="1">
      <alignment horizontal="center" vertical="center"/>
    </xf>
    <xf numFmtId="0" fontId="31" fillId="15" borderId="17" xfId="0" applyFont="1" applyFill="1" applyBorder="1" applyAlignment="1">
      <alignment horizontal="center" vertical="center"/>
    </xf>
    <xf numFmtId="0" fontId="18" fillId="10" borderId="1" xfId="0" applyFont="1" applyFill="1" applyBorder="1" applyAlignment="1">
      <alignment horizontal="center" vertical="center" wrapText="1"/>
    </xf>
    <xf numFmtId="0" fontId="20" fillId="0" borderId="16" xfId="0" applyFont="1" applyBorder="1"/>
    <xf numFmtId="0" fontId="20" fillId="0" borderId="17" xfId="0" applyFont="1" applyBorder="1"/>
    <xf numFmtId="0" fontId="17" fillId="11" borderId="9" xfId="0" applyFont="1" applyFill="1" applyBorder="1" applyAlignment="1">
      <alignment horizontal="center" vertical="center" wrapText="1"/>
    </xf>
    <xf numFmtId="0" fontId="20" fillId="0" borderId="6" xfId="0" applyFont="1" applyBorder="1"/>
    <xf numFmtId="0" fontId="20" fillId="0" borderId="9" xfId="0" applyFont="1" applyBorder="1"/>
    <xf numFmtId="0" fontId="17" fillId="11" borderId="19" xfId="0" applyFont="1" applyFill="1" applyBorder="1" applyAlignment="1">
      <alignment horizontal="center" vertical="center" wrapText="1"/>
    </xf>
    <xf numFmtId="0" fontId="17" fillId="11" borderId="5" xfId="0" applyFont="1" applyFill="1" applyBorder="1" applyAlignment="1">
      <alignment horizontal="center" vertical="center" wrapText="1"/>
    </xf>
    <xf numFmtId="0" fontId="20" fillId="0" borderId="8" xfId="0" applyFont="1" applyBorder="1"/>
    <xf numFmtId="0" fontId="16" fillId="10" borderId="1" xfId="0" applyFont="1" applyFill="1" applyBorder="1" applyAlignment="1">
      <alignment horizontal="right" vertical="center" wrapText="1"/>
    </xf>
    <xf numFmtId="0" fontId="19" fillId="10" borderId="1" xfId="0" applyFont="1" applyFill="1" applyBorder="1" applyAlignment="1">
      <alignment horizontal="center" vertical="center" wrapText="1"/>
    </xf>
    <xf numFmtId="0" fontId="20" fillId="0" borderId="5" xfId="0" applyFont="1" applyBorder="1"/>
    <xf numFmtId="0" fontId="33" fillId="10" borderId="1" xfId="0" applyFont="1" applyFill="1" applyBorder="1" applyAlignment="1">
      <alignment horizontal="center" vertical="center" wrapText="1"/>
    </xf>
    <xf numFmtId="0" fontId="11" fillId="10" borderId="1" xfId="0" applyFont="1" applyFill="1" applyBorder="1" applyAlignment="1">
      <alignment horizontal="right" vertical="center" wrapText="1"/>
    </xf>
    <xf numFmtId="0" fontId="17" fillId="11" borderId="8" xfId="0" applyFont="1" applyFill="1" applyBorder="1" applyAlignment="1">
      <alignment horizontal="center" vertical="center" wrapText="1"/>
    </xf>
    <xf numFmtId="0" fontId="20" fillId="0" borderId="11" xfId="0" applyFont="1" applyBorder="1"/>
    <xf numFmtId="0" fontId="32" fillId="10" borderId="1" xfId="0" applyFont="1" applyFill="1" applyBorder="1" applyAlignment="1">
      <alignment horizontal="center" vertical="center" wrapText="1"/>
    </xf>
    <xf numFmtId="0" fontId="17" fillId="11" borderId="7" xfId="0" applyFont="1" applyFill="1" applyBorder="1" applyAlignment="1">
      <alignment horizontal="center" vertical="center" wrapText="1"/>
    </xf>
    <xf numFmtId="0" fontId="20" fillId="0" borderId="12" xfId="0" applyFont="1" applyBorder="1"/>
    <xf numFmtId="0" fontId="11" fillId="10" borderId="1" xfId="0" applyFont="1" applyFill="1" applyBorder="1" applyAlignment="1">
      <alignment horizontal="left" vertical="center" wrapText="1"/>
    </xf>
    <xf numFmtId="0" fontId="17" fillId="11" borderId="13" xfId="0" applyFont="1" applyFill="1" applyBorder="1" applyAlignment="1">
      <alignment horizontal="center" vertical="center" wrapText="1"/>
    </xf>
    <xf numFmtId="0" fontId="20" fillId="0" borderId="14" xfId="0" applyFont="1" applyBorder="1"/>
    <xf numFmtId="0" fontId="10" fillId="10" borderId="1" xfId="0" applyFont="1" applyFill="1" applyBorder="1" applyAlignment="1">
      <alignment horizontal="center" vertical="center" wrapText="1"/>
    </xf>
    <xf numFmtId="0" fontId="20" fillId="4" borderId="0" xfId="0" applyFont="1" applyFill="1" applyAlignment="1">
      <alignment vertical="center" wrapText="1"/>
    </xf>
    <xf numFmtId="0" fontId="27" fillId="7" borderId="1" xfId="0" applyFont="1" applyFill="1" applyBorder="1" applyAlignment="1">
      <alignment horizontal="center"/>
    </xf>
    <xf numFmtId="0" fontId="36" fillId="4" borderId="0" xfId="0" applyFont="1" applyFill="1" applyAlignment="1">
      <alignment vertical="center" wrapText="1"/>
    </xf>
    <xf numFmtId="0" fontId="37" fillId="4" borderId="0" xfId="0" applyFont="1" applyFill="1" applyAlignment="1">
      <alignment horizontal="left" vertical="center" wrapText="1"/>
    </xf>
    <xf numFmtId="0" fontId="38" fillId="25" borderId="44" xfId="0" applyFont="1" applyFill="1" applyBorder="1" applyAlignment="1">
      <alignment horizontal="left" vertical="center" wrapText="1"/>
    </xf>
    <xf numFmtId="0" fontId="20" fillId="26" borderId="1" xfId="0" applyFont="1" applyFill="1" applyBorder="1" applyAlignment="1">
      <alignment horizontal="left" vertical="center" wrapText="1"/>
    </xf>
    <xf numFmtId="0" fontId="20" fillId="24" borderId="1" xfId="0" applyFont="1" applyFill="1" applyBorder="1" applyAlignment="1">
      <alignment horizontal="left" vertical="center" wrapText="1"/>
    </xf>
    <xf numFmtId="0" fontId="1" fillId="0" borderId="0" xfId="0" applyFont="1" applyAlignment="1">
      <alignment horizontal="left" vertical="center"/>
    </xf>
    <xf numFmtId="0" fontId="21" fillId="2" borderId="0" xfId="0" applyFont="1" applyFill="1" applyAlignment="1">
      <alignment horizontal="left" vertical="center"/>
    </xf>
    <xf numFmtId="0" fontId="6" fillId="0" borderId="0" xfId="0" applyFont="1" applyAlignment="1">
      <alignment horizontal="left" vertical="center"/>
    </xf>
    <xf numFmtId="0" fontId="20" fillId="0" borderId="0" xfId="0" applyFont="1" applyAlignment="1">
      <alignment horizontal="left" vertical="center" wrapText="1"/>
    </xf>
    <xf numFmtId="0" fontId="12" fillId="17" borderId="1" xfId="0" applyFont="1" applyFill="1" applyBorder="1" applyAlignment="1">
      <alignment horizontal="left" vertical="center"/>
    </xf>
    <xf numFmtId="0" fontId="23" fillId="16" borderId="1" xfId="0" applyFont="1" applyFill="1" applyBorder="1" applyAlignment="1">
      <alignment horizontal="center" vertical="center"/>
    </xf>
    <xf numFmtId="0" fontId="28" fillId="15" borderId="1" xfId="0" applyFont="1" applyFill="1" applyBorder="1" applyAlignment="1">
      <alignment horizontal="left" vertical="center"/>
    </xf>
    <xf numFmtId="10" fontId="9" fillId="20" borderId="20" xfId="0" applyNumberFormat="1" applyFont="1" applyFill="1" applyBorder="1" applyAlignment="1">
      <alignment horizontal="center" vertical="center"/>
    </xf>
    <xf numFmtId="0" fontId="20" fillId="0" borderId="33" xfId="0" applyFont="1" applyBorder="1"/>
    <xf numFmtId="0" fontId="28" fillId="15" borderId="29" xfId="0" applyFont="1" applyFill="1" applyBorder="1" applyAlignment="1">
      <alignment horizontal="left" vertical="center"/>
    </xf>
    <xf numFmtId="0" fontId="20" fillId="0" borderId="29" xfId="0" applyFont="1" applyBorder="1"/>
    <xf numFmtId="0" fontId="26" fillId="16" borderId="1" xfId="0" applyFont="1" applyFill="1" applyBorder="1" applyAlignment="1">
      <alignment horizontal="center" vertical="center"/>
    </xf>
    <xf numFmtId="0" fontId="30" fillId="16" borderId="1" xfId="0" applyFont="1" applyFill="1" applyBorder="1" applyAlignment="1">
      <alignment horizontal="center" vertical="center"/>
    </xf>
    <xf numFmtId="0" fontId="29" fillId="15" borderId="0" xfId="0" applyFont="1" applyFill="1" applyAlignment="1">
      <alignment horizontal="center" vertical="center"/>
    </xf>
    <xf numFmtId="10" fontId="11" fillId="0" borderId="1" xfId="0" applyNumberFormat="1" applyFont="1" applyBorder="1" applyAlignment="1">
      <alignment horizontal="right" vertical="center"/>
    </xf>
    <xf numFmtId="10" fontId="11" fillId="20" borderId="39" xfId="0" applyNumberFormat="1" applyFont="1" applyFill="1" applyBorder="1" applyAlignment="1">
      <alignment horizontal="right" vertical="center"/>
    </xf>
    <xf numFmtId="0" fontId="20" fillId="0" borderId="27" xfId="0" applyFont="1" applyBorder="1"/>
    <xf numFmtId="10" fontId="11" fillId="20" borderId="40" xfId="0" applyNumberFormat="1" applyFont="1" applyFill="1" applyBorder="1" applyAlignment="1">
      <alignment horizontal="right" vertical="center"/>
    </xf>
    <xf numFmtId="0" fontId="20" fillId="0" borderId="24" xfId="0" applyFont="1" applyBorder="1"/>
    <xf numFmtId="0" fontId="23" fillId="15" borderId="1" xfId="0" applyFont="1" applyFill="1" applyBorder="1" applyAlignment="1">
      <alignment horizontal="center" vertical="center"/>
    </xf>
    <xf numFmtId="0" fontId="38" fillId="15" borderId="1" xfId="0" applyFont="1" applyFill="1" applyBorder="1" applyAlignment="1">
      <alignment horizontal="center" vertical="center"/>
    </xf>
    <xf numFmtId="0" fontId="23" fillId="16" borderId="41" xfId="0" applyFont="1" applyFill="1" applyBorder="1" applyAlignment="1">
      <alignment horizontal="center" vertical="center"/>
    </xf>
    <xf numFmtId="0" fontId="20" fillId="0" borderId="43" xfId="0" applyFont="1" applyBorder="1"/>
    <xf numFmtId="0" fontId="24" fillId="16" borderId="44" xfId="0" applyFont="1" applyFill="1" applyBorder="1" applyAlignment="1">
      <alignment horizontal="left" vertical="center"/>
    </xf>
    <xf numFmtId="0" fontId="20" fillId="0" borderId="32" xfId="0" applyFont="1" applyBorder="1"/>
    <xf numFmtId="0" fontId="24" fillId="16" borderId="1" xfId="0" applyFont="1" applyFill="1" applyBorder="1" applyAlignment="1">
      <alignment horizontal="left" vertical="center"/>
    </xf>
    <xf numFmtId="0" fontId="12" fillId="18" borderId="1" xfId="0" applyFont="1" applyFill="1" applyBorder="1" applyAlignment="1">
      <alignment horizontal="left" vertical="center"/>
    </xf>
    <xf numFmtId="10" fontId="20" fillId="0" borderId="15" xfId="0" applyNumberFormat="1" applyFont="1" applyBorder="1" applyAlignment="1">
      <alignment horizontal="right"/>
    </xf>
    <xf numFmtId="10" fontId="20" fillId="0" borderId="16" xfId="0" applyNumberFormat="1" applyFont="1" applyBorder="1" applyAlignment="1">
      <alignment horizontal="right"/>
    </xf>
    <xf numFmtId="10" fontId="20" fillId="0" borderId="17" xfId="0" applyNumberFormat="1" applyFont="1" applyBorder="1" applyAlignment="1">
      <alignment horizontal="right"/>
    </xf>
    <xf numFmtId="10" fontId="14" fillId="0" borderId="15" xfId="0" applyNumberFormat="1" applyFont="1" applyBorder="1" applyAlignment="1">
      <alignment horizontal="right"/>
    </xf>
    <xf numFmtId="10" fontId="14" fillId="0" borderId="16" xfId="0" applyNumberFormat="1" applyFont="1" applyBorder="1" applyAlignment="1">
      <alignment horizontal="right"/>
    </xf>
    <xf numFmtId="10" fontId="14" fillId="0" borderId="17" xfId="0" applyNumberFormat="1" applyFont="1" applyBorder="1" applyAlignment="1">
      <alignment horizontal="right"/>
    </xf>
    <xf numFmtId="0" fontId="23" fillId="15" borderId="1" xfId="0" applyFont="1" applyFill="1" applyBorder="1" applyAlignment="1">
      <alignment horizontal="center"/>
    </xf>
    <xf numFmtId="0" fontId="27" fillId="15" borderId="16" xfId="0" applyFont="1" applyFill="1" applyBorder="1"/>
    <xf numFmtId="0" fontId="27" fillId="15" borderId="17" xfId="0" applyFont="1" applyFill="1" applyBorder="1"/>
    <xf numFmtId="0" fontId="38" fillId="15" borderId="15" xfId="0" applyFont="1" applyFill="1" applyBorder="1" applyAlignment="1">
      <alignment horizontal="center"/>
    </xf>
    <xf numFmtId="0" fontId="38" fillId="15" borderId="16" xfId="0" applyFont="1" applyFill="1" applyBorder="1" applyAlignment="1">
      <alignment horizontal="center"/>
    </xf>
    <xf numFmtId="0" fontId="38" fillId="15" borderId="17" xfId="0" applyFont="1" applyFill="1" applyBorder="1" applyAlignment="1">
      <alignment horizontal="center"/>
    </xf>
    <xf numFmtId="0" fontId="44" fillId="0" borderId="0" xfId="0" applyFont="1" applyAlignment="1">
      <alignment vertical="top" wrapText="1"/>
    </xf>
    <xf numFmtId="0" fontId="31" fillId="27" borderId="15" xfId="0" applyFont="1" applyFill="1" applyBorder="1" applyAlignment="1">
      <alignment horizontal="center" vertical="center"/>
    </xf>
    <xf numFmtId="0" fontId="31" fillId="27" borderId="16" xfId="0" applyFont="1" applyFill="1" applyBorder="1" applyAlignment="1">
      <alignment horizontal="center" vertical="center"/>
    </xf>
    <xf numFmtId="0" fontId="31" fillId="27" borderId="17" xfId="0" applyFont="1" applyFill="1" applyBorder="1" applyAlignment="1">
      <alignment horizontal="center" vertical="center"/>
    </xf>
    <xf numFmtId="0" fontId="27" fillId="27" borderId="15" xfId="0" applyFont="1" applyFill="1" applyBorder="1"/>
    <xf numFmtId="0" fontId="27" fillId="27" borderId="17" xfId="0" applyFont="1" applyFill="1" applyBorder="1"/>
    <xf numFmtId="0" fontId="45" fillId="28" borderId="16" xfId="0" applyFont="1" applyFill="1" applyBorder="1" applyAlignment="1">
      <alignment horizontal="center" vertical="center"/>
    </xf>
    <xf numFmtId="0" fontId="28" fillId="27" borderId="15" xfId="0" applyFont="1" applyFill="1" applyBorder="1" applyAlignment="1">
      <alignment horizontal="center"/>
    </xf>
    <xf numFmtId="0" fontId="28" fillId="27" borderId="16" xfId="0" applyFont="1" applyFill="1" applyBorder="1" applyAlignment="1">
      <alignment horizontal="center"/>
    </xf>
    <xf numFmtId="0" fontId="28" fillId="27" borderId="17" xfId="0" applyFont="1" applyFill="1" applyBorder="1" applyAlignment="1">
      <alignment horizontal="center"/>
    </xf>
    <xf numFmtId="0" fontId="34" fillId="0" borderId="38" xfId="0" applyFont="1" applyBorder="1" applyAlignment="1">
      <alignment horizontal="center" vertical="center" wrapText="1"/>
    </xf>
    <xf numFmtId="0" fontId="34" fillId="0" borderId="38" xfId="0" applyFont="1" applyBorder="1" applyAlignment="1">
      <alignment horizontal="left" vertical="center" wrapText="1"/>
    </xf>
    <xf numFmtId="0" fontId="20" fillId="0" borderId="0" xfId="0" applyFont="1" applyAlignment="1">
      <alignment vertical="center" wrapText="1"/>
    </xf>
    <xf numFmtId="0" fontId="20" fillId="0" borderId="22" xfId="0" applyFont="1" applyBorder="1" applyAlignment="1">
      <alignment horizontal="left" vertical="center" wrapText="1"/>
    </xf>
    <xf numFmtId="0" fontId="20" fillId="0" borderId="22" xfId="0" applyFont="1" applyBorder="1" applyAlignment="1">
      <alignment vertical="center" wrapText="1"/>
    </xf>
    <xf numFmtId="0" fontId="31" fillId="27" borderId="1" xfId="0" applyFont="1" applyFill="1" applyBorder="1" applyAlignment="1">
      <alignment horizontal="center" vertical="center" wrapText="1"/>
    </xf>
    <xf numFmtId="0" fontId="28" fillId="27" borderId="16" xfId="0" applyFont="1" applyFill="1" applyBorder="1"/>
    <xf numFmtId="0" fontId="28" fillId="27" borderId="17" xfId="0" applyFont="1" applyFill="1" applyBorder="1"/>
    <xf numFmtId="0" fontId="38" fillId="27" borderId="15" xfId="0" applyFont="1" applyFill="1" applyBorder="1" applyAlignment="1">
      <alignment horizontal="center" vertical="center" wrapText="1"/>
    </xf>
    <xf numFmtId="0" fontId="38" fillId="27" borderId="16" xfId="0" applyFont="1" applyFill="1" applyBorder="1" applyAlignment="1">
      <alignment horizontal="center" vertical="center" wrapText="1"/>
    </xf>
    <xf numFmtId="0" fontId="38" fillId="27" borderId="17" xfId="0" applyFont="1" applyFill="1" applyBorder="1" applyAlignment="1">
      <alignment horizontal="center" vertical="center" wrapText="1"/>
    </xf>
    <xf numFmtId="0" fontId="35" fillId="4" borderId="44" xfId="0" applyFont="1" applyFill="1" applyBorder="1" applyAlignment="1">
      <alignment vertical="center" wrapText="1"/>
    </xf>
    <xf numFmtId="164" fontId="35" fillId="4" borderId="44" xfId="0" applyNumberFormat="1" applyFont="1" applyFill="1" applyBorder="1" applyAlignment="1">
      <alignment horizontal="right" vertical="center" wrapText="1"/>
    </xf>
    <xf numFmtId="0" fontId="35" fillId="4" borderId="44" xfId="0" applyFont="1" applyFill="1" applyBorder="1" applyAlignment="1">
      <alignment horizontal="right" vertical="center" wrapText="1"/>
    </xf>
    <xf numFmtId="0" fontId="38" fillId="29" borderId="1" xfId="0" applyFont="1" applyFill="1" applyBorder="1" applyAlignment="1">
      <alignment horizontal="center" vertical="center" wrapText="1"/>
    </xf>
    <xf numFmtId="0" fontId="45" fillId="30" borderId="1" xfId="0" applyFont="1" applyFill="1" applyBorder="1" applyAlignment="1">
      <alignment horizontal="center" vertical="center" wrapText="1"/>
    </xf>
    <xf numFmtId="0" fontId="46" fillId="30" borderId="1" xfId="0" applyFont="1" applyFill="1" applyBorder="1" applyAlignment="1">
      <alignment horizontal="center" vertical="center" wrapText="1"/>
    </xf>
    <xf numFmtId="0" fontId="24" fillId="29" borderId="1" xfId="0" applyFont="1" applyFill="1" applyBorder="1" applyAlignment="1">
      <alignment horizontal="center" vertical="center" wrapText="1"/>
    </xf>
    <xf numFmtId="0" fontId="25" fillId="27" borderId="1" xfId="0" applyFont="1" applyFill="1" applyBorder="1"/>
    <xf numFmtId="14" fontId="24" fillId="15" borderId="1" xfId="0" applyNumberFormat="1" applyFont="1" applyFill="1" applyBorder="1" applyAlignment="1">
      <alignment horizontal="center" vertical="top"/>
    </xf>
    <xf numFmtId="0" fontId="24" fillId="15" borderId="1" xfId="0" applyFont="1" applyFill="1" applyBorder="1" applyAlignment="1">
      <alignment horizontal="center" vertical="top"/>
    </xf>
    <xf numFmtId="0" fontId="31" fillId="15" borderId="1" xfId="0" applyFont="1" applyFill="1" applyBorder="1" applyAlignment="1">
      <alignment horizontal="center" vertical="center"/>
    </xf>
    <xf numFmtId="0" fontId="28" fillId="15" borderId="1" xfId="0" applyFont="1" applyFill="1" applyBorder="1" applyAlignment="1">
      <alignment wrapText="1"/>
    </xf>
    <xf numFmtId="0" fontId="20" fillId="31" borderId="1" xfId="0" applyFont="1" applyFill="1" applyBorder="1"/>
    <xf numFmtId="3" fontId="20" fillId="31" borderId="1" xfId="0" applyNumberFormat="1" applyFont="1" applyFill="1" applyBorder="1"/>
    <xf numFmtId="3" fontId="13" fillId="31" borderId="0" xfId="0" applyNumberFormat="1" applyFont="1" applyFill="1"/>
    <xf numFmtId="0" fontId="47" fillId="15" borderId="1" xfId="0" applyFont="1" applyFill="1" applyBorder="1" applyAlignment="1">
      <alignment horizontal="center" vertical="center"/>
    </xf>
    <xf numFmtId="0" fontId="47" fillId="19" borderId="1" xfId="0" applyFont="1" applyFill="1" applyBorder="1" applyAlignment="1">
      <alignment horizontal="center" vertical="center"/>
    </xf>
    <xf numFmtId="0" fontId="48" fillId="15" borderId="1" xfId="0" applyFont="1" applyFill="1" applyBorder="1" applyAlignment="1">
      <alignment horizontal="center" vertical="center"/>
    </xf>
    <xf numFmtId="0" fontId="49" fillId="22"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F5F8FB"/>
      <rgbColor rgb="FFC00000"/>
      <rgbColor rgb="FF1D6A39"/>
      <rgbColor rgb="FF002060"/>
      <rgbColor rgb="FF777777"/>
      <rgbColor rgb="FF800080"/>
      <rgbColor rgb="FF1F6B75"/>
      <rgbColor rgb="FFBBBBBB"/>
      <rgbColor rgb="FF888888"/>
      <rgbColor rgb="FFAAAAAA"/>
      <rgbColor rgb="FF555555"/>
      <rgbColor rgb="FFFFF3CD"/>
      <rgbColor rgb="FFD9EDF0"/>
      <rgbColor rgb="FF1F3864"/>
      <rgbColor rgb="FFE8EBEF"/>
      <rgbColor rgb="FF2F5597"/>
      <rgbColor rgb="FFDDDDDD"/>
      <rgbColor rgb="FF1A1A2E"/>
      <rgbColor rgb="FFFF00FF"/>
      <rgbColor rgb="FFE2EFDA"/>
      <rgbColor rgb="FFFAFBFC"/>
      <rgbColor rgb="FF800080"/>
      <rgbColor rgb="FF800000"/>
      <rgbColor rgb="FF1F497D"/>
      <rgbColor rgb="FF0000FF"/>
      <rgbColor rgb="FF00CCFF"/>
      <rgbColor rgb="FFE8EDF2"/>
      <rgbColor rgb="FFD6EDDA"/>
      <rgbColor rgb="FFFFF2CC"/>
      <rgbColor rgb="FFD6E4F0"/>
      <rgbColor rgb="FFFDE8E8"/>
      <rgbColor rgb="FFDAE3F3"/>
      <rgbColor rgb="FFFCE4D6"/>
      <rgbColor rgb="FF3366FF"/>
      <rgbColor rgb="FFF0F4F8"/>
      <rgbColor rgb="FFF2F2F2"/>
      <rgbColor rgb="FFEEEEEE"/>
      <rgbColor rgb="FFBF8F00"/>
      <rgbColor rgb="FFFF5050"/>
      <rgbColor rgb="FF666666"/>
      <rgbColor rgb="FF999999"/>
      <rgbColor rgb="FF0F3460"/>
      <rgbColor rgb="FF375623"/>
      <rgbColor rgb="FF22222F"/>
      <rgbColor rgb="FF222222"/>
      <rgbColor rgb="FFB31D1D"/>
      <rgbColor rgb="FF444444"/>
      <rgbColor rgb="FF2E4A7A"/>
      <rgbColor rgb="FF333333"/>
      <rgbColor rgb="00003366"/>
      <rgbColor rgb="00339966"/>
      <rgbColor rgb="00003300"/>
      <rgbColor rgb="00333300"/>
      <rgbColor rgb="00993300"/>
      <rgbColor rgb="00993366"/>
      <rgbColor rgb="00333399"/>
      <rgbColor rgb="00333333"/>
    </indexedColors>
    <mruColors>
      <color rgb="FF6F27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gif"/><Relationship Id="rId1" Type="http://schemas.openxmlformats.org/officeDocument/2006/relationships/image" Target="../media/image3.gif"/></Relationships>
</file>

<file path=xl/drawings/_rels/drawing4.xml.rels><?xml version="1.0" encoding="UTF-8" standalone="yes"?>
<Relationships xmlns="http://schemas.openxmlformats.org/package/2006/relationships"><Relationship Id="rId2" Type="http://schemas.openxmlformats.org/officeDocument/2006/relationships/image" Target="../media/image4.gif"/><Relationship Id="rId1" Type="http://schemas.openxmlformats.org/officeDocument/2006/relationships/image" Target="../media/image3.gif"/></Relationships>
</file>

<file path=xl/drawings/_rels/drawing5.xml.rels><?xml version="1.0" encoding="UTF-8" standalone="yes"?>
<Relationships xmlns="http://schemas.openxmlformats.org/package/2006/relationships"><Relationship Id="rId1" Type="http://schemas.openxmlformats.org/officeDocument/2006/relationships/image" Target="../media/image3.gif"/></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xdr:col>
      <xdr:colOff>617323</xdr:colOff>
      <xdr:row>4</xdr:row>
      <xdr:rowOff>2619</xdr:rowOff>
    </xdr:from>
    <xdr:to>
      <xdr:col>5</xdr:col>
      <xdr:colOff>909605</xdr:colOff>
      <xdr:row>13</xdr:row>
      <xdr:rowOff>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651653" y="906021"/>
          <a:ext cx="3558931" cy="1588154"/>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142696</xdr:colOff>
      <xdr:row>0</xdr:row>
      <xdr:rowOff>64215</xdr:rowOff>
    </xdr:from>
    <xdr:to>
      <xdr:col>20</xdr:col>
      <xdr:colOff>296642</xdr:colOff>
      <xdr:row>6</xdr:row>
      <xdr:rowOff>788012</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8971491" y="64215"/>
          <a:ext cx="3826236" cy="2414580"/>
        </a:xfrm>
        <a:prstGeom prst="rect">
          <a:avLst/>
        </a:prstGeom>
        <a:ln>
          <a:solidFill>
            <a:schemeClr val="tx1"/>
          </a:solid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69480</xdr:colOff>
      <xdr:row>3</xdr:row>
      <xdr:rowOff>69480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tretch>
          <a:fillRect/>
        </a:stretch>
      </xdr:blipFill>
      <xdr:spPr>
        <a:xfrm>
          <a:off x="147240" y="838080"/>
          <a:ext cx="69480" cy="69480"/>
        </a:xfrm>
        <a:prstGeom prst="rect">
          <a:avLst/>
        </a:prstGeom>
        <a:ln w="0">
          <a:noFill/>
          <a:prstDash val="solid"/>
        </a:ln>
      </xdr:spPr>
    </xdr:pic>
    <xdr:clientData/>
  </xdr:twoCellAnchor>
  <xdr:twoCellAnchor editAs="oneCell">
    <xdr:from>
      <xdr:col>1</xdr:col>
      <xdr:colOff>0</xdr:colOff>
      <xdr:row>5</xdr:row>
      <xdr:rowOff>0</xdr:rowOff>
    </xdr:from>
    <xdr:to>
      <xdr:col>1</xdr:col>
      <xdr:colOff>69480</xdr:colOff>
      <xdr:row>5</xdr:row>
      <xdr:rowOff>69480</xdr:rowOff>
    </xdr:to>
    <xdr:pic>
      <xdr:nvPicPr>
        <xdr:cNvPr id="3" name="Picture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1"/>
        <a:stretch>
          <a:fillRect/>
        </a:stretch>
      </xdr:blipFill>
      <xdr:spPr>
        <a:xfrm>
          <a:off x="147240" y="1200240"/>
          <a:ext cx="69480" cy="69480"/>
        </a:xfrm>
        <a:prstGeom prst="rect">
          <a:avLst/>
        </a:prstGeom>
        <a:ln w="0">
          <a:noFill/>
          <a:prstDash val="solid"/>
        </a:ln>
      </xdr:spPr>
    </xdr:pic>
    <xdr:clientData/>
  </xdr:twoCellAnchor>
  <xdr:twoCellAnchor editAs="oneCell">
    <xdr:from>
      <xdr:col>1</xdr:col>
      <xdr:colOff>0</xdr:colOff>
      <xdr:row>61</xdr:row>
      <xdr:rowOff>0</xdr:rowOff>
    </xdr:from>
    <xdr:to>
      <xdr:col>1</xdr:col>
      <xdr:colOff>69480</xdr:colOff>
      <xdr:row>61</xdr:row>
      <xdr:rowOff>69480</xdr:rowOff>
    </xdr:to>
    <xdr:pic>
      <xdr:nvPicPr>
        <xdr:cNvPr id="4" name="Picture 3">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2"/>
        <a:stretch>
          <a:fillRect/>
        </a:stretch>
      </xdr:blipFill>
      <xdr:spPr>
        <a:xfrm>
          <a:off x="147240" y="11449080"/>
          <a:ext cx="69480" cy="69480"/>
        </a:xfrm>
        <a:prstGeom prst="rect">
          <a:avLst/>
        </a:prstGeom>
        <a:ln w="0">
          <a:noFill/>
          <a:prstDash val="solid"/>
        </a:ln>
      </xdr:spPr>
    </xdr:pic>
    <xdr:clientData/>
  </xdr:twoCellAnchor>
  <xdr:twoCellAnchor editAs="oneCell">
    <xdr:from>
      <xdr:col>1</xdr:col>
      <xdr:colOff>0</xdr:colOff>
      <xdr:row>63</xdr:row>
      <xdr:rowOff>0</xdr:rowOff>
    </xdr:from>
    <xdr:to>
      <xdr:col>1</xdr:col>
      <xdr:colOff>69480</xdr:colOff>
      <xdr:row>63</xdr:row>
      <xdr:rowOff>69480</xdr:rowOff>
    </xdr:to>
    <xdr:pic>
      <xdr:nvPicPr>
        <xdr:cNvPr id="5" name="Picture 4">
          <a:extLst>
            <a:ext uri="{FF2B5EF4-FFF2-40B4-BE49-F238E27FC236}">
              <a16:creationId xmlns:a16="http://schemas.microsoft.com/office/drawing/2014/main" id="{00000000-0008-0000-0400-000005000000}"/>
            </a:ext>
          </a:extLst>
        </xdr:cNvPr>
        <xdr:cNvPicPr/>
      </xdr:nvPicPr>
      <xdr:blipFill>
        <a:blip xmlns:r="http://schemas.openxmlformats.org/officeDocument/2006/relationships" r:embed="rId2"/>
        <a:stretch>
          <a:fillRect/>
        </a:stretch>
      </xdr:blipFill>
      <xdr:spPr>
        <a:xfrm>
          <a:off x="147240" y="11810880"/>
          <a:ext cx="69480" cy="69480"/>
        </a:xfrm>
        <a:prstGeom prst="rect">
          <a:avLst/>
        </a:prstGeom>
        <a:ln w="0">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69480</xdr:colOff>
      <xdr:row>3</xdr:row>
      <xdr:rowOff>69480</xdr:rowOff>
    </xdr:to>
    <xdr:pic>
      <xdr:nvPicPr>
        <xdr:cNvPr id="5" name="Picture 1">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1"/>
        <a:stretch>
          <a:fillRect/>
        </a:stretch>
      </xdr:blipFill>
      <xdr:spPr>
        <a:xfrm>
          <a:off x="160200" y="838080"/>
          <a:ext cx="69480" cy="69480"/>
        </a:xfrm>
        <a:prstGeom prst="rect">
          <a:avLst/>
        </a:prstGeom>
        <a:ln w="0">
          <a:noFill/>
          <a:prstDash val="solid"/>
        </a:ln>
      </xdr:spPr>
    </xdr:pic>
    <xdr:clientData/>
  </xdr:twoCellAnchor>
  <xdr:twoCellAnchor editAs="oneCell">
    <xdr:from>
      <xdr:col>1</xdr:col>
      <xdr:colOff>0</xdr:colOff>
      <xdr:row>5</xdr:row>
      <xdr:rowOff>0</xdr:rowOff>
    </xdr:from>
    <xdr:to>
      <xdr:col>1</xdr:col>
      <xdr:colOff>69480</xdr:colOff>
      <xdr:row>5</xdr:row>
      <xdr:rowOff>69480</xdr:rowOff>
    </xdr:to>
    <xdr:pic>
      <xdr:nvPicPr>
        <xdr:cNvPr id="6" name="Picture 2">
          <a:extLst>
            <a:ext uri="{FF2B5EF4-FFF2-40B4-BE49-F238E27FC236}">
              <a16:creationId xmlns:a16="http://schemas.microsoft.com/office/drawing/2014/main" id="{00000000-0008-0000-0500-000006000000}"/>
            </a:ext>
          </a:extLst>
        </xdr:cNvPr>
        <xdr:cNvPicPr/>
      </xdr:nvPicPr>
      <xdr:blipFill>
        <a:blip xmlns:r="http://schemas.openxmlformats.org/officeDocument/2006/relationships" r:embed="rId1"/>
        <a:stretch>
          <a:fillRect/>
        </a:stretch>
      </xdr:blipFill>
      <xdr:spPr>
        <a:xfrm>
          <a:off x="160200" y="1200240"/>
          <a:ext cx="69480" cy="69480"/>
        </a:xfrm>
        <a:prstGeom prst="rect">
          <a:avLst/>
        </a:prstGeom>
        <a:ln w="0">
          <a:noFill/>
          <a:prstDash val="solid"/>
        </a:ln>
      </xdr:spPr>
    </xdr:pic>
    <xdr:clientData/>
  </xdr:twoCellAnchor>
  <xdr:twoCellAnchor editAs="oneCell">
    <xdr:from>
      <xdr:col>1</xdr:col>
      <xdr:colOff>0</xdr:colOff>
      <xdr:row>43</xdr:row>
      <xdr:rowOff>0</xdr:rowOff>
    </xdr:from>
    <xdr:to>
      <xdr:col>1</xdr:col>
      <xdr:colOff>69480</xdr:colOff>
      <xdr:row>43</xdr:row>
      <xdr:rowOff>69480</xdr:rowOff>
    </xdr:to>
    <xdr:pic>
      <xdr:nvPicPr>
        <xdr:cNvPr id="7" name="Picture 3">
          <a:extLst>
            <a:ext uri="{FF2B5EF4-FFF2-40B4-BE49-F238E27FC236}">
              <a16:creationId xmlns:a16="http://schemas.microsoft.com/office/drawing/2014/main" id="{00000000-0008-0000-0500-000007000000}"/>
            </a:ext>
          </a:extLst>
        </xdr:cNvPr>
        <xdr:cNvPicPr/>
      </xdr:nvPicPr>
      <xdr:blipFill>
        <a:blip xmlns:r="http://schemas.openxmlformats.org/officeDocument/2006/relationships" r:embed="rId2"/>
        <a:stretch>
          <a:fillRect/>
        </a:stretch>
      </xdr:blipFill>
      <xdr:spPr>
        <a:xfrm>
          <a:off x="160200" y="8267760"/>
          <a:ext cx="69480" cy="69480"/>
        </a:xfrm>
        <a:prstGeom prst="rect">
          <a:avLst/>
        </a:prstGeom>
        <a:ln w="0">
          <a:noFill/>
          <a:prstDash val="solid"/>
        </a:ln>
      </xdr:spPr>
    </xdr:pic>
    <xdr:clientData/>
  </xdr:twoCellAnchor>
  <xdr:twoCellAnchor editAs="oneCell">
    <xdr:from>
      <xdr:col>1</xdr:col>
      <xdr:colOff>0</xdr:colOff>
      <xdr:row>45</xdr:row>
      <xdr:rowOff>0</xdr:rowOff>
    </xdr:from>
    <xdr:to>
      <xdr:col>1</xdr:col>
      <xdr:colOff>69480</xdr:colOff>
      <xdr:row>45</xdr:row>
      <xdr:rowOff>69480</xdr:rowOff>
    </xdr:to>
    <xdr:pic>
      <xdr:nvPicPr>
        <xdr:cNvPr id="8" name="Picture 4">
          <a:extLst>
            <a:ext uri="{FF2B5EF4-FFF2-40B4-BE49-F238E27FC236}">
              <a16:creationId xmlns:a16="http://schemas.microsoft.com/office/drawing/2014/main" id="{00000000-0008-0000-0500-000008000000}"/>
            </a:ext>
          </a:extLst>
        </xdr:cNvPr>
        <xdr:cNvPicPr/>
      </xdr:nvPicPr>
      <xdr:blipFill>
        <a:blip xmlns:r="http://schemas.openxmlformats.org/officeDocument/2006/relationships" r:embed="rId2"/>
        <a:stretch>
          <a:fillRect/>
        </a:stretch>
      </xdr:blipFill>
      <xdr:spPr>
        <a:xfrm>
          <a:off x="160200" y="8629560"/>
          <a:ext cx="69480" cy="69480"/>
        </a:xfrm>
        <a:prstGeom prst="rect">
          <a:avLst/>
        </a:prstGeom>
        <a:ln w="0">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69480</xdr:colOff>
      <xdr:row>3</xdr:row>
      <xdr:rowOff>69480</xdr:rowOff>
    </xdr:to>
    <xdr:pic>
      <xdr:nvPicPr>
        <xdr:cNvPr id="9" name="Picture 1">
          <a:extLst>
            <a:ext uri="{FF2B5EF4-FFF2-40B4-BE49-F238E27FC236}">
              <a16:creationId xmlns:a16="http://schemas.microsoft.com/office/drawing/2014/main" id="{00000000-0008-0000-0600-000009000000}"/>
            </a:ext>
          </a:extLst>
        </xdr:cNvPr>
        <xdr:cNvPicPr/>
      </xdr:nvPicPr>
      <xdr:blipFill>
        <a:blip xmlns:r="http://schemas.openxmlformats.org/officeDocument/2006/relationships" r:embed="rId1"/>
        <a:stretch>
          <a:fillRect/>
        </a:stretch>
      </xdr:blipFill>
      <xdr:spPr>
        <a:xfrm>
          <a:off x="134640" y="838080"/>
          <a:ext cx="69480" cy="69480"/>
        </a:xfrm>
        <a:prstGeom prst="rect">
          <a:avLst/>
        </a:prstGeom>
        <a:ln w="0">
          <a:noFill/>
          <a:prstDash val="solid"/>
        </a:ln>
      </xdr:spPr>
    </xdr:pic>
    <xdr:clientData/>
  </xdr:twoCellAnchor>
  <xdr:twoCellAnchor editAs="oneCell">
    <xdr:from>
      <xdr:col>1</xdr:col>
      <xdr:colOff>0</xdr:colOff>
      <xdr:row>5</xdr:row>
      <xdr:rowOff>0</xdr:rowOff>
    </xdr:from>
    <xdr:to>
      <xdr:col>1</xdr:col>
      <xdr:colOff>69480</xdr:colOff>
      <xdr:row>5</xdr:row>
      <xdr:rowOff>69480</xdr:rowOff>
    </xdr:to>
    <xdr:pic>
      <xdr:nvPicPr>
        <xdr:cNvPr id="10" name="Picture 2">
          <a:extLst>
            <a:ext uri="{FF2B5EF4-FFF2-40B4-BE49-F238E27FC236}">
              <a16:creationId xmlns:a16="http://schemas.microsoft.com/office/drawing/2014/main" id="{00000000-0008-0000-0600-00000A000000}"/>
            </a:ext>
          </a:extLst>
        </xdr:cNvPr>
        <xdr:cNvPicPr/>
      </xdr:nvPicPr>
      <xdr:blipFill>
        <a:blip xmlns:r="http://schemas.openxmlformats.org/officeDocument/2006/relationships" r:embed="rId1"/>
        <a:stretch>
          <a:fillRect/>
        </a:stretch>
      </xdr:blipFill>
      <xdr:spPr>
        <a:xfrm>
          <a:off x="134640" y="1200240"/>
          <a:ext cx="69480" cy="69480"/>
        </a:xfrm>
        <a:prstGeom prst="rect">
          <a:avLst/>
        </a:prstGeom>
        <a:ln w="0">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133270</xdr:colOff>
      <xdr:row>0</xdr:row>
      <xdr:rowOff>97487</xdr:rowOff>
    </xdr:from>
    <xdr:to>
      <xdr:col>12</xdr:col>
      <xdr:colOff>0</xdr:colOff>
      <xdr:row>14</xdr:row>
      <xdr:rowOff>149780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a:fillRect/>
        </a:stretch>
      </xdr:blipFill>
      <xdr:spPr>
        <a:xfrm>
          <a:off x="133270" y="97487"/>
          <a:ext cx="10865557" cy="4411058"/>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48"/>
  <sheetViews>
    <sheetView showGridLines="0" topLeftCell="B1" zoomScale="97" zoomScaleNormal="100" workbookViewId="0">
      <selection activeCell="G6" sqref="G6"/>
    </sheetView>
  </sheetViews>
  <sheetFormatPr defaultColWidth="8.6328125" defaultRowHeight="14" x14ac:dyDescent="0.3"/>
  <cols>
    <col min="1" max="1" width="2" style="15" customWidth="1"/>
    <col min="2" max="2" width="12.81640625" style="15" customWidth="1"/>
    <col min="3" max="3" width="18.81640625" style="15" customWidth="1"/>
    <col min="4" max="5" width="14" style="15" customWidth="1"/>
    <col min="6" max="6" width="20.7265625" style="15" customWidth="1"/>
    <col min="7" max="7" width="14" style="15" customWidth="1"/>
    <col min="8" max="16384" width="8.6328125" style="15"/>
  </cols>
  <sheetData>
    <row r="1" spans="2:7" ht="21" customHeight="1" x14ac:dyDescent="0.3"/>
    <row r="2" spans="2:7" ht="31.5" customHeight="1" x14ac:dyDescent="0.3">
      <c r="B2" s="320"/>
      <c r="C2" s="317" t="s">
        <v>36</v>
      </c>
      <c r="D2" s="318"/>
      <c r="E2" s="318"/>
      <c r="F2" s="319"/>
      <c r="G2" s="321"/>
    </row>
    <row r="3" spans="2:7" ht="15.75" customHeight="1" x14ac:dyDescent="0.3">
      <c r="C3" s="77" t="s">
        <v>37</v>
      </c>
    </row>
    <row r="4" spans="2:7" ht="3" customHeight="1" x14ac:dyDescent="0.3">
      <c r="C4" s="16"/>
      <c r="D4" s="16"/>
      <c r="E4" s="16"/>
      <c r="F4" s="16"/>
    </row>
    <row r="14" spans="2:7" ht="20" customHeight="1" x14ac:dyDescent="0.3">
      <c r="B14" s="322" t="s">
        <v>38</v>
      </c>
      <c r="C14" s="322"/>
      <c r="D14" s="322"/>
      <c r="E14" s="322"/>
      <c r="F14" s="322"/>
      <c r="G14" s="322"/>
    </row>
    <row r="15" spans="2:7" ht="18" customHeight="1" x14ac:dyDescent="0.3">
      <c r="B15" s="242" t="s">
        <v>39</v>
      </c>
      <c r="C15" s="243"/>
      <c r="D15" s="243"/>
      <c r="E15" s="243"/>
      <c r="F15" s="243"/>
      <c r="G15" s="243"/>
    </row>
    <row r="16" spans="2:7" ht="18" customHeight="1" x14ac:dyDescent="0.3">
      <c r="B16" s="243"/>
      <c r="C16" s="243"/>
      <c r="D16" s="243"/>
      <c r="E16" s="243"/>
      <c r="F16" s="243"/>
      <c r="G16" s="243"/>
    </row>
    <row r="17" spans="2:7" ht="18" customHeight="1" x14ac:dyDescent="0.3">
      <c r="B17" s="243"/>
      <c r="C17" s="243"/>
      <c r="D17" s="243"/>
      <c r="E17" s="243"/>
      <c r="F17" s="243"/>
      <c r="G17" s="243"/>
    </row>
    <row r="18" spans="2:7" ht="18" customHeight="1" x14ac:dyDescent="0.3">
      <c r="B18" s="243"/>
      <c r="C18" s="243"/>
      <c r="D18" s="243"/>
      <c r="E18" s="243"/>
      <c r="F18" s="243"/>
      <c r="G18" s="243"/>
    </row>
    <row r="19" spans="2:7" x14ac:dyDescent="0.3">
      <c r="B19" s="323" t="s">
        <v>614</v>
      </c>
      <c r="C19" s="324"/>
      <c r="D19" s="324"/>
      <c r="E19" s="324"/>
      <c r="F19" s="324"/>
      <c r="G19" s="325"/>
    </row>
    <row r="20" spans="2:7" x14ac:dyDescent="0.3">
      <c r="B20" s="110"/>
      <c r="C20" s="110"/>
      <c r="D20" s="110"/>
      <c r="E20" s="110"/>
      <c r="F20" s="110"/>
      <c r="G20" s="110"/>
    </row>
    <row r="21" spans="2:7" x14ac:dyDescent="0.3">
      <c r="B21" s="111" t="s">
        <v>615</v>
      </c>
      <c r="C21" s="111"/>
      <c r="D21" s="111"/>
      <c r="E21" s="111"/>
      <c r="F21" s="111"/>
      <c r="G21" s="111"/>
    </row>
    <row r="23" spans="2:7" ht="14.5" thickBot="1" x14ac:dyDescent="0.35">
      <c r="B23" s="326" t="s">
        <v>563</v>
      </c>
      <c r="C23" s="327" t="s">
        <v>616</v>
      </c>
      <c r="D23" s="327" t="s">
        <v>617</v>
      </c>
    </row>
    <row r="24" spans="2:7" ht="28" x14ac:dyDescent="0.3">
      <c r="B24" s="82">
        <v>1</v>
      </c>
      <c r="C24" s="328" t="s">
        <v>618</v>
      </c>
      <c r="D24" s="328" t="s">
        <v>619</v>
      </c>
    </row>
    <row r="25" spans="2:7" ht="28" x14ac:dyDescent="0.3">
      <c r="B25" s="82">
        <v>2</v>
      </c>
      <c r="C25" s="328" t="s">
        <v>620</v>
      </c>
      <c r="D25" s="328" t="s">
        <v>621</v>
      </c>
    </row>
    <row r="26" spans="2:7" ht="28" x14ac:dyDescent="0.3">
      <c r="B26" s="82">
        <v>3</v>
      </c>
      <c r="C26" s="328" t="s">
        <v>622</v>
      </c>
      <c r="D26" s="328" t="s">
        <v>621</v>
      </c>
    </row>
    <row r="27" spans="2:7" ht="28" x14ac:dyDescent="0.3">
      <c r="B27" s="82">
        <v>4</v>
      </c>
      <c r="C27" s="328" t="s">
        <v>623</v>
      </c>
      <c r="D27" s="328" t="s">
        <v>624</v>
      </c>
    </row>
    <row r="28" spans="2:7" ht="42" x14ac:dyDescent="0.3">
      <c r="B28" s="82">
        <v>5</v>
      </c>
      <c r="C28" s="328" t="s">
        <v>625</v>
      </c>
      <c r="D28" s="328" t="s">
        <v>624</v>
      </c>
    </row>
    <row r="29" spans="2:7" ht="28" x14ac:dyDescent="0.3">
      <c r="B29" s="82">
        <v>6</v>
      </c>
      <c r="C29" s="328" t="s">
        <v>626</v>
      </c>
      <c r="D29" s="328" t="s">
        <v>624</v>
      </c>
    </row>
    <row r="30" spans="2:7" ht="28" x14ac:dyDescent="0.3">
      <c r="B30" s="82">
        <v>7</v>
      </c>
      <c r="C30" s="328" t="s">
        <v>627</v>
      </c>
      <c r="D30" s="328" t="s">
        <v>624</v>
      </c>
    </row>
    <row r="31" spans="2:7" ht="56" x14ac:dyDescent="0.3">
      <c r="B31" s="82">
        <v>8</v>
      </c>
      <c r="C31" s="328" t="s">
        <v>628</v>
      </c>
      <c r="D31" s="328" t="s">
        <v>624</v>
      </c>
    </row>
    <row r="32" spans="2:7" ht="42" x14ac:dyDescent="0.3">
      <c r="B32" s="82">
        <v>9</v>
      </c>
      <c r="C32" s="328" t="s">
        <v>629</v>
      </c>
      <c r="D32" s="328" t="s">
        <v>624</v>
      </c>
    </row>
    <row r="33" spans="2:4" ht="56" x14ac:dyDescent="0.3">
      <c r="B33" s="82">
        <v>10</v>
      </c>
      <c r="C33" s="328" t="s">
        <v>630</v>
      </c>
      <c r="D33" s="328" t="s">
        <v>624</v>
      </c>
    </row>
    <row r="34" spans="2:4" ht="42" x14ac:dyDescent="0.3">
      <c r="B34" s="82">
        <v>11</v>
      </c>
      <c r="C34" s="328" t="s">
        <v>631</v>
      </c>
      <c r="D34" s="328" t="s">
        <v>624</v>
      </c>
    </row>
    <row r="35" spans="2:4" ht="42" x14ac:dyDescent="0.3">
      <c r="B35" s="82">
        <v>12</v>
      </c>
      <c r="C35" s="328" t="s">
        <v>632</v>
      </c>
      <c r="D35" s="328" t="s">
        <v>624</v>
      </c>
    </row>
    <row r="36" spans="2:4" ht="56" x14ac:dyDescent="0.3">
      <c r="B36" s="82">
        <v>13</v>
      </c>
      <c r="C36" s="328" t="s">
        <v>633</v>
      </c>
      <c r="D36" s="328" t="s">
        <v>624</v>
      </c>
    </row>
    <row r="37" spans="2:4" ht="28" x14ac:dyDescent="0.3">
      <c r="B37" s="82">
        <v>14</v>
      </c>
      <c r="C37" s="328" t="s">
        <v>634</v>
      </c>
      <c r="D37" s="328" t="s">
        <v>624</v>
      </c>
    </row>
    <row r="38" spans="2:4" ht="56" x14ac:dyDescent="0.3">
      <c r="B38" s="82">
        <v>15</v>
      </c>
      <c r="C38" s="328" t="s">
        <v>635</v>
      </c>
      <c r="D38" s="328" t="s">
        <v>624</v>
      </c>
    </row>
    <row r="39" spans="2:4" ht="28" x14ac:dyDescent="0.3">
      <c r="B39" s="82">
        <v>16</v>
      </c>
      <c r="C39" s="328" t="s">
        <v>636</v>
      </c>
      <c r="D39" s="328" t="s">
        <v>624</v>
      </c>
    </row>
    <row r="40" spans="2:4" ht="28" x14ac:dyDescent="0.3">
      <c r="B40" s="82">
        <v>17</v>
      </c>
      <c r="C40" s="328" t="s">
        <v>637</v>
      </c>
      <c r="D40" s="328" t="s">
        <v>624</v>
      </c>
    </row>
    <row r="41" spans="2:4" ht="42" x14ac:dyDescent="0.3">
      <c r="B41" s="82">
        <v>18</v>
      </c>
      <c r="C41" s="328" t="s">
        <v>638</v>
      </c>
      <c r="D41" s="328" t="s">
        <v>624</v>
      </c>
    </row>
    <row r="42" spans="2:4" ht="28" x14ac:dyDescent="0.3">
      <c r="B42" s="82">
        <v>19</v>
      </c>
      <c r="C42" s="328" t="s">
        <v>639</v>
      </c>
      <c r="D42" s="328" t="s">
        <v>624</v>
      </c>
    </row>
    <row r="43" spans="2:4" ht="56" x14ac:dyDescent="0.3">
      <c r="B43" s="82">
        <v>20</v>
      </c>
      <c r="C43" s="328" t="s">
        <v>640</v>
      </c>
      <c r="D43" s="328" t="s">
        <v>624</v>
      </c>
    </row>
    <row r="44" spans="2:4" ht="56" x14ac:dyDescent="0.3">
      <c r="B44" s="82">
        <v>21</v>
      </c>
      <c r="C44" s="328" t="s">
        <v>641</v>
      </c>
      <c r="D44" s="328" t="s">
        <v>624</v>
      </c>
    </row>
    <row r="45" spans="2:4" ht="42" x14ac:dyDescent="0.3">
      <c r="B45" s="82">
        <v>22</v>
      </c>
      <c r="C45" s="328" t="s">
        <v>642</v>
      </c>
      <c r="D45" s="328" t="s">
        <v>624</v>
      </c>
    </row>
    <row r="46" spans="2:4" ht="56" x14ac:dyDescent="0.3">
      <c r="B46" s="82">
        <v>23</v>
      </c>
      <c r="C46" s="328" t="s">
        <v>643</v>
      </c>
      <c r="D46" s="328" t="s">
        <v>624</v>
      </c>
    </row>
    <row r="47" spans="2:4" ht="28" x14ac:dyDescent="0.3">
      <c r="B47" s="82">
        <v>24</v>
      </c>
      <c r="C47" s="328" t="s">
        <v>644</v>
      </c>
      <c r="D47" s="328" t="s">
        <v>624</v>
      </c>
    </row>
    <row r="48" spans="2:4" ht="56.5" thickBot="1" x14ac:dyDescent="0.35">
      <c r="B48" s="329">
        <v>25</v>
      </c>
      <c r="C48" s="330" t="s">
        <v>645</v>
      </c>
      <c r="D48" s="330" t="s">
        <v>646</v>
      </c>
    </row>
  </sheetData>
  <mergeCells count="4">
    <mergeCell ref="B14:G14"/>
    <mergeCell ref="B15:G18"/>
    <mergeCell ref="C2:F2"/>
    <mergeCell ref="B19:G19"/>
  </mergeCell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P29"/>
  <sheetViews>
    <sheetView showGridLines="0" zoomScale="92" workbookViewId="0">
      <selection activeCell="R1" sqref="A1:XFD1048576"/>
    </sheetView>
  </sheetViews>
  <sheetFormatPr defaultRowHeight="14" x14ac:dyDescent="0.3"/>
  <cols>
    <col min="1" max="1" width="2.36328125" style="15" customWidth="1"/>
    <col min="2" max="2" width="8.7265625" style="15" customWidth="1"/>
    <col min="3" max="3" width="8.7265625" style="15"/>
    <col min="4" max="4" width="8.81640625" style="15" bestFit="1" customWidth="1"/>
    <col min="5" max="6" width="9.26953125" style="15" bestFit="1" customWidth="1"/>
    <col min="7" max="7" width="8.81640625" style="15" bestFit="1" customWidth="1"/>
    <col min="8" max="8" width="9.26953125" style="15" bestFit="1" customWidth="1"/>
    <col min="9" max="9" width="8.81640625" style="15" bestFit="1" customWidth="1"/>
    <col min="10" max="10" width="9.26953125" style="15" bestFit="1" customWidth="1"/>
    <col min="11" max="13" width="8.81640625" style="15" bestFit="1" customWidth="1"/>
    <col min="14" max="14" width="9.26953125" style="15" bestFit="1" customWidth="1"/>
    <col min="15" max="15" width="8.81640625" style="15" bestFit="1" customWidth="1"/>
    <col min="16" max="16" width="9.26953125" style="15" bestFit="1" customWidth="1"/>
    <col min="17" max="16384" width="8.7265625" style="15"/>
  </cols>
  <sheetData>
    <row r="1" spans="2:16" ht="34.5" customHeight="1" x14ac:dyDescent="0.3">
      <c r="B1" s="331" t="s">
        <v>40</v>
      </c>
      <c r="C1" s="332"/>
      <c r="D1" s="332"/>
      <c r="E1" s="332"/>
      <c r="F1" s="332"/>
      <c r="G1" s="332"/>
      <c r="H1" s="332"/>
      <c r="I1" s="332"/>
      <c r="J1" s="332"/>
      <c r="K1" s="332"/>
      <c r="L1" s="332"/>
      <c r="M1" s="332"/>
      <c r="N1" s="332"/>
      <c r="O1" s="332"/>
      <c r="P1" s="333"/>
    </row>
    <row r="2" spans="2:16" ht="15" customHeight="1" x14ac:dyDescent="0.3">
      <c r="B2" s="257" t="s">
        <v>41</v>
      </c>
      <c r="C2" s="248"/>
      <c r="D2" s="248"/>
      <c r="E2" s="248"/>
      <c r="F2" s="248"/>
      <c r="G2" s="248"/>
      <c r="H2" s="248"/>
      <c r="I2" s="248"/>
      <c r="J2" s="248"/>
      <c r="K2" s="248"/>
      <c r="L2" s="248"/>
      <c r="M2" s="248"/>
      <c r="N2" s="248"/>
      <c r="O2" s="248"/>
      <c r="P2" s="249"/>
    </row>
    <row r="3" spans="2:16" ht="27" customHeight="1" x14ac:dyDescent="0.3">
      <c r="B3" s="113" t="s">
        <v>42</v>
      </c>
      <c r="C3" s="256" t="s">
        <v>43</v>
      </c>
      <c r="D3" s="248"/>
      <c r="E3" s="248"/>
      <c r="F3" s="248"/>
      <c r="G3" s="248"/>
      <c r="H3" s="248"/>
      <c r="I3" s="248"/>
      <c r="J3" s="248"/>
      <c r="K3" s="248"/>
      <c r="L3" s="248"/>
      <c r="M3" s="248"/>
      <c r="N3" s="248"/>
      <c r="O3" s="248"/>
      <c r="P3" s="249"/>
    </row>
    <row r="4" spans="2:16" ht="36" customHeight="1" x14ac:dyDescent="0.3">
      <c r="B4" s="247" t="s">
        <v>44</v>
      </c>
      <c r="C4" s="248"/>
      <c r="D4" s="248"/>
      <c r="E4" s="248"/>
      <c r="F4" s="248"/>
      <c r="G4" s="248"/>
      <c r="H4" s="248"/>
      <c r="I4" s="248"/>
      <c r="J4" s="248"/>
      <c r="K4" s="248"/>
      <c r="L4" s="248"/>
      <c r="M4" s="248"/>
      <c r="N4" s="248"/>
      <c r="O4" s="248"/>
      <c r="P4" s="249"/>
    </row>
    <row r="5" spans="2:16" ht="105.5" customHeight="1" thickBot="1" x14ac:dyDescent="0.35">
      <c r="B5" s="250" t="s">
        <v>45</v>
      </c>
      <c r="C5" s="250" t="s">
        <v>46</v>
      </c>
      <c r="D5" s="250" t="s">
        <v>47</v>
      </c>
      <c r="E5" s="250" t="s">
        <v>48</v>
      </c>
      <c r="F5" s="250" t="s">
        <v>49</v>
      </c>
      <c r="G5" s="250" t="s">
        <v>50</v>
      </c>
      <c r="H5" s="254" t="s">
        <v>51</v>
      </c>
      <c r="I5" s="255"/>
      <c r="J5" s="250" t="s">
        <v>52</v>
      </c>
      <c r="K5" s="250" t="s">
        <v>53</v>
      </c>
      <c r="L5" s="254" t="s">
        <v>54</v>
      </c>
      <c r="M5" s="255"/>
      <c r="N5" s="254" t="s">
        <v>55</v>
      </c>
      <c r="O5" s="255"/>
      <c r="P5" s="250" t="s">
        <v>56</v>
      </c>
    </row>
    <row r="6" spans="2:16" x14ac:dyDescent="0.3">
      <c r="B6" s="251"/>
      <c r="C6" s="251"/>
      <c r="D6" s="251"/>
      <c r="E6" s="251"/>
      <c r="F6" s="251"/>
      <c r="G6" s="251"/>
      <c r="H6" s="253" t="s">
        <v>57</v>
      </c>
      <c r="I6" s="253" t="s">
        <v>58</v>
      </c>
      <c r="J6" s="251"/>
      <c r="K6" s="251"/>
      <c r="L6" s="253" t="s">
        <v>59</v>
      </c>
      <c r="M6" s="253" t="s">
        <v>60</v>
      </c>
      <c r="N6" s="253" t="s">
        <v>59</v>
      </c>
      <c r="O6" s="253" t="s">
        <v>60</v>
      </c>
      <c r="P6" s="251"/>
    </row>
    <row r="7" spans="2:16" ht="15" customHeight="1" thickBot="1" x14ac:dyDescent="0.35">
      <c r="B7" s="252"/>
      <c r="C7" s="252"/>
      <c r="D7" s="252"/>
      <c r="E7" s="252"/>
      <c r="F7" s="252"/>
      <c r="G7" s="252"/>
      <c r="H7" s="252"/>
      <c r="I7" s="252"/>
      <c r="J7" s="252"/>
      <c r="K7" s="252"/>
      <c r="L7" s="252"/>
      <c r="M7" s="252"/>
      <c r="N7" s="252"/>
      <c r="O7" s="252"/>
      <c r="P7" s="252"/>
    </row>
    <row r="8" spans="2:16" ht="15.5" customHeight="1" thickTop="1" thickBot="1" x14ac:dyDescent="0.35">
      <c r="B8" s="7" t="s">
        <v>61</v>
      </c>
      <c r="C8" s="7"/>
      <c r="D8" s="8" t="s">
        <v>62</v>
      </c>
      <c r="E8" s="8" t="s">
        <v>62</v>
      </c>
      <c r="F8" s="8" t="s">
        <v>62</v>
      </c>
      <c r="G8" s="8">
        <v>0</v>
      </c>
      <c r="H8" s="8" t="s">
        <v>62</v>
      </c>
      <c r="I8" s="8">
        <v>0</v>
      </c>
      <c r="J8" s="8" t="s">
        <v>62</v>
      </c>
      <c r="K8" s="8">
        <v>0</v>
      </c>
      <c r="L8" s="8" t="s">
        <v>62</v>
      </c>
      <c r="M8" s="8">
        <v>0</v>
      </c>
      <c r="N8" s="8" t="s">
        <v>62</v>
      </c>
      <c r="O8" s="8">
        <v>0</v>
      </c>
      <c r="P8" s="8" t="s">
        <v>62</v>
      </c>
    </row>
    <row r="9" spans="2:16" ht="37" customHeight="1" thickTop="1" thickBot="1" x14ac:dyDescent="0.35">
      <c r="B9" s="7" t="s">
        <v>63</v>
      </c>
      <c r="C9" s="7"/>
      <c r="D9" s="8">
        <v>2</v>
      </c>
      <c r="E9" s="8">
        <v>2</v>
      </c>
      <c r="F9" s="8">
        <v>2</v>
      </c>
      <c r="G9" s="8">
        <v>0</v>
      </c>
      <c r="H9" s="8">
        <v>2</v>
      </c>
      <c r="I9" s="8">
        <v>0</v>
      </c>
      <c r="J9" s="8">
        <v>2</v>
      </c>
      <c r="K9" s="8">
        <v>0</v>
      </c>
      <c r="L9" s="8" t="s">
        <v>62</v>
      </c>
      <c r="M9" s="8">
        <v>0</v>
      </c>
      <c r="N9" s="8" t="s">
        <v>62</v>
      </c>
      <c r="O9" s="8">
        <v>0</v>
      </c>
      <c r="P9" s="8">
        <v>2</v>
      </c>
    </row>
    <row r="10" spans="2:16" ht="28" customHeight="1" thickTop="1" thickBot="1" x14ac:dyDescent="0.35">
      <c r="B10" s="7" t="s">
        <v>64</v>
      </c>
      <c r="C10" s="7" t="s">
        <v>65</v>
      </c>
      <c r="D10" s="8">
        <v>1</v>
      </c>
      <c r="E10" s="8">
        <v>1</v>
      </c>
      <c r="F10" s="8">
        <v>1</v>
      </c>
      <c r="G10" s="8">
        <v>0</v>
      </c>
      <c r="H10" s="8">
        <v>1</v>
      </c>
      <c r="I10" s="8">
        <v>0</v>
      </c>
      <c r="J10" s="8">
        <v>1</v>
      </c>
      <c r="K10" s="8">
        <v>0</v>
      </c>
      <c r="L10" s="8" t="s">
        <v>62</v>
      </c>
      <c r="M10" s="8">
        <v>0</v>
      </c>
      <c r="N10" s="8" t="s">
        <v>62</v>
      </c>
      <c r="O10" s="8">
        <v>0</v>
      </c>
      <c r="P10" s="8">
        <v>1</v>
      </c>
    </row>
    <row r="11" spans="2:16" ht="28" customHeight="1" thickTop="1" thickBot="1" x14ac:dyDescent="0.35">
      <c r="B11" s="7" t="s">
        <v>66</v>
      </c>
      <c r="C11" s="7" t="s">
        <v>65</v>
      </c>
      <c r="D11" s="8">
        <v>1</v>
      </c>
      <c r="E11" s="8">
        <v>1</v>
      </c>
      <c r="F11" s="8">
        <v>1</v>
      </c>
      <c r="G11" s="8">
        <v>0</v>
      </c>
      <c r="H11" s="8">
        <v>1</v>
      </c>
      <c r="I11" s="8">
        <v>0</v>
      </c>
      <c r="J11" s="8">
        <v>1</v>
      </c>
      <c r="K11" s="8">
        <v>0</v>
      </c>
      <c r="L11" s="8" t="s">
        <v>62</v>
      </c>
      <c r="M11" s="8">
        <v>0</v>
      </c>
      <c r="N11" s="8" t="s">
        <v>62</v>
      </c>
      <c r="O11" s="8">
        <v>0</v>
      </c>
      <c r="P11" s="8">
        <v>1</v>
      </c>
    </row>
    <row r="12" spans="2:16" ht="19" customHeight="1" thickTop="1" thickBot="1" x14ac:dyDescent="0.35">
      <c r="B12" s="7" t="s">
        <v>67</v>
      </c>
      <c r="C12" s="7"/>
      <c r="D12" s="8">
        <v>3</v>
      </c>
      <c r="E12" s="9">
        <v>717701985</v>
      </c>
      <c r="F12" s="9">
        <v>717701985</v>
      </c>
      <c r="G12" s="8">
        <v>59.74</v>
      </c>
      <c r="H12" s="9">
        <v>717701985</v>
      </c>
      <c r="I12" s="8">
        <v>59.74</v>
      </c>
      <c r="J12" s="9">
        <v>717701985</v>
      </c>
      <c r="K12" s="8">
        <v>59.74</v>
      </c>
      <c r="L12" s="9">
        <v>4700000</v>
      </c>
      <c r="M12" s="8">
        <v>0.65</v>
      </c>
      <c r="N12" s="10">
        <v>4700000</v>
      </c>
      <c r="O12" s="8">
        <v>0.65</v>
      </c>
      <c r="P12" s="9">
        <v>717701985</v>
      </c>
    </row>
    <row r="13" spans="2:16" ht="82" customHeight="1" thickTop="1" thickBot="1" x14ac:dyDescent="0.35">
      <c r="B13" s="7" t="s">
        <v>68</v>
      </c>
      <c r="C13" s="7" t="s">
        <v>69</v>
      </c>
      <c r="D13" s="8">
        <v>1</v>
      </c>
      <c r="E13" s="9">
        <v>601634660</v>
      </c>
      <c r="F13" s="9">
        <v>601634660</v>
      </c>
      <c r="G13" s="8">
        <v>50.08</v>
      </c>
      <c r="H13" s="9">
        <v>601634660</v>
      </c>
      <c r="I13" s="8">
        <v>50.08</v>
      </c>
      <c r="J13" s="9">
        <v>601634660</v>
      </c>
      <c r="K13" s="8">
        <v>50.08</v>
      </c>
      <c r="L13" s="8" t="s">
        <v>62</v>
      </c>
      <c r="M13" s="8">
        <v>0</v>
      </c>
      <c r="N13" s="8" t="s">
        <v>62</v>
      </c>
      <c r="O13" s="8">
        <v>0</v>
      </c>
      <c r="P13" s="9">
        <v>601634660</v>
      </c>
    </row>
    <row r="14" spans="2:16" ht="73" customHeight="1" thickTop="1" thickBot="1" x14ac:dyDescent="0.35">
      <c r="B14" s="7" t="s">
        <v>70</v>
      </c>
      <c r="C14" s="7" t="s">
        <v>69</v>
      </c>
      <c r="D14" s="8" t="s">
        <v>62</v>
      </c>
      <c r="E14" s="8" t="s">
        <v>62</v>
      </c>
      <c r="F14" s="8" t="s">
        <v>62</v>
      </c>
      <c r="G14" s="8">
        <v>0</v>
      </c>
      <c r="H14" s="8" t="s">
        <v>62</v>
      </c>
      <c r="I14" s="8">
        <v>0</v>
      </c>
      <c r="J14" s="8" t="s">
        <v>62</v>
      </c>
      <c r="K14" s="8">
        <v>0</v>
      </c>
      <c r="L14" s="8" t="s">
        <v>62</v>
      </c>
      <c r="M14" s="8">
        <v>0</v>
      </c>
      <c r="N14" s="8" t="s">
        <v>62</v>
      </c>
      <c r="O14" s="8">
        <v>0</v>
      </c>
      <c r="P14" s="8" t="s">
        <v>62</v>
      </c>
    </row>
    <row r="15" spans="2:16" ht="37" customHeight="1" thickTop="1" thickBot="1" x14ac:dyDescent="0.35">
      <c r="B15" s="7" t="s">
        <v>71</v>
      </c>
      <c r="C15" s="7" t="s">
        <v>69</v>
      </c>
      <c r="D15" s="8">
        <v>1</v>
      </c>
      <c r="E15" s="9">
        <v>97617325</v>
      </c>
      <c r="F15" s="9">
        <v>97617325</v>
      </c>
      <c r="G15" s="8">
        <v>8.1300000000000008</v>
      </c>
      <c r="H15" s="9">
        <v>97617325</v>
      </c>
      <c r="I15" s="8">
        <v>8.1300000000000008</v>
      </c>
      <c r="J15" s="9">
        <v>97617325</v>
      </c>
      <c r="K15" s="8">
        <v>8.1300000000000008</v>
      </c>
      <c r="L15" s="9">
        <v>4700000</v>
      </c>
      <c r="M15" s="8">
        <v>4.8099999999999996</v>
      </c>
      <c r="N15" s="10">
        <v>4700000</v>
      </c>
      <c r="O15" s="8">
        <v>4.8099999999999996</v>
      </c>
      <c r="P15" s="9">
        <v>97617325</v>
      </c>
    </row>
    <row r="16" spans="2:16" ht="19" customHeight="1" thickTop="1" thickBot="1" x14ac:dyDescent="0.35">
      <c r="B16" s="7" t="s">
        <v>72</v>
      </c>
      <c r="C16" s="7" t="s">
        <v>69</v>
      </c>
      <c r="D16" s="8">
        <v>1</v>
      </c>
      <c r="E16" s="9">
        <v>18450000</v>
      </c>
      <c r="F16" s="9">
        <v>18450000</v>
      </c>
      <c r="G16" s="8">
        <v>1.54</v>
      </c>
      <c r="H16" s="9">
        <v>18450000</v>
      </c>
      <c r="I16" s="8">
        <v>1.54</v>
      </c>
      <c r="J16" s="9">
        <v>18450000</v>
      </c>
      <c r="K16" s="8">
        <v>1.54</v>
      </c>
      <c r="L16" s="8" t="s">
        <v>62</v>
      </c>
      <c r="M16" s="8">
        <v>0</v>
      </c>
      <c r="N16" s="8" t="s">
        <v>62</v>
      </c>
      <c r="O16" s="8">
        <v>0</v>
      </c>
      <c r="P16" s="9">
        <v>18450000</v>
      </c>
    </row>
    <row r="17" spans="2:16" ht="37" customHeight="1" thickTop="1" thickBot="1" x14ac:dyDescent="0.35">
      <c r="B17" s="7" t="s">
        <v>73</v>
      </c>
      <c r="C17" s="7" t="s">
        <v>69</v>
      </c>
      <c r="D17" s="8" t="s">
        <v>62</v>
      </c>
      <c r="E17" s="8" t="s">
        <v>62</v>
      </c>
      <c r="F17" s="8" t="s">
        <v>62</v>
      </c>
      <c r="G17" s="8">
        <v>0</v>
      </c>
      <c r="H17" s="8" t="s">
        <v>62</v>
      </c>
      <c r="I17" s="8">
        <v>0</v>
      </c>
      <c r="J17" s="8" t="s">
        <v>62</v>
      </c>
      <c r="K17" s="8">
        <v>0</v>
      </c>
      <c r="L17" s="8" t="s">
        <v>62</v>
      </c>
      <c r="M17" s="8">
        <v>0</v>
      </c>
      <c r="N17" s="8" t="s">
        <v>62</v>
      </c>
      <c r="O17" s="8">
        <v>0</v>
      </c>
      <c r="P17" s="8" t="s">
        <v>62</v>
      </c>
    </row>
    <row r="18" spans="2:16" ht="19" customHeight="1" thickTop="1" thickBot="1" x14ac:dyDescent="0.35">
      <c r="B18" s="7" t="s">
        <v>74</v>
      </c>
      <c r="C18" s="7"/>
      <c r="D18" s="8">
        <v>5</v>
      </c>
      <c r="E18" s="9">
        <v>717701987</v>
      </c>
      <c r="F18" s="9">
        <v>717701987</v>
      </c>
      <c r="G18" s="8">
        <v>59.74</v>
      </c>
      <c r="H18" s="9">
        <v>717701987</v>
      </c>
      <c r="I18" s="8">
        <v>59.74</v>
      </c>
      <c r="J18" s="9">
        <v>717701987</v>
      </c>
      <c r="K18" s="8">
        <v>59.74</v>
      </c>
      <c r="L18" s="9">
        <v>4700000</v>
      </c>
      <c r="M18" s="8">
        <v>0.65</v>
      </c>
      <c r="N18" s="10">
        <v>4700000</v>
      </c>
      <c r="O18" s="8">
        <v>0.65</v>
      </c>
      <c r="P18" s="9">
        <v>717701987</v>
      </c>
    </row>
    <row r="19" spans="2:16" ht="19" customHeight="1" thickTop="1" thickBot="1" x14ac:dyDescent="0.35">
      <c r="B19" s="7" t="s">
        <v>75</v>
      </c>
      <c r="C19" s="7"/>
      <c r="D19" s="8" t="s">
        <v>62</v>
      </c>
      <c r="E19" s="8" t="s">
        <v>62</v>
      </c>
      <c r="F19" s="8" t="s">
        <v>62</v>
      </c>
      <c r="G19" s="8">
        <v>0</v>
      </c>
      <c r="H19" s="8" t="s">
        <v>62</v>
      </c>
      <c r="I19" s="8">
        <v>0</v>
      </c>
      <c r="J19" s="8" t="s">
        <v>62</v>
      </c>
      <c r="K19" s="8">
        <v>0</v>
      </c>
      <c r="L19" s="8" t="s">
        <v>62</v>
      </c>
      <c r="M19" s="8">
        <v>0</v>
      </c>
      <c r="N19" s="8" t="s">
        <v>62</v>
      </c>
      <c r="O19" s="8">
        <v>0</v>
      </c>
      <c r="P19" s="8" t="s">
        <v>62</v>
      </c>
    </row>
    <row r="20" spans="2:16" ht="19" customHeight="1" thickTop="1" thickBot="1" x14ac:dyDescent="0.35">
      <c r="B20" s="7" t="s">
        <v>67</v>
      </c>
      <c r="C20" s="7"/>
      <c r="D20" s="8">
        <v>5</v>
      </c>
      <c r="E20" s="9">
        <v>155981400</v>
      </c>
      <c r="F20" s="9">
        <v>155981400</v>
      </c>
      <c r="G20" s="8">
        <v>12.98</v>
      </c>
      <c r="H20" s="9">
        <v>155981400</v>
      </c>
      <c r="I20" s="8">
        <v>12.98</v>
      </c>
      <c r="J20" s="9">
        <v>155981400</v>
      </c>
      <c r="K20" s="8">
        <v>12.98</v>
      </c>
      <c r="L20" s="8" t="s">
        <v>62</v>
      </c>
      <c r="M20" s="8">
        <v>0</v>
      </c>
      <c r="N20" s="8" t="s">
        <v>62</v>
      </c>
      <c r="O20" s="8">
        <v>0</v>
      </c>
      <c r="P20" s="9">
        <v>155981400</v>
      </c>
    </row>
    <row r="21" spans="2:16" ht="37" customHeight="1" thickTop="1" thickBot="1" x14ac:dyDescent="0.35">
      <c r="B21" s="7" t="s">
        <v>76</v>
      </c>
      <c r="C21" s="7" t="s">
        <v>69</v>
      </c>
      <c r="D21" s="8">
        <v>1</v>
      </c>
      <c r="E21" s="9">
        <v>30249700</v>
      </c>
      <c r="F21" s="9">
        <v>30249700</v>
      </c>
      <c r="G21" s="8">
        <v>2.52</v>
      </c>
      <c r="H21" s="9">
        <v>30249700</v>
      </c>
      <c r="I21" s="8">
        <v>2.52</v>
      </c>
      <c r="J21" s="9">
        <v>30249700</v>
      </c>
      <c r="K21" s="8">
        <v>2.52</v>
      </c>
      <c r="L21" s="8" t="s">
        <v>62</v>
      </c>
      <c r="M21" s="8">
        <v>0</v>
      </c>
      <c r="N21" s="8" t="s">
        <v>62</v>
      </c>
      <c r="O21" s="8">
        <v>0</v>
      </c>
      <c r="P21" s="9">
        <v>30249700</v>
      </c>
    </row>
    <row r="22" spans="2:16" ht="46" customHeight="1" thickTop="1" thickBot="1" x14ac:dyDescent="0.35">
      <c r="B22" s="7" t="s">
        <v>77</v>
      </c>
      <c r="C22" s="7" t="s">
        <v>69</v>
      </c>
      <c r="D22" s="8">
        <v>1</v>
      </c>
      <c r="E22" s="9">
        <v>30249700</v>
      </c>
      <c r="F22" s="9">
        <v>30249700</v>
      </c>
      <c r="G22" s="8">
        <v>2.52</v>
      </c>
      <c r="H22" s="9">
        <v>30249700</v>
      </c>
      <c r="I22" s="8">
        <v>2.52</v>
      </c>
      <c r="J22" s="9">
        <v>30249700</v>
      </c>
      <c r="K22" s="8">
        <v>2.52</v>
      </c>
      <c r="L22" s="8" t="s">
        <v>62</v>
      </c>
      <c r="M22" s="8">
        <v>0</v>
      </c>
      <c r="N22" s="8" t="s">
        <v>62</v>
      </c>
      <c r="O22" s="8">
        <v>0</v>
      </c>
      <c r="P22" s="9">
        <v>30249700</v>
      </c>
    </row>
    <row r="23" spans="2:16" ht="37" customHeight="1" thickTop="1" thickBot="1" x14ac:dyDescent="0.35">
      <c r="B23" s="7" t="s">
        <v>78</v>
      </c>
      <c r="C23" s="7" t="s">
        <v>69</v>
      </c>
      <c r="D23" s="8">
        <v>1</v>
      </c>
      <c r="E23" s="9">
        <v>3688000</v>
      </c>
      <c r="F23" s="9">
        <v>3688000</v>
      </c>
      <c r="G23" s="8">
        <v>0.31</v>
      </c>
      <c r="H23" s="9">
        <v>3688000</v>
      </c>
      <c r="I23" s="8">
        <v>0.31</v>
      </c>
      <c r="J23" s="9">
        <v>3688000</v>
      </c>
      <c r="K23" s="8">
        <v>0.31</v>
      </c>
      <c r="L23" s="8" t="s">
        <v>62</v>
      </c>
      <c r="M23" s="8">
        <v>0</v>
      </c>
      <c r="N23" s="8" t="s">
        <v>62</v>
      </c>
      <c r="O23" s="8">
        <v>0</v>
      </c>
      <c r="P23" s="9">
        <v>3688000</v>
      </c>
    </row>
    <row r="24" spans="2:16" ht="37" customHeight="1" thickTop="1" thickBot="1" x14ac:dyDescent="0.35">
      <c r="B24" s="7" t="s">
        <v>79</v>
      </c>
      <c r="C24" s="7" t="s">
        <v>69</v>
      </c>
      <c r="D24" s="8">
        <v>1</v>
      </c>
      <c r="E24" s="9">
        <v>64760500</v>
      </c>
      <c r="F24" s="9">
        <v>64760500</v>
      </c>
      <c r="G24" s="8">
        <v>5.39</v>
      </c>
      <c r="H24" s="9">
        <v>64760500</v>
      </c>
      <c r="I24" s="8">
        <v>5.39</v>
      </c>
      <c r="J24" s="9">
        <v>64760500</v>
      </c>
      <c r="K24" s="8">
        <v>5.39</v>
      </c>
      <c r="L24" s="8" t="s">
        <v>62</v>
      </c>
      <c r="M24" s="8">
        <v>0</v>
      </c>
      <c r="N24" s="8" t="s">
        <v>62</v>
      </c>
      <c r="O24" s="8">
        <v>0</v>
      </c>
      <c r="P24" s="9">
        <v>64760500</v>
      </c>
    </row>
    <row r="25" spans="2:16" ht="37" customHeight="1" thickTop="1" thickBot="1" x14ac:dyDescent="0.35">
      <c r="B25" s="7" t="s">
        <v>80</v>
      </c>
      <c r="C25" s="7" t="s">
        <v>69</v>
      </c>
      <c r="D25" s="8" t="s">
        <v>62</v>
      </c>
      <c r="E25" s="8" t="s">
        <v>62</v>
      </c>
      <c r="F25" s="8" t="s">
        <v>62</v>
      </c>
      <c r="G25" s="8">
        <v>0</v>
      </c>
      <c r="H25" s="8" t="s">
        <v>62</v>
      </c>
      <c r="I25" s="8">
        <v>0</v>
      </c>
      <c r="J25" s="8" t="s">
        <v>62</v>
      </c>
      <c r="K25" s="8">
        <v>0</v>
      </c>
      <c r="L25" s="8" t="s">
        <v>62</v>
      </c>
      <c r="M25" s="8">
        <v>0</v>
      </c>
      <c r="N25" s="8" t="s">
        <v>62</v>
      </c>
      <c r="O25" s="8">
        <v>0</v>
      </c>
      <c r="P25" s="8" t="s">
        <v>62</v>
      </c>
    </row>
    <row r="26" spans="2:16" ht="37" customHeight="1" thickTop="1" thickBot="1" x14ac:dyDescent="0.35">
      <c r="B26" s="7" t="s">
        <v>81</v>
      </c>
      <c r="C26" s="7" t="s">
        <v>69</v>
      </c>
      <c r="D26" s="8">
        <v>1</v>
      </c>
      <c r="E26" s="9">
        <v>27033500</v>
      </c>
      <c r="F26" s="9">
        <v>27033500</v>
      </c>
      <c r="G26" s="8">
        <v>2.25</v>
      </c>
      <c r="H26" s="9">
        <v>27033500</v>
      </c>
      <c r="I26" s="8">
        <v>2.25</v>
      </c>
      <c r="J26" s="9">
        <v>27033500</v>
      </c>
      <c r="K26" s="8">
        <v>2.25</v>
      </c>
      <c r="L26" s="8" t="s">
        <v>62</v>
      </c>
      <c r="M26" s="8">
        <v>0</v>
      </c>
      <c r="N26" s="8" t="s">
        <v>62</v>
      </c>
      <c r="O26" s="8">
        <v>0</v>
      </c>
      <c r="P26" s="9">
        <v>27033500</v>
      </c>
    </row>
    <row r="27" spans="2:16" ht="19" customHeight="1" thickTop="1" thickBot="1" x14ac:dyDescent="0.35">
      <c r="B27" s="7" t="s">
        <v>82</v>
      </c>
      <c r="C27" s="7"/>
      <c r="D27" s="8">
        <v>5</v>
      </c>
      <c r="E27" s="9">
        <v>155981400</v>
      </c>
      <c r="F27" s="9">
        <v>155981400</v>
      </c>
      <c r="G27" s="8">
        <v>12.98</v>
      </c>
      <c r="H27" s="9">
        <v>155981400</v>
      </c>
      <c r="I27" s="8">
        <v>12.98</v>
      </c>
      <c r="J27" s="9">
        <v>155981400</v>
      </c>
      <c r="K27" s="8">
        <v>12.98</v>
      </c>
      <c r="L27" s="8" t="s">
        <v>62</v>
      </c>
      <c r="M27" s="8">
        <v>0</v>
      </c>
      <c r="N27" s="8" t="s">
        <v>62</v>
      </c>
      <c r="O27" s="8">
        <v>0</v>
      </c>
      <c r="P27" s="9">
        <v>155981400</v>
      </c>
    </row>
    <row r="28" spans="2:16" ht="15.5" customHeight="1" thickTop="1" thickBot="1" x14ac:dyDescent="0.35">
      <c r="B28" s="7" t="s">
        <v>83</v>
      </c>
      <c r="C28" s="7"/>
      <c r="D28" s="8">
        <v>10</v>
      </c>
      <c r="E28" s="9">
        <v>873683387</v>
      </c>
      <c r="F28" s="9">
        <v>873683387</v>
      </c>
      <c r="G28" s="8">
        <v>72.73</v>
      </c>
      <c r="H28" s="9">
        <v>873683387</v>
      </c>
      <c r="I28" s="8">
        <v>72.73</v>
      </c>
      <c r="J28" s="9">
        <v>873683387</v>
      </c>
      <c r="K28" s="8">
        <v>72.73</v>
      </c>
      <c r="L28" s="9">
        <v>4700000</v>
      </c>
      <c r="M28" s="8">
        <v>0.54</v>
      </c>
      <c r="N28" s="10">
        <v>4700000</v>
      </c>
      <c r="O28" s="8">
        <v>0.54</v>
      </c>
      <c r="P28" s="9">
        <v>873683387</v>
      </c>
    </row>
    <row r="29" spans="2:16" ht="15" customHeight="1" thickTop="1" x14ac:dyDescent="0.3"/>
  </sheetData>
  <mergeCells count="22">
    <mergeCell ref="C3:P3"/>
    <mergeCell ref="B2:P2"/>
    <mergeCell ref="D5:D7"/>
    <mergeCell ref="H6:H7"/>
    <mergeCell ref="B1:P1"/>
    <mergeCell ref="G5:G7"/>
    <mergeCell ref="B5:B7"/>
    <mergeCell ref="M6:M7"/>
    <mergeCell ref="P5:P7"/>
    <mergeCell ref="L5:M5"/>
    <mergeCell ref="N5:O5"/>
    <mergeCell ref="J5:J7"/>
    <mergeCell ref="L6:L7"/>
    <mergeCell ref="C5:C7"/>
    <mergeCell ref="N6:N7"/>
    <mergeCell ref="E5:E7"/>
    <mergeCell ref="B4:P4"/>
    <mergeCell ref="K5:K7"/>
    <mergeCell ref="F5:F7"/>
    <mergeCell ref="I6:I7"/>
    <mergeCell ref="H5:I5"/>
    <mergeCell ref="O6:O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63"/>
  <sheetViews>
    <sheetView showGridLines="0" zoomScale="83" workbookViewId="0">
      <selection activeCell="P10" sqref="P10"/>
    </sheetView>
  </sheetViews>
  <sheetFormatPr defaultRowHeight="14" x14ac:dyDescent="0.3"/>
  <cols>
    <col min="1" max="1" width="2.7265625" style="15" customWidth="1"/>
    <col min="2" max="2" width="8.7265625" style="15"/>
    <col min="3" max="3" width="8.90625" style="15" bestFit="1" customWidth="1"/>
    <col min="4" max="5" width="12.453125" style="15" bestFit="1" customWidth="1"/>
    <col min="6" max="6" width="8.90625" style="15" bestFit="1" customWidth="1"/>
    <col min="7" max="7" width="12.453125" style="15" bestFit="1" customWidth="1"/>
    <col min="8" max="8" width="8.90625" style="15" bestFit="1" customWidth="1"/>
    <col min="9" max="9" width="12.453125" style="15" bestFit="1" customWidth="1"/>
    <col min="10" max="10" width="8.90625" style="15" bestFit="1" customWidth="1"/>
    <col min="11" max="11" width="12.453125" style="15" bestFit="1" customWidth="1"/>
    <col min="12" max="16384" width="8.7265625" style="15"/>
  </cols>
  <sheetData>
    <row r="1" spans="2:14" ht="28.5" customHeight="1" x14ac:dyDescent="0.3">
      <c r="B1" s="334" t="s">
        <v>84</v>
      </c>
      <c r="C1" s="335"/>
      <c r="D1" s="335"/>
      <c r="E1" s="335"/>
      <c r="F1" s="335"/>
      <c r="G1" s="335"/>
      <c r="H1" s="335"/>
      <c r="I1" s="335"/>
      <c r="J1" s="335"/>
      <c r="K1" s="335"/>
      <c r="L1" s="335"/>
      <c r="M1" s="335"/>
      <c r="N1" s="336"/>
    </row>
    <row r="2" spans="2:14" ht="14.5" customHeight="1" x14ac:dyDescent="0.3">
      <c r="B2" s="263" t="s">
        <v>41</v>
      </c>
      <c r="C2" s="248"/>
      <c r="D2" s="248"/>
      <c r="E2" s="248"/>
      <c r="F2" s="248"/>
      <c r="G2" s="248"/>
      <c r="H2" s="248"/>
      <c r="I2" s="248"/>
      <c r="J2" s="248"/>
      <c r="K2" s="248"/>
      <c r="L2" s="248"/>
      <c r="M2" s="248"/>
      <c r="N2" s="249"/>
    </row>
    <row r="3" spans="2:14" ht="43.5" customHeight="1" x14ac:dyDescent="0.3">
      <c r="B3" s="266" t="s">
        <v>42</v>
      </c>
      <c r="C3" s="248"/>
      <c r="D3" s="249"/>
      <c r="E3" s="260" t="s">
        <v>43</v>
      </c>
      <c r="F3" s="248"/>
      <c r="G3" s="248"/>
      <c r="H3" s="248"/>
      <c r="I3" s="248"/>
      <c r="J3" s="248"/>
      <c r="K3" s="248"/>
      <c r="L3" s="248"/>
      <c r="M3" s="248"/>
      <c r="N3" s="249"/>
    </row>
    <row r="4" spans="2:14" ht="15.5" customHeight="1" x14ac:dyDescent="0.3">
      <c r="B4" s="259"/>
      <c r="C4" s="248"/>
      <c r="D4" s="248"/>
      <c r="E4" s="248"/>
      <c r="F4" s="248"/>
      <c r="G4" s="248"/>
      <c r="H4" s="248"/>
      <c r="I4" s="248"/>
      <c r="J4" s="248"/>
      <c r="K4" s="248"/>
      <c r="L4" s="248"/>
      <c r="M4" s="248"/>
      <c r="N4" s="249"/>
    </row>
    <row r="5" spans="2:14" ht="15.5" customHeight="1" x14ac:dyDescent="0.3">
      <c r="B5" s="269" t="s">
        <v>85</v>
      </c>
      <c r="C5" s="248"/>
      <c r="D5" s="248"/>
      <c r="E5" s="248"/>
      <c r="F5" s="248"/>
      <c r="G5" s="248"/>
      <c r="H5" s="248"/>
      <c r="I5" s="248"/>
      <c r="J5" s="248"/>
      <c r="K5" s="248"/>
      <c r="L5" s="248"/>
      <c r="M5" s="248"/>
      <c r="N5" s="249"/>
    </row>
    <row r="6" spans="2:14" ht="15.5" customHeight="1" x14ac:dyDescent="0.3">
      <c r="B6" s="269"/>
      <c r="C6" s="248"/>
      <c r="D6" s="248"/>
      <c r="E6" s="248"/>
      <c r="F6" s="248"/>
      <c r="G6" s="248"/>
      <c r="H6" s="248"/>
      <c r="I6" s="248"/>
      <c r="J6" s="248"/>
      <c r="K6" s="248"/>
      <c r="L6" s="248"/>
      <c r="M6" s="248"/>
      <c r="N6" s="249"/>
    </row>
    <row r="7" spans="2:14" ht="79.5" customHeight="1" thickBot="1" x14ac:dyDescent="0.35">
      <c r="B7" s="261" t="s">
        <v>86</v>
      </c>
      <c r="C7" s="254" t="s">
        <v>87</v>
      </c>
      <c r="D7" s="254" t="s">
        <v>48</v>
      </c>
      <c r="E7" s="254" t="s">
        <v>88</v>
      </c>
      <c r="F7" s="254" t="s">
        <v>89</v>
      </c>
      <c r="G7" s="254" t="s">
        <v>90</v>
      </c>
      <c r="H7" s="254" t="s">
        <v>91</v>
      </c>
      <c r="I7" s="254" t="s">
        <v>52</v>
      </c>
      <c r="J7" s="254" t="s">
        <v>53</v>
      </c>
      <c r="K7" s="254" t="s">
        <v>92</v>
      </c>
      <c r="L7" s="264" t="s">
        <v>93</v>
      </c>
      <c r="M7" s="265"/>
      <c r="N7" s="265"/>
    </row>
    <row r="8" spans="2:14" ht="15" customHeight="1" thickBot="1" x14ac:dyDescent="0.35">
      <c r="B8" s="262"/>
      <c r="C8" s="251"/>
      <c r="D8" s="251"/>
      <c r="E8" s="251"/>
      <c r="F8" s="251"/>
      <c r="G8" s="251"/>
      <c r="H8" s="251"/>
      <c r="I8" s="251"/>
      <c r="J8" s="251"/>
      <c r="K8" s="251"/>
      <c r="L8" s="267" t="s">
        <v>94</v>
      </c>
      <c r="M8" s="268"/>
      <c r="N8" s="268"/>
    </row>
    <row r="9" spans="2:14" ht="19.5" customHeight="1" thickBot="1" x14ac:dyDescent="0.35">
      <c r="B9" s="255"/>
      <c r="C9" s="258"/>
      <c r="D9" s="258"/>
      <c r="E9" s="258"/>
      <c r="F9" s="258"/>
      <c r="G9" s="258"/>
      <c r="H9" s="258"/>
      <c r="I9" s="258"/>
      <c r="J9" s="258"/>
      <c r="K9" s="258"/>
      <c r="L9" s="78" t="s">
        <v>95</v>
      </c>
      <c r="M9" s="78" t="s">
        <v>96</v>
      </c>
      <c r="N9" s="114" t="s">
        <v>97</v>
      </c>
    </row>
    <row r="10" spans="2:14" ht="29" customHeight="1" x14ac:dyDescent="0.3">
      <c r="B10" s="115" t="s">
        <v>98</v>
      </c>
      <c r="C10" s="116">
        <v>0</v>
      </c>
      <c r="D10" s="116">
        <v>0</v>
      </c>
      <c r="E10" s="116" t="s">
        <v>62</v>
      </c>
      <c r="F10" s="116">
        <v>0</v>
      </c>
      <c r="G10" s="116" t="s">
        <v>62</v>
      </c>
      <c r="H10" s="116">
        <v>0</v>
      </c>
      <c r="I10" s="116" t="s">
        <v>62</v>
      </c>
      <c r="J10" s="116">
        <v>0</v>
      </c>
      <c r="K10" s="116" t="s">
        <v>62</v>
      </c>
      <c r="L10" s="116" t="s">
        <v>62</v>
      </c>
      <c r="M10" s="116" t="s">
        <v>62</v>
      </c>
      <c r="N10" s="117" t="s">
        <v>62</v>
      </c>
    </row>
    <row r="11" spans="2:14" ht="72.5" customHeight="1" x14ac:dyDescent="0.3">
      <c r="B11" s="115" t="s">
        <v>99</v>
      </c>
      <c r="C11" s="116">
        <v>0</v>
      </c>
      <c r="D11" s="116">
        <v>0</v>
      </c>
      <c r="E11" s="116" t="s">
        <v>62</v>
      </c>
      <c r="F11" s="116">
        <v>0</v>
      </c>
      <c r="G11" s="116" t="s">
        <v>62</v>
      </c>
      <c r="H11" s="116">
        <v>0</v>
      </c>
      <c r="I11" s="116" t="s">
        <v>62</v>
      </c>
      <c r="J11" s="116">
        <v>0</v>
      </c>
      <c r="K11" s="116" t="s">
        <v>62</v>
      </c>
      <c r="L11" s="116" t="s">
        <v>62</v>
      </c>
      <c r="M11" s="116" t="s">
        <v>62</v>
      </c>
      <c r="N11" s="117" t="s">
        <v>62</v>
      </c>
    </row>
    <row r="12" spans="2:14" ht="29" customHeight="1" x14ac:dyDescent="0.3">
      <c r="B12" s="115" t="s">
        <v>100</v>
      </c>
      <c r="C12" s="116">
        <v>33</v>
      </c>
      <c r="D12" s="118">
        <v>79195541</v>
      </c>
      <c r="E12" s="118">
        <v>79195541</v>
      </c>
      <c r="F12" s="116">
        <v>6.59</v>
      </c>
      <c r="G12" s="118">
        <v>79195541</v>
      </c>
      <c r="H12" s="116">
        <v>6.59</v>
      </c>
      <c r="I12" s="118">
        <v>79195541</v>
      </c>
      <c r="J12" s="116">
        <v>6.59</v>
      </c>
      <c r="K12" s="118">
        <v>79195541</v>
      </c>
      <c r="L12" s="116" t="s">
        <v>62</v>
      </c>
      <c r="M12" s="116" t="s">
        <v>62</v>
      </c>
      <c r="N12" s="117" t="s">
        <v>62</v>
      </c>
    </row>
    <row r="13" spans="2:14" ht="58" customHeight="1" x14ac:dyDescent="0.3">
      <c r="B13" s="115" t="s">
        <v>101</v>
      </c>
      <c r="C13" s="116">
        <v>1</v>
      </c>
      <c r="D13" s="118">
        <v>44073466</v>
      </c>
      <c r="E13" s="118">
        <v>44073466</v>
      </c>
      <c r="F13" s="116">
        <v>3.67</v>
      </c>
      <c r="G13" s="118">
        <v>44073466</v>
      </c>
      <c r="H13" s="116">
        <v>3.67</v>
      </c>
      <c r="I13" s="118">
        <v>44073466</v>
      </c>
      <c r="J13" s="116">
        <v>3.67</v>
      </c>
      <c r="K13" s="118">
        <v>44073466</v>
      </c>
      <c r="L13" s="116" t="s">
        <v>62</v>
      </c>
      <c r="M13" s="116" t="s">
        <v>62</v>
      </c>
      <c r="N13" s="117" t="s">
        <v>62</v>
      </c>
    </row>
    <row r="14" spans="2:14" ht="43.5" customHeight="1" x14ac:dyDescent="0.3">
      <c r="B14" s="115" t="s">
        <v>102</v>
      </c>
      <c r="C14" s="116">
        <v>0</v>
      </c>
      <c r="D14" s="116">
        <v>0</v>
      </c>
      <c r="E14" s="116" t="s">
        <v>62</v>
      </c>
      <c r="F14" s="116">
        <v>0</v>
      </c>
      <c r="G14" s="116" t="s">
        <v>62</v>
      </c>
      <c r="H14" s="116">
        <v>0</v>
      </c>
      <c r="I14" s="116" t="s">
        <v>62</v>
      </c>
      <c r="J14" s="116">
        <v>0</v>
      </c>
      <c r="K14" s="116" t="s">
        <v>62</v>
      </c>
      <c r="L14" s="116" t="s">
        <v>62</v>
      </c>
      <c r="M14" s="116" t="s">
        <v>62</v>
      </c>
      <c r="N14" s="117" t="s">
        <v>62</v>
      </c>
    </row>
    <row r="15" spans="2:14" ht="72.5" customHeight="1" x14ac:dyDescent="0.3">
      <c r="B15" s="115" t="s">
        <v>103</v>
      </c>
      <c r="C15" s="116">
        <v>7</v>
      </c>
      <c r="D15" s="118">
        <v>897195</v>
      </c>
      <c r="E15" s="118">
        <v>897195</v>
      </c>
      <c r="F15" s="116">
        <v>7.0000000000000007E-2</v>
      </c>
      <c r="G15" s="118">
        <v>897195</v>
      </c>
      <c r="H15" s="116">
        <v>7.0000000000000007E-2</v>
      </c>
      <c r="I15" s="118">
        <v>897195</v>
      </c>
      <c r="J15" s="116">
        <v>7.0000000000000007E-2</v>
      </c>
      <c r="K15" s="118">
        <v>897195</v>
      </c>
      <c r="L15" s="116" t="s">
        <v>62</v>
      </c>
      <c r="M15" s="116" t="s">
        <v>62</v>
      </c>
      <c r="N15" s="117" t="s">
        <v>62</v>
      </c>
    </row>
    <row r="16" spans="2:14" x14ac:dyDescent="0.3">
      <c r="B16" s="115" t="s">
        <v>104</v>
      </c>
      <c r="C16" s="116">
        <v>3</v>
      </c>
      <c r="D16" s="116">
        <v>387</v>
      </c>
      <c r="E16" s="116">
        <v>387</v>
      </c>
      <c r="F16" s="116">
        <v>0</v>
      </c>
      <c r="G16" s="116">
        <v>387</v>
      </c>
      <c r="H16" s="116">
        <v>0</v>
      </c>
      <c r="I16" s="116">
        <v>387</v>
      </c>
      <c r="J16" s="116">
        <v>0</v>
      </c>
      <c r="K16" s="116">
        <v>387</v>
      </c>
      <c r="L16" s="116" t="s">
        <v>62</v>
      </c>
      <c r="M16" s="116" t="s">
        <v>62</v>
      </c>
      <c r="N16" s="117" t="s">
        <v>62</v>
      </c>
    </row>
    <row r="17" spans="2:14" ht="58" customHeight="1" x14ac:dyDescent="0.3">
      <c r="B17" s="115" t="s">
        <v>105</v>
      </c>
      <c r="C17" s="116">
        <v>6</v>
      </c>
      <c r="D17" s="118">
        <v>43049610</v>
      </c>
      <c r="E17" s="118">
        <v>43049610</v>
      </c>
      <c r="F17" s="116">
        <v>3.58</v>
      </c>
      <c r="G17" s="118">
        <v>43049610</v>
      </c>
      <c r="H17" s="116">
        <v>3.58</v>
      </c>
      <c r="I17" s="118">
        <v>43049610</v>
      </c>
      <c r="J17" s="116">
        <v>3.58</v>
      </c>
      <c r="K17" s="118">
        <v>43049610</v>
      </c>
      <c r="L17" s="116" t="s">
        <v>62</v>
      </c>
      <c r="M17" s="116" t="s">
        <v>62</v>
      </c>
      <c r="N17" s="117" t="s">
        <v>62</v>
      </c>
    </row>
    <row r="18" spans="2:14" ht="87" customHeight="1" x14ac:dyDescent="0.3">
      <c r="B18" s="115" t="s">
        <v>106</v>
      </c>
      <c r="C18" s="116">
        <v>1</v>
      </c>
      <c r="D18" s="118">
        <v>41081207</v>
      </c>
      <c r="E18" s="118">
        <v>41081207</v>
      </c>
      <c r="F18" s="116">
        <v>3.42</v>
      </c>
      <c r="G18" s="118">
        <v>41081207</v>
      </c>
      <c r="H18" s="116">
        <v>3.42</v>
      </c>
      <c r="I18" s="118">
        <v>41081207</v>
      </c>
      <c r="J18" s="116">
        <v>3.42</v>
      </c>
      <c r="K18" s="118">
        <v>41081207</v>
      </c>
      <c r="L18" s="116" t="s">
        <v>62</v>
      </c>
      <c r="M18" s="116" t="s">
        <v>62</v>
      </c>
      <c r="N18" s="117" t="s">
        <v>62</v>
      </c>
    </row>
    <row r="19" spans="2:14" ht="72.5" customHeight="1" x14ac:dyDescent="0.3">
      <c r="B19" s="115" t="s">
        <v>107</v>
      </c>
      <c r="C19" s="116">
        <v>0</v>
      </c>
      <c r="D19" s="116">
        <v>0</v>
      </c>
      <c r="E19" s="116" t="s">
        <v>62</v>
      </c>
      <c r="F19" s="116">
        <v>0</v>
      </c>
      <c r="G19" s="116" t="s">
        <v>62</v>
      </c>
      <c r="H19" s="116">
        <v>0</v>
      </c>
      <c r="I19" s="116" t="s">
        <v>62</v>
      </c>
      <c r="J19" s="116">
        <v>0</v>
      </c>
      <c r="K19" s="116" t="s">
        <v>62</v>
      </c>
      <c r="L19" s="116" t="s">
        <v>62</v>
      </c>
      <c r="M19" s="116" t="s">
        <v>62</v>
      </c>
      <c r="N19" s="117" t="s">
        <v>62</v>
      </c>
    </row>
    <row r="20" spans="2:14" ht="72.5" customHeight="1" x14ac:dyDescent="0.3">
      <c r="B20" s="115" t="s">
        <v>108</v>
      </c>
      <c r="C20" s="116">
        <v>0</v>
      </c>
      <c r="D20" s="116">
        <v>0</v>
      </c>
      <c r="E20" s="116" t="s">
        <v>62</v>
      </c>
      <c r="F20" s="116">
        <v>0</v>
      </c>
      <c r="G20" s="116" t="s">
        <v>62</v>
      </c>
      <c r="H20" s="116">
        <v>0</v>
      </c>
      <c r="I20" s="116" t="s">
        <v>62</v>
      </c>
      <c r="J20" s="116">
        <v>0</v>
      </c>
      <c r="K20" s="116" t="s">
        <v>62</v>
      </c>
      <c r="L20" s="116" t="s">
        <v>62</v>
      </c>
      <c r="M20" s="116" t="s">
        <v>62</v>
      </c>
      <c r="N20" s="117" t="s">
        <v>62</v>
      </c>
    </row>
    <row r="21" spans="2:14" ht="58" customHeight="1" x14ac:dyDescent="0.3">
      <c r="B21" s="115" t="s">
        <v>109</v>
      </c>
      <c r="C21" s="116">
        <v>0</v>
      </c>
      <c r="D21" s="116">
        <v>0</v>
      </c>
      <c r="E21" s="116" t="s">
        <v>62</v>
      </c>
      <c r="F21" s="116">
        <v>0</v>
      </c>
      <c r="G21" s="116" t="s">
        <v>62</v>
      </c>
      <c r="H21" s="116">
        <v>0</v>
      </c>
      <c r="I21" s="116" t="s">
        <v>62</v>
      </c>
      <c r="J21" s="116">
        <v>0</v>
      </c>
      <c r="K21" s="116" t="s">
        <v>62</v>
      </c>
      <c r="L21" s="116" t="s">
        <v>62</v>
      </c>
      <c r="M21" s="116" t="s">
        <v>62</v>
      </c>
      <c r="N21" s="117" t="s">
        <v>62</v>
      </c>
    </row>
    <row r="22" spans="2:14" ht="58" customHeight="1" x14ac:dyDescent="0.3">
      <c r="B22" s="115" t="s">
        <v>110</v>
      </c>
      <c r="C22" s="116">
        <v>4</v>
      </c>
      <c r="D22" s="118">
        <v>1709</v>
      </c>
      <c r="E22" s="118">
        <v>1709</v>
      </c>
      <c r="F22" s="116">
        <v>0</v>
      </c>
      <c r="G22" s="118">
        <v>1709</v>
      </c>
      <c r="H22" s="116">
        <v>0</v>
      </c>
      <c r="I22" s="118">
        <v>1709</v>
      </c>
      <c r="J22" s="116">
        <v>0</v>
      </c>
      <c r="K22" s="118">
        <v>1709</v>
      </c>
      <c r="L22" s="116" t="s">
        <v>62</v>
      </c>
      <c r="M22" s="116" t="s">
        <v>62</v>
      </c>
      <c r="N22" s="117" t="s">
        <v>62</v>
      </c>
    </row>
    <row r="23" spans="2:14" ht="72.5" customHeight="1" x14ac:dyDescent="0.3">
      <c r="B23" s="115" t="s">
        <v>111</v>
      </c>
      <c r="C23" s="116">
        <v>0</v>
      </c>
      <c r="D23" s="116">
        <v>0</v>
      </c>
      <c r="E23" s="116" t="s">
        <v>62</v>
      </c>
      <c r="F23" s="116">
        <v>0</v>
      </c>
      <c r="G23" s="116" t="s">
        <v>62</v>
      </c>
      <c r="H23" s="116">
        <v>0</v>
      </c>
      <c r="I23" s="116" t="s">
        <v>62</v>
      </c>
      <c r="J23" s="116">
        <v>0</v>
      </c>
      <c r="K23" s="116" t="s">
        <v>62</v>
      </c>
      <c r="L23" s="116" t="s">
        <v>62</v>
      </c>
      <c r="M23" s="116" t="s">
        <v>62</v>
      </c>
      <c r="N23" s="117" t="s">
        <v>62</v>
      </c>
    </row>
    <row r="24" spans="2:14" ht="87" customHeight="1" x14ac:dyDescent="0.3">
      <c r="B24" s="115" t="s">
        <v>112</v>
      </c>
      <c r="C24" s="116">
        <v>0</v>
      </c>
      <c r="D24" s="116">
        <v>0</v>
      </c>
      <c r="E24" s="116" t="s">
        <v>62</v>
      </c>
      <c r="F24" s="116">
        <v>0</v>
      </c>
      <c r="G24" s="116" t="s">
        <v>62</v>
      </c>
      <c r="H24" s="116">
        <v>0</v>
      </c>
      <c r="I24" s="116" t="s">
        <v>62</v>
      </c>
      <c r="J24" s="116">
        <v>0</v>
      </c>
      <c r="K24" s="116" t="s">
        <v>62</v>
      </c>
      <c r="L24" s="116" t="s">
        <v>62</v>
      </c>
      <c r="M24" s="116" t="s">
        <v>62</v>
      </c>
      <c r="N24" s="117" t="s">
        <v>62</v>
      </c>
    </row>
    <row r="25" spans="2:14" ht="29" customHeight="1" x14ac:dyDescent="0.3">
      <c r="B25" s="115" t="s">
        <v>113</v>
      </c>
      <c r="C25" s="116">
        <v>53</v>
      </c>
      <c r="D25" s="118">
        <v>123144442</v>
      </c>
      <c r="E25" s="118">
        <v>123144442</v>
      </c>
      <c r="F25" s="116">
        <v>10.25</v>
      </c>
      <c r="G25" s="118">
        <v>123144442</v>
      </c>
      <c r="H25" s="116">
        <v>10.25</v>
      </c>
      <c r="I25" s="118">
        <v>123144442</v>
      </c>
      <c r="J25" s="116">
        <v>10.25</v>
      </c>
      <c r="K25" s="118">
        <v>123144442</v>
      </c>
      <c r="L25" s="116" t="s">
        <v>62</v>
      </c>
      <c r="M25" s="116" t="s">
        <v>62</v>
      </c>
      <c r="N25" s="117" t="s">
        <v>62</v>
      </c>
    </row>
    <row r="26" spans="2:14" ht="72.5" customHeight="1" x14ac:dyDescent="0.3">
      <c r="B26" s="115" t="s">
        <v>114</v>
      </c>
      <c r="C26" s="116">
        <v>0</v>
      </c>
      <c r="D26" s="116">
        <v>0</v>
      </c>
      <c r="E26" s="116" t="s">
        <v>62</v>
      </c>
      <c r="F26" s="116">
        <v>0</v>
      </c>
      <c r="G26" s="116" t="s">
        <v>62</v>
      </c>
      <c r="H26" s="116">
        <v>0</v>
      </c>
      <c r="I26" s="116" t="s">
        <v>62</v>
      </c>
      <c r="J26" s="116">
        <v>0</v>
      </c>
      <c r="K26" s="116" t="s">
        <v>62</v>
      </c>
      <c r="L26" s="116" t="s">
        <v>62</v>
      </c>
      <c r="M26" s="116" t="s">
        <v>62</v>
      </c>
      <c r="N26" s="117" t="s">
        <v>62</v>
      </c>
    </row>
    <row r="27" spans="2:14" ht="58" customHeight="1" x14ac:dyDescent="0.3">
      <c r="B27" s="115" t="s">
        <v>115</v>
      </c>
      <c r="C27" s="116">
        <v>0</v>
      </c>
      <c r="D27" s="116">
        <v>0</v>
      </c>
      <c r="E27" s="116" t="s">
        <v>62</v>
      </c>
      <c r="F27" s="116">
        <v>0</v>
      </c>
      <c r="G27" s="116" t="s">
        <v>62</v>
      </c>
      <c r="H27" s="116">
        <v>0</v>
      </c>
      <c r="I27" s="116" t="s">
        <v>62</v>
      </c>
      <c r="J27" s="116">
        <v>0</v>
      </c>
      <c r="K27" s="116" t="s">
        <v>62</v>
      </c>
      <c r="L27" s="116" t="s">
        <v>62</v>
      </c>
      <c r="M27" s="116" t="s">
        <v>62</v>
      </c>
      <c r="N27" s="117" t="s">
        <v>62</v>
      </c>
    </row>
    <row r="28" spans="2:14" ht="72.5" customHeight="1" x14ac:dyDescent="0.3">
      <c r="B28" s="115" t="s">
        <v>116</v>
      </c>
      <c r="C28" s="116">
        <v>0</v>
      </c>
      <c r="D28" s="116">
        <v>0</v>
      </c>
      <c r="E28" s="116" t="s">
        <v>62</v>
      </c>
      <c r="F28" s="116">
        <v>0</v>
      </c>
      <c r="G28" s="116" t="s">
        <v>62</v>
      </c>
      <c r="H28" s="116">
        <v>0</v>
      </c>
      <c r="I28" s="116" t="s">
        <v>62</v>
      </c>
      <c r="J28" s="116">
        <v>0</v>
      </c>
      <c r="K28" s="116" t="s">
        <v>62</v>
      </c>
      <c r="L28" s="116" t="s">
        <v>62</v>
      </c>
      <c r="M28" s="116" t="s">
        <v>62</v>
      </c>
      <c r="N28" s="117" t="s">
        <v>62</v>
      </c>
    </row>
    <row r="29" spans="2:14" ht="58" customHeight="1" x14ac:dyDescent="0.3">
      <c r="B29" s="115" t="s">
        <v>109</v>
      </c>
      <c r="C29" s="116">
        <v>0</v>
      </c>
      <c r="D29" s="116">
        <v>0</v>
      </c>
      <c r="E29" s="116" t="s">
        <v>62</v>
      </c>
      <c r="F29" s="116">
        <v>0</v>
      </c>
      <c r="G29" s="116" t="s">
        <v>62</v>
      </c>
      <c r="H29" s="116">
        <v>0</v>
      </c>
      <c r="I29" s="116" t="s">
        <v>62</v>
      </c>
      <c r="J29" s="116">
        <v>0</v>
      </c>
      <c r="K29" s="116" t="s">
        <v>62</v>
      </c>
      <c r="L29" s="116" t="s">
        <v>62</v>
      </c>
      <c r="M29" s="116" t="s">
        <v>62</v>
      </c>
      <c r="N29" s="117" t="s">
        <v>62</v>
      </c>
    </row>
    <row r="30" spans="2:14" ht="101.5" customHeight="1" x14ac:dyDescent="0.3">
      <c r="B30" s="115" t="s">
        <v>117</v>
      </c>
      <c r="C30" s="116">
        <v>173</v>
      </c>
      <c r="D30" s="118">
        <v>130640837</v>
      </c>
      <c r="E30" s="118">
        <v>130640837</v>
      </c>
      <c r="F30" s="116">
        <v>10.88</v>
      </c>
      <c r="G30" s="118">
        <v>130640837</v>
      </c>
      <c r="H30" s="116">
        <v>10.88</v>
      </c>
      <c r="I30" s="118">
        <v>130640837</v>
      </c>
      <c r="J30" s="116">
        <v>10.88</v>
      </c>
      <c r="K30" s="118">
        <v>130640837</v>
      </c>
      <c r="L30" s="116" t="s">
        <v>62</v>
      </c>
      <c r="M30" s="116" t="s">
        <v>62</v>
      </c>
      <c r="N30" s="117" t="s">
        <v>62</v>
      </c>
    </row>
    <row r="31" spans="2:14" ht="43.5" customHeight="1" x14ac:dyDescent="0.3">
      <c r="B31" s="115" t="s">
        <v>118</v>
      </c>
      <c r="C31" s="116">
        <v>1</v>
      </c>
      <c r="D31" s="118">
        <v>12868770</v>
      </c>
      <c r="E31" s="118">
        <v>12868770</v>
      </c>
      <c r="F31" s="116">
        <v>1.07</v>
      </c>
      <c r="G31" s="118">
        <v>12868770</v>
      </c>
      <c r="H31" s="116">
        <v>1.07</v>
      </c>
      <c r="I31" s="118">
        <v>12868770</v>
      </c>
      <c r="J31" s="116">
        <v>1.07</v>
      </c>
      <c r="K31" s="118">
        <v>12868770</v>
      </c>
      <c r="L31" s="116" t="s">
        <v>62</v>
      </c>
      <c r="M31" s="116" t="s">
        <v>62</v>
      </c>
      <c r="N31" s="117" t="s">
        <v>62</v>
      </c>
    </row>
    <row r="32" spans="2:14" ht="87" customHeight="1" x14ac:dyDescent="0.3">
      <c r="B32" s="115" t="s">
        <v>119</v>
      </c>
      <c r="C32" s="116">
        <v>1</v>
      </c>
      <c r="D32" s="118">
        <v>22886433</v>
      </c>
      <c r="E32" s="118">
        <v>22886433</v>
      </c>
      <c r="F32" s="116">
        <v>1.91</v>
      </c>
      <c r="G32" s="118">
        <v>22886433</v>
      </c>
      <c r="H32" s="116">
        <v>1.91</v>
      </c>
      <c r="I32" s="118">
        <v>22886433</v>
      </c>
      <c r="J32" s="116">
        <v>1.91</v>
      </c>
      <c r="K32" s="118">
        <v>22886433</v>
      </c>
      <c r="L32" s="116" t="s">
        <v>62</v>
      </c>
      <c r="M32" s="116" t="s">
        <v>62</v>
      </c>
      <c r="N32" s="117" t="s">
        <v>62</v>
      </c>
    </row>
    <row r="33" spans="2:14" ht="174" customHeight="1" x14ac:dyDescent="0.3">
      <c r="B33" s="115" t="s">
        <v>120</v>
      </c>
      <c r="C33" s="116">
        <v>1</v>
      </c>
      <c r="D33" s="118">
        <v>35665659</v>
      </c>
      <c r="E33" s="118">
        <v>35665659</v>
      </c>
      <c r="F33" s="116">
        <v>2.97</v>
      </c>
      <c r="G33" s="118">
        <v>35665659</v>
      </c>
      <c r="H33" s="116">
        <v>2.97</v>
      </c>
      <c r="I33" s="118">
        <v>35665659</v>
      </c>
      <c r="J33" s="116">
        <v>2.97</v>
      </c>
      <c r="K33" s="118">
        <v>35665659</v>
      </c>
      <c r="L33" s="116" t="s">
        <v>62</v>
      </c>
      <c r="M33" s="116" t="s">
        <v>62</v>
      </c>
      <c r="N33" s="117" t="s">
        <v>62</v>
      </c>
    </row>
    <row r="34" spans="2:14" ht="101.5" customHeight="1" x14ac:dyDescent="0.3">
      <c r="B34" s="115" t="s">
        <v>121</v>
      </c>
      <c r="C34" s="116">
        <v>18</v>
      </c>
      <c r="D34" s="118">
        <v>16249671</v>
      </c>
      <c r="E34" s="118">
        <v>16249671</v>
      </c>
      <c r="F34" s="116">
        <v>1.35</v>
      </c>
      <c r="G34" s="118">
        <v>16249671</v>
      </c>
      <c r="H34" s="116">
        <v>1.35</v>
      </c>
      <c r="I34" s="118">
        <v>16249671</v>
      </c>
      <c r="J34" s="116">
        <v>1.35</v>
      </c>
      <c r="K34" s="118">
        <v>16249671</v>
      </c>
      <c r="L34" s="116" t="s">
        <v>62</v>
      </c>
      <c r="M34" s="116" t="s">
        <v>62</v>
      </c>
      <c r="N34" s="117" t="s">
        <v>62</v>
      </c>
    </row>
    <row r="35" spans="2:14" ht="130.5" customHeight="1" x14ac:dyDescent="0.3">
      <c r="B35" s="115" t="s">
        <v>122</v>
      </c>
      <c r="C35" s="116">
        <v>0</v>
      </c>
      <c r="D35" s="116">
        <v>0</v>
      </c>
      <c r="E35" s="116" t="s">
        <v>62</v>
      </c>
      <c r="F35" s="116">
        <v>0</v>
      </c>
      <c r="G35" s="116" t="s">
        <v>62</v>
      </c>
      <c r="H35" s="116">
        <v>0</v>
      </c>
      <c r="I35" s="116" t="s">
        <v>62</v>
      </c>
      <c r="J35" s="116">
        <v>0</v>
      </c>
      <c r="K35" s="116" t="s">
        <v>62</v>
      </c>
      <c r="L35" s="116" t="s">
        <v>62</v>
      </c>
      <c r="M35" s="116" t="s">
        <v>62</v>
      </c>
      <c r="N35" s="117" t="s">
        <v>62</v>
      </c>
    </row>
    <row r="36" spans="2:14" ht="87" customHeight="1" x14ac:dyDescent="0.3">
      <c r="B36" s="115" t="s">
        <v>123</v>
      </c>
      <c r="C36" s="116">
        <v>0</v>
      </c>
      <c r="D36" s="116">
        <v>0</v>
      </c>
      <c r="E36" s="116" t="s">
        <v>62</v>
      </c>
      <c r="F36" s="116">
        <v>0</v>
      </c>
      <c r="G36" s="116" t="s">
        <v>62</v>
      </c>
      <c r="H36" s="116">
        <v>0</v>
      </c>
      <c r="I36" s="116" t="s">
        <v>62</v>
      </c>
      <c r="J36" s="116">
        <v>0</v>
      </c>
      <c r="K36" s="116" t="s">
        <v>62</v>
      </c>
      <c r="L36" s="116" t="s">
        <v>62</v>
      </c>
      <c r="M36" s="116" t="s">
        <v>62</v>
      </c>
      <c r="N36" s="117" t="s">
        <v>62</v>
      </c>
    </row>
    <row r="37" spans="2:14" ht="29" customHeight="1" x14ac:dyDescent="0.3">
      <c r="B37" s="115" t="s">
        <v>124</v>
      </c>
      <c r="C37" s="116">
        <v>191</v>
      </c>
      <c r="D37" s="118">
        <v>146890508</v>
      </c>
      <c r="E37" s="118">
        <v>146890508</v>
      </c>
      <c r="F37" s="116">
        <v>12.23</v>
      </c>
      <c r="G37" s="118">
        <v>146890508</v>
      </c>
      <c r="H37" s="116">
        <v>12.23</v>
      </c>
      <c r="I37" s="118">
        <v>146890508</v>
      </c>
      <c r="J37" s="116">
        <v>12.23</v>
      </c>
      <c r="K37" s="118">
        <v>146890508</v>
      </c>
      <c r="L37" s="116" t="s">
        <v>62</v>
      </c>
      <c r="M37" s="116" t="s">
        <v>62</v>
      </c>
      <c r="N37" s="117" t="s">
        <v>62</v>
      </c>
    </row>
    <row r="38" spans="2:14" ht="159.5" customHeight="1" x14ac:dyDescent="0.3">
      <c r="B38" s="115" t="s">
        <v>125</v>
      </c>
      <c r="C38" s="116">
        <v>0</v>
      </c>
      <c r="D38" s="116">
        <v>0</v>
      </c>
      <c r="E38" s="116" t="s">
        <v>62</v>
      </c>
      <c r="F38" s="116">
        <v>0</v>
      </c>
      <c r="G38" s="116" t="s">
        <v>62</v>
      </c>
      <c r="H38" s="116">
        <v>0</v>
      </c>
      <c r="I38" s="116" t="s">
        <v>62</v>
      </c>
      <c r="J38" s="116">
        <v>0</v>
      </c>
      <c r="K38" s="116" t="s">
        <v>62</v>
      </c>
      <c r="L38" s="116" t="s">
        <v>62</v>
      </c>
      <c r="M38" s="116" t="s">
        <v>62</v>
      </c>
      <c r="N38" s="117" t="s">
        <v>62</v>
      </c>
    </row>
    <row r="39" spans="2:14" ht="87" customHeight="1" x14ac:dyDescent="0.3">
      <c r="B39" s="115" t="s">
        <v>126</v>
      </c>
      <c r="C39" s="116">
        <v>0</v>
      </c>
      <c r="D39" s="116">
        <v>0</v>
      </c>
      <c r="E39" s="116" t="s">
        <v>62</v>
      </c>
      <c r="F39" s="116">
        <v>0</v>
      </c>
      <c r="G39" s="116" t="s">
        <v>62</v>
      </c>
      <c r="H39" s="116">
        <v>0</v>
      </c>
      <c r="I39" s="116" t="s">
        <v>62</v>
      </c>
      <c r="J39" s="116">
        <v>0</v>
      </c>
      <c r="K39" s="116" t="s">
        <v>62</v>
      </c>
      <c r="L39" s="116" t="s">
        <v>62</v>
      </c>
      <c r="M39" s="116" t="s">
        <v>62</v>
      </c>
      <c r="N39" s="117" t="s">
        <v>62</v>
      </c>
    </row>
    <row r="40" spans="2:14" ht="72.5" customHeight="1" x14ac:dyDescent="0.3">
      <c r="B40" s="115" t="s">
        <v>127</v>
      </c>
      <c r="C40" s="116">
        <v>0</v>
      </c>
      <c r="D40" s="116">
        <v>0</v>
      </c>
      <c r="E40" s="116" t="s">
        <v>62</v>
      </c>
      <c r="F40" s="116">
        <v>0</v>
      </c>
      <c r="G40" s="116" t="s">
        <v>62</v>
      </c>
      <c r="H40" s="116">
        <v>0</v>
      </c>
      <c r="I40" s="116" t="s">
        <v>62</v>
      </c>
      <c r="J40" s="116">
        <v>0</v>
      </c>
      <c r="K40" s="116" t="s">
        <v>62</v>
      </c>
      <c r="L40" s="116" t="s">
        <v>62</v>
      </c>
      <c r="M40" s="116" t="s">
        <v>62</v>
      </c>
      <c r="N40" s="117" t="s">
        <v>62</v>
      </c>
    </row>
    <row r="41" spans="2:14" ht="217.5" customHeight="1" x14ac:dyDescent="0.3">
      <c r="B41" s="115" t="s">
        <v>128</v>
      </c>
      <c r="C41" s="116">
        <v>0</v>
      </c>
      <c r="D41" s="116">
        <v>0</v>
      </c>
      <c r="E41" s="116" t="s">
        <v>62</v>
      </c>
      <c r="F41" s="116">
        <v>0</v>
      </c>
      <c r="G41" s="116" t="s">
        <v>62</v>
      </c>
      <c r="H41" s="116">
        <v>0</v>
      </c>
      <c r="I41" s="116" t="s">
        <v>62</v>
      </c>
      <c r="J41" s="116">
        <v>0</v>
      </c>
      <c r="K41" s="116" t="s">
        <v>62</v>
      </c>
      <c r="L41" s="116" t="s">
        <v>62</v>
      </c>
      <c r="M41" s="116" t="s">
        <v>62</v>
      </c>
      <c r="N41" s="117" t="s">
        <v>62</v>
      </c>
    </row>
    <row r="42" spans="2:14" ht="29" customHeight="1" x14ac:dyDescent="0.3">
      <c r="B42" s="115" t="s">
        <v>129</v>
      </c>
      <c r="C42" s="116">
        <v>0</v>
      </c>
      <c r="D42" s="116">
        <v>0</v>
      </c>
      <c r="E42" s="116" t="s">
        <v>62</v>
      </c>
      <c r="F42" s="116">
        <v>0</v>
      </c>
      <c r="G42" s="116" t="s">
        <v>62</v>
      </c>
      <c r="H42" s="116">
        <v>0</v>
      </c>
      <c r="I42" s="116" t="s">
        <v>62</v>
      </c>
      <c r="J42" s="116">
        <v>0</v>
      </c>
      <c r="K42" s="116" t="s">
        <v>62</v>
      </c>
      <c r="L42" s="116" t="s">
        <v>62</v>
      </c>
      <c r="M42" s="116" t="s">
        <v>62</v>
      </c>
      <c r="N42" s="117" t="s">
        <v>62</v>
      </c>
    </row>
    <row r="43" spans="2:14" ht="58" customHeight="1" x14ac:dyDescent="0.3">
      <c r="B43" s="115" t="s">
        <v>130</v>
      </c>
      <c r="C43" s="116">
        <v>0</v>
      </c>
      <c r="D43" s="116">
        <v>0</v>
      </c>
      <c r="E43" s="116" t="s">
        <v>62</v>
      </c>
      <c r="F43" s="116">
        <v>0</v>
      </c>
      <c r="G43" s="116" t="s">
        <v>62</v>
      </c>
      <c r="H43" s="116">
        <v>0</v>
      </c>
      <c r="I43" s="116" t="s">
        <v>62</v>
      </c>
      <c r="J43" s="116">
        <v>0</v>
      </c>
      <c r="K43" s="116" t="s">
        <v>62</v>
      </c>
      <c r="L43" s="116" t="s">
        <v>62</v>
      </c>
      <c r="M43" s="116" t="s">
        <v>62</v>
      </c>
      <c r="N43" s="117" t="s">
        <v>62</v>
      </c>
    </row>
    <row r="44" spans="2:14" ht="87" customHeight="1" x14ac:dyDescent="0.3">
      <c r="B44" s="115" t="s">
        <v>131</v>
      </c>
      <c r="C44" s="116">
        <v>0</v>
      </c>
      <c r="D44" s="116">
        <v>0</v>
      </c>
      <c r="E44" s="116" t="s">
        <v>62</v>
      </c>
      <c r="F44" s="116">
        <v>0</v>
      </c>
      <c r="G44" s="116" t="s">
        <v>62</v>
      </c>
      <c r="H44" s="116">
        <v>0</v>
      </c>
      <c r="I44" s="116" t="s">
        <v>62</v>
      </c>
      <c r="J44" s="116">
        <v>0</v>
      </c>
      <c r="K44" s="116" t="s">
        <v>62</v>
      </c>
      <c r="L44" s="116" t="s">
        <v>62</v>
      </c>
      <c r="M44" s="116" t="s">
        <v>62</v>
      </c>
      <c r="N44" s="117" t="s">
        <v>62</v>
      </c>
    </row>
    <row r="45" spans="2:14" ht="203" customHeight="1" x14ac:dyDescent="0.3">
      <c r="B45" s="115" t="s">
        <v>132</v>
      </c>
      <c r="C45" s="116">
        <v>2</v>
      </c>
      <c r="D45" s="118">
        <v>106925</v>
      </c>
      <c r="E45" s="118">
        <v>106925</v>
      </c>
      <c r="F45" s="116">
        <v>0.01</v>
      </c>
      <c r="G45" s="118">
        <v>106925</v>
      </c>
      <c r="H45" s="116">
        <v>0.01</v>
      </c>
      <c r="I45" s="118">
        <v>106925</v>
      </c>
      <c r="J45" s="116">
        <v>0.01</v>
      </c>
      <c r="K45" s="118">
        <v>106925</v>
      </c>
      <c r="L45" s="116" t="s">
        <v>62</v>
      </c>
      <c r="M45" s="116" t="s">
        <v>62</v>
      </c>
      <c r="N45" s="117" t="s">
        <v>62</v>
      </c>
    </row>
    <row r="46" spans="2:14" ht="72.5" customHeight="1" x14ac:dyDescent="0.3">
      <c r="B46" s="115" t="s">
        <v>133</v>
      </c>
      <c r="C46" s="116">
        <v>2</v>
      </c>
      <c r="D46" s="116">
        <v>49</v>
      </c>
      <c r="E46" s="116">
        <v>49</v>
      </c>
      <c r="F46" s="116">
        <v>0</v>
      </c>
      <c r="G46" s="116">
        <v>49</v>
      </c>
      <c r="H46" s="116">
        <v>0</v>
      </c>
      <c r="I46" s="116">
        <v>49</v>
      </c>
      <c r="J46" s="116">
        <v>0</v>
      </c>
      <c r="K46" s="116">
        <v>49</v>
      </c>
      <c r="L46" s="116" t="s">
        <v>62</v>
      </c>
      <c r="M46" s="116" t="s">
        <v>62</v>
      </c>
      <c r="N46" s="117" t="s">
        <v>62</v>
      </c>
    </row>
    <row r="47" spans="2:14" ht="290" customHeight="1" x14ac:dyDescent="0.3">
      <c r="B47" s="115" t="s">
        <v>134</v>
      </c>
      <c r="C47" s="116">
        <v>0</v>
      </c>
      <c r="D47" s="116">
        <v>0</v>
      </c>
      <c r="E47" s="116" t="s">
        <v>62</v>
      </c>
      <c r="F47" s="116">
        <v>0</v>
      </c>
      <c r="G47" s="116" t="s">
        <v>62</v>
      </c>
      <c r="H47" s="116">
        <v>0</v>
      </c>
      <c r="I47" s="116" t="s">
        <v>62</v>
      </c>
      <c r="J47" s="116">
        <v>0</v>
      </c>
      <c r="K47" s="116" t="s">
        <v>62</v>
      </c>
      <c r="L47" s="116" t="s">
        <v>62</v>
      </c>
      <c r="M47" s="116" t="s">
        <v>62</v>
      </c>
      <c r="N47" s="117" t="s">
        <v>62</v>
      </c>
    </row>
    <row r="48" spans="2:14" ht="275.5" customHeight="1" x14ac:dyDescent="0.3">
      <c r="B48" s="115" t="s">
        <v>135</v>
      </c>
      <c r="C48" s="116">
        <v>0</v>
      </c>
      <c r="D48" s="116">
        <v>0</v>
      </c>
      <c r="E48" s="116" t="s">
        <v>62</v>
      </c>
      <c r="F48" s="116">
        <v>0</v>
      </c>
      <c r="G48" s="116" t="s">
        <v>62</v>
      </c>
      <c r="H48" s="116">
        <v>0</v>
      </c>
      <c r="I48" s="116" t="s">
        <v>62</v>
      </c>
      <c r="J48" s="116">
        <v>0</v>
      </c>
      <c r="K48" s="116" t="s">
        <v>62</v>
      </c>
      <c r="L48" s="116" t="s">
        <v>62</v>
      </c>
      <c r="M48" s="116" t="s">
        <v>62</v>
      </c>
      <c r="N48" s="117" t="s">
        <v>62</v>
      </c>
    </row>
    <row r="49" spans="2:14" ht="87" customHeight="1" x14ac:dyDescent="0.3">
      <c r="B49" s="115" t="s">
        <v>136</v>
      </c>
      <c r="C49" s="116">
        <v>0</v>
      </c>
      <c r="D49" s="116">
        <v>0</v>
      </c>
      <c r="E49" s="116" t="s">
        <v>62</v>
      </c>
      <c r="F49" s="116">
        <v>0</v>
      </c>
      <c r="G49" s="116" t="s">
        <v>62</v>
      </c>
      <c r="H49" s="116">
        <v>0</v>
      </c>
      <c r="I49" s="116" t="s">
        <v>62</v>
      </c>
      <c r="J49" s="116">
        <v>0</v>
      </c>
      <c r="K49" s="116" t="s">
        <v>62</v>
      </c>
      <c r="L49" s="116" t="s">
        <v>62</v>
      </c>
      <c r="M49" s="116" t="s">
        <v>62</v>
      </c>
      <c r="N49" s="117" t="s">
        <v>62</v>
      </c>
    </row>
    <row r="50" spans="2:14" ht="145" customHeight="1" x14ac:dyDescent="0.3">
      <c r="B50" s="115" t="s">
        <v>137</v>
      </c>
      <c r="C50" s="118">
        <v>394692</v>
      </c>
      <c r="D50" s="118">
        <v>25377225</v>
      </c>
      <c r="E50" s="118">
        <v>25377225</v>
      </c>
      <c r="F50" s="116">
        <v>2.11</v>
      </c>
      <c r="G50" s="118">
        <v>25377225</v>
      </c>
      <c r="H50" s="116">
        <v>2.11</v>
      </c>
      <c r="I50" s="118">
        <v>25377225</v>
      </c>
      <c r="J50" s="116">
        <v>2.11</v>
      </c>
      <c r="K50" s="118">
        <v>25243814</v>
      </c>
      <c r="L50" s="116" t="s">
        <v>62</v>
      </c>
      <c r="M50" s="116" t="s">
        <v>62</v>
      </c>
      <c r="N50" s="117" t="s">
        <v>62</v>
      </c>
    </row>
    <row r="51" spans="2:14" ht="159.5" customHeight="1" x14ac:dyDescent="0.3">
      <c r="B51" s="115" t="s">
        <v>138</v>
      </c>
      <c r="C51" s="116">
        <v>95</v>
      </c>
      <c r="D51" s="118">
        <v>7270279</v>
      </c>
      <c r="E51" s="118">
        <v>7270279</v>
      </c>
      <c r="F51" s="116">
        <v>0.61</v>
      </c>
      <c r="G51" s="118">
        <v>7270279</v>
      </c>
      <c r="H51" s="116">
        <v>0.61</v>
      </c>
      <c r="I51" s="118">
        <v>7270279</v>
      </c>
      <c r="J51" s="116">
        <v>0.61</v>
      </c>
      <c r="K51" s="118">
        <v>7240279</v>
      </c>
      <c r="L51" s="116" t="s">
        <v>62</v>
      </c>
      <c r="M51" s="116" t="s">
        <v>62</v>
      </c>
      <c r="N51" s="117" t="s">
        <v>62</v>
      </c>
    </row>
    <row r="52" spans="2:14" ht="58" customHeight="1" x14ac:dyDescent="0.3">
      <c r="B52" s="115" t="s">
        <v>139</v>
      </c>
      <c r="C52" s="118">
        <v>4354</v>
      </c>
      <c r="D52" s="118">
        <v>1029489</v>
      </c>
      <c r="E52" s="118">
        <v>1029489</v>
      </c>
      <c r="F52" s="116">
        <v>0.09</v>
      </c>
      <c r="G52" s="118">
        <v>1029489</v>
      </c>
      <c r="H52" s="116">
        <v>0.09</v>
      </c>
      <c r="I52" s="118">
        <v>1029489</v>
      </c>
      <c r="J52" s="116">
        <v>0.09</v>
      </c>
      <c r="K52" s="118">
        <v>1029489</v>
      </c>
      <c r="L52" s="116" t="s">
        <v>62</v>
      </c>
      <c r="M52" s="116" t="s">
        <v>62</v>
      </c>
      <c r="N52" s="117" t="s">
        <v>62</v>
      </c>
    </row>
    <row r="53" spans="2:14" ht="43.5" customHeight="1" x14ac:dyDescent="0.3">
      <c r="B53" s="115" t="s">
        <v>140</v>
      </c>
      <c r="C53" s="116">
        <v>1</v>
      </c>
      <c r="D53" s="118">
        <v>10000</v>
      </c>
      <c r="E53" s="118">
        <v>10000</v>
      </c>
      <c r="F53" s="116">
        <v>0</v>
      </c>
      <c r="G53" s="118">
        <v>10000</v>
      </c>
      <c r="H53" s="116">
        <v>0</v>
      </c>
      <c r="I53" s="118">
        <v>10000</v>
      </c>
      <c r="J53" s="116">
        <v>0</v>
      </c>
      <c r="K53" s="118">
        <v>10000</v>
      </c>
      <c r="L53" s="116" t="s">
        <v>62</v>
      </c>
      <c r="M53" s="116" t="s">
        <v>62</v>
      </c>
      <c r="N53" s="117" t="s">
        <v>62</v>
      </c>
    </row>
    <row r="54" spans="2:14" ht="43.5" customHeight="1" x14ac:dyDescent="0.3">
      <c r="B54" s="115" t="s">
        <v>141</v>
      </c>
      <c r="C54" s="116">
        <v>1</v>
      </c>
      <c r="D54" s="118">
        <v>15682600</v>
      </c>
      <c r="E54" s="118">
        <v>15682600</v>
      </c>
      <c r="F54" s="116">
        <v>1.31</v>
      </c>
      <c r="G54" s="118">
        <v>15682600</v>
      </c>
      <c r="H54" s="116">
        <v>1.31</v>
      </c>
      <c r="I54" s="118">
        <v>15682600</v>
      </c>
      <c r="J54" s="116">
        <v>1.31</v>
      </c>
      <c r="K54" s="118">
        <v>15682600</v>
      </c>
      <c r="L54" s="116" t="s">
        <v>62</v>
      </c>
      <c r="M54" s="116" t="s">
        <v>62</v>
      </c>
      <c r="N54" s="117" t="s">
        <v>62</v>
      </c>
    </row>
    <row r="55" spans="2:14" ht="43.5" customHeight="1" x14ac:dyDescent="0.3">
      <c r="B55" s="115" t="s">
        <v>142</v>
      </c>
      <c r="C55" s="116">
        <v>1</v>
      </c>
      <c r="D55" s="118">
        <v>15682600</v>
      </c>
      <c r="E55" s="118">
        <v>15682600</v>
      </c>
      <c r="F55" s="116">
        <v>1.31</v>
      </c>
      <c r="G55" s="118">
        <v>15682600</v>
      </c>
      <c r="H55" s="116">
        <v>1.31</v>
      </c>
      <c r="I55" s="118">
        <v>15682600</v>
      </c>
      <c r="J55" s="116">
        <v>1.31</v>
      </c>
      <c r="K55" s="118">
        <v>15682600</v>
      </c>
      <c r="L55" s="116" t="s">
        <v>62</v>
      </c>
      <c r="M55" s="116" t="s">
        <v>62</v>
      </c>
      <c r="N55" s="117" t="s">
        <v>62</v>
      </c>
    </row>
    <row r="56" spans="2:14" ht="43.5" customHeight="1" x14ac:dyDescent="0.3">
      <c r="B56" s="115" t="s">
        <v>143</v>
      </c>
      <c r="C56" s="116">
        <v>635</v>
      </c>
      <c r="D56" s="118">
        <v>5711688</v>
      </c>
      <c r="E56" s="118">
        <v>5711688</v>
      </c>
      <c r="F56" s="116">
        <v>0.48</v>
      </c>
      <c r="G56" s="118">
        <v>5711688</v>
      </c>
      <c r="H56" s="116">
        <v>0.48</v>
      </c>
      <c r="I56" s="118">
        <v>5711688</v>
      </c>
      <c r="J56" s="116">
        <v>0.48</v>
      </c>
      <c r="K56" s="118">
        <v>5711688</v>
      </c>
      <c r="L56" s="116" t="s">
        <v>62</v>
      </c>
      <c r="M56" s="116" t="s">
        <v>62</v>
      </c>
      <c r="N56" s="117" t="s">
        <v>62</v>
      </c>
    </row>
    <row r="57" spans="2:14" ht="43.5" customHeight="1" x14ac:dyDescent="0.3">
      <c r="B57" s="115" t="s">
        <v>67</v>
      </c>
      <c r="C57" s="118">
        <v>3589</v>
      </c>
      <c r="D57" s="118">
        <v>2376050</v>
      </c>
      <c r="E57" s="118">
        <v>2376050</v>
      </c>
      <c r="F57" s="116">
        <v>0.2</v>
      </c>
      <c r="G57" s="118">
        <v>2376050</v>
      </c>
      <c r="H57" s="116">
        <v>0.2</v>
      </c>
      <c r="I57" s="118">
        <v>2376050</v>
      </c>
      <c r="J57" s="116">
        <v>0.2</v>
      </c>
      <c r="K57" s="118">
        <v>2376050</v>
      </c>
      <c r="L57" s="116" t="s">
        <v>62</v>
      </c>
      <c r="M57" s="116" t="s">
        <v>62</v>
      </c>
      <c r="N57" s="117" t="s">
        <v>62</v>
      </c>
    </row>
    <row r="58" spans="2:14" ht="43.5" customHeight="1" x14ac:dyDescent="0.3">
      <c r="B58" s="115" t="s">
        <v>67</v>
      </c>
      <c r="C58" s="116">
        <v>3</v>
      </c>
      <c r="D58" s="118">
        <v>1336</v>
      </c>
      <c r="E58" s="118">
        <v>1336</v>
      </c>
      <c r="F58" s="116">
        <v>0</v>
      </c>
      <c r="G58" s="118">
        <v>1336</v>
      </c>
      <c r="H58" s="116">
        <v>0</v>
      </c>
      <c r="I58" s="118">
        <v>1336</v>
      </c>
      <c r="J58" s="116">
        <v>0</v>
      </c>
      <c r="K58" s="118">
        <v>1336</v>
      </c>
      <c r="L58" s="116" t="s">
        <v>62</v>
      </c>
      <c r="M58" s="116" t="s">
        <v>62</v>
      </c>
      <c r="N58" s="117" t="s">
        <v>62</v>
      </c>
    </row>
    <row r="59" spans="2:14" ht="43.5" customHeight="1" x14ac:dyDescent="0.3">
      <c r="B59" s="115" t="s">
        <v>144</v>
      </c>
      <c r="C59" s="116">
        <v>72</v>
      </c>
      <c r="D59" s="118">
        <v>408383</v>
      </c>
      <c r="E59" s="118">
        <v>408383</v>
      </c>
      <c r="F59" s="116">
        <v>0.03</v>
      </c>
      <c r="G59" s="118">
        <v>408383</v>
      </c>
      <c r="H59" s="116">
        <v>0.03</v>
      </c>
      <c r="I59" s="118">
        <v>408383</v>
      </c>
      <c r="J59" s="116">
        <v>0.03</v>
      </c>
      <c r="K59" s="118">
        <v>408383</v>
      </c>
      <c r="L59" s="116" t="s">
        <v>62</v>
      </c>
      <c r="M59" s="116" t="s">
        <v>62</v>
      </c>
      <c r="N59" s="117" t="s">
        <v>62</v>
      </c>
    </row>
    <row r="60" spans="2:14" ht="43.5" customHeight="1" x14ac:dyDescent="0.3">
      <c r="B60" s="115" t="s">
        <v>67</v>
      </c>
      <c r="C60" s="118">
        <v>3467</v>
      </c>
      <c r="D60" s="118">
        <v>1736635</v>
      </c>
      <c r="E60" s="118">
        <v>1736635</v>
      </c>
      <c r="F60" s="116">
        <v>0.14000000000000001</v>
      </c>
      <c r="G60" s="118">
        <v>1736635</v>
      </c>
      <c r="H60" s="116">
        <v>0.14000000000000001</v>
      </c>
      <c r="I60" s="118">
        <v>1736635</v>
      </c>
      <c r="J60" s="116">
        <v>0.14000000000000001</v>
      </c>
      <c r="K60" s="118">
        <v>1736635</v>
      </c>
      <c r="L60" s="116" t="s">
        <v>62</v>
      </c>
      <c r="M60" s="116" t="s">
        <v>62</v>
      </c>
      <c r="N60" s="117" t="s">
        <v>62</v>
      </c>
    </row>
    <row r="61" spans="2:14" ht="43.5" customHeight="1" x14ac:dyDescent="0.3">
      <c r="B61" s="115" t="s">
        <v>67</v>
      </c>
      <c r="C61" s="116">
        <v>47</v>
      </c>
      <c r="D61" s="118">
        <v>229696</v>
      </c>
      <c r="E61" s="118">
        <v>229696</v>
      </c>
      <c r="F61" s="116">
        <v>0.02</v>
      </c>
      <c r="G61" s="118">
        <v>229696</v>
      </c>
      <c r="H61" s="116">
        <v>0.02</v>
      </c>
      <c r="I61" s="118">
        <v>229696</v>
      </c>
      <c r="J61" s="116">
        <v>0.02</v>
      </c>
      <c r="K61" s="118">
        <v>229696</v>
      </c>
      <c r="L61" s="116" t="s">
        <v>62</v>
      </c>
      <c r="M61" s="116" t="s">
        <v>62</v>
      </c>
      <c r="N61" s="117" t="s">
        <v>62</v>
      </c>
    </row>
    <row r="62" spans="2:14" ht="29" customHeight="1" x14ac:dyDescent="0.3">
      <c r="B62" s="115" t="s">
        <v>145</v>
      </c>
      <c r="C62" s="118">
        <v>403371</v>
      </c>
      <c r="D62" s="118">
        <v>57564305</v>
      </c>
      <c r="E62" s="118">
        <v>57564305</v>
      </c>
      <c r="F62" s="116">
        <v>4.79</v>
      </c>
      <c r="G62" s="118">
        <v>57564305</v>
      </c>
      <c r="H62" s="116">
        <v>4.79</v>
      </c>
      <c r="I62" s="118">
        <v>57564305</v>
      </c>
      <c r="J62" s="116">
        <v>4.79</v>
      </c>
      <c r="K62" s="118">
        <v>57400894</v>
      </c>
      <c r="L62" s="116" t="s">
        <v>62</v>
      </c>
      <c r="M62" s="116" t="s">
        <v>62</v>
      </c>
      <c r="N62" s="117" t="s">
        <v>62</v>
      </c>
    </row>
    <row r="63" spans="2:14" ht="29" customHeight="1" x14ac:dyDescent="0.3">
      <c r="B63" s="115" t="s">
        <v>146</v>
      </c>
      <c r="C63" s="118">
        <v>403615</v>
      </c>
      <c r="D63" s="118">
        <v>327599255</v>
      </c>
      <c r="E63" s="118">
        <v>327599255</v>
      </c>
      <c r="F63" s="116">
        <v>27.27</v>
      </c>
      <c r="G63" s="118">
        <v>327599255</v>
      </c>
      <c r="H63" s="116">
        <v>27.27</v>
      </c>
      <c r="I63" s="118">
        <v>327599255</v>
      </c>
      <c r="J63" s="116">
        <v>27.27</v>
      </c>
      <c r="K63" s="118">
        <v>327435844</v>
      </c>
      <c r="L63" s="116" t="s">
        <v>62</v>
      </c>
      <c r="M63" s="116" t="s">
        <v>62</v>
      </c>
      <c r="N63" s="117" t="s">
        <v>62</v>
      </c>
    </row>
  </sheetData>
  <mergeCells count="19">
    <mergeCell ref="C7:C9"/>
    <mergeCell ref="E7:E9"/>
    <mergeCell ref="K7:K9"/>
    <mergeCell ref="B1:N1"/>
    <mergeCell ref="I7:I9"/>
    <mergeCell ref="D7:D9"/>
    <mergeCell ref="B4:N4"/>
    <mergeCell ref="E3:N3"/>
    <mergeCell ref="B7:B9"/>
    <mergeCell ref="F7:F9"/>
    <mergeCell ref="B2:N2"/>
    <mergeCell ref="L7:N7"/>
    <mergeCell ref="B3:D3"/>
    <mergeCell ref="G7:G9"/>
    <mergeCell ref="H7:H9"/>
    <mergeCell ref="J7:J9"/>
    <mergeCell ref="L8:N8"/>
    <mergeCell ref="B6:N6"/>
    <mergeCell ref="B5:N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M64"/>
  <sheetViews>
    <sheetView showGridLines="0" zoomScale="90" zoomScaleNormal="96" workbookViewId="0">
      <selection activeCell="B1" sqref="B1:M2"/>
    </sheetView>
  </sheetViews>
  <sheetFormatPr defaultColWidth="8.6328125" defaultRowHeight="14" x14ac:dyDescent="0.3"/>
  <cols>
    <col min="1" max="1" width="2.08984375" style="15" customWidth="1"/>
    <col min="2" max="2" width="18.54296875" style="15" customWidth="1"/>
    <col min="3" max="6" width="5.6328125" style="15" customWidth="1"/>
    <col min="7" max="7" width="8.7265625" style="15" bestFit="1" customWidth="1"/>
    <col min="8" max="8" width="8.7265625" style="119" customWidth="1"/>
    <col min="9" max="9" width="8.7265625" style="15" bestFit="1" customWidth="1"/>
    <col min="10" max="10" width="9" style="15" customWidth="1"/>
    <col min="11" max="12" width="8.7265625" style="15" bestFit="1" customWidth="1"/>
    <col min="13" max="13" width="9.26953125" style="15" bestFit="1" customWidth="1"/>
    <col min="14" max="16384" width="8.6328125" style="15"/>
  </cols>
  <sheetData>
    <row r="1" spans="2:13" ht="27.75" customHeight="1" x14ac:dyDescent="0.3">
      <c r="B1" s="340" t="s">
        <v>10</v>
      </c>
      <c r="C1" s="340"/>
      <c r="D1" s="340"/>
      <c r="E1" s="340"/>
      <c r="F1" s="340"/>
      <c r="G1" s="340"/>
      <c r="H1" s="340"/>
      <c r="I1" s="340"/>
      <c r="J1" s="340"/>
      <c r="K1" s="340"/>
      <c r="L1" s="340"/>
      <c r="M1" s="340"/>
    </row>
    <row r="2" spans="2:13" ht="24" customHeight="1" x14ac:dyDescent="0.3">
      <c r="B2" s="341" t="s">
        <v>179</v>
      </c>
      <c r="C2" s="341"/>
      <c r="D2" s="341"/>
      <c r="E2" s="341"/>
      <c r="F2" s="341"/>
      <c r="G2" s="341"/>
      <c r="H2" s="341"/>
      <c r="I2" s="341"/>
      <c r="J2" s="341"/>
      <c r="K2" s="341"/>
      <c r="L2" s="341"/>
      <c r="M2" s="341"/>
    </row>
    <row r="3" spans="2:13" ht="14.25" customHeight="1" x14ac:dyDescent="0.3">
      <c r="B3" s="337"/>
      <c r="C3" s="338">
        <v>44621</v>
      </c>
      <c r="D3" s="338">
        <v>44986</v>
      </c>
      <c r="E3" s="338">
        <v>45352</v>
      </c>
      <c r="F3" s="338">
        <v>45717</v>
      </c>
      <c r="G3" s="339" t="s">
        <v>180</v>
      </c>
    </row>
    <row r="4" spans="2:13" ht="14.25" customHeight="1" x14ac:dyDescent="0.3">
      <c r="B4" s="124"/>
      <c r="C4" s="124"/>
      <c r="D4" s="124"/>
      <c r="E4" s="124"/>
      <c r="F4" s="124"/>
      <c r="G4" s="124"/>
      <c r="H4" s="125"/>
    </row>
    <row r="5" spans="2:13" ht="14.25" customHeight="1" x14ac:dyDescent="0.3">
      <c r="B5" s="126"/>
      <c r="C5" s="127" t="s">
        <v>181</v>
      </c>
      <c r="D5" s="127" t="s">
        <v>181</v>
      </c>
      <c r="E5" s="127" t="s">
        <v>181</v>
      </c>
      <c r="F5" s="127" t="s">
        <v>181</v>
      </c>
      <c r="G5" s="127" t="s">
        <v>181</v>
      </c>
    </row>
    <row r="6" spans="2:13" ht="14.25" customHeight="1" x14ac:dyDescent="0.3">
      <c r="B6" s="124"/>
      <c r="C6" s="124"/>
      <c r="D6" s="124"/>
      <c r="E6" s="124"/>
      <c r="F6" s="124"/>
      <c r="G6" s="124"/>
      <c r="H6" s="125"/>
    </row>
    <row r="7" spans="2:13" ht="14.25" customHeight="1" x14ac:dyDescent="0.3">
      <c r="B7" s="128" t="s">
        <v>182</v>
      </c>
      <c r="C7" s="129"/>
      <c r="D7" s="129"/>
      <c r="E7" s="129"/>
      <c r="F7" s="129"/>
      <c r="I7" s="271" t="s">
        <v>183</v>
      </c>
      <c r="J7" s="248"/>
      <c r="K7" s="248"/>
      <c r="L7" s="248"/>
      <c r="M7" s="249"/>
    </row>
    <row r="8" spans="2:13" ht="14.25" customHeight="1" x14ac:dyDescent="0.3">
      <c r="B8" s="121" t="s">
        <v>184</v>
      </c>
      <c r="C8" s="123"/>
      <c r="D8" s="123"/>
      <c r="E8" s="123"/>
      <c r="F8" s="123"/>
      <c r="G8" s="130"/>
      <c r="I8" s="122">
        <v>44621</v>
      </c>
      <c r="J8" s="122">
        <v>44986</v>
      </c>
      <c r="K8" s="122">
        <v>45352</v>
      </c>
      <c r="L8" s="122">
        <v>45717</v>
      </c>
      <c r="M8" s="123" t="s">
        <v>180</v>
      </c>
    </row>
    <row r="9" spans="2:13" ht="14.25" customHeight="1" x14ac:dyDescent="0.3">
      <c r="B9" s="131" t="s">
        <v>185</v>
      </c>
      <c r="C9" s="132">
        <v>1099.81</v>
      </c>
      <c r="D9" s="132">
        <v>1115.49</v>
      </c>
      <c r="E9" s="132">
        <v>1115.49</v>
      </c>
      <c r="F9" s="132">
        <v>1201.28</v>
      </c>
      <c r="G9" s="132">
        <v>1201.28</v>
      </c>
      <c r="H9" s="133"/>
      <c r="I9" s="130"/>
      <c r="J9" s="134">
        <f t="shared" ref="J9:M13" si="0">(D9-C9)/C9</f>
        <v>1.4257008028659554E-2</v>
      </c>
      <c r="K9" s="134">
        <f t="shared" si="0"/>
        <v>0</v>
      </c>
      <c r="L9" s="134">
        <f t="shared" si="0"/>
        <v>7.6907905942679863E-2</v>
      </c>
      <c r="M9" s="134">
        <f t="shared" si="0"/>
        <v>0</v>
      </c>
    </row>
    <row r="10" spans="2:13" ht="14.25" customHeight="1" x14ac:dyDescent="0.3">
      <c r="B10" s="135" t="s">
        <v>186</v>
      </c>
      <c r="C10" s="136">
        <v>1099.81</v>
      </c>
      <c r="D10" s="136">
        <v>1115.49</v>
      </c>
      <c r="E10" s="136">
        <v>1115.49</v>
      </c>
      <c r="F10" s="136">
        <v>1201.28</v>
      </c>
      <c r="G10" s="136">
        <v>1201.28</v>
      </c>
      <c r="I10" s="130"/>
      <c r="J10" s="134">
        <f t="shared" si="0"/>
        <v>1.4257008028659554E-2</v>
      </c>
      <c r="K10" s="134">
        <f t="shared" si="0"/>
        <v>0</v>
      </c>
      <c r="L10" s="134">
        <f t="shared" si="0"/>
        <v>7.6907905942679863E-2</v>
      </c>
      <c r="M10" s="134">
        <f t="shared" si="0"/>
        <v>0</v>
      </c>
    </row>
    <row r="11" spans="2:13" ht="14.25" customHeight="1" x14ac:dyDescent="0.3">
      <c r="B11" s="131" t="s">
        <v>187</v>
      </c>
      <c r="C11" s="132">
        <v>5757.36</v>
      </c>
      <c r="D11" s="132">
        <v>10546.95</v>
      </c>
      <c r="E11" s="132">
        <v>11526.06</v>
      </c>
      <c r="F11" s="132">
        <v>20866.919999999998</v>
      </c>
      <c r="G11" s="132">
        <v>24226.26</v>
      </c>
      <c r="I11" s="130"/>
      <c r="J11" s="134">
        <f t="shared" si="0"/>
        <v>0.83190733252740867</v>
      </c>
      <c r="K11" s="134">
        <f t="shared" si="0"/>
        <v>9.2833473184190565E-2</v>
      </c>
      <c r="L11" s="134">
        <f t="shared" si="0"/>
        <v>0.81041223106594962</v>
      </c>
      <c r="M11" s="134">
        <f t="shared" si="0"/>
        <v>0.16098878032790659</v>
      </c>
    </row>
    <row r="12" spans="2:13" ht="14.25" customHeight="1" x14ac:dyDescent="0.3">
      <c r="B12" s="135" t="s">
        <v>188</v>
      </c>
      <c r="C12" s="136">
        <v>5757.36</v>
      </c>
      <c r="D12" s="136">
        <v>10546.95</v>
      </c>
      <c r="E12" s="136">
        <v>11526.06</v>
      </c>
      <c r="F12" s="136">
        <v>20866.919999999998</v>
      </c>
      <c r="G12" s="136">
        <v>24226.26</v>
      </c>
      <c r="I12" s="130"/>
      <c r="J12" s="134">
        <f t="shared" si="0"/>
        <v>0.83190733252740867</v>
      </c>
      <c r="K12" s="134">
        <f t="shared" si="0"/>
        <v>9.2833473184190565E-2</v>
      </c>
      <c r="L12" s="134">
        <f t="shared" si="0"/>
        <v>0.81041223106594962</v>
      </c>
      <c r="M12" s="134">
        <f t="shared" si="0"/>
        <v>0.16098878032790659</v>
      </c>
    </row>
    <row r="13" spans="2:13" ht="14.25" customHeight="1" x14ac:dyDescent="0.3">
      <c r="B13" s="135" t="s">
        <v>189</v>
      </c>
      <c r="C13" s="136">
        <v>6857.17</v>
      </c>
      <c r="D13" s="136">
        <v>11662.44</v>
      </c>
      <c r="E13" s="136">
        <v>12641.55</v>
      </c>
      <c r="F13" s="136">
        <v>22068.2</v>
      </c>
      <c r="G13" s="136">
        <v>25427.54</v>
      </c>
      <c r="I13" s="130"/>
      <c r="J13" s="134">
        <f t="shared" si="0"/>
        <v>0.70076576780216915</v>
      </c>
      <c r="K13" s="134">
        <f t="shared" si="0"/>
        <v>8.3954129667548019E-2</v>
      </c>
      <c r="L13" s="134">
        <f t="shared" si="0"/>
        <v>0.74568783100173652</v>
      </c>
      <c r="M13" s="134">
        <f t="shared" si="0"/>
        <v>0.15222537406766298</v>
      </c>
    </row>
    <row r="14" spans="2:13" ht="14.25" customHeight="1" x14ac:dyDescent="0.3">
      <c r="B14" s="131" t="s">
        <v>190</v>
      </c>
      <c r="C14" s="132">
        <v>3055.65</v>
      </c>
      <c r="D14" s="137">
        <v>0</v>
      </c>
      <c r="E14" s="137">
        <v>0</v>
      </c>
      <c r="F14" s="137">
        <v>0</v>
      </c>
      <c r="G14" s="137">
        <v>0</v>
      </c>
      <c r="I14" s="130"/>
      <c r="J14" s="134">
        <f>(D14-C14)/C14</f>
        <v>-1</v>
      </c>
      <c r="K14" s="134">
        <v>0</v>
      </c>
      <c r="L14" s="134">
        <v>0</v>
      </c>
      <c r="M14" s="134">
        <v>0</v>
      </c>
    </row>
    <row r="15" spans="2:13" ht="14.25" customHeight="1" x14ac:dyDescent="0.3">
      <c r="B15" s="131" t="s">
        <v>191</v>
      </c>
      <c r="C15" s="132">
        <v>1093.68</v>
      </c>
      <c r="D15" s="132">
        <v>1097.55</v>
      </c>
      <c r="E15" s="132">
        <v>1061.58</v>
      </c>
      <c r="F15" s="137">
        <v>943.06</v>
      </c>
      <c r="G15" s="132">
        <v>1098.0999999999999</v>
      </c>
      <c r="I15" s="130"/>
      <c r="J15" s="134">
        <f>(D15-C15)/C15</f>
        <v>3.5385121790650746E-3</v>
      </c>
      <c r="K15" s="134">
        <f>(E15-D15)/D15</f>
        <v>-3.2772994396610661E-2</v>
      </c>
      <c r="L15" s="134">
        <f>(F15-E15)/E15</f>
        <v>-0.11164490664858041</v>
      </c>
      <c r="M15" s="134">
        <f>(G15-F15)/F15</f>
        <v>0.16440099251373186</v>
      </c>
    </row>
    <row r="16" spans="2:13" ht="14.25" customHeight="1" x14ac:dyDescent="0.3">
      <c r="B16" s="121" t="s">
        <v>192</v>
      </c>
      <c r="C16" s="123"/>
      <c r="D16" s="123"/>
      <c r="E16" s="123"/>
      <c r="F16" s="123"/>
      <c r="G16" s="130"/>
      <c r="I16" s="130"/>
      <c r="J16" s="134"/>
      <c r="K16" s="134"/>
      <c r="L16" s="134"/>
      <c r="M16" s="134"/>
    </row>
    <row r="17" spans="2:13" ht="14.25" customHeight="1" x14ac:dyDescent="0.3">
      <c r="B17" s="131" t="s">
        <v>193</v>
      </c>
      <c r="C17" s="132">
        <v>27774.04</v>
      </c>
      <c r="D17" s="132">
        <v>31330.39</v>
      </c>
      <c r="E17" s="132">
        <v>33559.620000000003</v>
      </c>
      <c r="F17" s="132">
        <v>36992.29</v>
      </c>
      <c r="G17" s="132">
        <v>45367.32</v>
      </c>
      <c r="I17" s="130"/>
      <c r="J17" s="134">
        <f t="shared" ref="J17:M21" si="1">(D17-C17)/C17</f>
        <v>0.12804582984686413</v>
      </c>
      <c r="K17" s="134">
        <f t="shared" si="1"/>
        <v>7.1152322074509874E-2</v>
      </c>
      <c r="L17" s="134">
        <f t="shared" si="1"/>
        <v>0.10228572313989247</v>
      </c>
      <c r="M17" s="134">
        <f t="shared" si="1"/>
        <v>0.22639933888926581</v>
      </c>
    </row>
    <row r="18" spans="2:13" ht="14.25" customHeight="1" x14ac:dyDescent="0.3">
      <c r="B18" s="131" t="s">
        <v>194</v>
      </c>
      <c r="C18" s="132">
        <v>1414.46</v>
      </c>
      <c r="D18" s="132">
        <v>1540.1</v>
      </c>
      <c r="E18" s="132">
        <v>1652.78</v>
      </c>
      <c r="F18" s="132">
        <v>1753.76</v>
      </c>
      <c r="G18" s="132">
        <v>2490.14</v>
      </c>
      <c r="I18" s="130"/>
      <c r="J18" s="134">
        <f t="shared" si="1"/>
        <v>8.8825417473806165E-2</v>
      </c>
      <c r="K18" s="134">
        <f t="shared" si="1"/>
        <v>7.3164080254528974E-2</v>
      </c>
      <c r="L18" s="134">
        <f t="shared" si="1"/>
        <v>6.1097060709834353E-2</v>
      </c>
      <c r="M18" s="134">
        <f t="shared" si="1"/>
        <v>0.41988641547304073</v>
      </c>
    </row>
    <row r="19" spans="2:13" ht="14.25" customHeight="1" x14ac:dyDescent="0.3">
      <c r="B19" s="131" t="s">
        <v>195</v>
      </c>
      <c r="C19" s="137">
        <v>723.4</v>
      </c>
      <c r="D19" s="137">
        <v>756.25</v>
      </c>
      <c r="E19" s="132">
        <v>1016.37</v>
      </c>
      <c r="F19" s="132">
        <v>1632.82</v>
      </c>
      <c r="G19" s="132">
        <v>2202.98</v>
      </c>
      <c r="I19" s="130"/>
      <c r="J19" s="134">
        <f t="shared" si="1"/>
        <v>4.5410561238595555E-2</v>
      </c>
      <c r="K19" s="134">
        <f t="shared" si="1"/>
        <v>0.34396033057851239</v>
      </c>
      <c r="L19" s="134">
        <f t="shared" si="1"/>
        <v>0.60652124718360434</v>
      </c>
      <c r="M19" s="134">
        <f t="shared" si="1"/>
        <v>0.34918729559902506</v>
      </c>
    </row>
    <row r="20" spans="2:13" ht="14.25" customHeight="1" x14ac:dyDescent="0.3">
      <c r="B20" s="131" t="s">
        <v>196</v>
      </c>
      <c r="C20" s="137">
        <v>617.47</v>
      </c>
      <c r="D20" s="137">
        <v>527.73</v>
      </c>
      <c r="E20" s="137">
        <v>630.23</v>
      </c>
      <c r="F20" s="137">
        <v>553.57000000000005</v>
      </c>
      <c r="G20" s="137">
        <v>680.99</v>
      </c>
      <c r="I20" s="130"/>
      <c r="J20" s="134">
        <f t="shared" si="1"/>
        <v>-0.14533499603219591</v>
      </c>
      <c r="K20" s="134">
        <f t="shared" si="1"/>
        <v>0.19422810907092641</v>
      </c>
      <c r="L20" s="134">
        <f t="shared" si="1"/>
        <v>-0.12163813211049929</v>
      </c>
      <c r="M20" s="134">
        <f t="shared" si="1"/>
        <v>0.23017865852557029</v>
      </c>
    </row>
    <row r="21" spans="2:13" ht="14.25" customHeight="1" x14ac:dyDescent="0.3">
      <c r="B21" s="135" t="s">
        <v>197</v>
      </c>
      <c r="C21" s="136">
        <v>30529.37</v>
      </c>
      <c r="D21" s="136">
        <v>34154.47</v>
      </c>
      <c r="E21" s="136">
        <v>36859</v>
      </c>
      <c r="F21" s="136">
        <v>40932.44</v>
      </c>
      <c r="G21" s="136">
        <v>50741.43</v>
      </c>
      <c r="I21" s="130"/>
      <c r="J21" s="134">
        <f t="shared" si="1"/>
        <v>0.11874139558071464</v>
      </c>
      <c r="K21" s="134">
        <f t="shared" si="1"/>
        <v>7.9185242810091871E-2</v>
      </c>
      <c r="L21" s="134">
        <f t="shared" si="1"/>
        <v>0.11051412138148084</v>
      </c>
      <c r="M21" s="134">
        <f t="shared" si="1"/>
        <v>0.23963853608531516</v>
      </c>
    </row>
    <row r="22" spans="2:13" ht="14.25" customHeight="1" x14ac:dyDescent="0.3">
      <c r="B22" s="121" t="s">
        <v>198</v>
      </c>
      <c r="C22" s="123"/>
      <c r="D22" s="123"/>
      <c r="E22" s="123"/>
      <c r="F22" s="123"/>
      <c r="G22" s="130"/>
      <c r="I22" s="130"/>
      <c r="J22" s="134"/>
      <c r="K22" s="134"/>
      <c r="L22" s="134"/>
      <c r="M22" s="134"/>
    </row>
    <row r="23" spans="2:13" ht="14.25" customHeight="1" x14ac:dyDescent="0.3">
      <c r="B23" s="131" t="s">
        <v>199</v>
      </c>
      <c r="C23" s="132">
        <v>2040.54</v>
      </c>
      <c r="D23" s="132">
        <v>2868.45</v>
      </c>
      <c r="E23" s="132">
        <v>3449.25</v>
      </c>
      <c r="F23" s="132">
        <v>3213.79</v>
      </c>
      <c r="G23" s="132">
        <v>3531.13</v>
      </c>
      <c r="I23" s="130"/>
      <c r="J23" s="134">
        <f t="shared" ref="J23:M28" si="2">(D23-C23)/C23</f>
        <v>0.40573083595518827</v>
      </c>
      <c r="K23" s="134">
        <f t="shared" si="2"/>
        <v>0.20247869058202173</v>
      </c>
      <c r="L23" s="134">
        <f t="shared" si="2"/>
        <v>-6.8264115387403068E-2</v>
      </c>
      <c r="M23" s="134">
        <f t="shared" si="2"/>
        <v>9.8743228400113306E-2</v>
      </c>
    </row>
    <row r="24" spans="2:13" ht="14.25" customHeight="1" x14ac:dyDescent="0.3">
      <c r="B24" s="131" t="s">
        <v>200</v>
      </c>
      <c r="C24" s="132">
        <v>1607.91</v>
      </c>
      <c r="D24" s="132">
        <v>1800.43</v>
      </c>
      <c r="E24" s="132">
        <v>1722.11</v>
      </c>
      <c r="F24" s="132">
        <v>2955.62</v>
      </c>
      <c r="G24" s="132">
        <v>4993.6499999999996</v>
      </c>
      <c r="I24" s="130"/>
      <c r="J24" s="134">
        <f t="shared" si="2"/>
        <v>0.11973306963698215</v>
      </c>
      <c r="K24" s="134">
        <f t="shared" si="2"/>
        <v>-4.3500719272618296E-2</v>
      </c>
      <c r="L24" s="134">
        <f t="shared" si="2"/>
        <v>0.71627828652060554</v>
      </c>
      <c r="M24" s="134">
        <f t="shared" si="2"/>
        <v>0.68954398738674116</v>
      </c>
    </row>
    <row r="25" spans="2:13" ht="14.25" customHeight="1" x14ac:dyDescent="0.3">
      <c r="B25" s="131" t="s">
        <v>201</v>
      </c>
      <c r="C25" s="132">
        <v>2208.88</v>
      </c>
      <c r="D25" s="132">
        <v>2229.12</v>
      </c>
      <c r="E25" s="132">
        <v>2746.81</v>
      </c>
      <c r="F25" s="132">
        <v>3741.47</v>
      </c>
      <c r="G25" s="132">
        <v>6836.2</v>
      </c>
      <c r="I25" s="130"/>
      <c r="J25" s="134">
        <f t="shared" si="2"/>
        <v>9.1630147405018739E-3</v>
      </c>
      <c r="K25" s="134">
        <f t="shared" si="2"/>
        <v>0.23223962819408558</v>
      </c>
      <c r="L25" s="134">
        <f t="shared" si="2"/>
        <v>0.36211459838867627</v>
      </c>
      <c r="M25" s="134">
        <f t="shared" si="2"/>
        <v>0.82714280750614066</v>
      </c>
    </row>
    <row r="26" spans="2:13" ht="14.25" customHeight="1" x14ac:dyDescent="0.3">
      <c r="B26" s="131" t="s">
        <v>202</v>
      </c>
      <c r="C26" s="137">
        <v>70.91</v>
      </c>
      <c r="D26" s="137">
        <v>119.29</v>
      </c>
      <c r="E26" s="137">
        <v>98.51</v>
      </c>
      <c r="F26" s="137">
        <v>105.52</v>
      </c>
      <c r="G26" s="137">
        <v>206.87</v>
      </c>
      <c r="I26" s="130"/>
      <c r="J26" s="134">
        <f t="shared" si="2"/>
        <v>0.68227330418840804</v>
      </c>
      <c r="K26" s="134">
        <f t="shared" si="2"/>
        <v>-0.1741973342275128</v>
      </c>
      <c r="L26" s="134">
        <f t="shared" si="2"/>
        <v>7.1160288295604418E-2</v>
      </c>
      <c r="M26" s="134">
        <f t="shared" si="2"/>
        <v>0.96048142532221392</v>
      </c>
    </row>
    <row r="27" spans="2:13" ht="14.25" customHeight="1" x14ac:dyDescent="0.3">
      <c r="B27" s="135" t="s">
        <v>203</v>
      </c>
      <c r="C27" s="136">
        <v>5928.24</v>
      </c>
      <c r="D27" s="136">
        <v>7017.29</v>
      </c>
      <c r="E27" s="136">
        <v>8016.68</v>
      </c>
      <c r="F27" s="136">
        <v>10016.4</v>
      </c>
      <c r="G27" s="136">
        <v>15567.85</v>
      </c>
      <c r="I27" s="130"/>
      <c r="J27" s="134">
        <f t="shared" si="2"/>
        <v>0.18370545052157136</v>
      </c>
      <c r="K27" s="134">
        <f t="shared" si="2"/>
        <v>0.14241822697936102</v>
      </c>
      <c r="L27" s="134">
        <f t="shared" si="2"/>
        <v>0.24944490736813735</v>
      </c>
      <c r="M27" s="134">
        <f t="shared" si="2"/>
        <v>0.55423605287328792</v>
      </c>
    </row>
    <row r="28" spans="2:13" ht="14.25" customHeight="1" x14ac:dyDescent="0.3">
      <c r="B28" s="135" t="s">
        <v>204</v>
      </c>
      <c r="C28" s="136">
        <v>47464.11</v>
      </c>
      <c r="D28" s="136">
        <v>53931.75</v>
      </c>
      <c r="E28" s="136">
        <v>58578.81</v>
      </c>
      <c r="F28" s="136">
        <v>73960.100000000006</v>
      </c>
      <c r="G28" s="136">
        <v>92834.92</v>
      </c>
      <c r="I28" s="130"/>
      <c r="J28" s="134">
        <f t="shared" si="2"/>
        <v>0.13626380016395545</v>
      </c>
      <c r="K28" s="134">
        <f t="shared" si="2"/>
        <v>8.6165570373666678E-2</v>
      </c>
      <c r="L28" s="134">
        <f t="shared" si="2"/>
        <v>0.26257429947791716</v>
      </c>
      <c r="M28" s="134">
        <f t="shared" si="2"/>
        <v>0.25520273769235019</v>
      </c>
    </row>
    <row r="29" spans="2:13" ht="14.25" customHeight="1" x14ac:dyDescent="0.3">
      <c r="B29" s="121" t="s">
        <v>205</v>
      </c>
      <c r="C29" s="123"/>
      <c r="D29" s="123"/>
      <c r="E29" s="123"/>
      <c r="F29" s="123"/>
      <c r="G29" s="130"/>
      <c r="I29" s="130"/>
      <c r="J29" s="134"/>
      <c r="K29" s="134"/>
      <c r="L29" s="134"/>
      <c r="M29" s="134"/>
    </row>
    <row r="30" spans="2:13" ht="14.25" customHeight="1" x14ac:dyDescent="0.3">
      <c r="B30" s="121" t="s">
        <v>206</v>
      </c>
      <c r="C30" s="123"/>
      <c r="D30" s="123"/>
      <c r="E30" s="123"/>
      <c r="F30" s="123"/>
      <c r="G30" s="130"/>
      <c r="I30" s="130"/>
      <c r="J30" s="134"/>
      <c r="K30" s="134"/>
      <c r="L30" s="134"/>
      <c r="M30" s="134"/>
    </row>
    <row r="31" spans="2:13" ht="14.25" customHeight="1" x14ac:dyDescent="0.3">
      <c r="B31" s="131" t="s">
        <v>207</v>
      </c>
      <c r="C31" s="132">
        <v>28578.02</v>
      </c>
      <c r="D31" s="132">
        <v>30947.5</v>
      </c>
      <c r="E31" s="132">
        <v>37219.85</v>
      </c>
      <c r="F31" s="132">
        <v>37845.22</v>
      </c>
      <c r="G31" s="132">
        <v>45060.12</v>
      </c>
      <c r="I31" s="130"/>
      <c r="J31" s="134">
        <f t="shared" ref="J31:M33" si="3">(D31-C31)/C31</f>
        <v>8.2912672046558847E-2</v>
      </c>
      <c r="K31" s="134">
        <f t="shared" si="3"/>
        <v>0.20267711446805067</v>
      </c>
      <c r="L31" s="134">
        <f t="shared" si="3"/>
        <v>1.6802055892218875E-2</v>
      </c>
      <c r="M31" s="134">
        <f t="shared" si="3"/>
        <v>0.19064230568616067</v>
      </c>
    </row>
    <row r="32" spans="2:13" ht="14.25" customHeight="1" x14ac:dyDescent="0.3">
      <c r="B32" s="131" t="s">
        <v>208</v>
      </c>
      <c r="C32" s="132">
        <v>1095.46</v>
      </c>
      <c r="D32" s="132">
        <v>1099.3499999999999</v>
      </c>
      <c r="E32" s="132">
        <v>1101.5999999999999</v>
      </c>
      <c r="F32" s="132">
        <v>1111.24</v>
      </c>
      <c r="G32" s="132">
        <v>1145.53</v>
      </c>
      <c r="I32" s="130"/>
      <c r="J32" s="134">
        <f t="shared" si="3"/>
        <v>3.5510196629725162E-3</v>
      </c>
      <c r="K32" s="134">
        <f t="shared" si="3"/>
        <v>2.0466639377814165E-3</v>
      </c>
      <c r="L32" s="134">
        <f t="shared" si="3"/>
        <v>8.7509077705157055E-3</v>
      </c>
      <c r="M32" s="134">
        <f t="shared" si="3"/>
        <v>3.0857420539217417E-2</v>
      </c>
    </row>
    <row r="33" spans="2:13" ht="14.25" customHeight="1" x14ac:dyDescent="0.3">
      <c r="B33" s="131" t="s">
        <v>209</v>
      </c>
      <c r="C33" s="132">
        <v>5060.16</v>
      </c>
      <c r="D33" s="132">
        <v>6200.44</v>
      </c>
      <c r="E33" s="132">
        <v>3002.69</v>
      </c>
      <c r="F33" s="132">
        <v>5695.36</v>
      </c>
      <c r="G33" s="132">
        <v>2053.6</v>
      </c>
      <c r="I33" s="130"/>
      <c r="J33" s="134">
        <f t="shared" si="3"/>
        <v>0.22534465313349772</v>
      </c>
      <c r="K33" s="134">
        <f t="shared" si="3"/>
        <v>-0.51572952887214452</v>
      </c>
      <c r="L33" s="134">
        <f t="shared" si="3"/>
        <v>0.89675257852125911</v>
      </c>
      <c r="M33" s="134">
        <f t="shared" si="3"/>
        <v>-0.63942577817732327</v>
      </c>
    </row>
    <row r="34" spans="2:13" ht="15.75" customHeight="1" x14ac:dyDescent="0.3">
      <c r="B34" s="131" t="s">
        <v>210</v>
      </c>
      <c r="C34" s="137">
        <v>0</v>
      </c>
      <c r="D34" s="137">
        <v>0</v>
      </c>
      <c r="E34" s="137">
        <v>0</v>
      </c>
      <c r="F34" s="137">
        <v>6.88</v>
      </c>
      <c r="G34" s="137">
        <v>0</v>
      </c>
      <c r="I34" s="130"/>
      <c r="J34" s="134">
        <v>0</v>
      </c>
      <c r="K34" s="134">
        <v>0</v>
      </c>
      <c r="L34" s="134">
        <v>0</v>
      </c>
      <c r="M34" s="134">
        <f t="shared" ref="M34:M40" si="4">(G34-F34)/F34</f>
        <v>-1</v>
      </c>
    </row>
    <row r="35" spans="2:13" ht="14.25" customHeight="1" x14ac:dyDescent="0.3">
      <c r="B35" s="135" t="s">
        <v>211</v>
      </c>
      <c r="C35" s="136">
        <v>34733.64</v>
      </c>
      <c r="D35" s="136">
        <v>38247.29</v>
      </c>
      <c r="E35" s="136">
        <v>41324.14</v>
      </c>
      <c r="F35" s="136">
        <v>44658.7</v>
      </c>
      <c r="G35" s="136">
        <v>48259.25</v>
      </c>
      <c r="I35" s="130"/>
      <c r="J35" s="134">
        <f t="shared" ref="J35:L36" si="5">(D35-C35)/C35</f>
        <v>0.10115985540242835</v>
      </c>
      <c r="K35" s="134">
        <f t="shared" si="5"/>
        <v>8.0446222464388942E-2</v>
      </c>
      <c r="L35" s="134">
        <f t="shared" si="5"/>
        <v>8.0692786347156834E-2</v>
      </c>
      <c r="M35" s="134">
        <f t="shared" si="4"/>
        <v>8.0623708258413321E-2</v>
      </c>
    </row>
    <row r="36" spans="2:13" ht="14.25" customHeight="1" x14ac:dyDescent="0.3">
      <c r="B36" s="131" t="s">
        <v>212</v>
      </c>
      <c r="C36" s="137">
        <v>264.17</v>
      </c>
      <c r="D36" s="137">
        <v>312.89</v>
      </c>
      <c r="E36" s="137">
        <v>323.79000000000002</v>
      </c>
      <c r="F36" s="137">
        <v>348.72</v>
      </c>
      <c r="G36" s="137">
        <v>407.29</v>
      </c>
      <c r="I36" s="130"/>
      <c r="J36" s="134">
        <f t="shared" si="5"/>
        <v>0.18442669493129413</v>
      </c>
      <c r="K36" s="134">
        <f t="shared" si="5"/>
        <v>3.4836524018025616E-2</v>
      </c>
      <c r="L36" s="134">
        <f t="shared" si="5"/>
        <v>7.6994348188640802E-2</v>
      </c>
      <c r="M36" s="134">
        <f t="shared" si="4"/>
        <v>0.16795710025235142</v>
      </c>
    </row>
    <row r="37" spans="2:13" ht="14.25" customHeight="1" x14ac:dyDescent="0.3">
      <c r="B37" s="131" t="s">
        <v>213</v>
      </c>
      <c r="C37" s="137">
        <v>0</v>
      </c>
      <c r="D37" s="137">
        <v>0</v>
      </c>
      <c r="E37" s="137">
        <v>40.43</v>
      </c>
      <c r="F37" s="137">
        <v>57.85</v>
      </c>
      <c r="G37" s="137">
        <v>78.17</v>
      </c>
      <c r="I37" s="130"/>
      <c r="J37" s="134">
        <v>0</v>
      </c>
      <c r="K37" s="134">
        <v>0</v>
      </c>
      <c r="L37" s="134">
        <f>(F37-E37)/E37</f>
        <v>0.43086816720257237</v>
      </c>
      <c r="M37" s="134">
        <f t="shared" si="4"/>
        <v>0.35125324114088158</v>
      </c>
    </row>
    <row r="38" spans="2:13" ht="14.25" customHeight="1" x14ac:dyDescent="0.3">
      <c r="B38" s="131" t="s">
        <v>214</v>
      </c>
      <c r="C38" s="132">
        <v>1128.54</v>
      </c>
      <c r="D38" s="137">
        <v>26.1</v>
      </c>
      <c r="E38" s="137">
        <v>22.51</v>
      </c>
      <c r="F38" s="137">
        <v>15.88</v>
      </c>
      <c r="G38" s="137">
        <v>10.58</v>
      </c>
      <c r="I38" s="130"/>
      <c r="J38" s="134">
        <f t="shared" ref="J38:K40" si="6">(D38-C38)/C38</f>
        <v>-0.97687277367217829</v>
      </c>
      <c r="K38" s="134">
        <f t="shared" si="6"/>
        <v>-0.13754789272030651</v>
      </c>
      <c r="L38" s="134">
        <f>(F38-E38)/E38</f>
        <v>-0.29453576188360731</v>
      </c>
      <c r="M38" s="134">
        <f t="shared" si="4"/>
        <v>-0.33375314861460958</v>
      </c>
    </row>
    <row r="39" spans="2:13" ht="14.25" customHeight="1" x14ac:dyDescent="0.3">
      <c r="B39" s="131" t="s">
        <v>215</v>
      </c>
      <c r="C39" s="132">
        <v>5096.8500000000004</v>
      </c>
      <c r="D39" s="132">
        <v>5840.32</v>
      </c>
      <c r="E39" s="132">
        <v>6651.53</v>
      </c>
      <c r="F39" s="132">
        <v>11606.54</v>
      </c>
      <c r="G39" s="132">
        <v>23639.66</v>
      </c>
      <c r="I39" s="130"/>
      <c r="J39" s="134">
        <f t="shared" si="6"/>
        <v>0.14586852663900238</v>
      </c>
      <c r="K39" s="134">
        <f t="shared" si="6"/>
        <v>0.1388982110569284</v>
      </c>
      <c r="L39" s="134">
        <f>(F39-E39)/E39</f>
        <v>0.74494289283818926</v>
      </c>
      <c r="M39" s="134">
        <f t="shared" si="4"/>
        <v>1.0367534166082224</v>
      </c>
    </row>
    <row r="40" spans="2:13" ht="14.25" customHeight="1" x14ac:dyDescent="0.3">
      <c r="B40" s="135" t="s">
        <v>216</v>
      </c>
      <c r="C40" s="136">
        <v>41821.49</v>
      </c>
      <c r="D40" s="136">
        <v>45024.89</v>
      </c>
      <c r="E40" s="136">
        <v>48960.69</v>
      </c>
      <c r="F40" s="136">
        <v>57285.98</v>
      </c>
      <c r="G40" s="136">
        <v>72993.240000000005</v>
      </c>
      <c r="I40" s="130"/>
      <c r="J40" s="134">
        <f t="shared" si="6"/>
        <v>7.6596983990766504E-2</v>
      </c>
      <c r="K40" s="134">
        <f t="shared" si="6"/>
        <v>8.7413872638000961E-2</v>
      </c>
      <c r="L40" s="134">
        <f>(F40-E40)/E40</f>
        <v>0.17004029150732966</v>
      </c>
      <c r="M40" s="134">
        <f t="shared" si="4"/>
        <v>0.27419029926694105</v>
      </c>
    </row>
    <row r="41" spans="2:13" ht="14.25" customHeight="1" x14ac:dyDescent="0.3">
      <c r="B41" s="121" t="s">
        <v>217</v>
      </c>
      <c r="C41" s="123"/>
      <c r="D41" s="123"/>
      <c r="E41" s="123"/>
      <c r="F41" s="123"/>
      <c r="G41" s="130"/>
      <c r="I41" s="130"/>
      <c r="J41" s="134"/>
      <c r="K41" s="134"/>
      <c r="L41" s="134"/>
      <c r="M41" s="134"/>
    </row>
    <row r="42" spans="2:13" ht="14.25" customHeight="1" x14ac:dyDescent="0.3">
      <c r="B42" s="131" t="s">
        <v>218</v>
      </c>
      <c r="C42" s="137">
        <v>296.35000000000002</v>
      </c>
      <c r="D42" s="132">
        <v>1056.79</v>
      </c>
      <c r="E42" s="137">
        <v>442.69</v>
      </c>
      <c r="F42" s="132">
        <v>2289.69</v>
      </c>
      <c r="G42" s="132">
        <v>2236.3200000000002</v>
      </c>
      <c r="I42" s="130"/>
      <c r="J42" s="134">
        <f t="shared" ref="J42:M49" si="7">(D42-C42)/C42</f>
        <v>2.566019908891513</v>
      </c>
      <c r="K42" s="134">
        <f t="shared" si="7"/>
        <v>-0.58109936695086051</v>
      </c>
      <c r="L42" s="134">
        <f t="shared" si="7"/>
        <v>4.1722198378097541</v>
      </c>
      <c r="M42" s="134">
        <f t="shared" si="7"/>
        <v>-2.330883219999209E-2</v>
      </c>
    </row>
    <row r="43" spans="2:13" ht="14.25" customHeight="1" x14ac:dyDescent="0.3">
      <c r="B43" s="131" t="s">
        <v>219</v>
      </c>
      <c r="C43" s="137">
        <v>250.11</v>
      </c>
      <c r="D43" s="137">
        <v>151.91</v>
      </c>
      <c r="E43" s="137">
        <v>255.28</v>
      </c>
      <c r="F43" s="137">
        <v>625.24</v>
      </c>
      <c r="G43" s="137">
        <v>669.45</v>
      </c>
      <c r="I43" s="130"/>
      <c r="J43" s="134">
        <f t="shared" si="7"/>
        <v>-0.39262724401263449</v>
      </c>
      <c r="K43" s="134">
        <f t="shared" si="7"/>
        <v>0.6804686985715227</v>
      </c>
      <c r="L43" s="134">
        <f t="shared" si="7"/>
        <v>1.449232215606393</v>
      </c>
      <c r="M43" s="134">
        <f t="shared" si="7"/>
        <v>7.0708847802443922E-2</v>
      </c>
    </row>
    <row r="44" spans="2:13" ht="14.25" customHeight="1" x14ac:dyDescent="0.3">
      <c r="B44" s="131" t="s">
        <v>220</v>
      </c>
      <c r="C44" s="132">
        <v>1070.8399999999999</v>
      </c>
      <c r="D44" s="132">
        <v>1437.59</v>
      </c>
      <c r="E44" s="132">
        <v>1564.95</v>
      </c>
      <c r="F44" s="132">
        <v>4217.8599999999997</v>
      </c>
      <c r="G44" s="132">
        <v>5733.75</v>
      </c>
      <c r="I44" s="130"/>
      <c r="J44" s="134">
        <f t="shared" si="7"/>
        <v>0.34248814015165668</v>
      </c>
      <c r="K44" s="134">
        <f t="shared" si="7"/>
        <v>8.8592714195285263E-2</v>
      </c>
      <c r="L44" s="134">
        <f t="shared" si="7"/>
        <v>1.6952043196268249</v>
      </c>
      <c r="M44" s="134">
        <f t="shared" si="7"/>
        <v>0.35939789371861569</v>
      </c>
    </row>
    <row r="45" spans="2:13" ht="14.25" customHeight="1" x14ac:dyDescent="0.3">
      <c r="B45" s="131" t="s">
        <v>221</v>
      </c>
      <c r="C45" s="132">
        <v>1492.57</v>
      </c>
      <c r="D45" s="132">
        <v>1704.14</v>
      </c>
      <c r="E45" s="132">
        <v>2228.14</v>
      </c>
      <c r="F45" s="132">
        <v>3618.68</v>
      </c>
      <c r="G45" s="132">
        <v>3947.34</v>
      </c>
      <c r="I45" s="130"/>
      <c r="J45" s="134">
        <f t="shared" si="7"/>
        <v>0.14174879570137425</v>
      </c>
      <c r="K45" s="134">
        <f t="shared" si="7"/>
        <v>0.30748647411597624</v>
      </c>
      <c r="L45" s="134">
        <f t="shared" si="7"/>
        <v>0.62408107210498442</v>
      </c>
      <c r="M45" s="134">
        <f t="shared" si="7"/>
        <v>9.0823173090740353E-2</v>
      </c>
    </row>
    <row r="46" spans="2:13" ht="14.25" customHeight="1" x14ac:dyDescent="0.3">
      <c r="B46" s="131" t="s">
        <v>222</v>
      </c>
      <c r="C46" s="137">
        <v>7.81</v>
      </c>
      <c r="D46" s="137">
        <v>477.2</v>
      </c>
      <c r="E46" s="137">
        <v>407.78</v>
      </c>
      <c r="F46" s="137">
        <v>6.45</v>
      </c>
      <c r="G46" s="137">
        <v>5.77</v>
      </c>
      <c r="I46" s="130"/>
      <c r="J46" s="134">
        <f t="shared" si="7"/>
        <v>60.101152368758001</v>
      </c>
      <c r="K46" s="134">
        <f t="shared" si="7"/>
        <v>-0.14547359597652978</v>
      </c>
      <c r="L46" s="134">
        <f t="shared" si="7"/>
        <v>-0.98418264750600815</v>
      </c>
      <c r="M46" s="134">
        <f t="shared" si="7"/>
        <v>-0.10542635658914738</v>
      </c>
    </row>
    <row r="47" spans="2:13" ht="14.25" customHeight="1" x14ac:dyDescent="0.3">
      <c r="B47" s="131" t="s">
        <v>223</v>
      </c>
      <c r="C47" s="132">
        <v>2524.94</v>
      </c>
      <c r="D47" s="132">
        <v>4079.23</v>
      </c>
      <c r="E47" s="132">
        <v>4719.28</v>
      </c>
      <c r="F47" s="132">
        <v>5916.2</v>
      </c>
      <c r="G47" s="132">
        <v>7249.05</v>
      </c>
      <c r="I47" s="130"/>
      <c r="J47" s="134">
        <f t="shared" si="7"/>
        <v>0.61557502356491633</v>
      </c>
      <c r="K47" s="134">
        <f t="shared" si="7"/>
        <v>0.15690461189979474</v>
      </c>
      <c r="L47" s="134">
        <f t="shared" si="7"/>
        <v>0.25362343408316523</v>
      </c>
      <c r="M47" s="134">
        <f t="shared" si="7"/>
        <v>0.22528819174470105</v>
      </c>
    </row>
    <row r="48" spans="2:13" ht="14.25" customHeight="1" x14ac:dyDescent="0.3">
      <c r="B48" s="135" t="s">
        <v>224</v>
      </c>
      <c r="C48" s="136">
        <v>5642.62</v>
      </c>
      <c r="D48" s="136">
        <v>8906.86</v>
      </c>
      <c r="E48" s="136">
        <v>9618.1200000000008</v>
      </c>
      <c r="F48" s="136">
        <v>16674.12</v>
      </c>
      <c r="G48" s="136">
        <v>19841.68</v>
      </c>
      <c r="I48" s="130"/>
      <c r="J48" s="134">
        <f t="shared" si="7"/>
        <v>0.57849722292126715</v>
      </c>
      <c r="K48" s="134">
        <f t="shared" si="7"/>
        <v>7.985530254208556E-2</v>
      </c>
      <c r="L48" s="134">
        <f t="shared" si="7"/>
        <v>0.73361530111913742</v>
      </c>
      <c r="M48" s="134">
        <f t="shared" si="7"/>
        <v>0.18996864602149927</v>
      </c>
    </row>
    <row r="49" spans="2:13" ht="14.25" customHeight="1" x14ac:dyDescent="0.3">
      <c r="B49" s="135" t="s">
        <v>225</v>
      </c>
      <c r="C49" s="136">
        <v>47464.11</v>
      </c>
      <c r="D49" s="136">
        <v>53931.75</v>
      </c>
      <c r="E49" s="136">
        <v>58578.81</v>
      </c>
      <c r="F49" s="136">
        <v>73960.100000000006</v>
      </c>
      <c r="G49" s="136">
        <v>92834.92</v>
      </c>
      <c r="I49" s="130"/>
      <c r="J49" s="134">
        <f t="shared" si="7"/>
        <v>0.13626380016395545</v>
      </c>
      <c r="K49" s="134">
        <f t="shared" si="7"/>
        <v>8.6165570373666678E-2</v>
      </c>
      <c r="L49" s="134">
        <f t="shared" si="7"/>
        <v>0.26257429947791716</v>
      </c>
      <c r="M49" s="134">
        <f t="shared" si="7"/>
        <v>0.25520273769235019</v>
      </c>
    </row>
    <row r="50" spans="2:13" ht="14.25" customHeight="1" x14ac:dyDescent="0.3">
      <c r="B50" s="121" t="s">
        <v>226</v>
      </c>
      <c r="C50" s="123"/>
      <c r="D50" s="123"/>
      <c r="E50" s="123"/>
      <c r="F50" s="123"/>
      <c r="G50" s="130"/>
      <c r="I50" s="130"/>
      <c r="J50" s="134"/>
      <c r="K50" s="134"/>
      <c r="L50" s="134"/>
      <c r="M50" s="134"/>
    </row>
    <row r="51" spans="2:13" ht="15.75" customHeight="1" x14ac:dyDescent="0.3">
      <c r="B51" s="121" t="s">
        <v>227</v>
      </c>
      <c r="C51" s="123"/>
      <c r="D51" s="123"/>
      <c r="E51" s="123"/>
      <c r="F51" s="123"/>
      <c r="G51" s="130"/>
      <c r="I51" s="130"/>
      <c r="J51" s="134"/>
      <c r="K51" s="134"/>
      <c r="L51" s="134"/>
      <c r="M51" s="134"/>
    </row>
    <row r="52" spans="2:13" ht="14.25" customHeight="1" x14ac:dyDescent="0.3">
      <c r="B52" s="131" t="s">
        <v>228</v>
      </c>
      <c r="C52" s="132">
        <v>3717.33</v>
      </c>
      <c r="D52" s="132">
        <v>7890.27</v>
      </c>
      <c r="E52" s="132">
        <v>9221.82</v>
      </c>
      <c r="F52" s="132">
        <v>14107.15</v>
      </c>
      <c r="G52" s="132">
        <v>40053.980000000003</v>
      </c>
      <c r="I52" s="130"/>
      <c r="J52" s="134">
        <f>(D52-C52)/C52</f>
        <v>1.1225637756131419</v>
      </c>
      <c r="K52" s="134">
        <f>(E52-D52)/D52</f>
        <v>0.16875848354999248</v>
      </c>
      <c r="L52" s="134">
        <f>(F52-E52)/E52</f>
        <v>0.52975768340739682</v>
      </c>
      <c r="M52" s="134">
        <f>(G52-F52)/F52</f>
        <v>1.8392680307503644</v>
      </c>
    </row>
    <row r="53" spans="2:13" ht="14.25" customHeight="1" x14ac:dyDescent="0.3">
      <c r="B53" s="121" t="s">
        <v>229</v>
      </c>
      <c r="C53" s="123"/>
      <c r="D53" s="123"/>
      <c r="E53" s="123"/>
      <c r="F53" s="123"/>
      <c r="G53" s="130"/>
      <c r="I53" s="130"/>
      <c r="J53" s="134"/>
      <c r="K53" s="134"/>
      <c r="L53" s="134"/>
      <c r="M53" s="134"/>
    </row>
    <row r="54" spans="2:13" ht="14.25" customHeight="1" x14ac:dyDescent="0.3">
      <c r="B54" s="121" t="s">
        <v>230</v>
      </c>
      <c r="C54" s="123"/>
      <c r="D54" s="123"/>
      <c r="E54" s="123"/>
      <c r="F54" s="123"/>
      <c r="G54" s="130"/>
      <c r="I54" s="130"/>
      <c r="J54" s="134"/>
      <c r="K54" s="134"/>
      <c r="L54" s="134"/>
      <c r="M54" s="134"/>
    </row>
    <row r="55" spans="2:13" ht="15.75" customHeight="1" x14ac:dyDescent="0.3">
      <c r="B55" s="131" t="s">
        <v>231</v>
      </c>
      <c r="C55" s="137">
        <v>246.65</v>
      </c>
      <c r="D55" s="137">
        <v>290.60000000000002</v>
      </c>
      <c r="E55" s="137">
        <v>309.38</v>
      </c>
      <c r="F55" s="137">
        <v>341.61</v>
      </c>
      <c r="G55" s="137">
        <v>380.64</v>
      </c>
      <c r="I55" s="130"/>
      <c r="J55" s="134">
        <f>(D55-C55)/C55</f>
        <v>0.17818771538617481</v>
      </c>
      <c r="K55" s="134">
        <f>(E55-D55)/D55</f>
        <v>6.4624913971094183E-2</v>
      </c>
      <c r="L55" s="134">
        <f>(F55-E55)/E55</f>
        <v>0.1041760941237314</v>
      </c>
      <c r="M55" s="134">
        <f>(G55-F55)/F55</f>
        <v>0.11425309563537359</v>
      </c>
    </row>
    <row r="56" spans="2:13" ht="15.75" customHeight="1" x14ac:dyDescent="0.3">
      <c r="B56" s="131" t="s">
        <v>232</v>
      </c>
      <c r="C56" s="137">
        <v>0</v>
      </c>
      <c r="D56" s="137">
        <v>0</v>
      </c>
      <c r="E56" s="137">
        <v>0</v>
      </c>
      <c r="F56" s="137">
        <v>0.01</v>
      </c>
      <c r="G56" s="137">
        <v>0</v>
      </c>
      <c r="I56" s="130"/>
      <c r="J56" s="134">
        <v>0</v>
      </c>
      <c r="K56" s="134">
        <v>0</v>
      </c>
      <c r="L56" s="134">
        <v>0</v>
      </c>
      <c r="M56" s="134">
        <f>(G56-F56)/F56</f>
        <v>-1</v>
      </c>
    </row>
    <row r="57" spans="2:13" ht="14.25" customHeight="1" x14ac:dyDescent="0.3">
      <c r="B57" s="121" t="s">
        <v>233</v>
      </c>
      <c r="C57" s="123"/>
      <c r="D57" s="123"/>
      <c r="E57" s="123"/>
      <c r="F57" s="123"/>
      <c r="G57" s="130"/>
      <c r="I57" s="130"/>
      <c r="J57" s="134"/>
      <c r="K57" s="134"/>
      <c r="L57" s="134"/>
      <c r="M57" s="134"/>
    </row>
    <row r="58" spans="2:13" ht="15.75" customHeight="1" x14ac:dyDescent="0.3">
      <c r="B58" s="131" t="s">
        <v>234</v>
      </c>
      <c r="C58" s="137">
        <v>0</v>
      </c>
      <c r="D58" s="137">
        <v>36.29</v>
      </c>
      <c r="E58" s="137">
        <v>50.81</v>
      </c>
      <c r="F58" s="137">
        <v>43.09</v>
      </c>
      <c r="G58" s="137">
        <v>0.12</v>
      </c>
      <c r="I58" s="130"/>
      <c r="J58" s="134">
        <v>0</v>
      </c>
      <c r="K58" s="134">
        <f t="shared" ref="K58:M59" si="8">(E58-D58)/D58</f>
        <v>0.40011022320198414</v>
      </c>
      <c r="L58" s="134">
        <f t="shared" si="8"/>
        <v>-0.15193859476481006</v>
      </c>
      <c r="M58" s="134">
        <f t="shared" si="8"/>
        <v>-0.99721513112090976</v>
      </c>
    </row>
    <row r="59" spans="2:13" ht="15.75" customHeight="1" x14ac:dyDescent="0.3">
      <c r="B59" s="131" t="s">
        <v>235</v>
      </c>
      <c r="C59" s="137">
        <v>260.52999999999997</v>
      </c>
      <c r="D59" s="132">
        <v>1020.43</v>
      </c>
      <c r="E59" s="137">
        <v>392.3</v>
      </c>
      <c r="F59" s="132">
        <v>2246.6</v>
      </c>
      <c r="G59" s="132">
        <v>2236.1999999999998</v>
      </c>
      <c r="I59" s="130"/>
      <c r="J59" s="134">
        <f>(D59-C59)/C59</f>
        <v>2.9167466318658124</v>
      </c>
      <c r="K59" s="134">
        <f t="shared" si="8"/>
        <v>-0.61555422713953911</v>
      </c>
      <c r="L59" s="134">
        <f t="shared" si="8"/>
        <v>4.726739739994902</v>
      </c>
      <c r="M59" s="134">
        <f t="shared" si="8"/>
        <v>-4.6292174841983851E-3</v>
      </c>
    </row>
    <row r="60" spans="2:13" ht="14.25" customHeight="1" x14ac:dyDescent="0.3">
      <c r="B60" s="138"/>
      <c r="C60" s="139"/>
      <c r="D60" s="139"/>
      <c r="E60" s="139"/>
      <c r="F60" s="139"/>
      <c r="G60" s="140"/>
      <c r="J60" s="141"/>
      <c r="K60" s="141"/>
      <c r="L60" s="141"/>
      <c r="M60" s="141"/>
    </row>
    <row r="61" spans="2:13" ht="14.25" customHeight="1" x14ac:dyDescent="0.3">
      <c r="B61" s="272"/>
      <c r="C61" s="243"/>
    </row>
    <row r="62" spans="2:13" ht="14.25" customHeight="1" x14ac:dyDescent="0.3">
      <c r="B62" s="270"/>
      <c r="C62" s="243"/>
      <c r="D62" s="139"/>
      <c r="E62" s="139"/>
      <c r="F62" s="139"/>
      <c r="G62" s="139"/>
    </row>
    <row r="63" spans="2:13" ht="14.25" customHeight="1" x14ac:dyDescent="0.3">
      <c r="B63" s="273" t="s">
        <v>236</v>
      </c>
      <c r="C63" s="243"/>
      <c r="D63" s="139"/>
      <c r="E63" s="139"/>
      <c r="F63" s="139"/>
      <c r="G63" s="139"/>
    </row>
    <row r="64" spans="2:13" ht="14.25" customHeight="1" x14ac:dyDescent="0.3">
      <c r="B64" s="270"/>
      <c r="C64" s="243"/>
      <c r="D64" s="139"/>
      <c r="E64" s="139"/>
      <c r="F64" s="139"/>
      <c r="G64" s="139"/>
    </row>
  </sheetData>
  <mergeCells count="7">
    <mergeCell ref="B62:C62"/>
    <mergeCell ref="B64:C64"/>
    <mergeCell ref="I7:M7"/>
    <mergeCell ref="B61:C61"/>
    <mergeCell ref="B63:C63"/>
    <mergeCell ref="B1:M1"/>
    <mergeCell ref="B2:M2"/>
  </mergeCells>
  <pageMargins left="0.7" right="0.7" top="0.75" bottom="0.75"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M46"/>
  <sheetViews>
    <sheetView showGridLines="0" zoomScale="84" zoomScaleNormal="95" workbookViewId="0">
      <selection activeCell="O5" sqref="O5"/>
    </sheetView>
  </sheetViews>
  <sheetFormatPr defaultColWidth="8.6328125" defaultRowHeight="14" x14ac:dyDescent="0.3"/>
  <cols>
    <col min="1" max="1" width="2.26953125" style="15" customWidth="1"/>
    <col min="2" max="2" width="16.6328125" style="15" customWidth="1"/>
    <col min="3" max="6" width="5.6328125" style="15" customWidth="1"/>
    <col min="7" max="7" width="8.7265625" style="15" bestFit="1" customWidth="1"/>
    <col min="8" max="8" width="8.6328125" style="15"/>
    <col min="9" max="9" width="8.7265625" style="15" bestFit="1" customWidth="1"/>
    <col min="10" max="12" width="9.6328125" style="15" bestFit="1" customWidth="1"/>
    <col min="13" max="13" width="9.7265625" style="15" customWidth="1"/>
    <col min="14" max="16384" width="8.6328125" style="15"/>
  </cols>
  <sheetData>
    <row r="1" spans="2:13" ht="27.75" customHeight="1" x14ac:dyDescent="0.3">
      <c r="B1" s="340" t="s">
        <v>10</v>
      </c>
      <c r="C1" s="340"/>
      <c r="D1" s="340"/>
      <c r="E1" s="340"/>
      <c r="F1" s="340"/>
      <c r="G1" s="340"/>
      <c r="H1" s="340"/>
      <c r="I1" s="340"/>
      <c r="J1" s="340"/>
      <c r="K1" s="340"/>
      <c r="L1" s="340"/>
      <c r="M1" s="340"/>
    </row>
    <row r="2" spans="2:13" ht="24" customHeight="1" x14ac:dyDescent="0.3">
      <c r="B2" s="342" t="s">
        <v>237</v>
      </c>
      <c r="C2" s="342"/>
      <c r="D2" s="342"/>
      <c r="E2" s="342"/>
      <c r="F2" s="342"/>
      <c r="G2" s="342"/>
      <c r="H2" s="342"/>
      <c r="I2" s="342"/>
      <c r="J2" s="342"/>
      <c r="K2" s="342"/>
      <c r="L2" s="342"/>
      <c r="M2" s="342"/>
    </row>
    <row r="3" spans="2:13" ht="14.25" customHeight="1" x14ac:dyDescent="0.3">
      <c r="B3" s="337"/>
      <c r="C3" s="338">
        <v>44621</v>
      </c>
      <c r="D3" s="338">
        <v>44986</v>
      </c>
      <c r="E3" s="338">
        <v>45352</v>
      </c>
      <c r="F3" s="338">
        <v>45717</v>
      </c>
      <c r="G3" s="339" t="s">
        <v>180</v>
      </c>
      <c r="H3" s="119"/>
    </row>
    <row r="4" spans="2:13" ht="14.25" customHeight="1" x14ac:dyDescent="0.3">
      <c r="B4" s="124"/>
      <c r="C4" s="124"/>
      <c r="D4" s="124"/>
      <c r="E4" s="124"/>
      <c r="F4" s="124"/>
      <c r="G4" s="124"/>
      <c r="H4" s="125"/>
    </row>
    <row r="5" spans="2:13" ht="14.25" customHeight="1" x14ac:dyDescent="0.3">
      <c r="B5" s="126"/>
      <c r="C5" s="127" t="s">
        <v>181</v>
      </c>
      <c r="D5" s="127" t="s">
        <v>181</v>
      </c>
      <c r="E5" s="127" t="s">
        <v>181</v>
      </c>
      <c r="F5" s="127" t="s">
        <v>181</v>
      </c>
      <c r="G5" s="127" t="s">
        <v>181</v>
      </c>
      <c r="H5" s="119"/>
    </row>
    <row r="6" spans="2:13" ht="14.25" customHeight="1" x14ac:dyDescent="0.3">
      <c r="B6" s="124"/>
      <c r="C6" s="124"/>
      <c r="D6" s="124"/>
      <c r="E6" s="124"/>
      <c r="F6" s="124"/>
      <c r="G6" s="124"/>
      <c r="H6" s="125"/>
      <c r="I6" s="271" t="s">
        <v>238</v>
      </c>
      <c r="J6" s="248"/>
      <c r="K6" s="248"/>
      <c r="L6" s="248"/>
      <c r="M6" s="249"/>
    </row>
    <row r="7" spans="2:13" ht="14.25" customHeight="1" x14ac:dyDescent="0.3">
      <c r="B7" s="121" t="s">
        <v>239</v>
      </c>
      <c r="C7" s="123"/>
      <c r="D7" s="123"/>
      <c r="E7" s="123"/>
      <c r="F7" s="123"/>
      <c r="G7" s="130"/>
      <c r="H7" s="119"/>
      <c r="I7" s="122">
        <v>44621</v>
      </c>
      <c r="J7" s="122">
        <v>44986</v>
      </c>
      <c r="K7" s="122">
        <v>45352</v>
      </c>
      <c r="L7" s="122">
        <v>45717</v>
      </c>
      <c r="M7" s="123" t="s">
        <v>180</v>
      </c>
    </row>
    <row r="8" spans="2:13" ht="15.75" customHeight="1" x14ac:dyDescent="0.3">
      <c r="B8" s="121" t="s">
        <v>240</v>
      </c>
      <c r="C8" s="142">
        <v>10960.21</v>
      </c>
      <c r="D8" s="142">
        <v>12995.12</v>
      </c>
      <c r="E8" s="142">
        <v>16355.01</v>
      </c>
      <c r="F8" s="142">
        <v>23546.15</v>
      </c>
      <c r="G8" s="142">
        <v>27202.63</v>
      </c>
      <c r="H8" s="119"/>
      <c r="I8" s="130"/>
      <c r="J8" s="134">
        <f t="shared" ref="J8:M13" si="0">(D8-C8)/C8</f>
        <v>0.18566341338350287</v>
      </c>
      <c r="K8" s="134">
        <f t="shared" si="0"/>
        <v>0.25855013266518501</v>
      </c>
      <c r="L8" s="134">
        <f t="shared" si="0"/>
        <v>0.43969034564943715</v>
      </c>
      <c r="M8" s="134">
        <f t="shared" si="0"/>
        <v>0.15528993062560117</v>
      </c>
    </row>
    <row r="9" spans="2:13" ht="15.75" customHeight="1" x14ac:dyDescent="0.3">
      <c r="B9" s="121" t="s">
        <v>241</v>
      </c>
      <c r="C9" s="142">
        <v>10960.21</v>
      </c>
      <c r="D9" s="142">
        <v>12995.12</v>
      </c>
      <c r="E9" s="142">
        <v>16355.01</v>
      </c>
      <c r="F9" s="142">
        <v>23546.15</v>
      </c>
      <c r="G9" s="142">
        <v>27202.63</v>
      </c>
      <c r="H9" s="119"/>
      <c r="I9" s="130"/>
      <c r="J9" s="134">
        <f t="shared" si="0"/>
        <v>0.18566341338350287</v>
      </c>
      <c r="K9" s="134">
        <f t="shared" si="0"/>
        <v>0.25855013266518501</v>
      </c>
      <c r="L9" s="134">
        <f t="shared" si="0"/>
        <v>0.43969034564943715</v>
      </c>
      <c r="M9" s="134">
        <f t="shared" si="0"/>
        <v>0.15528993062560117</v>
      </c>
    </row>
    <row r="10" spans="2:13" ht="14.25" customHeight="1" x14ac:dyDescent="0.3">
      <c r="B10" s="131" t="s">
        <v>242</v>
      </c>
      <c r="C10" s="137">
        <v>297.31</v>
      </c>
      <c r="D10" s="137">
        <v>297.60000000000002</v>
      </c>
      <c r="E10" s="137">
        <v>252.35</v>
      </c>
      <c r="F10" s="137">
        <v>220.94</v>
      </c>
      <c r="G10" s="137">
        <v>385.4</v>
      </c>
      <c r="H10" s="119"/>
      <c r="I10" s="130"/>
      <c r="J10" s="134">
        <f t="shared" si="0"/>
        <v>9.7541286872295061E-4</v>
      </c>
      <c r="K10" s="134">
        <f t="shared" si="0"/>
        <v>-0.15204973118279577</v>
      </c>
      <c r="L10" s="134">
        <f t="shared" si="0"/>
        <v>-0.12446998216762432</v>
      </c>
      <c r="M10" s="134">
        <f t="shared" si="0"/>
        <v>0.74436498596904133</v>
      </c>
    </row>
    <row r="11" spans="2:13" ht="14.25" customHeight="1" x14ac:dyDescent="0.3">
      <c r="B11" s="121" t="s">
        <v>243</v>
      </c>
      <c r="C11" s="142">
        <v>11257.52</v>
      </c>
      <c r="D11" s="142">
        <v>13292.72</v>
      </c>
      <c r="E11" s="142">
        <v>16607.36</v>
      </c>
      <c r="F11" s="142">
        <v>23767.09</v>
      </c>
      <c r="G11" s="142">
        <v>27588.03</v>
      </c>
      <c r="H11" s="119"/>
      <c r="I11" s="130"/>
      <c r="J11" s="134">
        <f t="shared" si="0"/>
        <v>0.18078582138872495</v>
      </c>
      <c r="K11" s="134">
        <f t="shared" si="0"/>
        <v>0.24935754307621025</v>
      </c>
      <c r="L11" s="134">
        <f t="shared" si="0"/>
        <v>0.43111788989941807</v>
      </c>
      <c r="M11" s="134">
        <f t="shared" si="0"/>
        <v>0.16076600038119931</v>
      </c>
    </row>
    <row r="12" spans="2:13" ht="14.25" customHeight="1" x14ac:dyDescent="0.3">
      <c r="B12" s="131" t="s">
        <v>244</v>
      </c>
      <c r="C12" s="137">
        <v>603.95000000000005</v>
      </c>
      <c r="D12" s="137">
        <v>547.74</v>
      </c>
      <c r="E12" s="137">
        <v>610.95000000000005</v>
      </c>
      <c r="F12" s="137">
        <v>679.46</v>
      </c>
      <c r="G12" s="137">
        <v>737.13</v>
      </c>
      <c r="H12" s="119"/>
      <c r="I12" s="130"/>
      <c r="J12" s="134">
        <f t="shared" si="0"/>
        <v>-9.307061842867792E-2</v>
      </c>
      <c r="K12" s="134">
        <f t="shared" si="0"/>
        <v>0.11540146784970978</v>
      </c>
      <c r="L12" s="134">
        <f t="shared" si="0"/>
        <v>0.11213683607496519</v>
      </c>
      <c r="M12" s="134">
        <f t="shared" si="0"/>
        <v>8.4876225237688688E-2</v>
      </c>
    </row>
    <row r="13" spans="2:13" ht="14.25" customHeight="1" x14ac:dyDescent="0.3">
      <c r="B13" s="135" t="s">
        <v>245</v>
      </c>
      <c r="C13" s="136">
        <v>11861.47</v>
      </c>
      <c r="D13" s="136">
        <v>13840.46</v>
      </c>
      <c r="E13" s="136">
        <v>17218.310000000001</v>
      </c>
      <c r="F13" s="136">
        <v>24446.55</v>
      </c>
      <c r="G13" s="136">
        <v>28325.16</v>
      </c>
      <c r="H13" s="119"/>
      <c r="I13" s="130"/>
      <c r="J13" s="134">
        <f t="shared" si="0"/>
        <v>0.16684188384744891</v>
      </c>
      <c r="K13" s="134">
        <f t="shared" si="0"/>
        <v>0.24405619466405035</v>
      </c>
      <c r="L13" s="134">
        <f t="shared" si="0"/>
        <v>0.41979962028793749</v>
      </c>
      <c r="M13" s="134">
        <f t="shared" si="0"/>
        <v>0.15865674297600277</v>
      </c>
    </row>
    <row r="14" spans="2:13" ht="14.25" customHeight="1" x14ac:dyDescent="0.3">
      <c r="B14" s="121" t="s">
        <v>246</v>
      </c>
      <c r="C14" s="123"/>
      <c r="D14" s="123"/>
      <c r="E14" s="123"/>
      <c r="F14" s="123"/>
      <c r="G14" s="130"/>
      <c r="H14" s="119"/>
      <c r="I14" s="130"/>
      <c r="J14" s="134"/>
      <c r="K14" s="134"/>
      <c r="L14" s="134"/>
      <c r="M14" s="134"/>
    </row>
    <row r="15" spans="2:13" ht="14.25" customHeight="1" x14ac:dyDescent="0.3">
      <c r="B15" s="131" t="s">
        <v>247</v>
      </c>
      <c r="C15" s="137">
        <v>821.23</v>
      </c>
      <c r="D15" s="137">
        <v>755.13</v>
      </c>
      <c r="E15" s="132">
        <v>1028.95</v>
      </c>
      <c r="F15" s="132">
        <v>1365.74</v>
      </c>
      <c r="G15" s="132">
        <v>1004.14</v>
      </c>
      <c r="H15" s="119"/>
      <c r="I15" s="130"/>
      <c r="J15" s="134">
        <f t="shared" ref="J15:M17" si="1">(D15-C15)/C15</f>
        <v>-8.0489022563715429E-2</v>
      </c>
      <c r="K15" s="134">
        <f t="shared" si="1"/>
        <v>0.36261306000291349</v>
      </c>
      <c r="L15" s="134">
        <f t="shared" si="1"/>
        <v>0.32731425239321632</v>
      </c>
      <c r="M15" s="134">
        <f t="shared" si="1"/>
        <v>-0.26476488936400783</v>
      </c>
    </row>
    <row r="16" spans="2:13" ht="14.25" customHeight="1" x14ac:dyDescent="0.3">
      <c r="B16" s="131" t="s">
        <v>248</v>
      </c>
      <c r="C16" s="132">
        <v>2778.88</v>
      </c>
      <c r="D16" s="132">
        <v>3839.98</v>
      </c>
      <c r="E16" s="132">
        <v>4340.3</v>
      </c>
      <c r="F16" s="132">
        <v>5584.14</v>
      </c>
      <c r="G16" s="132">
        <v>6347.88</v>
      </c>
      <c r="H16" s="119"/>
      <c r="I16" s="130"/>
      <c r="J16" s="134">
        <f t="shared" si="1"/>
        <v>0.38184448410870564</v>
      </c>
      <c r="K16" s="134">
        <f t="shared" si="1"/>
        <v>0.13029234527263167</v>
      </c>
      <c r="L16" s="134">
        <f t="shared" si="1"/>
        <v>0.28657926871414419</v>
      </c>
      <c r="M16" s="134">
        <f t="shared" si="1"/>
        <v>0.13676949360152141</v>
      </c>
    </row>
    <row r="17" spans="2:13" ht="14.25" customHeight="1" x14ac:dyDescent="0.3">
      <c r="B17" s="131" t="s">
        <v>249</v>
      </c>
      <c r="C17" s="132">
        <v>1065.99</v>
      </c>
      <c r="D17" s="132">
        <v>1384.18</v>
      </c>
      <c r="E17" s="132">
        <v>1119.0899999999999</v>
      </c>
      <c r="F17" s="137">
        <v>623.54</v>
      </c>
      <c r="G17" s="137">
        <v>0</v>
      </c>
      <c r="H17" s="119"/>
      <c r="I17" s="130"/>
      <c r="J17" s="134">
        <f t="shared" si="1"/>
        <v>0.29849248116774085</v>
      </c>
      <c r="K17" s="134">
        <f t="shared" si="1"/>
        <v>-0.19151410943663405</v>
      </c>
      <c r="L17" s="134">
        <f t="shared" si="1"/>
        <v>-0.44281514444772091</v>
      </c>
      <c r="M17" s="134">
        <f t="shared" si="1"/>
        <v>-1</v>
      </c>
    </row>
    <row r="18" spans="2:13" ht="14.25" customHeight="1" x14ac:dyDescent="0.3">
      <c r="B18" s="131" t="s">
        <v>250</v>
      </c>
      <c r="C18" s="137">
        <v>0</v>
      </c>
      <c r="D18" s="137">
        <v>0</v>
      </c>
      <c r="E18" s="137">
        <v>0</v>
      </c>
      <c r="F18" s="137">
        <v>0</v>
      </c>
      <c r="G18" s="132">
        <v>7135.35</v>
      </c>
      <c r="H18" s="119"/>
      <c r="I18" s="130"/>
      <c r="J18" s="134"/>
      <c r="K18" s="134"/>
      <c r="L18" s="134"/>
      <c r="M18" s="134"/>
    </row>
    <row r="19" spans="2:13" ht="14.25" customHeight="1" x14ac:dyDescent="0.3">
      <c r="B19" s="131" t="s">
        <v>251</v>
      </c>
      <c r="C19" s="137">
        <v>885.07</v>
      </c>
      <c r="D19" s="137">
        <v>986.65</v>
      </c>
      <c r="E19" s="137">
        <v>951.7</v>
      </c>
      <c r="F19" s="132">
        <v>1032.94</v>
      </c>
      <c r="G19" s="132">
        <v>1092.6400000000001</v>
      </c>
      <c r="H19" s="119"/>
      <c r="I19" s="130"/>
      <c r="J19" s="134">
        <f t="shared" ref="J19:M26" si="2">(D19-C19)/C19</f>
        <v>0.11477058311771941</v>
      </c>
      <c r="K19" s="134">
        <f t="shared" si="2"/>
        <v>-3.5422895657021163E-2</v>
      </c>
      <c r="L19" s="134">
        <f t="shared" si="2"/>
        <v>8.5363034569717347E-2</v>
      </c>
      <c r="M19" s="134">
        <f t="shared" si="2"/>
        <v>5.7796193389741943E-2</v>
      </c>
    </row>
    <row r="20" spans="2:13" ht="14.25" customHeight="1" x14ac:dyDescent="0.3">
      <c r="B20" s="131" t="s">
        <v>252</v>
      </c>
      <c r="C20" s="132">
        <v>2364.9499999999998</v>
      </c>
      <c r="D20" s="132">
        <v>2781.47</v>
      </c>
      <c r="E20" s="132">
        <v>2766.51</v>
      </c>
      <c r="F20" s="132">
        <v>3259.16</v>
      </c>
      <c r="G20" s="132">
        <v>3632.9</v>
      </c>
      <c r="H20" s="119"/>
      <c r="I20" s="130"/>
      <c r="J20" s="134">
        <f t="shared" si="2"/>
        <v>0.17612211674665426</v>
      </c>
      <c r="K20" s="134">
        <f t="shared" si="2"/>
        <v>-5.3784509629798572E-3</v>
      </c>
      <c r="L20" s="134">
        <f t="shared" si="2"/>
        <v>0.17807634890168464</v>
      </c>
      <c r="M20" s="134">
        <f t="shared" si="2"/>
        <v>0.11467371960873361</v>
      </c>
    </row>
    <row r="21" spans="2:13" ht="15.75" customHeight="1" x14ac:dyDescent="0.3">
      <c r="B21" s="131" t="s">
        <v>253</v>
      </c>
      <c r="C21" s="132">
        <v>1427.15</v>
      </c>
      <c r="D21" s="132">
        <v>1607.74</v>
      </c>
      <c r="E21" s="132">
        <v>1776.08</v>
      </c>
      <c r="F21" s="132">
        <v>1905.95</v>
      </c>
      <c r="G21" s="132">
        <v>1978.23</v>
      </c>
      <c r="H21" s="119"/>
      <c r="I21" s="130"/>
      <c r="J21" s="134">
        <f t="shared" si="2"/>
        <v>0.12653890621168057</v>
      </c>
      <c r="K21" s="134">
        <f t="shared" si="2"/>
        <v>0.10470598479853703</v>
      </c>
      <c r="L21" s="134">
        <f t="shared" si="2"/>
        <v>7.312170622944919E-2</v>
      </c>
      <c r="M21" s="134">
        <f t="shared" si="2"/>
        <v>3.7923345313360779E-2</v>
      </c>
    </row>
    <row r="22" spans="2:13" ht="14.25" customHeight="1" x14ac:dyDescent="0.3">
      <c r="B22" s="131" t="s">
        <v>254</v>
      </c>
      <c r="C22" s="132">
        <v>1500.18</v>
      </c>
      <c r="D22" s="132">
        <v>1809.17</v>
      </c>
      <c r="E22" s="132">
        <v>2996.11</v>
      </c>
      <c r="F22" s="132">
        <v>6753.46</v>
      </c>
      <c r="G22" s="132">
        <v>2923.62</v>
      </c>
      <c r="H22" s="119"/>
      <c r="I22" s="130"/>
      <c r="J22" s="134">
        <f t="shared" si="2"/>
        <v>0.20596861709928141</v>
      </c>
      <c r="K22" s="134">
        <f t="shared" si="2"/>
        <v>0.65606880503214182</v>
      </c>
      <c r="L22" s="134">
        <f t="shared" si="2"/>
        <v>1.2540761187005818</v>
      </c>
      <c r="M22" s="134">
        <f t="shared" si="2"/>
        <v>-0.56709301602437867</v>
      </c>
    </row>
    <row r="23" spans="2:13" ht="14.25" customHeight="1" x14ac:dyDescent="0.3">
      <c r="B23" s="135" t="s">
        <v>255</v>
      </c>
      <c r="C23" s="136">
        <v>10843.45</v>
      </c>
      <c r="D23" s="136">
        <v>13164.32</v>
      </c>
      <c r="E23" s="136">
        <v>14978.74</v>
      </c>
      <c r="F23" s="136">
        <v>20524.93</v>
      </c>
      <c r="G23" s="136">
        <v>24114.76</v>
      </c>
      <c r="H23" s="119"/>
      <c r="I23" s="130"/>
      <c r="J23" s="134">
        <f t="shared" si="2"/>
        <v>0.21403427875814421</v>
      </c>
      <c r="K23" s="134">
        <f t="shared" si="2"/>
        <v>0.13782861553046416</v>
      </c>
      <c r="L23" s="134">
        <f t="shared" si="2"/>
        <v>0.37027079714315092</v>
      </c>
      <c r="M23" s="134">
        <f t="shared" si="2"/>
        <v>0.17490096190340226</v>
      </c>
    </row>
    <row r="24" spans="2:13" ht="15.75" customHeight="1" x14ac:dyDescent="0.3">
      <c r="B24" s="135" t="s">
        <v>256</v>
      </c>
      <c r="C24" s="136">
        <v>1018.02</v>
      </c>
      <c r="D24" s="143">
        <v>676.14</v>
      </c>
      <c r="E24" s="136">
        <v>2239.5700000000002</v>
      </c>
      <c r="F24" s="136">
        <v>3921.62</v>
      </c>
      <c r="G24" s="136">
        <v>4210.3999999999996</v>
      </c>
      <c r="H24" s="119"/>
      <c r="I24" s="130"/>
      <c r="J24" s="134">
        <f t="shared" si="2"/>
        <v>-0.33582837272352212</v>
      </c>
      <c r="K24" s="134">
        <f t="shared" si="2"/>
        <v>2.3122873961013997</v>
      </c>
      <c r="L24" s="134">
        <f t="shared" si="2"/>
        <v>0.75105935514406763</v>
      </c>
      <c r="M24" s="134">
        <f t="shared" si="2"/>
        <v>7.363793534304694E-2</v>
      </c>
    </row>
    <row r="25" spans="2:13" ht="14.25" customHeight="1" x14ac:dyDescent="0.3">
      <c r="B25" s="131" t="s">
        <v>257</v>
      </c>
      <c r="C25" s="137">
        <v>682.47</v>
      </c>
      <c r="D25" s="132">
        <v>1035.58</v>
      </c>
      <c r="E25" s="137">
        <v>-460.01</v>
      </c>
      <c r="F25" s="132">
        <v>-2846.77</v>
      </c>
      <c r="G25" s="132">
        <v>-1095.56</v>
      </c>
      <c r="H25" s="119"/>
      <c r="I25" s="130"/>
      <c r="J25" s="134">
        <f t="shared" si="2"/>
        <v>0.51740003223584907</v>
      </c>
      <c r="K25" s="134">
        <f t="shared" si="2"/>
        <v>-1.4442051797060584</v>
      </c>
      <c r="L25" s="134">
        <f t="shared" si="2"/>
        <v>5.1884959022629946</v>
      </c>
      <c r="M25" s="134">
        <f t="shared" si="2"/>
        <v>-0.61515682685991491</v>
      </c>
    </row>
    <row r="26" spans="2:13" ht="14.25" customHeight="1" x14ac:dyDescent="0.3">
      <c r="B26" s="121" t="s">
        <v>258</v>
      </c>
      <c r="C26" s="142">
        <v>1700.49</v>
      </c>
      <c r="D26" s="142">
        <v>1711.72</v>
      </c>
      <c r="E26" s="142">
        <v>1779.56</v>
      </c>
      <c r="F26" s="142">
        <v>1074.8499999999999</v>
      </c>
      <c r="G26" s="142">
        <v>3114.84</v>
      </c>
      <c r="H26" s="119"/>
      <c r="I26" s="130"/>
      <c r="J26" s="134">
        <f t="shared" si="2"/>
        <v>6.6039788531541011E-3</v>
      </c>
      <c r="K26" s="134">
        <f t="shared" si="2"/>
        <v>3.9632650199798981E-2</v>
      </c>
      <c r="L26" s="134">
        <f t="shared" si="2"/>
        <v>-0.39600238261143206</v>
      </c>
      <c r="M26" s="134">
        <f t="shared" si="2"/>
        <v>1.8979299437130766</v>
      </c>
    </row>
    <row r="27" spans="2:13" ht="15.75" customHeight="1" x14ac:dyDescent="0.3">
      <c r="B27" s="121" t="s">
        <v>259</v>
      </c>
      <c r="C27" s="123"/>
      <c r="D27" s="123"/>
      <c r="E27" s="123"/>
      <c r="F27" s="123"/>
      <c r="G27" s="130"/>
      <c r="H27" s="119"/>
      <c r="I27" s="130"/>
      <c r="J27" s="134"/>
      <c r="K27" s="134"/>
      <c r="L27" s="134"/>
      <c r="M27" s="134"/>
    </row>
    <row r="28" spans="2:13" ht="14.25" customHeight="1" x14ac:dyDescent="0.3">
      <c r="B28" s="131" t="s">
        <v>260</v>
      </c>
      <c r="C28" s="137">
        <v>244.23</v>
      </c>
      <c r="D28" s="137">
        <v>260.94</v>
      </c>
      <c r="E28" s="137">
        <v>298.60000000000002</v>
      </c>
      <c r="F28" s="137">
        <v>195.04</v>
      </c>
      <c r="G28" s="137">
        <v>392.8</v>
      </c>
      <c r="H28" s="119"/>
      <c r="I28" s="130"/>
      <c r="J28" s="134">
        <f t="shared" ref="J28:J36" si="3">(D28-C28)/C28</f>
        <v>6.841911313106501E-2</v>
      </c>
      <c r="K28" s="134">
        <f t="shared" ref="K28:K36" si="4">(E28-D28)/D28</f>
        <v>0.14432436575457969</v>
      </c>
      <c r="L28" s="134">
        <f t="shared" ref="L28:L36" si="5">(F28-E28)/E28</f>
        <v>-0.3468184862692566</v>
      </c>
      <c r="M28" s="134">
        <f t="shared" ref="M28:M36" si="6">(G28-F28)/F28</f>
        <v>1.0139458572600493</v>
      </c>
    </row>
    <row r="29" spans="2:13" ht="14.25" customHeight="1" x14ac:dyDescent="0.3">
      <c r="B29" s="131" t="s">
        <v>261</v>
      </c>
      <c r="C29" s="137">
        <v>191.83</v>
      </c>
      <c r="D29" s="137">
        <v>174.39</v>
      </c>
      <c r="E29" s="137">
        <v>281.52999999999997</v>
      </c>
      <c r="F29" s="137">
        <v>-16.05</v>
      </c>
      <c r="G29" s="137">
        <v>378.91</v>
      </c>
      <c r="H29" s="119"/>
      <c r="I29" s="130"/>
      <c r="J29" s="134">
        <f t="shared" si="3"/>
        <v>-9.0913829953604891E-2</v>
      </c>
      <c r="K29" s="134">
        <f t="shared" si="4"/>
        <v>0.61437009002809795</v>
      </c>
      <c r="L29" s="134">
        <f t="shared" si="5"/>
        <v>-1.0570099101339112</v>
      </c>
      <c r="M29" s="134">
        <f t="shared" si="6"/>
        <v>-24.608099688473523</v>
      </c>
    </row>
    <row r="30" spans="2:13" ht="14.25" customHeight="1" x14ac:dyDescent="0.3">
      <c r="B30" s="121" t="s">
        <v>262</v>
      </c>
      <c r="C30" s="123">
        <v>436.06</v>
      </c>
      <c r="D30" s="123">
        <v>435.33</v>
      </c>
      <c r="E30" s="123">
        <v>580.13</v>
      </c>
      <c r="F30" s="123">
        <v>178.99</v>
      </c>
      <c r="G30" s="123">
        <v>771.71</v>
      </c>
      <c r="H30" s="119"/>
      <c r="I30" s="130"/>
      <c r="J30" s="134">
        <f t="shared" si="3"/>
        <v>-1.6740815484108109E-3</v>
      </c>
      <c r="K30" s="134">
        <f t="shared" si="4"/>
        <v>0.33262122987159171</v>
      </c>
      <c r="L30" s="134">
        <f t="shared" si="5"/>
        <v>-0.69146570596245671</v>
      </c>
      <c r="M30" s="134">
        <f t="shared" si="6"/>
        <v>3.3114699145203641</v>
      </c>
    </row>
    <row r="31" spans="2:13" ht="15.75" customHeight="1" x14ac:dyDescent="0.3">
      <c r="B31" s="121" t="s">
        <v>263</v>
      </c>
      <c r="C31" s="142">
        <v>1264.43</v>
      </c>
      <c r="D31" s="142">
        <v>1276.3900000000001</v>
      </c>
      <c r="E31" s="142">
        <v>1199.43</v>
      </c>
      <c r="F31" s="123">
        <v>895.86</v>
      </c>
      <c r="G31" s="142">
        <v>2343.13</v>
      </c>
      <c r="H31" s="119"/>
      <c r="I31" s="130"/>
      <c r="J31" s="134">
        <f t="shared" si="3"/>
        <v>9.4588075259207996E-3</v>
      </c>
      <c r="K31" s="134">
        <f t="shared" si="4"/>
        <v>-6.0295050885701106E-2</v>
      </c>
      <c r="L31" s="134">
        <f t="shared" si="5"/>
        <v>-0.25309522022960912</v>
      </c>
      <c r="M31" s="134">
        <f t="shared" si="6"/>
        <v>1.615509119728529</v>
      </c>
    </row>
    <row r="32" spans="2:13" ht="14.25" customHeight="1" x14ac:dyDescent="0.3">
      <c r="B32" s="131" t="s">
        <v>264</v>
      </c>
      <c r="C32" s="137">
        <v>-28.68</v>
      </c>
      <c r="D32" s="137">
        <v>4.21</v>
      </c>
      <c r="E32" s="137">
        <v>-3.82</v>
      </c>
      <c r="F32" s="137">
        <v>25.83</v>
      </c>
      <c r="G32" s="137">
        <v>49.62</v>
      </c>
      <c r="H32" s="119"/>
      <c r="I32" s="130"/>
      <c r="J32" s="134">
        <f t="shared" si="3"/>
        <v>-1.146792189679219</v>
      </c>
      <c r="K32" s="134">
        <f t="shared" si="4"/>
        <v>-1.9073634204275534</v>
      </c>
      <c r="L32" s="134">
        <f t="shared" si="5"/>
        <v>-7.7617801047120416</v>
      </c>
      <c r="M32" s="134">
        <f t="shared" si="6"/>
        <v>0.92102206736353076</v>
      </c>
    </row>
    <row r="33" spans="2:13" ht="15.75" customHeight="1" x14ac:dyDescent="0.3">
      <c r="B33" s="121" t="s">
        <v>265</v>
      </c>
      <c r="C33" s="142">
        <v>1235.75</v>
      </c>
      <c r="D33" s="142">
        <v>1280.5999999999999</v>
      </c>
      <c r="E33" s="142">
        <v>1195.6099999999999</v>
      </c>
      <c r="F33" s="123">
        <v>921.69</v>
      </c>
      <c r="G33" s="142">
        <v>2392.75</v>
      </c>
      <c r="H33" s="119"/>
      <c r="I33" s="130"/>
      <c r="J33" s="134">
        <f t="shared" si="3"/>
        <v>3.62937487355856E-2</v>
      </c>
      <c r="K33" s="134">
        <f t="shared" si="4"/>
        <v>-6.6367327815086696E-2</v>
      </c>
      <c r="L33" s="134">
        <f t="shared" si="5"/>
        <v>-0.22910480842415157</v>
      </c>
      <c r="M33" s="134">
        <f t="shared" si="6"/>
        <v>1.5960463930388742</v>
      </c>
    </row>
    <row r="34" spans="2:13" ht="14.25" customHeight="1" x14ac:dyDescent="0.3">
      <c r="B34" s="135" t="s">
        <v>266</v>
      </c>
      <c r="C34" s="136">
        <v>1235.75</v>
      </c>
      <c r="D34" s="136">
        <v>1280.5999999999999</v>
      </c>
      <c r="E34" s="136">
        <v>1195.6099999999999</v>
      </c>
      <c r="F34" s="143">
        <v>921.69</v>
      </c>
      <c r="G34" s="136">
        <v>2392.75</v>
      </c>
      <c r="H34" s="119"/>
      <c r="I34" s="130"/>
      <c r="J34" s="134">
        <f t="shared" si="3"/>
        <v>3.62937487355856E-2</v>
      </c>
      <c r="K34" s="134">
        <f t="shared" si="4"/>
        <v>-6.6367327815086696E-2</v>
      </c>
      <c r="L34" s="134">
        <f t="shared" si="5"/>
        <v>-0.22910480842415157</v>
      </c>
      <c r="M34" s="134">
        <f t="shared" si="6"/>
        <v>1.5960463930388742</v>
      </c>
    </row>
    <row r="35" spans="2:13" ht="14.25" customHeight="1" x14ac:dyDescent="0.3">
      <c r="B35" s="131" t="s">
        <v>191</v>
      </c>
      <c r="C35" s="137">
        <v>-31.14</v>
      </c>
      <c r="D35" s="137">
        <v>-24.27</v>
      </c>
      <c r="E35" s="137">
        <v>-58.33</v>
      </c>
      <c r="F35" s="137">
        <v>138.28</v>
      </c>
      <c r="G35" s="137">
        <v>-110.21</v>
      </c>
      <c r="H35" s="119"/>
      <c r="I35" s="130"/>
      <c r="J35" s="134">
        <f t="shared" si="3"/>
        <v>-0.22061657032755302</v>
      </c>
      <c r="K35" s="134">
        <f t="shared" si="4"/>
        <v>1.4033786567779152</v>
      </c>
      <c r="L35" s="134">
        <f t="shared" si="5"/>
        <v>-3.370649751414367</v>
      </c>
      <c r="M35" s="134">
        <f t="shared" si="6"/>
        <v>-1.7970060746311831</v>
      </c>
    </row>
    <row r="36" spans="2:13" ht="15.75" customHeight="1" x14ac:dyDescent="0.3">
      <c r="B36" s="121" t="s">
        <v>267</v>
      </c>
      <c r="C36" s="142">
        <v>1204.6099999999999</v>
      </c>
      <c r="D36" s="142">
        <v>1256.33</v>
      </c>
      <c r="E36" s="142">
        <v>1137.28</v>
      </c>
      <c r="F36" s="142">
        <v>1059.97</v>
      </c>
      <c r="G36" s="142">
        <v>2282.54</v>
      </c>
      <c r="H36" s="119"/>
      <c r="I36" s="130"/>
      <c r="J36" s="134">
        <f t="shared" si="3"/>
        <v>4.2935057819543279E-2</v>
      </c>
      <c r="K36" s="134">
        <f t="shared" si="4"/>
        <v>-9.4760134677990618E-2</v>
      </c>
      <c r="L36" s="134">
        <f t="shared" si="5"/>
        <v>-6.7977982554867714E-2</v>
      </c>
      <c r="M36" s="134">
        <f t="shared" si="6"/>
        <v>1.1534005679406021</v>
      </c>
    </row>
    <row r="37" spans="2:13" ht="15.75" customHeight="1" x14ac:dyDescent="0.3">
      <c r="B37" s="121" t="s">
        <v>226</v>
      </c>
      <c r="C37" s="123"/>
      <c r="D37" s="123"/>
      <c r="E37" s="123"/>
      <c r="F37" s="123"/>
      <c r="G37" s="130"/>
      <c r="H37" s="119"/>
      <c r="I37" s="130"/>
      <c r="J37" s="134"/>
      <c r="K37" s="134"/>
      <c r="L37" s="134"/>
      <c r="M37" s="134"/>
    </row>
    <row r="38" spans="2:13" ht="14.25" customHeight="1" x14ac:dyDescent="0.3">
      <c r="B38" s="121" t="s">
        <v>268</v>
      </c>
      <c r="C38" s="123"/>
      <c r="D38" s="123"/>
      <c r="E38" s="123"/>
      <c r="F38" s="123"/>
      <c r="G38" s="130"/>
      <c r="H38" s="119"/>
      <c r="I38" s="130"/>
      <c r="J38" s="134"/>
      <c r="K38" s="134"/>
      <c r="L38" s="134"/>
      <c r="M38" s="134"/>
    </row>
    <row r="39" spans="2:13" ht="14.25" customHeight="1" x14ac:dyDescent="0.3">
      <c r="B39" s="131" t="s">
        <v>269</v>
      </c>
      <c r="C39" s="137">
        <v>9</v>
      </c>
      <c r="D39" s="137">
        <v>11</v>
      </c>
      <c r="E39" s="137">
        <v>10</v>
      </c>
      <c r="F39" s="137">
        <v>9</v>
      </c>
      <c r="G39" s="137">
        <v>19</v>
      </c>
      <c r="H39" s="119"/>
      <c r="I39" s="130"/>
      <c r="J39" s="134">
        <f t="shared" ref="J39:M40" si="7">(D39-C39)/C39</f>
        <v>0.22222222222222221</v>
      </c>
      <c r="K39" s="134">
        <f t="shared" si="7"/>
        <v>-9.0909090909090912E-2</v>
      </c>
      <c r="L39" s="134">
        <f t="shared" si="7"/>
        <v>-0.1</v>
      </c>
      <c r="M39" s="134">
        <f t="shared" si="7"/>
        <v>1.1111111111111112</v>
      </c>
    </row>
    <row r="40" spans="2:13" ht="14.25" customHeight="1" x14ac:dyDescent="0.3">
      <c r="B40" s="131" t="s">
        <v>270</v>
      </c>
      <c r="C40" s="137">
        <v>5</v>
      </c>
      <c r="D40" s="137">
        <v>11</v>
      </c>
      <c r="E40" s="137">
        <v>10</v>
      </c>
      <c r="F40" s="137">
        <v>9</v>
      </c>
      <c r="G40" s="137">
        <v>19</v>
      </c>
      <c r="H40" s="119"/>
      <c r="I40" s="130"/>
      <c r="J40" s="134">
        <f t="shared" si="7"/>
        <v>1.2</v>
      </c>
      <c r="K40" s="134">
        <f t="shared" si="7"/>
        <v>-9.0909090909090912E-2</v>
      </c>
      <c r="L40" s="134">
        <f t="shared" si="7"/>
        <v>-0.1</v>
      </c>
      <c r="M40" s="134">
        <f t="shared" si="7"/>
        <v>1.1111111111111112</v>
      </c>
    </row>
    <row r="41" spans="2:13" ht="15.75" customHeight="1" x14ac:dyDescent="0.3">
      <c r="B41" s="121" t="s">
        <v>271</v>
      </c>
      <c r="C41" s="123"/>
      <c r="D41" s="123"/>
      <c r="E41" s="123"/>
      <c r="F41" s="123"/>
      <c r="G41" s="130"/>
      <c r="H41" s="119"/>
      <c r="I41" s="130"/>
      <c r="J41" s="130"/>
      <c r="K41" s="130"/>
      <c r="L41" s="130"/>
      <c r="M41" s="130"/>
    </row>
    <row r="42" spans="2:13" ht="14.25" customHeight="1" x14ac:dyDescent="0.3">
      <c r="B42" s="138"/>
      <c r="C42" s="139"/>
      <c r="D42" s="139"/>
      <c r="E42" s="139"/>
      <c r="F42" s="139"/>
      <c r="G42" s="140"/>
    </row>
    <row r="43" spans="2:13" ht="14.25" customHeight="1" x14ac:dyDescent="0.3">
      <c r="B43" s="272"/>
      <c r="C43" s="243"/>
    </row>
    <row r="44" spans="2:13" ht="14.25" customHeight="1" x14ac:dyDescent="0.3">
      <c r="B44" s="270"/>
      <c r="C44" s="243"/>
    </row>
    <row r="45" spans="2:13" ht="14.25" customHeight="1" x14ac:dyDescent="0.3">
      <c r="B45" s="273" t="s">
        <v>236</v>
      </c>
      <c r="C45" s="243"/>
      <c r="D45" s="139"/>
      <c r="E45" s="139"/>
      <c r="F45" s="139"/>
      <c r="G45" s="139"/>
      <c r="H45" s="139"/>
    </row>
    <row r="46" spans="2:13" ht="14.25" customHeight="1" x14ac:dyDescent="0.3">
      <c r="B46" s="270"/>
      <c r="C46" s="243"/>
      <c r="D46" s="139"/>
      <c r="E46" s="139"/>
      <c r="F46" s="139"/>
      <c r="G46" s="139"/>
      <c r="H46" s="139"/>
    </row>
  </sheetData>
  <mergeCells count="7">
    <mergeCell ref="B44:C44"/>
    <mergeCell ref="I6:M6"/>
    <mergeCell ref="B45:C45"/>
    <mergeCell ref="B46:C46"/>
    <mergeCell ref="B43:C43"/>
    <mergeCell ref="B1:M1"/>
    <mergeCell ref="B2:M2"/>
  </mergeCells>
  <pageMargins left="0.7" right="0.7" top="0.75" bottom="0.75"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L13"/>
  <sheetViews>
    <sheetView showGridLines="0" zoomScale="107" zoomScaleNormal="117" workbookViewId="0">
      <selection activeCell="J4" sqref="J4"/>
    </sheetView>
  </sheetViews>
  <sheetFormatPr defaultColWidth="8.6328125" defaultRowHeight="14" x14ac:dyDescent="0.3"/>
  <cols>
    <col min="1" max="1" width="1.90625" style="15" customWidth="1"/>
    <col min="2" max="2" width="18.453125" style="15" customWidth="1"/>
    <col min="3" max="3" width="8.6328125" style="15"/>
    <col min="4" max="4" width="5.36328125" style="15" customWidth="1"/>
    <col min="5" max="6" width="5.6328125" style="15" customWidth="1"/>
    <col min="7" max="7" width="5.36328125" style="15" customWidth="1"/>
    <col min="8" max="16384" width="8.6328125" style="15"/>
  </cols>
  <sheetData>
    <row r="1" spans="2:12" ht="27.75" customHeight="1" x14ac:dyDescent="0.35">
      <c r="B1" s="343" t="s">
        <v>10</v>
      </c>
      <c r="C1" s="344"/>
      <c r="D1" s="344"/>
      <c r="E1" s="344"/>
      <c r="F1" s="344"/>
      <c r="G1" s="344"/>
    </row>
    <row r="2" spans="2:12" ht="24" customHeight="1" x14ac:dyDescent="0.3">
      <c r="B2" s="342" t="s">
        <v>272</v>
      </c>
      <c r="C2" s="342"/>
      <c r="D2" s="342"/>
      <c r="E2" s="342"/>
      <c r="F2" s="342"/>
      <c r="G2" s="342"/>
    </row>
    <row r="3" spans="2:12" ht="14.25" customHeight="1" x14ac:dyDescent="0.3">
      <c r="B3" s="144"/>
      <c r="C3" s="129" t="s">
        <v>180</v>
      </c>
      <c r="D3" s="145">
        <v>46082</v>
      </c>
      <c r="E3" s="145">
        <v>45717</v>
      </c>
      <c r="F3" s="145">
        <v>45717</v>
      </c>
      <c r="G3" s="145">
        <v>45352</v>
      </c>
    </row>
    <row r="4" spans="2:12" ht="14.25" customHeight="1" x14ac:dyDescent="0.3">
      <c r="B4" s="124"/>
      <c r="C4" s="124"/>
      <c r="D4" s="124"/>
      <c r="E4" s="124"/>
      <c r="F4" s="124"/>
      <c r="G4" s="124"/>
      <c r="H4" s="146"/>
      <c r="I4" s="146"/>
      <c r="J4" s="146"/>
      <c r="K4" s="146"/>
      <c r="L4" s="146"/>
    </row>
    <row r="5" spans="2:12" ht="14.25" customHeight="1" x14ac:dyDescent="0.3">
      <c r="B5" s="126"/>
      <c r="C5" s="127" t="s">
        <v>181</v>
      </c>
      <c r="D5" s="127" t="s">
        <v>181</v>
      </c>
      <c r="E5" s="127" t="s">
        <v>181</v>
      </c>
      <c r="F5" s="127" t="s">
        <v>181</v>
      </c>
      <c r="G5" s="127" t="s">
        <v>181</v>
      </c>
    </row>
    <row r="6" spans="2:12" ht="14.25" customHeight="1" x14ac:dyDescent="0.3">
      <c r="B6" s="124"/>
      <c r="C6" s="124"/>
      <c r="D6" s="124"/>
      <c r="E6" s="124"/>
      <c r="F6" s="124"/>
      <c r="G6" s="124"/>
      <c r="H6" s="146"/>
      <c r="I6" s="146"/>
      <c r="J6" s="146"/>
      <c r="K6" s="146"/>
      <c r="L6" s="146"/>
    </row>
    <row r="7" spans="2:12" ht="15.75" customHeight="1" x14ac:dyDescent="0.3">
      <c r="B7" s="120" t="s">
        <v>273</v>
      </c>
      <c r="C7" s="147">
        <v>631.36</v>
      </c>
      <c r="D7" s="147">
        <v>631.36</v>
      </c>
      <c r="E7" s="147">
        <v>626.6</v>
      </c>
      <c r="F7" s="147">
        <v>626.6</v>
      </c>
      <c r="G7" s="147">
        <v>659.34</v>
      </c>
    </row>
    <row r="8" spans="2:12" ht="15.75" customHeight="1" x14ac:dyDescent="0.3">
      <c r="B8" s="126" t="s">
        <v>274</v>
      </c>
      <c r="C8" s="127">
        <v>441.92</v>
      </c>
      <c r="D8" s="127">
        <v>441.92</v>
      </c>
      <c r="E8" s="127">
        <v>-955.19</v>
      </c>
      <c r="F8" s="127">
        <v>-955.19</v>
      </c>
      <c r="G8" s="127">
        <v>-209.49</v>
      </c>
    </row>
    <row r="9" spans="2:12" ht="15.75" customHeight="1" x14ac:dyDescent="0.3">
      <c r="B9" s="126" t="s">
        <v>275</v>
      </c>
      <c r="C9" s="148">
        <v>-3695.05</v>
      </c>
      <c r="D9" s="148">
        <v>-3695.05</v>
      </c>
      <c r="E9" s="148">
        <v>-9164.34</v>
      </c>
      <c r="F9" s="148">
        <v>-9164.34</v>
      </c>
      <c r="G9" s="148">
        <v>-2000.95</v>
      </c>
    </row>
    <row r="10" spans="2:12" ht="15.75" customHeight="1" x14ac:dyDescent="0.3">
      <c r="B10" s="126" t="s">
        <v>276</v>
      </c>
      <c r="C10" s="148">
        <v>2827.78</v>
      </c>
      <c r="D10" s="148">
        <v>2827.78</v>
      </c>
      <c r="E10" s="148">
        <v>10587.48</v>
      </c>
      <c r="F10" s="148">
        <v>10587.48</v>
      </c>
      <c r="G10" s="148">
        <v>2210.16</v>
      </c>
    </row>
    <row r="11" spans="2:12" ht="15.75" customHeight="1" x14ac:dyDescent="0.3">
      <c r="B11" s="120" t="s">
        <v>277</v>
      </c>
      <c r="C11" s="147">
        <v>-425.35</v>
      </c>
      <c r="D11" s="147">
        <v>-425.35</v>
      </c>
      <c r="E11" s="147">
        <v>467.95</v>
      </c>
      <c r="F11" s="147">
        <v>467.95</v>
      </c>
      <c r="G11" s="147">
        <v>-0.28000000000000003</v>
      </c>
    </row>
    <row r="12" spans="2:12" ht="15.75" customHeight="1" x14ac:dyDescent="0.3">
      <c r="B12" s="126" t="s">
        <v>278</v>
      </c>
      <c r="C12" s="127">
        <v>470.31</v>
      </c>
      <c r="D12" s="127">
        <v>470.31</v>
      </c>
      <c r="E12" s="127">
        <v>2.36</v>
      </c>
      <c r="F12" s="127">
        <v>2.36</v>
      </c>
      <c r="G12" s="127">
        <v>2.64</v>
      </c>
    </row>
    <row r="13" spans="2:12" ht="15.75" customHeight="1" x14ac:dyDescent="0.3">
      <c r="B13" s="126" t="s">
        <v>279</v>
      </c>
      <c r="C13" s="127">
        <v>44.96</v>
      </c>
      <c r="D13" s="127">
        <v>44.96</v>
      </c>
      <c r="E13" s="127">
        <v>470.31</v>
      </c>
      <c r="F13" s="127">
        <v>470.31</v>
      </c>
      <c r="G13" s="127">
        <v>2.36</v>
      </c>
    </row>
  </sheetData>
  <mergeCells count="2">
    <mergeCell ref="B1:G1"/>
    <mergeCell ref="B2:G2"/>
  </mergeCells>
  <pageMargins left="0.7" right="0.7" top="0.75" bottom="0.75"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CD90B-F61F-4AB8-AC79-EFDCA76DABC3}">
  <dimension ref="B1:K6"/>
  <sheetViews>
    <sheetView showGridLines="0" zoomScale="63" workbookViewId="0">
      <selection activeCell="C6" sqref="C6:K6"/>
    </sheetView>
  </sheetViews>
  <sheetFormatPr defaultRowHeight="14" x14ac:dyDescent="0.3"/>
  <cols>
    <col min="1" max="1" width="1.81640625" style="15" customWidth="1"/>
    <col min="2" max="2" width="32.6328125" style="15" customWidth="1"/>
    <col min="3" max="4" width="8.7265625" style="15"/>
    <col min="5" max="5" width="13.1796875" style="15" customWidth="1"/>
    <col min="6" max="6" width="13.36328125" style="15" customWidth="1"/>
    <col min="7" max="7" width="8.7265625" style="15"/>
    <col min="8" max="8" width="15.90625" style="15" customWidth="1"/>
    <col min="9" max="9" width="15.81640625" style="15" customWidth="1"/>
    <col min="10" max="10" width="8.7265625" style="15"/>
    <col min="11" max="11" width="13.1796875" style="15" customWidth="1"/>
    <col min="12" max="16384" width="8.7265625" style="15"/>
  </cols>
  <sheetData>
    <row r="1" spans="2:11" ht="23" customHeight="1" x14ac:dyDescent="0.3">
      <c r="B1" s="149" t="s">
        <v>603</v>
      </c>
      <c r="C1" s="274" t="s">
        <v>604</v>
      </c>
      <c r="D1" s="274"/>
      <c r="E1" s="274"/>
      <c r="F1" s="274"/>
      <c r="G1" s="274"/>
      <c r="H1" s="274"/>
      <c r="I1" s="274"/>
      <c r="J1" s="274"/>
      <c r="K1" s="274"/>
    </row>
    <row r="2" spans="2:11" ht="77.5" customHeight="1" x14ac:dyDescent="0.3">
      <c r="B2" s="150" t="s">
        <v>41</v>
      </c>
      <c r="C2" s="275" t="s">
        <v>606</v>
      </c>
      <c r="D2" s="275"/>
      <c r="E2" s="275"/>
      <c r="F2" s="275"/>
      <c r="G2" s="275"/>
      <c r="H2" s="275"/>
      <c r="I2" s="275"/>
      <c r="J2" s="275"/>
      <c r="K2" s="275"/>
    </row>
    <row r="3" spans="2:11" ht="75.5" customHeight="1" x14ac:dyDescent="0.3">
      <c r="B3" s="151" t="s">
        <v>607</v>
      </c>
      <c r="C3" s="276" t="s">
        <v>605</v>
      </c>
      <c r="D3" s="276"/>
      <c r="E3" s="276"/>
      <c r="F3" s="276"/>
      <c r="G3" s="276"/>
      <c r="H3" s="276"/>
      <c r="I3" s="276"/>
      <c r="J3" s="276"/>
      <c r="K3" s="276"/>
    </row>
    <row r="4" spans="2:11" ht="53" customHeight="1" x14ac:dyDescent="0.3">
      <c r="B4" s="151" t="s">
        <v>609</v>
      </c>
      <c r="C4" s="276" t="s">
        <v>608</v>
      </c>
      <c r="D4" s="276"/>
      <c r="E4" s="276"/>
      <c r="F4" s="276"/>
      <c r="G4" s="276"/>
      <c r="H4" s="276"/>
      <c r="I4" s="276"/>
      <c r="J4" s="276"/>
      <c r="K4" s="276"/>
    </row>
    <row r="5" spans="2:11" ht="53" customHeight="1" x14ac:dyDescent="0.3">
      <c r="B5" s="151" t="s">
        <v>610</v>
      </c>
      <c r="C5" s="276" t="s">
        <v>611</v>
      </c>
      <c r="D5" s="276"/>
      <c r="E5" s="276"/>
      <c r="F5" s="276"/>
      <c r="G5" s="276"/>
      <c r="H5" s="276"/>
      <c r="I5" s="276"/>
      <c r="J5" s="276"/>
      <c r="K5" s="276"/>
    </row>
    <row r="6" spans="2:11" ht="55.5" customHeight="1" x14ac:dyDescent="0.3">
      <c r="B6" s="151" t="s">
        <v>612</v>
      </c>
      <c r="C6" s="276" t="s">
        <v>613</v>
      </c>
      <c r="D6" s="276"/>
      <c r="E6" s="276"/>
      <c r="F6" s="276"/>
      <c r="G6" s="276"/>
      <c r="H6" s="276"/>
      <c r="I6" s="276"/>
      <c r="J6" s="276"/>
      <c r="K6" s="276"/>
    </row>
  </sheetData>
  <mergeCells count="6">
    <mergeCell ref="C6:K6"/>
    <mergeCell ref="C1:K1"/>
    <mergeCell ref="C2:K2"/>
    <mergeCell ref="C3:K3"/>
    <mergeCell ref="C4:K4"/>
    <mergeCell ref="C5:K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34"/>
  <sheetViews>
    <sheetView showGridLines="0" topLeftCell="A8" zoomScale="60" zoomScaleNormal="101" workbookViewId="0">
      <selection activeCell="G34" sqref="G34"/>
    </sheetView>
  </sheetViews>
  <sheetFormatPr defaultColWidth="8.6328125" defaultRowHeight="14" x14ac:dyDescent="0.3"/>
  <cols>
    <col min="1" max="1" width="2" style="15" customWidth="1"/>
    <col min="2" max="2" width="28" style="15" customWidth="1"/>
    <col min="3" max="7" width="13" style="15" customWidth="1"/>
    <col min="8" max="8" width="16" style="15" customWidth="1"/>
    <col min="9" max="9" width="13" style="15" customWidth="1"/>
    <col min="10" max="10" width="16" style="15" customWidth="1"/>
    <col min="11" max="12" width="8.6328125" style="15" customWidth="1"/>
    <col min="13" max="16384" width="8.6328125" style="15"/>
  </cols>
  <sheetData>
    <row r="2" spans="2:12" ht="25.5" customHeight="1" x14ac:dyDescent="0.3">
      <c r="B2" s="279" t="s">
        <v>147</v>
      </c>
      <c r="C2" s="243"/>
      <c r="D2" s="243"/>
      <c r="E2" s="243"/>
      <c r="F2" s="243"/>
      <c r="G2" s="243"/>
      <c r="H2" s="243"/>
      <c r="I2" s="243"/>
      <c r="J2" s="243"/>
    </row>
    <row r="3" spans="2:12" ht="25.5" customHeight="1" x14ac:dyDescent="0.3">
      <c r="B3" s="1"/>
      <c r="C3" s="1"/>
      <c r="D3" s="1"/>
      <c r="E3" s="1"/>
      <c r="F3" s="1"/>
      <c r="G3" s="1"/>
      <c r="H3" s="1"/>
      <c r="I3" s="1"/>
      <c r="J3" s="1"/>
    </row>
    <row r="4" spans="2:12" ht="25.5" customHeight="1" x14ac:dyDescent="0.3">
      <c r="B4" s="1"/>
      <c r="C4" s="1"/>
      <c r="D4" s="1"/>
      <c r="E4" s="1"/>
      <c r="F4" s="1"/>
      <c r="G4" s="1"/>
      <c r="H4" s="1"/>
      <c r="I4" s="1"/>
      <c r="J4" s="1"/>
    </row>
    <row r="5" spans="2:12" ht="25.5" customHeight="1" x14ac:dyDescent="0.3">
      <c r="B5" s="1"/>
      <c r="C5" s="1"/>
      <c r="D5" s="1"/>
      <c r="E5" s="1"/>
      <c r="F5" s="1"/>
      <c r="G5" s="1"/>
      <c r="H5" s="1"/>
      <c r="I5" s="1"/>
      <c r="J5" s="1"/>
    </row>
    <row r="6" spans="2:12" ht="25.5" customHeight="1" x14ac:dyDescent="0.3">
      <c r="B6" s="1"/>
      <c r="C6" s="1"/>
      <c r="D6" s="1"/>
      <c r="E6" s="1"/>
      <c r="F6" s="1"/>
      <c r="G6" s="1"/>
      <c r="H6" s="1"/>
      <c r="I6" s="1"/>
      <c r="J6" s="1"/>
    </row>
    <row r="7" spans="2:12" ht="25.5" customHeight="1" x14ac:dyDescent="0.3">
      <c r="B7" s="1"/>
      <c r="C7" s="1"/>
      <c r="D7" s="1"/>
      <c r="E7" s="1"/>
      <c r="F7" s="1"/>
      <c r="G7" s="1"/>
      <c r="H7" s="1"/>
      <c r="I7" s="1"/>
      <c r="J7" s="1"/>
    </row>
    <row r="8" spans="2:12" ht="25.5" customHeight="1" x14ac:dyDescent="0.3">
      <c r="B8" s="1"/>
      <c r="C8" s="1"/>
      <c r="D8" s="1"/>
      <c r="E8" s="1"/>
      <c r="F8" s="1"/>
      <c r="G8" s="1"/>
      <c r="H8" s="1"/>
      <c r="I8" s="1"/>
      <c r="J8" s="1"/>
    </row>
    <row r="9" spans="2:12" ht="25.5" customHeight="1" x14ac:dyDescent="0.3">
      <c r="B9" s="1"/>
      <c r="C9" s="1"/>
      <c r="D9" s="1"/>
      <c r="E9" s="1"/>
      <c r="F9" s="1"/>
      <c r="G9" s="1"/>
      <c r="H9" s="1"/>
      <c r="I9" s="1"/>
      <c r="J9" s="1"/>
    </row>
    <row r="10" spans="2:12" ht="25.5" customHeight="1" x14ac:dyDescent="0.3">
      <c r="B10" s="1"/>
      <c r="C10" s="1"/>
      <c r="D10" s="1"/>
      <c r="E10" s="1"/>
      <c r="F10" s="1"/>
      <c r="G10" s="1"/>
      <c r="H10" s="1"/>
      <c r="I10" s="1"/>
      <c r="J10" s="1"/>
    </row>
    <row r="11" spans="2:12" ht="25.5" customHeight="1" x14ac:dyDescent="0.3">
      <c r="B11" s="1"/>
      <c r="C11" s="1"/>
      <c r="D11" s="1"/>
      <c r="E11" s="1"/>
      <c r="F11" s="1"/>
      <c r="G11" s="1"/>
      <c r="H11" s="1"/>
      <c r="I11" s="1"/>
      <c r="J11" s="1"/>
    </row>
    <row r="12" spans="2:12" ht="25.5" customHeight="1" x14ac:dyDescent="0.3">
      <c r="B12" s="1"/>
      <c r="C12" s="1"/>
      <c r="D12" s="1"/>
      <c r="E12" s="1"/>
      <c r="F12" s="1"/>
      <c r="G12" s="1"/>
      <c r="H12" s="1"/>
      <c r="I12" s="1"/>
      <c r="J12" s="1"/>
    </row>
    <row r="13" spans="2:12" ht="25.5" customHeight="1" x14ac:dyDescent="0.3">
      <c r="B13" s="1"/>
      <c r="C13" s="1"/>
      <c r="D13" s="1"/>
      <c r="E13" s="1"/>
      <c r="F13" s="1"/>
      <c r="G13" s="1"/>
      <c r="H13" s="1"/>
      <c r="I13" s="1"/>
      <c r="J13" s="1"/>
    </row>
    <row r="14" spans="2:12" ht="25.5" customHeight="1" x14ac:dyDescent="0.3">
      <c r="B14" s="1"/>
      <c r="C14" s="1"/>
      <c r="D14" s="1"/>
      <c r="E14" s="1"/>
      <c r="F14" s="1"/>
      <c r="G14" s="1"/>
      <c r="H14" s="1"/>
      <c r="I14" s="1"/>
      <c r="J14" s="1"/>
    </row>
    <row r="15" spans="2:12" ht="14.25" customHeight="1" x14ac:dyDescent="0.3">
      <c r="B15" s="277"/>
      <c r="C15" s="243"/>
      <c r="D15" s="243"/>
      <c r="E15" s="243"/>
      <c r="F15" s="243"/>
      <c r="G15" s="243"/>
      <c r="H15" s="243"/>
      <c r="I15" s="243"/>
      <c r="J15" s="243"/>
    </row>
    <row r="16" spans="2:12" ht="3" customHeight="1" x14ac:dyDescent="0.3">
      <c r="B16" s="16"/>
      <c r="C16" s="16"/>
      <c r="D16" s="16"/>
      <c r="E16" s="16"/>
      <c r="F16" s="16"/>
      <c r="G16" s="16"/>
      <c r="H16" s="16"/>
      <c r="I16" s="16"/>
      <c r="J16" s="16"/>
      <c r="K16" s="16"/>
      <c r="L16" s="16"/>
    </row>
    <row r="18" spans="2:12" ht="13.5" customHeight="1" x14ac:dyDescent="0.3">
      <c r="B18" s="14" t="s">
        <v>148</v>
      </c>
      <c r="C18" s="13"/>
      <c r="D18" s="11"/>
      <c r="E18" s="278" t="s">
        <v>149</v>
      </c>
      <c r="F18" s="243"/>
      <c r="G18" s="243"/>
      <c r="H18" s="243"/>
      <c r="I18" s="243"/>
      <c r="J18" s="243"/>
      <c r="K18" s="243"/>
      <c r="L18" s="243"/>
    </row>
    <row r="19" spans="2:12" ht="13.5" customHeight="1" x14ac:dyDescent="0.3">
      <c r="B19" s="18" t="s">
        <v>150</v>
      </c>
      <c r="C19" s="19" t="s">
        <v>151</v>
      </c>
      <c r="D19" s="12"/>
      <c r="E19" s="280" t="s">
        <v>152</v>
      </c>
      <c r="F19" s="243"/>
      <c r="G19" s="243"/>
      <c r="H19" s="243"/>
      <c r="I19" s="243"/>
      <c r="J19" s="243"/>
      <c r="K19" s="243"/>
      <c r="L19" s="243"/>
    </row>
    <row r="20" spans="2:12" ht="13.5" customHeight="1" x14ac:dyDescent="0.3">
      <c r="B20" s="20" t="s">
        <v>153</v>
      </c>
      <c r="C20" s="21" t="s">
        <v>154</v>
      </c>
      <c r="D20" s="12"/>
      <c r="E20" s="243"/>
      <c r="F20" s="243"/>
      <c r="G20" s="243"/>
      <c r="H20" s="243"/>
      <c r="I20" s="243"/>
      <c r="J20" s="243"/>
      <c r="K20" s="243"/>
      <c r="L20" s="243"/>
    </row>
    <row r="21" spans="2:12" ht="13.5" customHeight="1" x14ac:dyDescent="0.3">
      <c r="B21" s="18" t="s">
        <v>155</v>
      </c>
      <c r="C21" s="19" t="s">
        <v>156</v>
      </c>
      <c r="D21" s="12"/>
      <c r="E21" s="243"/>
      <c r="F21" s="243"/>
      <c r="G21" s="243"/>
      <c r="H21" s="243"/>
      <c r="I21" s="243"/>
      <c r="J21" s="243"/>
      <c r="K21" s="243"/>
      <c r="L21" s="243"/>
    </row>
    <row r="22" spans="2:12" ht="13.5" customHeight="1" x14ac:dyDescent="0.3">
      <c r="B22" s="20" t="s">
        <v>157</v>
      </c>
      <c r="C22" s="21" t="s">
        <v>158</v>
      </c>
      <c r="D22" s="12"/>
      <c r="E22" s="243"/>
      <c r="F22" s="243"/>
      <c r="G22" s="243"/>
      <c r="H22" s="243"/>
      <c r="I22" s="243"/>
      <c r="J22" s="243"/>
      <c r="K22" s="243"/>
      <c r="L22" s="243"/>
    </row>
    <row r="23" spans="2:12" ht="13.5" customHeight="1" x14ac:dyDescent="0.3">
      <c r="B23" s="18" t="s">
        <v>159</v>
      </c>
      <c r="C23" s="19" t="s">
        <v>160</v>
      </c>
      <c r="D23" s="12"/>
      <c r="E23" s="243"/>
      <c r="F23" s="243"/>
      <c r="G23" s="243"/>
      <c r="H23" s="243"/>
      <c r="I23" s="243"/>
      <c r="J23" s="243"/>
      <c r="K23" s="243"/>
      <c r="L23" s="243"/>
    </row>
    <row r="24" spans="2:12" ht="13.5" customHeight="1" x14ac:dyDescent="0.3">
      <c r="B24" s="20" t="s">
        <v>161</v>
      </c>
      <c r="C24" s="21" t="s">
        <v>162</v>
      </c>
      <c r="D24" s="12"/>
      <c r="E24" s="243"/>
      <c r="F24" s="243"/>
      <c r="G24" s="243"/>
      <c r="H24" s="243"/>
      <c r="I24" s="243"/>
      <c r="J24" s="243"/>
      <c r="K24" s="243"/>
      <c r="L24" s="243"/>
    </row>
    <row r="25" spans="2:12" ht="13.5" customHeight="1" x14ac:dyDescent="0.3">
      <c r="B25" s="18" t="s">
        <v>163</v>
      </c>
      <c r="C25" s="19" t="s">
        <v>164</v>
      </c>
      <c r="D25" s="12"/>
      <c r="E25" s="243"/>
      <c r="F25" s="243"/>
      <c r="G25" s="243"/>
      <c r="H25" s="243"/>
      <c r="I25" s="243"/>
      <c r="J25" s="243"/>
      <c r="K25" s="243"/>
      <c r="L25" s="243"/>
    </row>
    <row r="26" spans="2:12" ht="13.5" customHeight="1" x14ac:dyDescent="0.3">
      <c r="B26" s="20" t="s">
        <v>165</v>
      </c>
      <c r="C26" s="21" t="s">
        <v>166</v>
      </c>
      <c r="D26" s="12"/>
      <c r="E26" s="243"/>
      <c r="F26" s="243"/>
      <c r="G26" s="243"/>
      <c r="H26" s="243"/>
      <c r="I26" s="243"/>
      <c r="J26" s="243"/>
      <c r="K26" s="243"/>
      <c r="L26" s="243"/>
    </row>
    <row r="27" spans="2:12" ht="13.5" customHeight="1" x14ac:dyDescent="0.3">
      <c r="B27" s="18" t="s">
        <v>167</v>
      </c>
      <c r="C27" s="19" t="s">
        <v>168</v>
      </c>
      <c r="D27" s="12"/>
      <c r="E27" s="243"/>
      <c r="F27" s="243"/>
      <c r="G27" s="243"/>
      <c r="H27" s="243"/>
      <c r="I27" s="243"/>
      <c r="J27" s="243"/>
      <c r="K27" s="243"/>
      <c r="L27" s="243"/>
    </row>
    <row r="28" spans="2:12" ht="13.5" customHeight="1" x14ac:dyDescent="0.3">
      <c r="B28" s="20" t="s">
        <v>169</v>
      </c>
      <c r="C28" s="21" t="s">
        <v>170</v>
      </c>
      <c r="D28" s="12"/>
      <c r="E28" s="243"/>
      <c r="F28" s="243"/>
      <c r="G28" s="243"/>
      <c r="H28" s="243"/>
      <c r="I28" s="243"/>
      <c r="J28" s="243"/>
      <c r="K28" s="243"/>
      <c r="L28" s="243"/>
    </row>
    <row r="29" spans="2:12" ht="13.5" customHeight="1" x14ac:dyDescent="0.3">
      <c r="B29" s="18" t="s">
        <v>171</v>
      </c>
      <c r="C29" s="19" t="s">
        <v>172</v>
      </c>
      <c r="D29" s="12"/>
      <c r="E29" s="243"/>
      <c r="F29" s="243"/>
      <c r="G29" s="243"/>
      <c r="H29" s="243"/>
      <c r="I29" s="243"/>
      <c r="J29" s="243"/>
      <c r="K29" s="243"/>
      <c r="L29" s="243"/>
    </row>
    <row r="30" spans="2:12" ht="13.5" customHeight="1" x14ac:dyDescent="0.3">
      <c r="B30" s="20" t="s">
        <v>173</v>
      </c>
      <c r="C30" s="21" t="s">
        <v>174</v>
      </c>
      <c r="D30" s="12"/>
      <c r="E30" s="243"/>
      <c r="F30" s="243"/>
      <c r="G30" s="243"/>
      <c r="H30" s="243"/>
      <c r="I30" s="243"/>
      <c r="J30" s="243"/>
      <c r="K30" s="243"/>
      <c r="L30" s="243"/>
    </row>
    <row r="31" spans="2:12" ht="13.5" customHeight="1" x14ac:dyDescent="0.3">
      <c r="B31" s="18" t="s">
        <v>175</v>
      </c>
      <c r="C31" s="19" t="s">
        <v>176</v>
      </c>
      <c r="E31" s="243"/>
      <c r="F31" s="243"/>
      <c r="G31" s="243"/>
      <c r="H31" s="243"/>
      <c r="I31" s="243"/>
      <c r="J31" s="243"/>
      <c r="K31" s="243"/>
      <c r="L31" s="243"/>
    </row>
    <row r="32" spans="2:12" ht="13.5" customHeight="1" x14ac:dyDescent="0.3">
      <c r="B32" s="20" t="s">
        <v>177</v>
      </c>
      <c r="C32" s="22" t="s">
        <v>178</v>
      </c>
      <c r="E32" s="243"/>
      <c r="F32" s="243"/>
      <c r="G32" s="243"/>
      <c r="H32" s="243"/>
      <c r="I32" s="243"/>
      <c r="J32" s="243"/>
      <c r="K32" s="243"/>
      <c r="L32" s="243"/>
    </row>
    <row r="33" spans="5:12" x14ac:dyDescent="0.3">
      <c r="E33" s="243"/>
      <c r="F33" s="243"/>
      <c r="G33" s="243"/>
      <c r="H33" s="243"/>
      <c r="I33" s="243"/>
      <c r="J33" s="243"/>
      <c r="K33" s="243"/>
      <c r="L33" s="243"/>
    </row>
    <row r="34" spans="5:12" s="17" customFormat="1" ht="23" customHeight="1" x14ac:dyDescent="0.35"/>
  </sheetData>
  <mergeCells count="4">
    <mergeCell ref="B15:J15"/>
    <mergeCell ref="E18:L18"/>
    <mergeCell ref="B2:J2"/>
    <mergeCell ref="E19:L33"/>
  </mergeCells>
  <pageMargins left="0.7" right="0.7" top="0.75" bottom="0.75" header="0.511811023622047" footer="0.511811023622047"/>
  <pageSetup paperSize="9" orientation="portrait" horizontalDpi="300" verticalDpi="300"/>
  <ignoredErrors>
    <ignoredError sqref="C19:C32" numberStoredAsText="1"/>
  </ignoredError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56"/>
  <sheetViews>
    <sheetView showGridLines="0" zoomScale="64" zoomScaleNormal="100" workbookViewId="0">
      <selection activeCell="H8" sqref="H8"/>
    </sheetView>
  </sheetViews>
  <sheetFormatPr defaultColWidth="8.6328125" defaultRowHeight="14" x14ac:dyDescent="0.3"/>
  <cols>
    <col min="1" max="1" width="2.1796875" style="15" customWidth="1"/>
    <col min="2" max="2" width="38" style="15" customWidth="1"/>
    <col min="3" max="8" width="14" style="15" customWidth="1"/>
    <col min="9" max="9" width="8.6328125" style="15" customWidth="1"/>
    <col min="10" max="16384" width="8.6328125" style="15"/>
  </cols>
  <sheetData>
    <row r="1" spans="2:8" ht="18" customHeight="1" x14ac:dyDescent="0.3">
      <c r="B1" s="282" t="s">
        <v>280</v>
      </c>
      <c r="C1" s="248"/>
      <c r="D1" s="248"/>
      <c r="E1" s="248"/>
      <c r="F1" s="248"/>
      <c r="G1" s="248"/>
      <c r="H1" s="249"/>
    </row>
    <row r="3" spans="2:8" ht="21" customHeight="1" x14ac:dyDescent="0.3">
      <c r="B3" s="23" t="s">
        <v>281</v>
      </c>
      <c r="C3" s="23">
        <v>2022</v>
      </c>
      <c r="D3" s="23">
        <v>2023</v>
      </c>
      <c r="E3" s="23">
        <v>2024</v>
      </c>
      <c r="F3" s="23">
        <v>2025</v>
      </c>
      <c r="G3" s="23">
        <v>2026</v>
      </c>
      <c r="H3" s="23" t="s">
        <v>282</v>
      </c>
    </row>
    <row r="4" spans="2:8" ht="14.25" customHeight="1" x14ac:dyDescent="0.3">
      <c r="B4" s="281" t="s">
        <v>283</v>
      </c>
      <c r="C4" s="248"/>
      <c r="D4" s="248"/>
      <c r="E4" s="248"/>
      <c r="F4" s="248"/>
      <c r="G4" s="248"/>
      <c r="H4" s="249"/>
    </row>
    <row r="5" spans="2:8" ht="14.25" customHeight="1" x14ac:dyDescent="0.3">
      <c r="B5" s="24" t="s">
        <v>284</v>
      </c>
      <c r="C5" s="25"/>
      <c r="D5" s="25">
        <f>'Consolidated Profit &amp; Loss'!D9/'Consolidated Profit &amp; Loss'!C9-1</f>
        <v>0.1856634133835029</v>
      </c>
      <c r="E5" s="25">
        <f>'Consolidated Profit &amp; Loss'!E9/'Consolidated Profit &amp; Loss'!D9-1</f>
        <v>0.25855013266518512</v>
      </c>
      <c r="F5" s="25">
        <f>'Consolidated Profit &amp; Loss'!F9/'Consolidated Profit &amp; Loss'!E9-1</f>
        <v>0.43969034564943721</v>
      </c>
      <c r="G5" s="25">
        <f>'Consolidated Profit &amp; Loss'!G9/'Consolidated Profit &amp; Loss'!F9-1</f>
        <v>0.15528993062560126</v>
      </c>
      <c r="H5" s="26">
        <f>AVERAGE(D5,E5,F5,G5)</f>
        <v>0.25979845558093162</v>
      </c>
    </row>
    <row r="6" spans="2:8" ht="14.25" customHeight="1" x14ac:dyDescent="0.3">
      <c r="B6" s="27" t="s">
        <v>285</v>
      </c>
      <c r="C6" s="28">
        <f>'Consolidated Profit &amp; Loss'!C24+'Consolidated Profit &amp; Loss'!C20+'Consolidated Profit &amp; Loss'!C21</f>
        <v>4810.12</v>
      </c>
      <c r="D6" s="28">
        <f>'Consolidated Profit &amp; Loss'!D24+'Consolidated Profit &amp; Loss'!D20+'Consolidated Profit &amp; Loss'!D21</f>
        <v>5065.3499999999995</v>
      </c>
      <c r="E6" s="28">
        <f>'Consolidated Profit &amp; Loss'!E24+'Consolidated Profit &amp; Loss'!E20+'Consolidated Profit &amp; Loss'!E21</f>
        <v>6782.16</v>
      </c>
      <c r="F6" s="28">
        <f>'Consolidated Profit &amp; Loss'!F24+'Consolidated Profit &amp; Loss'!F20+'Consolidated Profit &amp; Loss'!F21</f>
        <v>9086.73</v>
      </c>
      <c r="G6" s="28">
        <f>'Consolidated Profit &amp; Loss'!G24+'Consolidated Profit &amp; Loss'!G20+'Consolidated Profit &amp; Loss'!G21</f>
        <v>9821.5299999999988</v>
      </c>
      <c r="H6" s="28">
        <f t="shared" ref="H6:H18" si="0">AVERAGE(C6,D6,E6,F6,G6)</f>
        <v>7113.1779999999999</v>
      </c>
    </row>
    <row r="7" spans="2:8" ht="14.25" customHeight="1" x14ac:dyDescent="0.3">
      <c r="B7" s="27" t="s">
        <v>286</v>
      </c>
      <c r="C7" s="26">
        <f>('Consolidated Profit &amp; Loss'!C24+'Consolidated Profit &amp; Loss'!C20+'Consolidated Profit &amp; Loss'!C21)/'Consolidated Profit &amp; Loss'!C9</f>
        <v>0.43887115301622875</v>
      </c>
      <c r="D7" s="26">
        <f>('Consolidated Profit &amp; Loss'!D24+'Consolidated Profit &amp; Loss'!D20+'Consolidated Profit &amp; Loss'!D21)/'Consolidated Profit &amp; Loss'!D9</f>
        <v>0.38978862834664085</v>
      </c>
      <c r="E7" s="26">
        <f>('Consolidated Profit &amp; Loss'!E24+'Consolidated Profit &amp; Loss'!E20+'Consolidated Profit &amp; Loss'!E21)/'Consolidated Profit &amp; Loss'!E9</f>
        <v>0.41468394088416943</v>
      </c>
      <c r="F7" s="26">
        <f>('Consolidated Profit &amp; Loss'!F24+'Consolidated Profit &amp; Loss'!F20+'Consolidated Profit &amp; Loss'!F21)/'Consolidated Profit &amp; Loss'!F9</f>
        <v>0.38591149720867313</v>
      </c>
      <c r="G7" s="26">
        <f>('Consolidated Profit &amp; Loss'!G24+'Consolidated Profit &amp; Loss'!G20+'Consolidated Profit &amp; Loss'!G21)/'Consolidated Profit &amp; Loss'!G9</f>
        <v>0.36105075134279291</v>
      </c>
      <c r="H7" s="26">
        <f t="shared" si="0"/>
        <v>0.39806119415970098</v>
      </c>
    </row>
    <row r="8" spans="2:8" ht="14.25" customHeight="1" x14ac:dyDescent="0.3">
      <c r="B8" s="27" t="s">
        <v>287</v>
      </c>
      <c r="C8" s="28">
        <f>'Consolidated Profit &amp; Loss'!C24+'Consolidated Profit &amp; Loss'!C20</f>
        <v>3382.97</v>
      </c>
      <c r="D8" s="28">
        <f>'Consolidated Profit &amp; Loss'!D24+'Consolidated Profit &amp; Loss'!D20</f>
        <v>3457.6099999999997</v>
      </c>
      <c r="E8" s="28">
        <f>'Consolidated Profit &amp; Loss'!E24+'Consolidated Profit &amp; Loss'!E20</f>
        <v>5006.08</v>
      </c>
      <c r="F8" s="28">
        <f>'Consolidated Profit &amp; Loss'!F24+'Consolidated Profit &amp; Loss'!F20</f>
        <v>7180.78</v>
      </c>
      <c r="G8" s="28">
        <f>'Consolidated Profit &amp; Loss'!G24+'Consolidated Profit &amp; Loss'!G20</f>
        <v>7843.2999999999993</v>
      </c>
      <c r="H8" s="28">
        <f t="shared" si="0"/>
        <v>5374.1479999999992</v>
      </c>
    </row>
    <row r="9" spans="2:8" ht="14.25" customHeight="1" x14ac:dyDescent="0.3">
      <c r="B9" s="27" t="s">
        <v>288</v>
      </c>
      <c r="C9" s="26">
        <f>('Consolidated Profit &amp; Loss'!C24+'Consolidated Profit &amp; Loss'!C20)/'Consolidated Profit &amp; Loss'!C9</f>
        <v>0.30865923189427941</v>
      </c>
      <c r="D9" s="26">
        <f>('Consolidated Profit &amp; Loss'!D24+'Consolidated Profit &amp; Loss'!D20)/'Consolidated Profit &amp; Loss'!D9</f>
        <v>0.26606987853902075</v>
      </c>
      <c r="E9" s="26">
        <f>('Consolidated Profit &amp; Loss'!E24+'Consolidated Profit &amp; Loss'!E20)/'Consolidated Profit &amp; Loss'!E9</f>
        <v>0.30608847074994144</v>
      </c>
      <c r="F9" s="26">
        <f>('Consolidated Profit &amp; Loss'!F24+'Consolidated Profit &amp; Loss'!F20)/'Consolidated Profit &amp; Loss'!F9</f>
        <v>0.30496620466615559</v>
      </c>
      <c r="G9" s="26">
        <f>('Consolidated Profit &amp; Loss'!G24+'Consolidated Profit &amp; Loss'!G20)/'Consolidated Profit &amp; Loss'!G9</f>
        <v>0.28832873880209375</v>
      </c>
      <c r="H9" s="26">
        <f t="shared" si="0"/>
        <v>0.29482250493029821</v>
      </c>
    </row>
    <row r="10" spans="2:8" ht="14.25" customHeight="1" x14ac:dyDescent="0.3">
      <c r="B10" s="24" t="s">
        <v>252</v>
      </c>
      <c r="C10" s="29">
        <f>'Consolidated Profit &amp; Loss'!C20</f>
        <v>2364.9499999999998</v>
      </c>
      <c r="D10" s="29">
        <f>'Consolidated Profit &amp; Loss'!D20</f>
        <v>2781.47</v>
      </c>
      <c r="E10" s="29">
        <f>'Consolidated Profit &amp; Loss'!E20</f>
        <v>2766.51</v>
      </c>
      <c r="F10" s="29">
        <f>'Consolidated Profit &amp; Loss'!F20</f>
        <v>3259.16</v>
      </c>
      <c r="G10" s="29">
        <f>'Consolidated Profit &amp; Loss'!G20</f>
        <v>3632.9</v>
      </c>
      <c r="H10" s="30">
        <f t="shared" si="0"/>
        <v>2960.998</v>
      </c>
    </row>
    <row r="11" spans="2:8" ht="14.25" customHeight="1" x14ac:dyDescent="0.3">
      <c r="B11" s="27" t="s">
        <v>289</v>
      </c>
      <c r="C11" s="26">
        <f>'Consolidated Profit &amp; Loss'!C20/'Consolidated Profit &amp; Loss'!C9</f>
        <v>0.21577597509536769</v>
      </c>
      <c r="D11" s="26">
        <f>'Consolidated Profit &amp; Loss'!D20/'Consolidated Profit &amp; Loss'!D9</f>
        <v>0.21403957793387055</v>
      </c>
      <c r="E11" s="26">
        <f>'Consolidated Profit &amp; Loss'!E20/'Consolidated Profit &amp; Loss'!E9</f>
        <v>0.16915367217751626</v>
      </c>
      <c r="F11" s="26">
        <f>'Consolidated Profit &amp; Loss'!F20/'Consolidated Profit &amp; Loss'!F9</f>
        <v>0.13841583443577823</v>
      </c>
      <c r="G11" s="26">
        <f>'Consolidated Profit &amp; Loss'!G20/'Consolidated Profit &amp; Loss'!G9</f>
        <v>0.13354958693332225</v>
      </c>
      <c r="H11" s="26">
        <f t="shared" si="0"/>
        <v>0.17418692931517099</v>
      </c>
    </row>
    <row r="12" spans="2:8" ht="14.25" customHeight="1" x14ac:dyDescent="0.3">
      <c r="B12" s="24" t="s">
        <v>290</v>
      </c>
      <c r="C12" s="29">
        <f>'Consolidated Profit &amp; Loss'!C21</f>
        <v>1427.15</v>
      </c>
      <c r="D12" s="29">
        <f>'Consolidated Profit &amp; Loss'!D21</f>
        <v>1607.74</v>
      </c>
      <c r="E12" s="29">
        <f>'Consolidated Profit &amp; Loss'!E21</f>
        <v>1776.08</v>
      </c>
      <c r="F12" s="29">
        <f>'Consolidated Profit &amp; Loss'!F21</f>
        <v>1905.95</v>
      </c>
      <c r="G12" s="29">
        <f>'Consolidated Profit &amp; Loss'!G21</f>
        <v>1978.23</v>
      </c>
      <c r="H12" s="30">
        <f t="shared" si="0"/>
        <v>1739.03</v>
      </c>
    </row>
    <row r="13" spans="2:8" ht="14.25" customHeight="1" x14ac:dyDescent="0.3">
      <c r="B13" s="27" t="s">
        <v>291</v>
      </c>
      <c r="C13" s="26">
        <f>'Consolidated Profit &amp; Loss'!C21/'Consolidated Profit &amp; Loss'!C9</f>
        <v>0.13021192112194932</v>
      </c>
      <c r="D13" s="26">
        <f>'Consolidated Profit &amp; Loss'!D21/'Consolidated Profit &amp; Loss'!D9</f>
        <v>0.12371874980762008</v>
      </c>
      <c r="E13" s="26">
        <f>'Consolidated Profit &amp; Loss'!E21/'Consolidated Profit &amp; Loss'!E9</f>
        <v>0.10859547013422798</v>
      </c>
      <c r="F13" s="26">
        <f>'Consolidated Profit &amp; Loss'!F21/'Consolidated Profit &amp; Loss'!F9</f>
        <v>8.0945292542517561E-2</v>
      </c>
      <c r="G13" s="26">
        <f>'Consolidated Profit &amp; Loss'!G21/'Consolidated Profit &amp; Loss'!G9</f>
        <v>7.2722012540699182E-2</v>
      </c>
      <c r="H13" s="26">
        <f t="shared" si="0"/>
        <v>0.10323868922940282</v>
      </c>
    </row>
    <row r="14" spans="2:8" ht="14.25" customHeight="1" x14ac:dyDescent="0.3">
      <c r="B14" s="27" t="s">
        <v>292</v>
      </c>
      <c r="C14" s="28">
        <f>'Consolidated Profit &amp; Loss'!C24</f>
        <v>1018.02</v>
      </c>
      <c r="D14" s="28">
        <f>'Consolidated Profit &amp; Loss'!D24</f>
        <v>676.14</v>
      </c>
      <c r="E14" s="28">
        <f>'Consolidated Profit &amp; Loss'!E24</f>
        <v>2239.5700000000002</v>
      </c>
      <c r="F14" s="28">
        <f>'Consolidated Profit &amp; Loss'!F24</f>
        <v>3921.62</v>
      </c>
      <c r="G14" s="28">
        <f>'Consolidated Profit &amp; Loss'!G24</f>
        <v>4210.3999999999996</v>
      </c>
      <c r="H14" s="28">
        <f t="shared" si="0"/>
        <v>2413.15</v>
      </c>
    </row>
    <row r="15" spans="2:8" ht="14.25" customHeight="1" x14ac:dyDescent="0.3">
      <c r="B15" s="27" t="s">
        <v>293</v>
      </c>
      <c r="C15" s="26">
        <f>'Consolidated Profit &amp; Loss'!C24/'Consolidated Profit &amp; Loss'!C9</f>
        <v>9.2883256798911712E-2</v>
      </c>
      <c r="D15" s="26">
        <f>'Consolidated Profit &amp; Loss'!D24/'Consolidated Profit &amp; Loss'!D9</f>
        <v>5.2030300605150237E-2</v>
      </c>
      <c r="E15" s="26">
        <f>'Consolidated Profit &amp; Loss'!E24/'Consolidated Profit &amp; Loss'!E9</f>
        <v>0.13693479857242521</v>
      </c>
      <c r="F15" s="26">
        <f>'Consolidated Profit &amp; Loss'!F24/'Consolidated Profit &amp; Loss'!F9</f>
        <v>0.16655037023037736</v>
      </c>
      <c r="G15" s="26">
        <f>'Consolidated Profit &amp; Loss'!G24/'Consolidated Profit &amp; Loss'!G9</f>
        <v>0.1547791518687715</v>
      </c>
      <c r="H15" s="26">
        <f t="shared" si="0"/>
        <v>0.12063557561512721</v>
      </c>
    </row>
    <row r="16" spans="2:8" ht="14.25" customHeight="1" x14ac:dyDescent="0.3">
      <c r="B16" s="27" t="s">
        <v>294</v>
      </c>
      <c r="C16" s="28">
        <f>'Consolidated Profit &amp; Loss'!C36</f>
        <v>1204.6099999999999</v>
      </c>
      <c r="D16" s="28">
        <f>'Consolidated Profit &amp; Loss'!D36</f>
        <v>1256.33</v>
      </c>
      <c r="E16" s="28">
        <f>'Consolidated Profit &amp; Loss'!E36</f>
        <v>1137.28</v>
      </c>
      <c r="F16" s="28">
        <f>'Consolidated Profit &amp; Loss'!F36</f>
        <v>1059.97</v>
      </c>
      <c r="G16" s="28">
        <f>'Consolidated Profit &amp; Loss'!G36</f>
        <v>2282.54</v>
      </c>
      <c r="H16" s="28">
        <f t="shared" si="0"/>
        <v>1388.146</v>
      </c>
    </row>
    <row r="17" spans="2:8" ht="14.25" customHeight="1" x14ac:dyDescent="0.3">
      <c r="B17" s="27" t="s">
        <v>295</v>
      </c>
      <c r="C17" s="26">
        <f>'Consolidated Profit &amp; Loss'!C36/'Consolidated Profit &amp; Loss'!C9</f>
        <v>0.10990756563970946</v>
      </c>
      <c r="D17" s="26">
        <f>'Consolidated Profit &amp; Loss'!D36/'Consolidated Profit &amp; Loss'!D9</f>
        <v>9.6677060311870899E-2</v>
      </c>
      <c r="E17" s="26">
        <f>'Consolidated Profit &amp; Loss'!E36/'Consolidated Profit &amp; Loss'!E9</f>
        <v>6.9537102086761185E-2</v>
      </c>
      <c r="F17" s="26">
        <f>'Consolidated Profit &amp; Loss'!F36/'Consolidated Profit &amp; Loss'!F9</f>
        <v>4.5016701244152441E-2</v>
      </c>
      <c r="G17" s="26">
        <f>'Consolidated Profit &amp; Loss'!G36/'Consolidated Profit &amp; Loss'!G9</f>
        <v>8.3908798524260336E-2</v>
      </c>
      <c r="H17" s="26">
        <f t="shared" si="0"/>
        <v>8.1009445561350882E-2</v>
      </c>
    </row>
    <row r="18" spans="2:8" ht="14.25" customHeight="1" x14ac:dyDescent="0.3">
      <c r="B18" s="27" t="s">
        <v>296</v>
      </c>
      <c r="C18" s="31">
        <f>'Consolidated Profit &amp; Loss'!C39</f>
        <v>9</v>
      </c>
      <c r="D18" s="31">
        <f>'Consolidated Profit &amp; Loss'!D39</f>
        <v>11</v>
      </c>
      <c r="E18" s="31">
        <f>'Consolidated Profit &amp; Loss'!E39</f>
        <v>10</v>
      </c>
      <c r="F18" s="31">
        <f>'Consolidated Profit &amp; Loss'!F39</f>
        <v>9</v>
      </c>
      <c r="G18" s="31">
        <f>'Consolidated Profit &amp; Loss'!G39</f>
        <v>19</v>
      </c>
      <c r="H18" s="31">
        <f t="shared" si="0"/>
        <v>11.6</v>
      </c>
    </row>
    <row r="19" spans="2:8" ht="14.25" customHeight="1" x14ac:dyDescent="0.3">
      <c r="B19" s="24" t="s">
        <v>297</v>
      </c>
      <c r="C19" s="25"/>
      <c r="D19" s="25">
        <f>'Consolidated Profit &amp; Loss'!D39/'Consolidated Profit &amp; Loss'!C39-1</f>
        <v>0.22222222222222232</v>
      </c>
      <c r="E19" s="25">
        <f>'Consolidated Profit &amp; Loss'!E39/'Consolidated Profit &amp; Loss'!D39-1</f>
        <v>-9.0909090909090939E-2</v>
      </c>
      <c r="F19" s="25">
        <f>'Consolidated Profit &amp; Loss'!F39/'Consolidated Profit &amp; Loss'!E39-1</f>
        <v>-9.9999999999999978E-2</v>
      </c>
      <c r="G19" s="25">
        <f>'Consolidated Profit &amp; Loss'!G39/'Consolidated Profit &amp; Loss'!F39-1</f>
        <v>1.1111111111111112</v>
      </c>
      <c r="H19" s="26">
        <f>AVERAGE(D19,E19,F19,G19)</f>
        <v>0.28560606060606064</v>
      </c>
    </row>
    <row r="21" spans="2:8" ht="14.25" customHeight="1" x14ac:dyDescent="0.3">
      <c r="B21" s="281" t="s">
        <v>298</v>
      </c>
      <c r="C21" s="248"/>
      <c r="D21" s="248"/>
      <c r="E21" s="248"/>
      <c r="F21" s="248"/>
      <c r="G21" s="248"/>
      <c r="H21" s="249"/>
    </row>
    <row r="22" spans="2:8" ht="14.25" customHeight="1" x14ac:dyDescent="0.3">
      <c r="B22" s="27" t="s">
        <v>189</v>
      </c>
      <c r="C22" s="28">
        <f>'Consolidated Balance Sheet'!C13</f>
        <v>6857.17</v>
      </c>
      <c r="D22" s="28">
        <f>'Consolidated Balance Sheet'!D13</f>
        <v>11662.44</v>
      </c>
      <c r="E22" s="28">
        <f>'Consolidated Balance Sheet'!E13</f>
        <v>12641.55</v>
      </c>
      <c r="F22" s="28">
        <f>'Consolidated Balance Sheet'!F13</f>
        <v>22068.2</v>
      </c>
      <c r="G22" s="28">
        <f>'Consolidated Balance Sheet'!G13</f>
        <v>25427.54</v>
      </c>
      <c r="H22" s="28">
        <f t="shared" ref="H22:H30" si="1">AVERAGE(C22,D22,E22,F22,G22)</f>
        <v>15731.38</v>
      </c>
    </row>
    <row r="23" spans="2:8" ht="14.25" customHeight="1" x14ac:dyDescent="0.3">
      <c r="B23" s="27" t="s">
        <v>299</v>
      </c>
      <c r="C23" s="28">
        <f>'Consolidated Balance Sheet'!C13+'Consolidated Balance Sheet'!C15</f>
        <v>7950.85</v>
      </c>
      <c r="D23" s="28">
        <f>'Consolidated Balance Sheet'!D13+'Consolidated Balance Sheet'!D15</f>
        <v>12759.99</v>
      </c>
      <c r="E23" s="28">
        <f>'Consolidated Balance Sheet'!E13+'Consolidated Balance Sheet'!E15</f>
        <v>13703.13</v>
      </c>
      <c r="F23" s="28">
        <f>'Consolidated Balance Sheet'!F13+'Consolidated Balance Sheet'!F15</f>
        <v>23011.260000000002</v>
      </c>
      <c r="G23" s="28">
        <f>'Consolidated Balance Sheet'!G13+'Consolidated Balance Sheet'!G15</f>
        <v>26525.64</v>
      </c>
      <c r="H23" s="28">
        <f t="shared" si="1"/>
        <v>16790.173999999999</v>
      </c>
    </row>
    <row r="24" spans="2:8" ht="14.25" customHeight="1" x14ac:dyDescent="0.3">
      <c r="B24" s="24" t="s">
        <v>193</v>
      </c>
      <c r="C24" s="29">
        <f>'Consolidated Balance Sheet'!C17</f>
        <v>27774.04</v>
      </c>
      <c r="D24" s="29">
        <f>'Consolidated Balance Sheet'!D17</f>
        <v>31330.39</v>
      </c>
      <c r="E24" s="29">
        <f>'Consolidated Balance Sheet'!E17</f>
        <v>33559.620000000003</v>
      </c>
      <c r="F24" s="29">
        <f>'Consolidated Balance Sheet'!F17</f>
        <v>36992.29</v>
      </c>
      <c r="G24" s="29">
        <f>'Consolidated Balance Sheet'!G17</f>
        <v>45367.32</v>
      </c>
      <c r="H24" s="30">
        <f t="shared" si="1"/>
        <v>35004.732000000004</v>
      </c>
    </row>
    <row r="25" spans="2:8" ht="14.25" customHeight="1" x14ac:dyDescent="0.3">
      <c r="B25" s="24" t="s">
        <v>199</v>
      </c>
      <c r="C25" s="29">
        <f>'Consolidated Balance Sheet'!C23</f>
        <v>2040.54</v>
      </c>
      <c r="D25" s="29">
        <f>'Consolidated Balance Sheet'!D23</f>
        <v>2868.45</v>
      </c>
      <c r="E25" s="29">
        <f>'Consolidated Balance Sheet'!E23</f>
        <v>3449.25</v>
      </c>
      <c r="F25" s="29">
        <f>'Consolidated Balance Sheet'!F23</f>
        <v>3213.79</v>
      </c>
      <c r="G25" s="29">
        <f>'Consolidated Balance Sheet'!G23</f>
        <v>3531.13</v>
      </c>
      <c r="H25" s="30">
        <f t="shared" si="1"/>
        <v>3020.6320000000001</v>
      </c>
    </row>
    <row r="26" spans="2:8" ht="14.25" customHeight="1" x14ac:dyDescent="0.3">
      <c r="B26" s="27" t="s">
        <v>300</v>
      </c>
      <c r="C26" s="28">
        <f>'Consolidated Balance Sheet'!C17+'Consolidated Balance Sheet'!C23</f>
        <v>29814.58</v>
      </c>
      <c r="D26" s="28">
        <f>'Consolidated Balance Sheet'!D17+'Consolidated Balance Sheet'!D23</f>
        <v>34198.839999999997</v>
      </c>
      <c r="E26" s="28">
        <f>'Consolidated Balance Sheet'!E17+'Consolidated Balance Sheet'!E23</f>
        <v>37008.870000000003</v>
      </c>
      <c r="F26" s="28">
        <f>'Consolidated Balance Sheet'!F17+'Consolidated Balance Sheet'!F23</f>
        <v>40206.080000000002</v>
      </c>
      <c r="G26" s="28">
        <f>'Consolidated Balance Sheet'!G17+'Consolidated Balance Sheet'!G23</f>
        <v>48898.45</v>
      </c>
      <c r="H26" s="28">
        <f t="shared" si="1"/>
        <v>38025.364000000001</v>
      </c>
    </row>
    <row r="27" spans="2:8" ht="14.25" customHeight="1" x14ac:dyDescent="0.3">
      <c r="B27" s="24" t="s">
        <v>301</v>
      </c>
      <c r="C27" s="29">
        <f>'Consolidated Balance Sheet'!C45</f>
        <v>1492.57</v>
      </c>
      <c r="D27" s="29">
        <f>'Consolidated Balance Sheet'!D45</f>
        <v>1704.14</v>
      </c>
      <c r="E27" s="29">
        <f>'Consolidated Balance Sheet'!E45</f>
        <v>2228.14</v>
      </c>
      <c r="F27" s="29">
        <f>'Consolidated Balance Sheet'!F45</f>
        <v>3618.68</v>
      </c>
      <c r="G27" s="29">
        <f>'Consolidated Balance Sheet'!G45</f>
        <v>3947.34</v>
      </c>
      <c r="H27" s="30">
        <f t="shared" si="1"/>
        <v>2598.174</v>
      </c>
    </row>
    <row r="28" spans="2:8" ht="14.25" customHeight="1" x14ac:dyDescent="0.3">
      <c r="B28" s="27" t="s">
        <v>302</v>
      </c>
      <c r="C28" s="28">
        <f>'Consolidated Balance Sheet'!C17+'Consolidated Balance Sheet'!C23-'Consolidated Balance Sheet'!C45</f>
        <v>28322.010000000002</v>
      </c>
      <c r="D28" s="28">
        <f>'Consolidated Balance Sheet'!D17+'Consolidated Balance Sheet'!D23-'Consolidated Balance Sheet'!D45</f>
        <v>32494.699999999997</v>
      </c>
      <c r="E28" s="28">
        <f>'Consolidated Balance Sheet'!E17+'Consolidated Balance Sheet'!E23-'Consolidated Balance Sheet'!E45</f>
        <v>34780.730000000003</v>
      </c>
      <c r="F28" s="28">
        <f>'Consolidated Balance Sheet'!F17+'Consolidated Balance Sheet'!F23-'Consolidated Balance Sheet'!F45</f>
        <v>36587.4</v>
      </c>
      <c r="G28" s="28">
        <f>'Consolidated Balance Sheet'!G17+'Consolidated Balance Sheet'!G23-'Consolidated Balance Sheet'!G45</f>
        <v>44951.11</v>
      </c>
      <c r="H28" s="28">
        <f t="shared" si="1"/>
        <v>35427.19</v>
      </c>
    </row>
    <row r="29" spans="2:8" ht="14.25" customHeight="1" x14ac:dyDescent="0.3">
      <c r="B29" s="27" t="s">
        <v>225</v>
      </c>
      <c r="C29" s="28">
        <f>'Consolidated Balance Sheet'!C49</f>
        <v>47464.11</v>
      </c>
      <c r="D29" s="28">
        <f>'Consolidated Balance Sheet'!D49</f>
        <v>53931.75</v>
      </c>
      <c r="E29" s="28">
        <f>'Consolidated Balance Sheet'!E49</f>
        <v>58578.81</v>
      </c>
      <c r="F29" s="28">
        <f>'Consolidated Balance Sheet'!F49</f>
        <v>73960.100000000006</v>
      </c>
      <c r="G29" s="28">
        <f>'Consolidated Balance Sheet'!G49</f>
        <v>92834.92</v>
      </c>
      <c r="H29" s="28">
        <f t="shared" si="1"/>
        <v>65353.938000000002</v>
      </c>
    </row>
    <row r="30" spans="2:8" ht="14.25" customHeight="1" x14ac:dyDescent="0.3">
      <c r="B30" s="24" t="s">
        <v>211</v>
      </c>
      <c r="C30" s="29">
        <f>'Consolidated Balance Sheet'!C35</f>
        <v>34733.64</v>
      </c>
      <c r="D30" s="29">
        <f>'Consolidated Balance Sheet'!D35</f>
        <v>38247.29</v>
      </c>
      <c r="E30" s="29">
        <f>'Consolidated Balance Sheet'!E35</f>
        <v>41324.14</v>
      </c>
      <c r="F30" s="29">
        <f>'Consolidated Balance Sheet'!F35</f>
        <v>44658.7</v>
      </c>
      <c r="G30" s="29">
        <f>'Consolidated Balance Sheet'!G35</f>
        <v>48259.25</v>
      </c>
      <c r="H30" s="30">
        <f t="shared" si="1"/>
        <v>41444.603999999999</v>
      </c>
    </row>
    <row r="32" spans="2:8" ht="14.25" customHeight="1" x14ac:dyDescent="0.3">
      <c r="B32" s="281" t="s">
        <v>303</v>
      </c>
      <c r="C32" s="248"/>
      <c r="D32" s="248"/>
      <c r="E32" s="248"/>
      <c r="F32" s="248"/>
      <c r="G32" s="248"/>
      <c r="H32" s="249"/>
    </row>
    <row r="33" spans="2:8" ht="14.25" customHeight="1" x14ac:dyDescent="0.3">
      <c r="B33" s="24" t="s">
        <v>304</v>
      </c>
      <c r="C33" s="25">
        <f>'Consolidated Profit &amp; Loss'!C36/('Consolidated Balance Sheet'!C13+'Consolidated Balance Sheet'!C15)</f>
        <v>0.1515070715709641</v>
      </c>
      <c r="D33" s="25">
        <f>'Consolidated Profit &amp; Loss'!D36/('Consolidated Balance Sheet'!D13+'Consolidated Balance Sheet'!D15)</f>
        <v>9.8458541111709333E-2</v>
      </c>
      <c r="E33" s="25">
        <f>'Consolidated Profit &amp; Loss'!E36/('Consolidated Balance Sheet'!E13+'Consolidated Balance Sheet'!E15)</f>
        <v>8.2994177242717543E-2</v>
      </c>
      <c r="F33" s="25">
        <f>'Consolidated Profit &amp; Loss'!F36/('Consolidated Balance Sheet'!F13+'Consolidated Balance Sheet'!F15)</f>
        <v>4.6063101281720337E-2</v>
      </c>
      <c r="G33" s="25">
        <f>'Consolidated Profit &amp; Loss'!G36/('Consolidated Balance Sheet'!G13+'Consolidated Balance Sheet'!G15)</f>
        <v>8.6050327155160061E-2</v>
      </c>
      <c r="H33" s="25">
        <f>AVERAGE(C33,D33,E33,F33,G33)</f>
        <v>9.3014643672454267E-2</v>
      </c>
    </row>
    <row r="34" spans="2:8" ht="14.25" customHeight="1" x14ac:dyDescent="0.3">
      <c r="B34" s="24" t="s">
        <v>305</v>
      </c>
      <c r="C34" s="25">
        <f>'Consolidated Profit &amp; Loss'!C36/'Consolidated Balance Sheet'!C49</f>
        <v>2.5379386656570614E-2</v>
      </c>
      <c r="D34" s="25">
        <f>'Consolidated Profit &amp; Loss'!D36/'Consolidated Balance Sheet'!D49</f>
        <v>2.3294812424963032E-2</v>
      </c>
      <c r="E34" s="25">
        <f>'Consolidated Profit &amp; Loss'!E36/'Consolidated Balance Sheet'!E49</f>
        <v>1.9414528905588899E-2</v>
      </c>
      <c r="F34" s="25">
        <f>'Consolidated Profit &amp; Loss'!F36/'Consolidated Balance Sheet'!F49</f>
        <v>1.4331646387714456E-2</v>
      </c>
      <c r="G34" s="25">
        <f>'Consolidated Profit &amp; Loss'!G36/'Consolidated Balance Sheet'!G49</f>
        <v>2.4587084256656871E-2</v>
      </c>
      <c r="H34" s="25">
        <f>AVERAGE(C34,D34,E34,F34,G34)</f>
        <v>2.1401491726298773E-2</v>
      </c>
    </row>
    <row r="35" spans="2:8" ht="14.25" customHeight="1" x14ac:dyDescent="0.3">
      <c r="B35" s="24" t="s">
        <v>306</v>
      </c>
      <c r="C35" s="25">
        <f>('Consolidated Profit &amp; Loss'!C24+'Consolidated Profit &amp; Loss'!C20)/('Consolidated Balance Sheet'!C49-'Consolidated Balance Sheet'!C27)</f>
        <v>8.1446951755193758E-2</v>
      </c>
      <c r="D35" s="25">
        <f>('Consolidated Profit &amp; Loss'!D24+'Consolidated Profit &amp; Loss'!D20)/('Consolidated Balance Sheet'!D49-'Consolidated Balance Sheet'!D27)</f>
        <v>7.3700304767442701E-2</v>
      </c>
      <c r="E35" s="25">
        <f>('Consolidated Profit &amp; Loss'!E24+'Consolidated Profit &amp; Loss'!E20)/('Consolidated Balance Sheet'!E49-'Consolidated Balance Sheet'!E27)</f>
        <v>9.9008487182007568E-2</v>
      </c>
      <c r="F35" s="25">
        <f>('Consolidated Profit &amp; Loss'!F24+'Consolidated Profit &amp; Loss'!F20)/('Consolidated Balance Sheet'!F49-'Consolidated Balance Sheet'!F27)</f>
        <v>0.11229847506478353</v>
      </c>
      <c r="G35" s="25">
        <f>('Consolidated Profit &amp; Loss'!G24+'Consolidated Profit &amp; Loss'!G20)/('Consolidated Balance Sheet'!G49-'Consolidated Balance Sheet'!G27)</f>
        <v>0.10150896106193751</v>
      </c>
      <c r="H35" s="25">
        <f>AVERAGE(C35,D35,E35,F35,G35)</f>
        <v>9.3592635966273013E-2</v>
      </c>
    </row>
    <row r="37" spans="2:8" ht="14.25" customHeight="1" x14ac:dyDescent="0.3">
      <c r="B37" s="281" t="s">
        <v>307</v>
      </c>
      <c r="C37" s="248"/>
      <c r="D37" s="248"/>
      <c r="E37" s="248"/>
      <c r="F37" s="248"/>
      <c r="G37" s="248"/>
      <c r="H37" s="249"/>
    </row>
    <row r="38" spans="2:8" ht="14.25" customHeight="1" x14ac:dyDescent="0.3">
      <c r="B38" s="24" t="s">
        <v>308</v>
      </c>
      <c r="C38" s="32">
        <f>('Consolidated Balance Sheet'!C17+'Consolidated Balance Sheet'!C23)/('Consolidated Balance Sheet'!C13+'Consolidated Balance Sheet'!C15)</f>
        <v>3.7498607067168921</v>
      </c>
      <c r="D38" s="32">
        <f>('Consolidated Balance Sheet'!D17+'Consolidated Balance Sheet'!D23)/('Consolidated Balance Sheet'!D13+'Consolidated Balance Sheet'!D15)</f>
        <v>2.6801619750485695</v>
      </c>
      <c r="E38" s="32">
        <f>('Consolidated Balance Sheet'!E17+'Consolidated Balance Sheet'!E23)/('Consolidated Balance Sheet'!E13+'Consolidated Balance Sheet'!E15)</f>
        <v>2.7007603372368214</v>
      </c>
      <c r="F38" s="32">
        <f>('Consolidated Balance Sheet'!F17+'Consolidated Balance Sheet'!F23)/('Consolidated Balance Sheet'!F13+'Consolidated Balance Sheet'!F15)</f>
        <v>1.7472350492758761</v>
      </c>
      <c r="G38" s="32">
        <f>('Consolidated Balance Sheet'!G17+'Consolidated Balance Sheet'!G23)/('Consolidated Balance Sheet'!G13+'Consolidated Balance Sheet'!G15)</f>
        <v>1.8434409122645108</v>
      </c>
      <c r="H38" s="32">
        <f>AVERAGE(C38,D38,E38,F38,G38)</f>
        <v>2.5442917961085341</v>
      </c>
    </row>
    <row r="39" spans="2:8" ht="14.25" customHeight="1" x14ac:dyDescent="0.3">
      <c r="B39" s="24" t="s">
        <v>309</v>
      </c>
      <c r="C39" s="32">
        <f>('Consolidated Balance Sheet'!C17+'Consolidated Balance Sheet'!C23-'Consolidated Balance Sheet'!C45)/('Consolidated Balance Sheet'!C13+'Consolidated Balance Sheet'!C15)</f>
        <v>3.5621361238106619</v>
      </c>
      <c r="D39" s="32">
        <f>('Consolidated Balance Sheet'!D17+'Consolidated Balance Sheet'!D23-'Consolidated Balance Sheet'!D45)/('Consolidated Balance Sheet'!D13+'Consolidated Balance Sheet'!D15)</f>
        <v>2.5466085788468487</v>
      </c>
      <c r="E39" s="32">
        <f>('Consolidated Balance Sheet'!E17+'Consolidated Balance Sheet'!E23-'Consolidated Balance Sheet'!E45)/('Consolidated Balance Sheet'!E13+'Consolidated Balance Sheet'!E15)</f>
        <v>2.5381595299759985</v>
      </c>
      <c r="F39" s="32">
        <f>('Consolidated Balance Sheet'!F17+'Consolidated Balance Sheet'!F23-'Consolidated Balance Sheet'!F45)/('Consolidated Balance Sheet'!F13+'Consolidated Balance Sheet'!F15)</f>
        <v>1.5899781237533277</v>
      </c>
      <c r="G39" s="32">
        <f>('Consolidated Balance Sheet'!G17+'Consolidated Balance Sheet'!G23-'Consolidated Balance Sheet'!G45)/('Consolidated Balance Sheet'!G13+'Consolidated Balance Sheet'!G15)</f>
        <v>1.6946286687144967</v>
      </c>
      <c r="H39" s="32">
        <f>AVERAGE(C39,D39,E39,F39,G39)</f>
        <v>2.3863022050202671</v>
      </c>
    </row>
    <row r="40" spans="2:8" ht="14.25" customHeight="1" x14ac:dyDescent="0.3">
      <c r="B40" s="24" t="s">
        <v>159</v>
      </c>
      <c r="C40" s="32">
        <f>('Consolidated Balance Sheet'!C17+'Consolidated Balance Sheet'!C23-'Consolidated Balance Sheet'!C45)/('Consolidated Profit &amp; Loss'!C24+'Consolidated Profit &amp; Loss'!C20+'Consolidated Profit &amp; Loss'!C21)</f>
        <v>5.8880048730593009</v>
      </c>
      <c r="D40" s="32">
        <f>('Consolidated Balance Sheet'!D17+'Consolidated Balance Sheet'!D23-'Consolidated Balance Sheet'!D45)/('Consolidated Profit &amp; Loss'!D24+'Consolidated Profit &amp; Loss'!D20+'Consolidated Profit &amp; Loss'!D21)</f>
        <v>6.4150947121126869</v>
      </c>
      <c r="E40" s="32">
        <f>('Consolidated Balance Sheet'!E17+'Consolidated Balance Sheet'!E23-'Consolidated Balance Sheet'!E45)/('Consolidated Profit &amp; Loss'!E24+'Consolidated Profit &amp; Loss'!E20+'Consolidated Profit &amp; Loss'!E21)</f>
        <v>5.1282673956379687</v>
      </c>
      <c r="F40" s="32">
        <f>('Consolidated Balance Sheet'!F17+'Consolidated Balance Sheet'!F23-'Consolidated Balance Sheet'!F45)/('Consolidated Profit &amp; Loss'!F24+'Consolidated Profit &amp; Loss'!F20+'Consolidated Profit &amp; Loss'!F21)</f>
        <v>4.0264649659448448</v>
      </c>
      <c r="G40" s="32">
        <f>('Consolidated Balance Sheet'!G17+'Consolidated Balance Sheet'!G23-'Consolidated Balance Sheet'!G45)/('Consolidated Profit &amp; Loss'!G24+'Consolidated Profit &amp; Loss'!G20+'Consolidated Profit &amp; Loss'!G21)</f>
        <v>4.5767930251193052</v>
      </c>
      <c r="H40" s="32">
        <f>AVERAGE(C40,D40,E40,F40,G40)</f>
        <v>5.2069249943748215</v>
      </c>
    </row>
    <row r="41" spans="2:8" ht="14.25" customHeight="1" x14ac:dyDescent="0.3">
      <c r="B41" s="24" t="s">
        <v>310</v>
      </c>
      <c r="C41" s="32">
        <f>('Consolidated Profit &amp; Loss'!C24+'Consolidated Profit &amp; Loss'!C20)/'Consolidated Profit &amp; Loss'!C20</f>
        <v>1.4304615319562781</v>
      </c>
      <c r="D41" s="32">
        <f>('Consolidated Profit &amp; Loss'!D24+'Consolidated Profit &amp; Loss'!D20)/'Consolidated Profit &amp; Loss'!D20</f>
        <v>1.2430872883762902</v>
      </c>
      <c r="E41" s="32">
        <f>('Consolidated Profit &amp; Loss'!E24+'Consolidated Profit &amp; Loss'!E20)/'Consolidated Profit &amp; Loss'!E20</f>
        <v>1.8095289733274051</v>
      </c>
      <c r="F41" s="32">
        <f>('Consolidated Profit &amp; Loss'!F24+'Consolidated Profit &amp; Loss'!F20)/'Consolidated Profit &amp; Loss'!F20</f>
        <v>2.2032609629475082</v>
      </c>
      <c r="G41" s="32">
        <f>('Consolidated Profit &amp; Loss'!G24+'Consolidated Profit &amp; Loss'!G20)/'Consolidated Profit &amp; Loss'!G20</f>
        <v>2.1589639131272533</v>
      </c>
      <c r="H41" s="32">
        <f>AVERAGE(C41,D41,E41,F41,G41)</f>
        <v>1.7690605339469472</v>
      </c>
    </row>
    <row r="42" spans="2:8" ht="14.25" customHeight="1" x14ac:dyDescent="0.3">
      <c r="B42" s="24" t="s">
        <v>311</v>
      </c>
      <c r="C42" s="25">
        <f>('Consolidated Balance Sheet'!C17+'Consolidated Balance Sheet'!C23)/'Consolidated Balance Sheet'!C49</f>
        <v>0.62814998532575461</v>
      </c>
      <c r="D42" s="25">
        <f>('Consolidated Balance Sheet'!D17+'Consolidated Balance Sheet'!D23)/'Consolidated Balance Sheet'!D49</f>
        <v>0.63411330060678539</v>
      </c>
      <c r="E42" s="25">
        <f>('Consolidated Balance Sheet'!E17+'Consolidated Balance Sheet'!E23)/'Consolidated Balance Sheet'!E49</f>
        <v>0.6317791365171127</v>
      </c>
      <c r="F42" s="25">
        <f>('Consolidated Balance Sheet'!F17+'Consolidated Balance Sheet'!F23)/'Consolidated Balance Sheet'!F49</f>
        <v>0.5436185186336957</v>
      </c>
      <c r="G42" s="25">
        <f>('Consolidated Balance Sheet'!G17+'Consolidated Balance Sheet'!G23)/'Consolidated Balance Sheet'!G49</f>
        <v>0.526724749695481</v>
      </c>
      <c r="H42" s="25">
        <f>AVERAGE(C42,D42,E42,F42,G42)</f>
        <v>0.59287713815576581</v>
      </c>
    </row>
    <row r="44" spans="2:8" ht="14.25" customHeight="1" x14ac:dyDescent="0.3">
      <c r="B44" s="281" t="s">
        <v>312</v>
      </c>
      <c r="C44" s="248"/>
      <c r="D44" s="248"/>
      <c r="E44" s="248"/>
      <c r="F44" s="248"/>
      <c r="G44" s="248"/>
      <c r="H44" s="249"/>
    </row>
    <row r="45" spans="2:8" ht="14.25" customHeight="1" x14ac:dyDescent="0.3">
      <c r="B45" s="24" t="s">
        <v>313</v>
      </c>
      <c r="C45" s="32">
        <f>'Consolidated Profit &amp; Loss'!C9/'Consolidated Balance Sheet'!C49</f>
        <v>0.23091573822831607</v>
      </c>
      <c r="D45" s="32">
        <f>'Consolidated Profit &amp; Loss'!D9/'Consolidated Balance Sheet'!D49</f>
        <v>0.24095491060460678</v>
      </c>
      <c r="E45" s="32">
        <f>'Consolidated Profit &amp; Loss'!E9/'Consolidated Balance Sheet'!E49</f>
        <v>0.27919669245585566</v>
      </c>
      <c r="F45" s="32">
        <f>'Consolidated Profit &amp; Loss'!F9/'Consolidated Balance Sheet'!F49</f>
        <v>0.31836287403613567</v>
      </c>
      <c r="G45" s="32">
        <f>'Consolidated Profit &amp; Loss'!G9/'Consolidated Balance Sheet'!G49</f>
        <v>0.29302152681340171</v>
      </c>
      <c r="H45" s="32">
        <f>AVERAGE(C45,D45,E45,F45,G45)</f>
        <v>0.27249034842766318</v>
      </c>
    </row>
    <row r="46" spans="2:8" ht="14.25" customHeight="1" x14ac:dyDescent="0.3">
      <c r="B46" s="24" t="s">
        <v>314</v>
      </c>
      <c r="C46" s="32">
        <f>'Consolidated Profit &amp; Loss'!C9/'Consolidated Balance Sheet'!C35</f>
        <v>0.31555028496869314</v>
      </c>
      <c r="D46" s="32">
        <f>'Consolidated Profit &amp; Loss'!D9/'Consolidated Balance Sheet'!D35</f>
        <v>0.33976577164029137</v>
      </c>
      <c r="E46" s="32">
        <f>'Consolidated Profit &amp; Loss'!E9/'Consolidated Balance Sheet'!E35</f>
        <v>0.39577375354937816</v>
      </c>
      <c r="F46" s="32">
        <f>'Consolidated Profit &amp; Loss'!F9/'Consolidated Balance Sheet'!F35</f>
        <v>0.52724665070859655</v>
      </c>
      <c r="G46" s="32">
        <f>'Consolidated Profit &amp; Loss'!G9/'Consolidated Balance Sheet'!G35</f>
        <v>0.5636770152872248</v>
      </c>
      <c r="H46" s="32">
        <f>AVERAGE(C46,D46,E46,F46,G46)</f>
        <v>0.42840269523083679</v>
      </c>
    </row>
    <row r="48" spans="2:8" ht="14.25" customHeight="1" x14ac:dyDescent="0.3">
      <c r="B48" s="281" t="s">
        <v>315</v>
      </c>
      <c r="C48" s="248"/>
      <c r="D48" s="248"/>
      <c r="E48" s="248"/>
      <c r="F48" s="248"/>
      <c r="G48" s="248"/>
      <c r="H48" s="249"/>
    </row>
    <row r="49" spans="2:8" ht="14.25" customHeight="1" x14ac:dyDescent="0.3">
      <c r="B49" s="24" t="s">
        <v>316</v>
      </c>
      <c r="C49" s="25"/>
      <c r="D49" s="25">
        <f>'Consolidated Profit &amp; Loss'!D9/'Consolidated Profit &amp; Loss'!C9-1</f>
        <v>0.1856634133835029</v>
      </c>
      <c r="E49" s="25">
        <f>'Consolidated Profit &amp; Loss'!E9/'Consolidated Profit &amp; Loss'!D9-1</f>
        <v>0.25855013266518512</v>
      </c>
      <c r="F49" s="25">
        <f>'Consolidated Profit &amp; Loss'!F9/'Consolidated Profit &amp; Loss'!E9-1</f>
        <v>0.43969034564943721</v>
      </c>
      <c r="G49" s="25">
        <f>'Consolidated Profit &amp; Loss'!G9/'Consolidated Profit &amp; Loss'!F9-1</f>
        <v>0.15528993062560126</v>
      </c>
      <c r="H49" s="25">
        <f>AVERAGE(D49,E49,F49,G49)</f>
        <v>0.25979845558093162</v>
      </c>
    </row>
    <row r="50" spans="2:8" ht="14.25" customHeight="1" x14ac:dyDescent="0.3">
      <c r="B50" s="24" t="s">
        <v>317</v>
      </c>
      <c r="C50" s="25"/>
      <c r="D50" s="25">
        <f>('Consolidated Profit &amp; Loss'!D24+'Consolidated Profit &amp; Loss'!D20+'Consolidated Profit &amp; Loss'!D21)/('Consolidated Profit &amp; Loss'!C24+'Consolidated Profit &amp; Loss'!C20+'Consolidated Profit &amp; Loss'!C21)-1</f>
        <v>5.3061046294063274E-2</v>
      </c>
      <c r="E50" s="25">
        <f>('Consolidated Profit &amp; Loss'!E24+'Consolidated Profit &amp; Loss'!E20+'Consolidated Profit &amp; Loss'!E21)/('Consolidated Profit &amp; Loss'!D24+'Consolidated Profit &amp; Loss'!D20+'Consolidated Profit &amp; Loss'!D21)-1</f>
        <v>0.33893215671177712</v>
      </c>
      <c r="F50" s="25">
        <f>('Consolidated Profit &amp; Loss'!F24+'Consolidated Profit &amp; Loss'!F20+'Consolidated Profit &amp; Loss'!F21)/('Consolidated Profit &amp; Loss'!E24+'Consolidated Profit &amp; Loss'!E20+'Consolidated Profit &amp; Loss'!E21)-1</f>
        <v>0.3397988251530486</v>
      </c>
      <c r="G50" s="25">
        <f>('Consolidated Profit &amp; Loss'!G24+'Consolidated Profit &amp; Loss'!G20+'Consolidated Profit &amp; Loss'!G21)/('Consolidated Profit &amp; Loss'!F24+'Consolidated Profit &amp; Loss'!F20+'Consolidated Profit &amp; Loss'!F21)-1</f>
        <v>8.0865173720359174E-2</v>
      </c>
      <c r="H50" s="25">
        <f>AVERAGE(D50,E50,F50,G50)</f>
        <v>0.20316430046981204</v>
      </c>
    </row>
    <row r="51" spans="2:8" ht="14.25" customHeight="1" x14ac:dyDescent="0.3">
      <c r="B51" s="24" t="s">
        <v>318</v>
      </c>
      <c r="C51" s="25"/>
      <c r="D51" s="25">
        <f>'Consolidated Profit &amp; Loss'!D36/'Consolidated Profit &amp; Loss'!C36-1</f>
        <v>4.2935057819543321E-2</v>
      </c>
      <c r="E51" s="25">
        <f>'Consolidated Profit &amp; Loss'!E36/'Consolidated Profit &amp; Loss'!D36-1</f>
        <v>-9.4760134677990604E-2</v>
      </c>
      <c r="F51" s="25">
        <f>'Consolidated Profit &amp; Loss'!F36/'Consolidated Profit &amp; Loss'!E36-1</f>
        <v>-6.7977982554867755E-2</v>
      </c>
      <c r="G51" s="25">
        <f>'Consolidated Profit &amp; Loss'!G36/'Consolidated Profit &amp; Loss'!F36-1</f>
        <v>1.1534005679406021</v>
      </c>
      <c r="H51" s="25">
        <f>AVERAGE(D51,E51,F51,G51)</f>
        <v>0.25839937713182176</v>
      </c>
    </row>
    <row r="53" spans="2:8" ht="14.25" customHeight="1" x14ac:dyDescent="0.3">
      <c r="B53" s="281" t="s">
        <v>319</v>
      </c>
      <c r="C53" s="248"/>
      <c r="D53" s="248"/>
      <c r="E53" s="248"/>
      <c r="F53" s="248"/>
      <c r="G53" s="248"/>
      <c r="H53" s="249"/>
    </row>
    <row r="54" spans="2:8" ht="14.25" customHeight="1" x14ac:dyDescent="0.3">
      <c r="B54" s="24" t="s">
        <v>320</v>
      </c>
      <c r="C54" s="33">
        <f>'Consolidated Profit &amp; Loss'!C39</f>
        <v>9</v>
      </c>
      <c r="D54" s="33">
        <f>'Consolidated Profit &amp; Loss'!D39</f>
        <v>11</v>
      </c>
      <c r="E54" s="33">
        <f>'Consolidated Profit &amp; Loss'!E39</f>
        <v>10</v>
      </c>
      <c r="F54" s="33">
        <f>'Consolidated Profit &amp; Loss'!F39</f>
        <v>9</v>
      </c>
      <c r="G54" s="33">
        <f>'Consolidated Profit &amp; Loss'!G39</f>
        <v>19</v>
      </c>
      <c r="H54" s="33">
        <f>AVERAGE(C54,D54,E54,F54,G54)</f>
        <v>11.6</v>
      </c>
    </row>
    <row r="55" spans="2:8" ht="14.25" customHeight="1" x14ac:dyDescent="0.3">
      <c r="B55" s="24" t="s">
        <v>153</v>
      </c>
      <c r="C55" s="33">
        <f>IF('Consolidated Profit &amp; Loss'!C39&lt;&gt;0,'Consolidated Balance Sheet'!C13/('Consolidated Profit &amp; Loss'!C36/'Consolidated Profit &amp; Loss'!C39),0)</f>
        <v>51.231958891259417</v>
      </c>
      <c r="D55" s="33">
        <f>IF('Consolidated Profit &amp; Loss'!D39&lt;&gt;0,'Consolidated Balance Sheet'!D13/('Consolidated Profit &amp; Loss'!D36/'Consolidated Profit &amp; Loss'!D39),0)</f>
        <v>102.11237493333759</v>
      </c>
      <c r="E55" s="33">
        <f>IF('Consolidated Profit &amp; Loss'!E39&lt;&gt;0,'Consolidated Balance Sheet'!E13/('Consolidated Profit &amp; Loss'!E36/'Consolidated Profit &amp; Loss'!E39),0)</f>
        <v>111.15600379853686</v>
      </c>
      <c r="F55" s="33">
        <f>IF('Consolidated Profit &amp; Loss'!F39&lt;&gt;0,'Consolidated Balance Sheet'!F13/('Consolidated Profit &amp; Loss'!F36/'Consolidated Profit &amp; Loss'!F39),0)</f>
        <v>187.37681255129863</v>
      </c>
      <c r="G55" s="33">
        <f>IF('Consolidated Profit &amp; Loss'!G39&lt;&gt;0,'Consolidated Balance Sheet'!G13/('Consolidated Profit &amp; Loss'!G36/'Consolidated Profit &amp; Loss'!G39),0)</f>
        <v>211.66036958826572</v>
      </c>
      <c r="H55" s="33">
        <f>AVERAGE(C55,D55,E55,F55,G55)</f>
        <v>132.70750395253964</v>
      </c>
    </row>
    <row r="56" spans="2:8" ht="14.25" customHeight="1" x14ac:dyDescent="0.3">
      <c r="B56" s="24" t="s">
        <v>321</v>
      </c>
      <c r="C56" s="33">
        <f>IF('Consolidated Profit &amp; Loss'!C39&lt;&gt;0,('Consolidated Balance Sheet'!C17+'Consolidated Balance Sheet'!C23-'Consolidated Balance Sheet'!C45)/('Consolidated Profit &amp; Loss'!C36/'Consolidated Profit &amp; Loss'!C39),0)</f>
        <v>211.60216999692852</v>
      </c>
      <c r="D56" s="33">
        <f>IF('Consolidated Profit &amp; Loss'!D39&lt;&gt;0,('Consolidated Balance Sheet'!D17+'Consolidated Balance Sheet'!D23-'Consolidated Balance Sheet'!D45)/('Consolidated Profit &amp; Loss'!D36/'Consolidated Profit &amp; Loss'!D39),0)</f>
        <v>284.51258825308639</v>
      </c>
      <c r="E56" s="33">
        <f>IF('Consolidated Profit &amp; Loss'!E39&lt;&gt;0,('Consolidated Balance Sheet'!E17+'Consolidated Balance Sheet'!E23-'Consolidated Balance Sheet'!E45)/('Consolidated Profit &amp; Loss'!E36/'Consolidated Profit &amp; Loss'!E39),0)</f>
        <v>305.82380768148568</v>
      </c>
      <c r="F56" s="33">
        <f>IF('Consolidated Profit &amp; Loss'!F39&lt;&gt;0,('Consolidated Balance Sheet'!F17+'Consolidated Balance Sheet'!F23-'Consolidated Balance Sheet'!F45)/('Consolidated Profit &amp; Loss'!F36/'Consolidated Profit &amp; Loss'!F39),0)</f>
        <v>310.65652801494383</v>
      </c>
      <c r="G56" s="33">
        <f>IF('Consolidated Profit &amp; Loss'!G39&lt;&gt;0,('Consolidated Balance Sheet'!G17+'Consolidated Balance Sheet'!G23-'Consolidated Balance Sheet'!G45)/('Consolidated Profit &amp; Loss'!G36/'Consolidated Profit &amp; Loss'!G39),0)</f>
        <v>374.17573843174711</v>
      </c>
      <c r="H56" s="33">
        <f>AVERAGE(C56,D56,E56,F56,G56)</f>
        <v>297.35416647563829</v>
      </c>
    </row>
  </sheetData>
  <mergeCells count="8">
    <mergeCell ref="B32:H32"/>
    <mergeCell ref="B1:H1"/>
    <mergeCell ref="B4:H4"/>
    <mergeCell ref="B44:H44"/>
    <mergeCell ref="B53:H53"/>
    <mergeCell ref="B21:H21"/>
    <mergeCell ref="B48:H48"/>
    <mergeCell ref="B37:H37"/>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I47"/>
  <sheetViews>
    <sheetView showGridLines="0" zoomScale="75" zoomScaleNormal="100" workbookViewId="0">
      <selection activeCell="B1" sqref="B1:G1"/>
    </sheetView>
  </sheetViews>
  <sheetFormatPr defaultColWidth="8.6328125" defaultRowHeight="14" x14ac:dyDescent="0.3"/>
  <cols>
    <col min="1" max="1" width="2.81640625" style="15" customWidth="1"/>
    <col min="2" max="2" width="42.90625" style="15" customWidth="1"/>
    <col min="3" max="7" width="11.1796875" style="15" customWidth="1"/>
    <col min="8" max="8" width="8.6328125" style="15"/>
    <col min="9" max="9" width="28" style="15" customWidth="1"/>
    <col min="10" max="16384" width="8.6328125" style="15"/>
  </cols>
  <sheetData>
    <row r="1" spans="2:9" ht="27.75" customHeight="1" x14ac:dyDescent="0.3">
      <c r="B1" s="288" t="s">
        <v>471</v>
      </c>
      <c r="C1" s="248"/>
      <c r="D1" s="248"/>
      <c r="E1" s="248"/>
      <c r="F1" s="248"/>
      <c r="G1" s="249"/>
    </row>
    <row r="2" spans="2:9" ht="27.75" customHeight="1" x14ac:dyDescent="0.3">
      <c r="B2" s="54"/>
      <c r="C2" s="55"/>
      <c r="D2" s="55"/>
      <c r="E2" s="55"/>
      <c r="F2" s="55"/>
      <c r="G2" s="56"/>
    </row>
    <row r="3" spans="2:9" ht="15" customHeight="1" x14ac:dyDescent="0.3">
      <c r="B3" s="47" t="s">
        <v>472</v>
      </c>
      <c r="C3" s="48">
        <v>44621</v>
      </c>
      <c r="D3" s="48">
        <v>44986</v>
      </c>
      <c r="E3" s="48">
        <v>45352</v>
      </c>
      <c r="F3" s="48">
        <v>45717</v>
      </c>
      <c r="G3" s="49" t="s">
        <v>473</v>
      </c>
    </row>
    <row r="4" spans="2:9" ht="13.5" customHeight="1" x14ac:dyDescent="0.3">
      <c r="B4" s="27" t="s">
        <v>474</v>
      </c>
      <c r="C4" s="31">
        <f>'Consolidated Profit &amp; Loss'!C11</f>
        <v>11257.52</v>
      </c>
      <c r="D4" s="31">
        <f>'Consolidated Profit &amp; Loss'!D11</f>
        <v>13292.72</v>
      </c>
      <c r="E4" s="31">
        <f>'Consolidated Profit &amp; Loss'!E11</f>
        <v>16607.36</v>
      </c>
      <c r="F4" s="31">
        <f>'Consolidated Profit &amp; Loss'!F11</f>
        <v>23767.09</v>
      </c>
      <c r="G4" s="31">
        <f>'Consolidated Profit &amp; Loss'!G11</f>
        <v>27588.03</v>
      </c>
      <c r="I4" s="51" t="s">
        <v>475</v>
      </c>
    </row>
    <row r="5" spans="2:9" ht="13.5" customHeight="1" x14ac:dyDescent="0.3">
      <c r="B5" s="24" t="s">
        <v>476</v>
      </c>
      <c r="C5" s="41"/>
      <c r="D5" s="39">
        <f>(D4/C4)-1</f>
        <v>0.18078582138872501</v>
      </c>
      <c r="E5" s="39">
        <f>(E4/D4)-1</f>
        <v>0.24935754307621028</v>
      </c>
      <c r="F5" s="39">
        <f>(F4/E4)-1</f>
        <v>0.43111788989941813</v>
      </c>
      <c r="G5" s="39">
        <f>(G4/F4)-1</f>
        <v>0.16076600038119926</v>
      </c>
      <c r="I5" s="52">
        <f>MEDIAN(D5:G5)</f>
        <v>0.21507168223246764</v>
      </c>
    </row>
    <row r="6" spans="2:9" ht="13.5" customHeight="1" x14ac:dyDescent="0.3">
      <c r="B6" s="24" t="s">
        <v>477</v>
      </c>
      <c r="C6" s="33">
        <f>'Consolidated Profit &amp; Loss'!C16</f>
        <v>2778.88</v>
      </c>
      <c r="D6" s="33">
        <f>'Consolidated Profit &amp; Loss'!D16</f>
        <v>3839.98</v>
      </c>
      <c r="E6" s="33">
        <f>'Consolidated Profit &amp; Loss'!E16</f>
        <v>4340.3</v>
      </c>
      <c r="F6" s="33">
        <f>'Consolidated Profit &amp; Loss'!F16</f>
        <v>5584.14</v>
      </c>
      <c r="G6" s="33">
        <f>'Consolidated Profit &amp; Loss'!G16</f>
        <v>6347.88</v>
      </c>
    </row>
    <row r="7" spans="2:9" ht="13.5" customHeight="1" x14ac:dyDescent="0.3">
      <c r="B7" s="24" t="s">
        <v>478</v>
      </c>
      <c r="C7" s="33">
        <f>'Consolidated Profit &amp; Loss'!C19</f>
        <v>885.07</v>
      </c>
      <c r="D7" s="33">
        <f>'Consolidated Profit &amp; Loss'!D19</f>
        <v>986.65</v>
      </c>
      <c r="E7" s="33">
        <f>'Consolidated Profit &amp; Loss'!E19</f>
        <v>951.7</v>
      </c>
      <c r="F7" s="33">
        <f>'Consolidated Profit &amp; Loss'!F19</f>
        <v>1032.94</v>
      </c>
      <c r="G7" s="33">
        <f>'Consolidated Profit &amp; Loss'!G19</f>
        <v>1092.6400000000001</v>
      </c>
    </row>
    <row r="8" spans="2:9" ht="13.5" customHeight="1" x14ac:dyDescent="0.3">
      <c r="B8" s="24" t="s">
        <v>479</v>
      </c>
      <c r="C8" s="33">
        <f>'Consolidated Profit &amp; Loss'!C17</f>
        <v>1065.99</v>
      </c>
      <c r="D8" s="33">
        <f>'Consolidated Profit &amp; Loss'!D17</f>
        <v>1384.18</v>
      </c>
      <c r="E8" s="33">
        <f>'Consolidated Profit &amp; Loss'!E17</f>
        <v>1119.0899999999999</v>
      </c>
      <c r="F8" s="33">
        <f>'Consolidated Profit &amp; Loss'!F17</f>
        <v>623.54</v>
      </c>
      <c r="G8" s="33">
        <f>'Consolidated Profit &amp; Loss'!G17</f>
        <v>0</v>
      </c>
    </row>
    <row r="9" spans="2:9" ht="13.5" customHeight="1" x14ac:dyDescent="0.3">
      <c r="B9" s="24" t="s">
        <v>480</v>
      </c>
      <c r="C9" s="33">
        <f>'Consolidated Profit &amp; Loss'!C22</f>
        <v>1500.18</v>
      </c>
      <c r="D9" s="33">
        <f>'Consolidated Profit &amp; Loss'!D22</f>
        <v>1809.17</v>
      </c>
      <c r="E9" s="33">
        <f>'Consolidated Profit &amp; Loss'!E22</f>
        <v>2996.11</v>
      </c>
      <c r="F9" s="33">
        <f>'Consolidated Profit &amp; Loss'!F22</f>
        <v>6753.46</v>
      </c>
      <c r="G9" s="33">
        <f>'Consolidated Profit &amp; Loss'!G22</f>
        <v>2923.62</v>
      </c>
    </row>
    <row r="10" spans="2:9" ht="13.5" customHeight="1" x14ac:dyDescent="0.3">
      <c r="B10" s="24" t="s">
        <v>481</v>
      </c>
      <c r="C10" s="33">
        <f>'Consolidated Profit &amp; Loss'!C15</f>
        <v>821.23</v>
      </c>
      <c r="D10" s="33">
        <f>'Consolidated Profit &amp; Loss'!D15</f>
        <v>755.13</v>
      </c>
      <c r="E10" s="33">
        <f>'Consolidated Profit &amp; Loss'!E15</f>
        <v>1028.95</v>
      </c>
      <c r="F10" s="33">
        <f>'Consolidated Profit &amp; Loss'!F15</f>
        <v>1365.74</v>
      </c>
      <c r="G10" s="33">
        <f>'Consolidated Profit &amp; Loss'!G15</f>
        <v>1004.14</v>
      </c>
    </row>
    <row r="11" spans="2:9" ht="13.5" customHeight="1" x14ac:dyDescent="0.3">
      <c r="B11" s="24" t="s">
        <v>255</v>
      </c>
      <c r="C11" s="33">
        <f>C6+C7+C8+C9+C10</f>
        <v>7051.35</v>
      </c>
      <c r="D11" s="33">
        <f>D6+D7+D8+D9+D10</f>
        <v>8775.11</v>
      </c>
      <c r="E11" s="33">
        <f>E6+E7+E8+E9+E10</f>
        <v>10436.150000000001</v>
      </c>
      <c r="F11" s="33">
        <f>F6+F7+F8+F9+F10</f>
        <v>15359.82</v>
      </c>
      <c r="G11" s="33">
        <f>G6+G7+G8+G9+G10</f>
        <v>11368.279999999999</v>
      </c>
    </row>
    <row r="12" spans="2:9" ht="13.5" customHeight="1" x14ac:dyDescent="0.3">
      <c r="B12" s="27" t="s">
        <v>285</v>
      </c>
      <c r="C12" s="31">
        <f>C4-C11</f>
        <v>4206.17</v>
      </c>
      <c r="D12" s="31">
        <f>D4-D11</f>
        <v>4517.6099999999988</v>
      </c>
      <c r="E12" s="31">
        <f>E4-E11</f>
        <v>6171.2099999999991</v>
      </c>
      <c r="F12" s="31">
        <f>F4-F11</f>
        <v>8407.27</v>
      </c>
      <c r="G12" s="31">
        <f>G4-G11</f>
        <v>16219.75</v>
      </c>
    </row>
    <row r="13" spans="2:9" ht="13.5" customHeight="1" x14ac:dyDescent="0.3">
      <c r="B13" s="24" t="s">
        <v>482</v>
      </c>
      <c r="C13" s="33">
        <f>'Consolidated Profit &amp; Loss'!C21</f>
        <v>1427.15</v>
      </c>
      <c r="D13" s="33">
        <f>'Consolidated Profit &amp; Loss'!D21</f>
        <v>1607.74</v>
      </c>
      <c r="E13" s="33">
        <f>'Consolidated Profit &amp; Loss'!E21</f>
        <v>1776.08</v>
      </c>
      <c r="F13" s="33">
        <f>'Consolidated Profit &amp; Loss'!F21</f>
        <v>1905.95</v>
      </c>
      <c r="G13" s="33">
        <f>'Consolidated Profit &amp; Loss'!G21</f>
        <v>1978.23</v>
      </c>
    </row>
    <row r="14" spans="2:9" ht="13.5" customHeight="1" x14ac:dyDescent="0.3">
      <c r="B14" s="27" t="s">
        <v>287</v>
      </c>
      <c r="C14" s="31">
        <f>C12-C13</f>
        <v>2779.02</v>
      </c>
      <c r="D14" s="31">
        <f>D12-D13</f>
        <v>2909.869999999999</v>
      </c>
      <c r="E14" s="31">
        <f>E12-E13</f>
        <v>4395.1299999999992</v>
      </c>
      <c r="F14" s="31">
        <f>F12-F13</f>
        <v>6501.3200000000006</v>
      </c>
      <c r="G14" s="31">
        <f>G12-G13</f>
        <v>14241.52</v>
      </c>
    </row>
    <row r="15" spans="2:9" ht="13.5" customHeight="1" x14ac:dyDescent="0.3">
      <c r="B15" s="24" t="s">
        <v>483</v>
      </c>
      <c r="C15" s="33">
        <f>'Consolidated Profit &amp; Loss'!C12</f>
        <v>603.95000000000005</v>
      </c>
      <c r="D15" s="33">
        <f>'Consolidated Profit &amp; Loss'!D12</f>
        <v>547.74</v>
      </c>
      <c r="E15" s="33">
        <f>'Consolidated Profit &amp; Loss'!E12</f>
        <v>610.95000000000005</v>
      </c>
      <c r="F15" s="33">
        <f>'Consolidated Profit &amp; Loss'!F12</f>
        <v>679.46</v>
      </c>
      <c r="G15" s="33">
        <f>'Consolidated Profit &amp; Loss'!G12</f>
        <v>737.13</v>
      </c>
    </row>
    <row r="16" spans="2:9" ht="13.5" customHeight="1" x14ac:dyDescent="0.3">
      <c r="B16" s="24" t="s">
        <v>484</v>
      </c>
      <c r="C16" s="33">
        <f>'Consolidated Profit &amp; Loss'!C20</f>
        <v>2364.9499999999998</v>
      </c>
      <c r="D16" s="33">
        <f>'Consolidated Profit &amp; Loss'!D20</f>
        <v>2781.47</v>
      </c>
      <c r="E16" s="33">
        <f>'Consolidated Profit &amp; Loss'!E20</f>
        <v>2766.51</v>
      </c>
      <c r="F16" s="33">
        <f>'Consolidated Profit &amp; Loss'!F20</f>
        <v>3259.16</v>
      </c>
      <c r="G16" s="33">
        <f>'Consolidated Profit &amp; Loss'!G20</f>
        <v>3632.9</v>
      </c>
    </row>
    <row r="17" spans="2:7" ht="13.5" customHeight="1" x14ac:dyDescent="0.3">
      <c r="B17" s="27" t="s">
        <v>485</v>
      </c>
      <c r="C17" s="31">
        <f>C14+C15-C16</f>
        <v>1018.0200000000004</v>
      </c>
      <c r="D17" s="31">
        <f>D14+D15-D16</f>
        <v>676.13999999999896</v>
      </c>
      <c r="E17" s="31">
        <f>E14+E15-E16</f>
        <v>2239.5699999999988</v>
      </c>
      <c r="F17" s="31">
        <f>F14+F15-F16</f>
        <v>3921.6200000000008</v>
      </c>
      <c r="G17" s="31">
        <f>G14+G15-G16</f>
        <v>11345.75</v>
      </c>
    </row>
    <row r="18" spans="2:7" ht="13.5" customHeight="1" x14ac:dyDescent="0.3">
      <c r="B18" s="24" t="s">
        <v>486</v>
      </c>
      <c r="C18" s="33">
        <f>'Consolidated Profit &amp; Loss'!C30</f>
        <v>436.06</v>
      </c>
      <c r="D18" s="33">
        <f>'Consolidated Profit &amp; Loss'!D30</f>
        <v>435.33</v>
      </c>
      <c r="E18" s="33">
        <f>'Consolidated Profit &amp; Loss'!E30</f>
        <v>580.13</v>
      </c>
      <c r="F18" s="33">
        <f>'Consolidated Profit &amp; Loss'!F30</f>
        <v>178.99</v>
      </c>
      <c r="G18" s="33">
        <f>'Consolidated Profit &amp; Loss'!G30</f>
        <v>771.71</v>
      </c>
    </row>
    <row r="19" spans="2:7" ht="13.5" customHeight="1" x14ac:dyDescent="0.3">
      <c r="B19" s="27" t="s">
        <v>5</v>
      </c>
      <c r="C19" s="31">
        <f>C18/C17</f>
        <v>0.42834128995501053</v>
      </c>
      <c r="D19" s="31">
        <f>D18/D17</f>
        <v>0.64384594906380432</v>
      </c>
      <c r="E19" s="31">
        <f>E18/E17</f>
        <v>0.25903633286747024</v>
      </c>
      <c r="F19" s="31">
        <f>F18/F17</f>
        <v>4.5641852091737593E-2</v>
      </c>
      <c r="G19" s="31">
        <f>G18/G17</f>
        <v>6.8017539607341956E-2</v>
      </c>
    </row>
    <row r="20" spans="2:7" ht="13.5" customHeight="1" x14ac:dyDescent="0.3">
      <c r="B20" s="24" t="s">
        <v>487</v>
      </c>
      <c r="C20" s="33">
        <f>-'Consolidated Profit &amp; Loss'!C35</f>
        <v>31.14</v>
      </c>
      <c r="D20" s="33">
        <f>-'Consolidated Profit &amp; Loss'!D35</f>
        <v>24.27</v>
      </c>
      <c r="E20" s="33">
        <f>-'Consolidated Profit &amp; Loss'!E35</f>
        <v>58.33</v>
      </c>
      <c r="F20" s="33">
        <f>-'Consolidated Profit &amp; Loss'!F35</f>
        <v>-138.28</v>
      </c>
      <c r="G20" s="33">
        <f>-'Consolidated Profit &amp; Loss'!G35</f>
        <v>110.21</v>
      </c>
    </row>
    <row r="21" spans="2:7" ht="13.5" customHeight="1" thickBot="1" x14ac:dyDescent="0.35">
      <c r="B21" s="43" t="s">
        <v>488</v>
      </c>
      <c r="C21" s="50">
        <f>C17-C18-C20</f>
        <v>550.8200000000005</v>
      </c>
      <c r="D21" s="50">
        <f>D17-D18-D20</f>
        <v>216.53999999999897</v>
      </c>
      <c r="E21" s="50">
        <f>E17-E18-E20</f>
        <v>1601.1099999999988</v>
      </c>
      <c r="F21" s="50">
        <f>F17-F18-F20</f>
        <v>3880.9100000000012</v>
      </c>
      <c r="G21" s="50">
        <f>G17-G18-G20</f>
        <v>10463.830000000002</v>
      </c>
    </row>
    <row r="23" spans="2:7" ht="13.5" customHeight="1" x14ac:dyDescent="0.3">
      <c r="B23" s="283" t="s">
        <v>489</v>
      </c>
      <c r="C23" s="248"/>
      <c r="D23" s="248"/>
      <c r="E23" s="249"/>
    </row>
    <row r="24" spans="2:7" ht="13.5" customHeight="1" x14ac:dyDescent="0.3">
      <c r="B24" s="24" t="s">
        <v>490</v>
      </c>
      <c r="C24" s="39">
        <f>AVERAGE(D5:G5)</f>
        <v>0.25550681368638817</v>
      </c>
      <c r="D24" s="130"/>
      <c r="E24" s="130"/>
    </row>
    <row r="25" spans="2:7" ht="13.5" customHeight="1" x14ac:dyDescent="0.3">
      <c r="B25" s="24" t="s">
        <v>491</v>
      </c>
      <c r="C25" s="39">
        <f>(G4/C4)^(1/4)-1</f>
        <v>0.25117912702283096</v>
      </c>
      <c r="D25" s="39">
        <f>_xlfn.RRI(4,C4,G4)</f>
        <v>0.25117912702283096</v>
      </c>
      <c r="E25" s="24" t="s">
        <v>492</v>
      </c>
    </row>
    <row r="27" spans="2:7" ht="13.5" customHeight="1" x14ac:dyDescent="0.3">
      <c r="B27" s="286" t="s">
        <v>493</v>
      </c>
      <c r="C27" s="287"/>
      <c r="D27" s="287"/>
      <c r="E27" s="287"/>
      <c r="F27" s="287"/>
      <c r="G27" s="287"/>
    </row>
    <row r="28" spans="2:7" ht="13.5" customHeight="1" x14ac:dyDescent="0.3">
      <c r="B28" s="24" t="s">
        <v>285</v>
      </c>
      <c r="C28" s="39">
        <f>C12/C4</f>
        <v>0.37363202552604835</v>
      </c>
      <c r="D28" s="39">
        <f>D12/D4</f>
        <v>0.33985595122743872</v>
      </c>
      <c r="E28" s="39">
        <f>E12/E4</f>
        <v>0.37159488323249446</v>
      </c>
      <c r="F28" s="39">
        <f>F12/F4</f>
        <v>0.35373577497287217</v>
      </c>
      <c r="G28" s="39">
        <f>G12/G4</f>
        <v>0.58792708286891093</v>
      </c>
    </row>
    <row r="29" spans="2:7" ht="13.5" customHeight="1" x14ac:dyDescent="0.3">
      <c r="B29" s="24" t="s">
        <v>287</v>
      </c>
      <c r="C29" s="39">
        <f>C14/C4</f>
        <v>0.24685898848058896</v>
      </c>
      <c r="D29" s="39">
        <f>D14/D4</f>
        <v>0.21890704084641813</v>
      </c>
      <c r="E29" s="39">
        <f>E14/E4</f>
        <v>0.26464952888357929</v>
      </c>
      <c r="F29" s="39">
        <f>F14/F4</f>
        <v>0.27354295372298421</v>
      </c>
      <c r="G29" s="39">
        <f>G14/G4</f>
        <v>0.51622098424570373</v>
      </c>
    </row>
    <row r="30" spans="2:7" ht="13.5" customHeight="1" x14ac:dyDescent="0.3">
      <c r="B30" s="24" t="s">
        <v>494</v>
      </c>
      <c r="C30" s="39">
        <f>C17/C4</f>
        <v>9.04302190891067E-2</v>
      </c>
      <c r="D30" s="39">
        <f>D17/D4</f>
        <v>5.0865436118416624E-2</v>
      </c>
      <c r="E30" s="39">
        <f>E17/E4</f>
        <v>0.13485406470384206</v>
      </c>
      <c r="F30" s="39">
        <f>F17/F4</f>
        <v>0.16500211006059223</v>
      </c>
      <c r="G30" s="39">
        <f>G17/G4</f>
        <v>0.41125625860200965</v>
      </c>
    </row>
    <row r="31" spans="2:7" ht="13.5" customHeight="1" x14ac:dyDescent="0.3">
      <c r="B31" s="24" t="s">
        <v>495</v>
      </c>
      <c r="C31" s="39">
        <f>C21/C4</f>
        <v>4.8929071411820763E-2</v>
      </c>
      <c r="D31" s="39">
        <f>D21/D4</f>
        <v>1.6290119704620198E-2</v>
      </c>
      <c r="E31" s="39">
        <f>E21/E4</f>
        <v>9.6409664148907392E-2</v>
      </c>
      <c r="F31" s="39">
        <f>F21/F4</f>
        <v>0.16328923734458031</v>
      </c>
      <c r="G31" s="39">
        <f>G21/G4</f>
        <v>0.37928877125332988</v>
      </c>
    </row>
    <row r="33" spans="2:7" ht="13.5" customHeight="1" x14ac:dyDescent="0.3">
      <c r="B33" s="283" t="s">
        <v>5</v>
      </c>
      <c r="C33" s="248"/>
      <c r="D33" s="248"/>
      <c r="E33" s="248"/>
      <c r="F33" s="248"/>
      <c r="G33" s="249"/>
    </row>
    <row r="34" spans="2:7" ht="13.5" customHeight="1" x14ac:dyDescent="0.3">
      <c r="B34" s="24" t="s">
        <v>496</v>
      </c>
      <c r="C34" s="39">
        <f>C18/C17</f>
        <v>0.42834128995501053</v>
      </c>
      <c r="D34" s="39">
        <f>D18/D17</f>
        <v>0.64384594906380432</v>
      </c>
      <c r="E34" s="39">
        <f>E18/E17</f>
        <v>0.25903633286747024</v>
      </c>
      <c r="F34" s="39">
        <f>F18/F17</f>
        <v>4.5641852091737593E-2</v>
      </c>
      <c r="G34" s="39">
        <f>G18/G17</f>
        <v>6.8017539607341956E-2</v>
      </c>
    </row>
    <row r="35" spans="2:7" ht="13.5" customHeight="1" x14ac:dyDescent="0.3">
      <c r="B35" s="24" t="s">
        <v>497</v>
      </c>
      <c r="C35" s="25">
        <v>0.25</v>
      </c>
      <c r="D35" s="25">
        <v>0.25</v>
      </c>
      <c r="E35" s="25">
        <v>0.25</v>
      </c>
      <c r="F35" s="25">
        <v>0.25</v>
      </c>
      <c r="G35" s="25">
        <v>0.25</v>
      </c>
    </row>
    <row r="37" spans="2:7" ht="13.5" customHeight="1" x14ac:dyDescent="0.3">
      <c r="B37" s="283" t="s">
        <v>498</v>
      </c>
      <c r="C37" s="248"/>
      <c r="D37" s="248"/>
      <c r="E37" s="248"/>
      <c r="F37" s="248"/>
      <c r="G37" s="249"/>
    </row>
    <row r="38" spans="2:7" ht="13.5" customHeight="1" x14ac:dyDescent="0.3">
      <c r="B38" s="24" t="s">
        <v>499</v>
      </c>
      <c r="C38" s="40">
        <f>C14*(1-C35)</f>
        <v>2084.2649999999999</v>
      </c>
      <c r="D38" s="40">
        <f>D14*(1-D35)</f>
        <v>2182.4024999999992</v>
      </c>
      <c r="E38" s="40">
        <f>E14*(1-E35)</f>
        <v>3296.3474999999994</v>
      </c>
      <c r="F38" s="40">
        <f>F14*(1-F35)</f>
        <v>4875.9900000000007</v>
      </c>
      <c r="G38" s="40">
        <f>G14*(1-G35)</f>
        <v>10681.14</v>
      </c>
    </row>
    <row r="39" spans="2:7" ht="13.5" customHeight="1" x14ac:dyDescent="0.3">
      <c r="B39" s="24" t="s">
        <v>500</v>
      </c>
      <c r="C39" s="40">
        <f>'Consolidated Balance Sheet'!C13</f>
        <v>6857.17</v>
      </c>
      <c r="D39" s="40">
        <f>'Consolidated Balance Sheet'!D13</f>
        <v>11662.44</v>
      </c>
      <c r="E39" s="40">
        <f>'Consolidated Balance Sheet'!E13</f>
        <v>12641.55</v>
      </c>
      <c r="F39" s="40">
        <f>'Consolidated Balance Sheet'!F13</f>
        <v>22068.2</v>
      </c>
      <c r="G39" s="40">
        <f>'Consolidated Balance Sheet'!G13</f>
        <v>25427.54</v>
      </c>
    </row>
    <row r="40" spans="2:7" ht="13.5" customHeight="1" x14ac:dyDescent="0.3">
      <c r="B40" s="24" t="s">
        <v>501</v>
      </c>
      <c r="C40" s="40">
        <f>'Consolidated Balance Sheet'!C17+'Consolidated Balance Sheet'!C23</f>
        <v>29814.58</v>
      </c>
      <c r="D40" s="40">
        <f>'Consolidated Balance Sheet'!D17+'Consolidated Balance Sheet'!D23</f>
        <v>34198.839999999997</v>
      </c>
      <c r="E40" s="40">
        <f>'Consolidated Balance Sheet'!E17+'Consolidated Balance Sheet'!E23</f>
        <v>37008.870000000003</v>
      </c>
      <c r="F40" s="40">
        <f>'Consolidated Balance Sheet'!F17+'Consolidated Balance Sheet'!F23</f>
        <v>40206.080000000002</v>
      </c>
      <c r="G40" s="40">
        <f>'Consolidated Balance Sheet'!G17+'Consolidated Balance Sheet'!G23</f>
        <v>48898.45</v>
      </c>
    </row>
    <row r="41" spans="2:7" ht="13.5" customHeight="1" x14ac:dyDescent="0.3">
      <c r="B41" s="24" t="s">
        <v>502</v>
      </c>
      <c r="C41" s="40">
        <f>'Consolidated Balance Sheet'!C45</f>
        <v>1492.57</v>
      </c>
      <c r="D41" s="40">
        <f>'Consolidated Balance Sheet'!D45</f>
        <v>1704.14</v>
      </c>
      <c r="E41" s="40">
        <f>'Consolidated Balance Sheet'!E45</f>
        <v>2228.14</v>
      </c>
      <c r="F41" s="40">
        <f>'Consolidated Balance Sheet'!F45</f>
        <v>3618.68</v>
      </c>
      <c r="G41" s="40">
        <f>'Consolidated Balance Sheet'!G45</f>
        <v>3947.34</v>
      </c>
    </row>
    <row r="42" spans="2:7" ht="13.5" customHeight="1" x14ac:dyDescent="0.3">
      <c r="B42" s="24" t="s">
        <v>503</v>
      </c>
      <c r="C42" s="40">
        <f>C39+C40+C41</f>
        <v>38164.32</v>
      </c>
      <c r="D42" s="40">
        <f>D39+D40+D41</f>
        <v>47565.42</v>
      </c>
      <c r="E42" s="40">
        <f>E39+E40+E41</f>
        <v>51878.559999999998</v>
      </c>
      <c r="F42" s="40">
        <f>F39+F40+F41</f>
        <v>65892.959999999992</v>
      </c>
      <c r="G42" s="40">
        <f>G39+G40+G41</f>
        <v>78273.329999999987</v>
      </c>
    </row>
    <row r="44" spans="2:7" ht="13.5" customHeight="1" x14ac:dyDescent="0.3">
      <c r="B44" s="24" t="s">
        <v>504</v>
      </c>
      <c r="C44" s="39">
        <f>C14/C42</f>
        <v>7.2817228238312645E-2</v>
      </c>
      <c r="D44" s="39">
        <f>D14/D42</f>
        <v>6.1176165373920781E-2</v>
      </c>
      <c r="E44" s="39">
        <f>E14/E42</f>
        <v>8.4719583581348429E-2</v>
      </c>
      <c r="F44" s="39">
        <f>F14/F42</f>
        <v>9.8664864956741982E-2</v>
      </c>
      <c r="G44" s="39">
        <f>G14/G42</f>
        <v>0.18194600894072097</v>
      </c>
    </row>
    <row r="45" spans="2:7" ht="13.5" customHeight="1" x14ac:dyDescent="0.3">
      <c r="B45" s="24" t="s">
        <v>505</v>
      </c>
      <c r="C45" s="39">
        <f>C38/C42</f>
        <v>5.461292117873448E-2</v>
      </c>
      <c r="D45" s="39">
        <f>D38/D42</f>
        <v>4.5882124030440584E-2</v>
      </c>
      <c r="E45" s="39">
        <f>E38/E42</f>
        <v>6.3539687686011329E-2</v>
      </c>
      <c r="F45" s="39">
        <f>F38/F42</f>
        <v>7.3998648717556487E-2</v>
      </c>
      <c r="G45" s="39">
        <f>G38/G42</f>
        <v>0.13645950670554072</v>
      </c>
    </row>
    <row r="47" spans="2:7" ht="13.5" customHeight="1" thickBot="1" x14ac:dyDescent="0.35">
      <c r="B47" s="53" t="s">
        <v>506</v>
      </c>
      <c r="C47" s="284">
        <f>'Fixed Assets Schedule'!C29*Assumption!G45</f>
        <v>3.0537192911520065E-2</v>
      </c>
      <c r="D47" s="285"/>
    </row>
  </sheetData>
  <mergeCells count="6">
    <mergeCell ref="B23:E23"/>
    <mergeCell ref="C47:D47"/>
    <mergeCell ref="B37:G37"/>
    <mergeCell ref="B27:G27"/>
    <mergeCell ref="B1:G1"/>
    <mergeCell ref="B33:G33"/>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G62"/>
  <sheetViews>
    <sheetView showGridLines="0" zoomScale="64" zoomScaleNormal="100" workbookViewId="0">
      <selection activeCell="I12" sqref="I12"/>
    </sheetView>
  </sheetViews>
  <sheetFormatPr defaultColWidth="8.6328125" defaultRowHeight="14" x14ac:dyDescent="0.3"/>
  <cols>
    <col min="1" max="1" width="2.1796875" style="15" customWidth="1"/>
    <col min="2" max="2" width="34" style="15" customWidth="1"/>
    <col min="3" max="7" width="16.7265625" style="15" customWidth="1"/>
    <col min="8" max="16384" width="8.6328125" style="15"/>
  </cols>
  <sheetData>
    <row r="1" spans="2:7" ht="18" customHeight="1" x14ac:dyDescent="0.3">
      <c r="B1" s="289" t="s">
        <v>322</v>
      </c>
      <c r="C1" s="248"/>
      <c r="D1" s="248"/>
      <c r="E1" s="248"/>
      <c r="F1" s="248"/>
      <c r="G1" s="249"/>
    </row>
    <row r="3" spans="2:7" ht="21" customHeight="1" x14ac:dyDescent="0.3">
      <c r="B3" s="23" t="s">
        <v>323</v>
      </c>
      <c r="C3" s="23">
        <v>2022</v>
      </c>
      <c r="D3" s="23">
        <v>2023</v>
      </c>
      <c r="E3" s="23">
        <v>2024</v>
      </c>
      <c r="F3" s="23">
        <v>2025</v>
      </c>
      <c r="G3" s="23">
        <v>2026</v>
      </c>
    </row>
    <row r="4" spans="2:7" ht="14.25" customHeight="1" x14ac:dyDescent="0.3">
      <c r="B4" s="79" t="s">
        <v>324</v>
      </c>
      <c r="C4" s="80"/>
      <c r="D4" s="80"/>
      <c r="E4" s="80"/>
      <c r="F4" s="80"/>
      <c r="G4" s="80"/>
    </row>
    <row r="5" spans="2:7" ht="14.25" customHeight="1" x14ac:dyDescent="0.3">
      <c r="B5" s="24" t="s">
        <v>325</v>
      </c>
      <c r="C5" s="29">
        <f>'Consolidated Profit &amp; Loss'!C9</f>
        <v>10960.21</v>
      </c>
      <c r="D5" s="29">
        <f>'Consolidated Profit &amp; Loss'!D9</f>
        <v>12995.12</v>
      </c>
      <c r="E5" s="29">
        <f>'Consolidated Profit &amp; Loss'!E9</f>
        <v>16355.01</v>
      </c>
      <c r="F5" s="29">
        <f>'Consolidated Profit &amp; Loss'!F9</f>
        <v>23546.15</v>
      </c>
      <c r="G5" s="29">
        <f>'Consolidated Profit &amp; Loss'!G9</f>
        <v>27202.63</v>
      </c>
    </row>
    <row r="6" spans="2:7" ht="14.25" customHeight="1" x14ac:dyDescent="0.3">
      <c r="B6" s="27" t="s">
        <v>326</v>
      </c>
      <c r="C6" s="26"/>
      <c r="D6" s="26">
        <f>'Consolidated Profit &amp; Loss'!D9/'Consolidated Profit &amp; Loss'!C9-1</f>
        <v>0.1856634133835029</v>
      </c>
      <c r="E6" s="26">
        <f>'Consolidated Profit &amp; Loss'!E9/'Consolidated Profit &amp; Loss'!D9-1</f>
        <v>0.25855013266518512</v>
      </c>
      <c r="F6" s="26">
        <f>'Consolidated Profit &amp; Loss'!F9/'Consolidated Profit &amp; Loss'!E9-1</f>
        <v>0.43969034564943721</v>
      </c>
      <c r="G6" s="26">
        <f>'Consolidated Profit &amp; Loss'!G9/'Consolidated Profit &amp; Loss'!F9-1</f>
        <v>0.15528993062560126</v>
      </c>
    </row>
    <row r="7" spans="2:7" ht="14.25" customHeight="1" x14ac:dyDescent="0.3">
      <c r="B7" s="130"/>
      <c r="C7" s="130"/>
      <c r="D7" s="130"/>
      <c r="E7" s="130"/>
      <c r="F7" s="130"/>
      <c r="G7" s="130"/>
    </row>
    <row r="8" spans="2:7" ht="14.25" customHeight="1" x14ac:dyDescent="0.3">
      <c r="B8" s="24" t="s">
        <v>327</v>
      </c>
      <c r="C8" s="29">
        <f>'Consolidated Profit &amp; Loss'!C23-'Consolidated Profit &amp; Loss'!C20-'Consolidated Profit &amp; Loss'!C21</f>
        <v>7051.35</v>
      </c>
      <c r="D8" s="29">
        <f>'Consolidated Profit &amp; Loss'!D23-'Consolidated Profit &amp; Loss'!D20-'Consolidated Profit &amp; Loss'!D21</f>
        <v>8775.11</v>
      </c>
      <c r="E8" s="29">
        <f>'Consolidated Profit &amp; Loss'!E23-'Consolidated Profit &amp; Loss'!E20-'Consolidated Profit &amp; Loss'!E21</f>
        <v>10436.15</v>
      </c>
      <c r="F8" s="29">
        <f>'Consolidated Profit &amp; Loss'!F23-'Consolidated Profit &amp; Loss'!F20-'Consolidated Profit &amp; Loss'!F21</f>
        <v>15359.82</v>
      </c>
      <c r="G8" s="29">
        <f>'Consolidated Profit &amp; Loss'!G23-'Consolidated Profit &amp; Loss'!G20-'Consolidated Profit &amp; Loss'!G21</f>
        <v>18503.629999999997</v>
      </c>
    </row>
    <row r="9" spans="2:7" ht="14.25" customHeight="1" x14ac:dyDescent="0.3">
      <c r="B9" s="27" t="s">
        <v>328</v>
      </c>
      <c r="C9" s="26">
        <f>('Consolidated Profit &amp; Loss'!C23-'Consolidated Profit &amp; Loss'!C20-'Consolidated Profit &amp; Loss'!C21)/'Consolidated Profit &amp; Loss'!C9</f>
        <v>0.6433590232303944</v>
      </c>
      <c r="D9" s="26">
        <f>('Consolidated Profit &amp; Loss'!D23-'Consolidated Profit &amp; Loss'!D20-'Consolidated Profit &amp; Loss'!D21)/'Consolidated Profit &amp; Loss'!D9</f>
        <v>0.67526194448377541</v>
      </c>
      <c r="E9" s="26">
        <f>('Consolidated Profit &amp; Loss'!E23-'Consolidated Profit &amp; Loss'!E20-'Consolidated Profit &amp; Loss'!E21)/'Consolidated Profit &amp; Loss'!E9</f>
        <v>0.63810110785624707</v>
      </c>
      <c r="F9" s="26">
        <f>('Consolidated Profit &amp; Loss'!F23-'Consolidated Profit &amp; Loss'!F20-'Consolidated Profit &amp; Loss'!F21)/'Consolidated Profit &amp; Loss'!F9</f>
        <v>0.65232829995561903</v>
      </c>
      <c r="G9" s="26">
        <f>('Consolidated Profit &amp; Loss'!G23-'Consolidated Profit &amp; Loss'!G20-'Consolidated Profit &amp; Loss'!G21)/'Consolidated Profit &amp; Loss'!G9</f>
        <v>0.68021474394203785</v>
      </c>
    </row>
    <row r="10" spans="2:7" ht="14.25" customHeight="1" x14ac:dyDescent="0.3">
      <c r="B10" s="130"/>
      <c r="C10" s="130"/>
      <c r="D10" s="130"/>
      <c r="E10" s="130"/>
      <c r="F10" s="130"/>
      <c r="G10" s="130"/>
    </row>
    <row r="11" spans="2:7" ht="14.25" customHeight="1" x14ac:dyDescent="0.3">
      <c r="B11" s="27" t="s">
        <v>285</v>
      </c>
      <c r="C11" s="28">
        <f>'Consolidated Profit &amp; Loss'!C24+'Consolidated Profit &amp; Loss'!C20+'Consolidated Profit &amp; Loss'!C21</f>
        <v>4810.12</v>
      </c>
      <c r="D11" s="28">
        <f>'Consolidated Profit &amp; Loss'!D24+'Consolidated Profit &amp; Loss'!D20+'Consolidated Profit &amp; Loss'!D21</f>
        <v>5065.3499999999995</v>
      </c>
      <c r="E11" s="28">
        <f>'Consolidated Profit &amp; Loss'!E24+'Consolidated Profit &amp; Loss'!E20+'Consolidated Profit &amp; Loss'!E21</f>
        <v>6782.16</v>
      </c>
      <c r="F11" s="28">
        <f>'Consolidated Profit &amp; Loss'!F24+'Consolidated Profit &amp; Loss'!F20+'Consolidated Profit &amp; Loss'!F21</f>
        <v>9086.73</v>
      </c>
      <c r="G11" s="28">
        <f>'Consolidated Profit &amp; Loss'!G24+'Consolidated Profit &amp; Loss'!G20+'Consolidated Profit &amp; Loss'!G21</f>
        <v>9821.5299999999988</v>
      </c>
    </row>
    <row r="12" spans="2:7" ht="14.25" customHeight="1" x14ac:dyDescent="0.3">
      <c r="B12" s="27" t="s">
        <v>286</v>
      </c>
      <c r="C12" s="26">
        <f>('Consolidated Profit &amp; Loss'!C24+'Consolidated Profit &amp; Loss'!C20+'Consolidated Profit &amp; Loss'!C21)/'Consolidated Profit &amp; Loss'!C9</f>
        <v>0.43887115301622875</v>
      </c>
      <c r="D12" s="26">
        <f>('Consolidated Profit &amp; Loss'!D24+'Consolidated Profit &amp; Loss'!D20+'Consolidated Profit &amp; Loss'!D21)/'Consolidated Profit &amp; Loss'!D9</f>
        <v>0.38978862834664085</v>
      </c>
      <c r="E12" s="26">
        <f>('Consolidated Profit &amp; Loss'!E24+'Consolidated Profit &amp; Loss'!E20+'Consolidated Profit &amp; Loss'!E21)/'Consolidated Profit &amp; Loss'!E9</f>
        <v>0.41468394088416943</v>
      </c>
      <c r="F12" s="26">
        <f>('Consolidated Profit &amp; Loss'!F24+'Consolidated Profit &amp; Loss'!F20+'Consolidated Profit &amp; Loss'!F21)/'Consolidated Profit &amp; Loss'!F9</f>
        <v>0.38591149720867313</v>
      </c>
      <c r="G12" s="26">
        <f>('Consolidated Profit &amp; Loss'!G24+'Consolidated Profit &amp; Loss'!G20+'Consolidated Profit &amp; Loss'!G21)/'Consolidated Profit &amp; Loss'!G9</f>
        <v>0.36105075134279291</v>
      </c>
    </row>
    <row r="13" spans="2:7" ht="14.25" customHeight="1" x14ac:dyDescent="0.3">
      <c r="B13" s="130"/>
      <c r="C13" s="130"/>
      <c r="D13" s="130"/>
      <c r="E13" s="130"/>
      <c r="F13" s="130"/>
      <c r="G13" s="130"/>
    </row>
    <row r="14" spans="2:7" ht="14.25" customHeight="1" x14ac:dyDescent="0.3">
      <c r="B14" s="24" t="s">
        <v>329</v>
      </c>
      <c r="C14" s="29">
        <f>'Consolidated Profit &amp; Loss'!C21</f>
        <v>1427.15</v>
      </c>
      <c r="D14" s="29">
        <f>'Consolidated Profit &amp; Loss'!D21</f>
        <v>1607.74</v>
      </c>
      <c r="E14" s="29">
        <f>'Consolidated Profit &amp; Loss'!E21</f>
        <v>1776.08</v>
      </c>
      <c r="F14" s="29">
        <f>'Consolidated Profit &amp; Loss'!F21</f>
        <v>1905.95</v>
      </c>
      <c r="G14" s="29">
        <f>'Consolidated Profit &amp; Loss'!G21</f>
        <v>1978.23</v>
      </c>
    </row>
    <row r="15" spans="2:7" ht="14.25" customHeight="1" x14ac:dyDescent="0.3">
      <c r="B15" s="27" t="s">
        <v>291</v>
      </c>
      <c r="C15" s="26">
        <f>'Consolidated Profit &amp; Loss'!C21/'Consolidated Profit &amp; Loss'!C9</f>
        <v>0.13021192112194932</v>
      </c>
      <c r="D15" s="26">
        <f>'Consolidated Profit &amp; Loss'!D21/'Consolidated Profit &amp; Loss'!D9</f>
        <v>0.12371874980762008</v>
      </c>
      <c r="E15" s="26">
        <f>'Consolidated Profit &amp; Loss'!E21/'Consolidated Profit &amp; Loss'!E9</f>
        <v>0.10859547013422798</v>
      </c>
      <c r="F15" s="26">
        <f>'Consolidated Profit &amp; Loss'!F21/'Consolidated Profit &amp; Loss'!F9</f>
        <v>8.0945292542517561E-2</v>
      </c>
      <c r="G15" s="26">
        <f>'Consolidated Profit &amp; Loss'!G21/'Consolidated Profit &amp; Loss'!G9</f>
        <v>7.2722012540699182E-2</v>
      </c>
    </row>
    <row r="16" spans="2:7" ht="14.25" customHeight="1" x14ac:dyDescent="0.3">
      <c r="B16" s="130"/>
      <c r="C16" s="130"/>
      <c r="D16" s="130"/>
      <c r="E16" s="130"/>
      <c r="F16" s="130"/>
      <c r="G16" s="130"/>
    </row>
    <row r="17" spans="2:7" ht="14.25" customHeight="1" x14ac:dyDescent="0.3">
      <c r="B17" s="27" t="s">
        <v>287</v>
      </c>
      <c r="C17" s="28">
        <f>'Consolidated Profit &amp; Loss'!C24+'Consolidated Profit &amp; Loss'!C20</f>
        <v>3382.97</v>
      </c>
      <c r="D17" s="28">
        <f>'Consolidated Profit &amp; Loss'!D24+'Consolidated Profit &amp; Loss'!D20</f>
        <v>3457.6099999999997</v>
      </c>
      <c r="E17" s="28">
        <f>'Consolidated Profit &amp; Loss'!E24+'Consolidated Profit &amp; Loss'!E20</f>
        <v>5006.08</v>
      </c>
      <c r="F17" s="28">
        <f>'Consolidated Profit &amp; Loss'!F24+'Consolidated Profit &amp; Loss'!F20</f>
        <v>7180.78</v>
      </c>
      <c r="G17" s="28">
        <f>'Consolidated Profit &amp; Loss'!G24+'Consolidated Profit &amp; Loss'!G20</f>
        <v>7843.2999999999993</v>
      </c>
    </row>
    <row r="18" spans="2:7" ht="14.25" customHeight="1" x14ac:dyDescent="0.3">
      <c r="B18" s="27" t="s">
        <v>288</v>
      </c>
      <c r="C18" s="26">
        <f>('Consolidated Profit &amp; Loss'!C24+'Consolidated Profit &amp; Loss'!C20)/'Consolidated Profit &amp; Loss'!C9</f>
        <v>0.30865923189427941</v>
      </c>
      <c r="D18" s="26">
        <f>('Consolidated Profit &amp; Loss'!D24+'Consolidated Profit &amp; Loss'!D20)/'Consolidated Profit &amp; Loss'!D9</f>
        <v>0.26606987853902075</v>
      </c>
      <c r="E18" s="26">
        <f>('Consolidated Profit &amp; Loss'!E24+'Consolidated Profit &amp; Loss'!E20)/'Consolidated Profit &amp; Loss'!E9</f>
        <v>0.30608847074994144</v>
      </c>
      <c r="F18" s="26">
        <f>('Consolidated Profit &amp; Loss'!F24+'Consolidated Profit &amp; Loss'!F20)/'Consolidated Profit &amp; Loss'!F9</f>
        <v>0.30496620466615559</v>
      </c>
      <c r="G18" s="26">
        <f>('Consolidated Profit &amp; Loss'!G24+'Consolidated Profit &amp; Loss'!G20)/'Consolidated Profit &amp; Loss'!G9</f>
        <v>0.28832873880209375</v>
      </c>
    </row>
    <row r="19" spans="2:7" ht="14.25" customHeight="1" x14ac:dyDescent="0.3">
      <c r="B19" s="130"/>
      <c r="C19" s="130"/>
      <c r="D19" s="130"/>
      <c r="E19" s="130"/>
      <c r="F19" s="130"/>
      <c r="G19" s="130"/>
    </row>
    <row r="20" spans="2:7" ht="14.25" customHeight="1" x14ac:dyDescent="0.3">
      <c r="B20" s="24" t="s">
        <v>252</v>
      </c>
      <c r="C20" s="29">
        <f>'Consolidated Profit &amp; Loss'!C20</f>
        <v>2364.9499999999998</v>
      </c>
      <c r="D20" s="29">
        <f>'Consolidated Profit &amp; Loss'!D20</f>
        <v>2781.47</v>
      </c>
      <c r="E20" s="29">
        <f>'Consolidated Profit &amp; Loss'!E20</f>
        <v>2766.51</v>
      </c>
      <c r="F20" s="29">
        <f>'Consolidated Profit &amp; Loss'!F20</f>
        <v>3259.16</v>
      </c>
      <c r="G20" s="29">
        <f>'Consolidated Profit &amp; Loss'!G20</f>
        <v>3632.9</v>
      </c>
    </row>
    <row r="21" spans="2:7" ht="14.25" customHeight="1" x14ac:dyDescent="0.3">
      <c r="B21" s="27" t="s">
        <v>330</v>
      </c>
      <c r="C21" s="26">
        <f>'Consolidated Profit &amp; Loss'!C20/'Consolidated Profit &amp; Loss'!C9</f>
        <v>0.21577597509536769</v>
      </c>
      <c r="D21" s="26">
        <f>'Consolidated Profit &amp; Loss'!D20/'Consolidated Profit &amp; Loss'!D9</f>
        <v>0.21403957793387055</v>
      </c>
      <c r="E21" s="26">
        <f>'Consolidated Profit &amp; Loss'!E20/'Consolidated Profit &amp; Loss'!E9</f>
        <v>0.16915367217751626</v>
      </c>
      <c r="F21" s="26">
        <f>'Consolidated Profit &amp; Loss'!F20/'Consolidated Profit &amp; Loss'!F9</f>
        <v>0.13841583443577823</v>
      </c>
      <c r="G21" s="26">
        <f>'Consolidated Profit &amp; Loss'!G20/'Consolidated Profit &amp; Loss'!G9</f>
        <v>0.13354958693332225</v>
      </c>
    </row>
    <row r="22" spans="2:7" ht="14.25" customHeight="1" x14ac:dyDescent="0.3">
      <c r="B22" s="130"/>
      <c r="C22" s="130"/>
      <c r="D22" s="130"/>
      <c r="E22" s="130"/>
      <c r="F22" s="130"/>
      <c r="G22" s="130"/>
    </row>
    <row r="23" spans="2:7" ht="14.25" customHeight="1" x14ac:dyDescent="0.3">
      <c r="B23" s="24" t="s">
        <v>244</v>
      </c>
      <c r="C23" s="29">
        <f>'Consolidated Profit &amp; Loss'!C12</f>
        <v>603.95000000000005</v>
      </c>
      <c r="D23" s="29">
        <f>'Consolidated Profit &amp; Loss'!D12</f>
        <v>547.74</v>
      </c>
      <c r="E23" s="29">
        <f>'Consolidated Profit &amp; Loss'!E12</f>
        <v>610.95000000000005</v>
      </c>
      <c r="F23" s="29">
        <f>'Consolidated Profit &amp; Loss'!F12</f>
        <v>679.46</v>
      </c>
      <c r="G23" s="29">
        <f>'Consolidated Profit &amp; Loss'!G12</f>
        <v>737.13</v>
      </c>
    </row>
    <row r="24" spans="2:7" ht="14.25" customHeight="1" x14ac:dyDescent="0.3">
      <c r="B24" s="130"/>
      <c r="C24" s="130"/>
      <c r="D24" s="130"/>
      <c r="E24" s="130"/>
      <c r="F24" s="130"/>
      <c r="G24" s="130"/>
    </row>
    <row r="25" spans="2:7" ht="14.25" customHeight="1" x14ac:dyDescent="0.3">
      <c r="B25" s="27" t="s">
        <v>331</v>
      </c>
      <c r="C25" s="28">
        <f>'Consolidated Profit &amp; Loss'!C24</f>
        <v>1018.02</v>
      </c>
      <c r="D25" s="28">
        <f>'Consolidated Profit &amp; Loss'!D24</f>
        <v>676.14</v>
      </c>
      <c r="E25" s="28">
        <f>'Consolidated Profit &amp; Loss'!E24</f>
        <v>2239.5700000000002</v>
      </c>
      <c r="F25" s="28">
        <f>'Consolidated Profit &amp; Loss'!F24</f>
        <v>3921.62</v>
      </c>
      <c r="G25" s="28">
        <f>'Consolidated Profit &amp; Loss'!G24</f>
        <v>4210.3999999999996</v>
      </c>
    </row>
    <row r="26" spans="2:7" ht="14.25" customHeight="1" x14ac:dyDescent="0.3">
      <c r="B26" s="27" t="s">
        <v>332</v>
      </c>
      <c r="C26" s="26">
        <f>'Consolidated Profit &amp; Loss'!C24/'Consolidated Profit &amp; Loss'!C9</f>
        <v>9.2883256798911712E-2</v>
      </c>
      <c r="D26" s="26">
        <f>'Consolidated Profit &amp; Loss'!D24/'Consolidated Profit &amp; Loss'!D9</f>
        <v>5.2030300605150237E-2</v>
      </c>
      <c r="E26" s="26">
        <f>'Consolidated Profit &amp; Loss'!E24/'Consolidated Profit &amp; Loss'!E9</f>
        <v>0.13693479857242521</v>
      </c>
      <c r="F26" s="26">
        <f>'Consolidated Profit &amp; Loss'!F24/'Consolidated Profit &amp; Loss'!F9</f>
        <v>0.16655037023037736</v>
      </c>
      <c r="G26" s="26">
        <f>'Consolidated Profit &amp; Loss'!G24/'Consolidated Profit &amp; Loss'!G9</f>
        <v>0.1547791518687715</v>
      </c>
    </row>
    <row r="27" spans="2:7" ht="14.25" customHeight="1" x14ac:dyDescent="0.3">
      <c r="B27" s="130"/>
      <c r="C27" s="130"/>
      <c r="D27" s="130"/>
      <c r="E27" s="130"/>
      <c r="F27" s="130"/>
      <c r="G27" s="130"/>
    </row>
    <row r="28" spans="2:7" ht="14.25" customHeight="1" x14ac:dyDescent="0.3">
      <c r="B28" s="24" t="s">
        <v>262</v>
      </c>
      <c r="C28" s="29">
        <f>'Consolidated Profit &amp; Loss'!C30</f>
        <v>436.06</v>
      </c>
      <c r="D28" s="29">
        <f>'Consolidated Profit &amp; Loss'!D30</f>
        <v>435.33</v>
      </c>
      <c r="E28" s="29">
        <f>'Consolidated Profit &amp; Loss'!E30</f>
        <v>580.13</v>
      </c>
      <c r="F28" s="29">
        <f>'Consolidated Profit &amp; Loss'!F30</f>
        <v>178.99</v>
      </c>
      <c r="G28" s="29">
        <f>'Consolidated Profit &amp; Loss'!G30</f>
        <v>771.71</v>
      </c>
    </row>
    <row r="29" spans="2:7" ht="14.25" customHeight="1" x14ac:dyDescent="0.3">
      <c r="B29" s="27" t="s">
        <v>333</v>
      </c>
      <c r="C29" s="26">
        <f>'Consolidated Profit &amp; Loss'!C30/'Consolidated Profit &amp; Loss'!C26</f>
        <v>0.2564319696087598</v>
      </c>
      <c r="D29" s="26">
        <f>'Consolidated Profit &amp; Loss'!D30/'Consolidated Profit &amp; Loss'!D26</f>
        <v>0.2543231369616526</v>
      </c>
      <c r="E29" s="26">
        <f>'Consolidated Profit &amp; Loss'!E30/'Consolidated Profit &amp; Loss'!E26</f>
        <v>0.32599631369552023</v>
      </c>
      <c r="F29" s="26">
        <f>'Consolidated Profit &amp; Loss'!F30/'Consolidated Profit &amp; Loss'!F26</f>
        <v>0.16652556170628463</v>
      </c>
      <c r="G29" s="26">
        <f>'Consolidated Profit &amp; Loss'!G30/'Consolidated Profit &amp; Loss'!G26</f>
        <v>0.24775269355729349</v>
      </c>
    </row>
    <row r="30" spans="2:7" ht="14.25" customHeight="1" x14ac:dyDescent="0.3">
      <c r="B30" s="130"/>
      <c r="C30" s="130"/>
      <c r="D30" s="130"/>
      <c r="E30" s="130"/>
      <c r="F30" s="130"/>
      <c r="G30" s="130"/>
    </row>
    <row r="31" spans="2:7" ht="14.25" customHeight="1" x14ac:dyDescent="0.3">
      <c r="B31" s="27" t="s">
        <v>294</v>
      </c>
      <c r="C31" s="28">
        <f>'Consolidated Profit &amp; Loss'!C36</f>
        <v>1204.6099999999999</v>
      </c>
      <c r="D31" s="28">
        <f>'Consolidated Profit &amp; Loss'!D36</f>
        <v>1256.33</v>
      </c>
      <c r="E31" s="28">
        <f>'Consolidated Profit &amp; Loss'!E36</f>
        <v>1137.28</v>
      </c>
      <c r="F31" s="28">
        <f>'Consolidated Profit &amp; Loss'!F36</f>
        <v>1059.97</v>
      </c>
      <c r="G31" s="28">
        <f>'Consolidated Profit &amp; Loss'!G36</f>
        <v>2282.54</v>
      </c>
    </row>
    <row r="32" spans="2:7" ht="14.25" customHeight="1" x14ac:dyDescent="0.3">
      <c r="B32" s="27" t="s">
        <v>295</v>
      </c>
      <c r="C32" s="26">
        <f>'Consolidated Profit &amp; Loss'!C36/'Consolidated Profit &amp; Loss'!C9</f>
        <v>0.10990756563970946</v>
      </c>
      <c r="D32" s="26">
        <f>'Consolidated Profit &amp; Loss'!D36/'Consolidated Profit &amp; Loss'!D9</f>
        <v>9.6677060311870899E-2</v>
      </c>
      <c r="E32" s="26">
        <f>'Consolidated Profit &amp; Loss'!E36/'Consolidated Profit &amp; Loss'!E9</f>
        <v>6.9537102086761185E-2</v>
      </c>
      <c r="F32" s="26">
        <f>'Consolidated Profit &amp; Loss'!F36/'Consolidated Profit &amp; Loss'!F9</f>
        <v>4.5016701244152441E-2</v>
      </c>
      <c r="G32" s="26">
        <f>'Consolidated Profit &amp; Loss'!G36/'Consolidated Profit &amp; Loss'!G9</f>
        <v>8.3908798524260336E-2</v>
      </c>
    </row>
    <row r="33" spans="2:7" ht="14.25" customHeight="1" x14ac:dyDescent="0.3">
      <c r="B33" s="130"/>
      <c r="C33" s="130"/>
      <c r="D33" s="130"/>
      <c r="E33" s="130"/>
      <c r="F33" s="130"/>
      <c r="G33" s="130"/>
    </row>
    <row r="34" spans="2:7" ht="14.25" customHeight="1" x14ac:dyDescent="0.3">
      <c r="B34" s="27" t="s">
        <v>320</v>
      </c>
      <c r="C34" s="31">
        <f>'Consolidated Profit &amp; Loss'!C39</f>
        <v>9</v>
      </c>
      <c r="D34" s="31">
        <f>'Consolidated Profit &amp; Loss'!D39</f>
        <v>11</v>
      </c>
      <c r="E34" s="31">
        <f>'Consolidated Profit &amp; Loss'!E39</f>
        <v>10</v>
      </c>
      <c r="F34" s="31">
        <f>'Consolidated Profit &amp; Loss'!F39</f>
        <v>9</v>
      </c>
      <c r="G34" s="31">
        <f>'Consolidated Profit &amp; Loss'!G39</f>
        <v>19</v>
      </c>
    </row>
    <row r="35" spans="2:7" ht="14.25" customHeight="1" thickBot="1" x14ac:dyDescent="0.35">
      <c r="B35" s="43" t="s">
        <v>297</v>
      </c>
      <c r="C35" s="152"/>
      <c r="D35" s="152">
        <f>'Consolidated Profit &amp; Loss'!D39/'Consolidated Profit &amp; Loss'!C39-1</f>
        <v>0.22222222222222232</v>
      </c>
      <c r="E35" s="152">
        <f>'Consolidated Profit &amp; Loss'!E39/'Consolidated Profit &amp; Loss'!D39-1</f>
        <v>-9.0909090909090939E-2</v>
      </c>
      <c r="F35" s="152">
        <f>'Consolidated Profit &amp; Loss'!F39/'Consolidated Profit &amp; Loss'!E39-1</f>
        <v>-9.9999999999999978E-2</v>
      </c>
      <c r="G35" s="152">
        <f>'Consolidated Profit &amp; Loss'!G39/'Consolidated Profit &amp; Loss'!F39-1</f>
        <v>1.1111111111111112</v>
      </c>
    </row>
    <row r="36" spans="2:7" ht="14.25" customHeight="1" x14ac:dyDescent="0.3"/>
    <row r="38" spans="2:7" ht="14.25" customHeight="1" x14ac:dyDescent="0.3">
      <c r="B38" s="153" t="s">
        <v>334</v>
      </c>
      <c r="C38" s="23">
        <v>2022</v>
      </c>
      <c r="D38" s="23">
        <v>2023</v>
      </c>
      <c r="E38" s="23">
        <v>2024</v>
      </c>
      <c r="F38" s="23">
        <v>2025</v>
      </c>
      <c r="G38" s="23">
        <v>2026</v>
      </c>
    </row>
    <row r="39" spans="2:7" ht="14.25" customHeight="1" x14ac:dyDescent="0.3">
      <c r="B39" s="24" t="s">
        <v>185</v>
      </c>
      <c r="C39" s="29">
        <f>'Consolidated Balance Sheet'!C9</f>
        <v>1099.81</v>
      </c>
      <c r="D39" s="29">
        <f>'Consolidated Balance Sheet'!D9</f>
        <v>1115.49</v>
      </c>
      <c r="E39" s="29">
        <f>'Consolidated Balance Sheet'!E9</f>
        <v>1115.49</v>
      </c>
      <c r="F39" s="29">
        <f>'Consolidated Balance Sheet'!F9</f>
        <v>1201.28</v>
      </c>
      <c r="G39" s="29">
        <f>'Consolidated Balance Sheet'!G9</f>
        <v>1201.28</v>
      </c>
    </row>
    <row r="40" spans="2:7" ht="14.25" customHeight="1" x14ac:dyDescent="0.3">
      <c r="B40" s="24" t="s">
        <v>335</v>
      </c>
      <c r="C40" s="29">
        <f>'Consolidated Balance Sheet'!C11</f>
        <v>5757.36</v>
      </c>
      <c r="D40" s="29">
        <f>'Consolidated Balance Sheet'!D11</f>
        <v>10546.95</v>
      </c>
      <c r="E40" s="29">
        <f>'Consolidated Balance Sheet'!E11</f>
        <v>11526.06</v>
      </c>
      <c r="F40" s="29">
        <f>'Consolidated Balance Sheet'!F11</f>
        <v>20866.919999999998</v>
      </c>
      <c r="G40" s="29">
        <f>'Consolidated Balance Sheet'!G11</f>
        <v>24226.26</v>
      </c>
    </row>
    <row r="41" spans="2:7" ht="14.25" customHeight="1" thickBot="1" x14ac:dyDescent="0.35">
      <c r="B41" s="43" t="s">
        <v>189</v>
      </c>
      <c r="C41" s="154">
        <f>'Consolidated Balance Sheet'!C13</f>
        <v>6857.17</v>
      </c>
      <c r="D41" s="154">
        <f>'Consolidated Balance Sheet'!D13</f>
        <v>11662.44</v>
      </c>
      <c r="E41" s="154">
        <f>'Consolidated Balance Sheet'!E13</f>
        <v>12641.55</v>
      </c>
      <c r="F41" s="154">
        <f>'Consolidated Balance Sheet'!F13</f>
        <v>22068.2</v>
      </c>
      <c r="G41" s="154">
        <f>'Consolidated Balance Sheet'!G13</f>
        <v>25427.54</v>
      </c>
    </row>
    <row r="42" spans="2:7" ht="14.25" customHeight="1" x14ac:dyDescent="0.3">
      <c r="B42" s="155" t="s">
        <v>191</v>
      </c>
      <c r="C42" s="156">
        <f>'Consolidated Balance Sheet'!C15</f>
        <v>1093.68</v>
      </c>
      <c r="D42" s="156">
        <f>'Consolidated Balance Sheet'!D15</f>
        <v>1097.55</v>
      </c>
      <c r="E42" s="156">
        <f>'Consolidated Balance Sheet'!E15</f>
        <v>1061.58</v>
      </c>
      <c r="F42" s="156">
        <f>'Consolidated Balance Sheet'!F15</f>
        <v>943.06</v>
      </c>
      <c r="G42" s="156">
        <f>'Consolidated Balance Sheet'!G15</f>
        <v>1098.0999999999999</v>
      </c>
    </row>
    <row r="43" spans="2:7" ht="14.25" customHeight="1" x14ac:dyDescent="0.3">
      <c r="B43" s="24" t="s">
        <v>193</v>
      </c>
      <c r="C43" s="29">
        <f>'Consolidated Balance Sheet'!C17</f>
        <v>27774.04</v>
      </c>
      <c r="D43" s="29">
        <f>'Consolidated Balance Sheet'!D17</f>
        <v>31330.39</v>
      </c>
      <c r="E43" s="29">
        <f>'Consolidated Balance Sheet'!E17</f>
        <v>33559.620000000003</v>
      </c>
      <c r="F43" s="29">
        <f>'Consolidated Balance Sheet'!F17</f>
        <v>36992.29</v>
      </c>
      <c r="G43" s="29">
        <f>'Consolidated Balance Sheet'!G17</f>
        <v>45367.32</v>
      </c>
    </row>
    <row r="44" spans="2:7" ht="14.25" customHeight="1" x14ac:dyDescent="0.3">
      <c r="B44" s="24" t="s">
        <v>199</v>
      </c>
      <c r="C44" s="29">
        <f>'Consolidated Balance Sheet'!C23</f>
        <v>2040.54</v>
      </c>
      <c r="D44" s="29">
        <f>'Consolidated Balance Sheet'!D23</f>
        <v>2868.45</v>
      </c>
      <c r="E44" s="29">
        <f>'Consolidated Balance Sheet'!E23</f>
        <v>3449.25</v>
      </c>
      <c r="F44" s="29">
        <f>'Consolidated Balance Sheet'!F23</f>
        <v>3213.79</v>
      </c>
      <c r="G44" s="29">
        <f>'Consolidated Balance Sheet'!G23</f>
        <v>3531.13</v>
      </c>
    </row>
    <row r="45" spans="2:7" ht="14.25" customHeight="1" thickBot="1" x14ac:dyDescent="0.35">
      <c r="B45" s="43" t="s">
        <v>336</v>
      </c>
      <c r="C45" s="154">
        <f>'Consolidated Balance Sheet'!C17+'Consolidated Balance Sheet'!C23</f>
        <v>29814.58</v>
      </c>
      <c r="D45" s="154">
        <f>'Consolidated Balance Sheet'!D17+'Consolidated Balance Sheet'!D23</f>
        <v>34198.839999999997</v>
      </c>
      <c r="E45" s="154">
        <f>'Consolidated Balance Sheet'!E17+'Consolidated Balance Sheet'!E23</f>
        <v>37008.870000000003</v>
      </c>
      <c r="F45" s="154">
        <f>'Consolidated Balance Sheet'!F17+'Consolidated Balance Sheet'!F23</f>
        <v>40206.080000000002</v>
      </c>
      <c r="G45" s="154">
        <f>'Consolidated Balance Sheet'!G17+'Consolidated Balance Sheet'!G23</f>
        <v>48898.45</v>
      </c>
    </row>
    <row r="46" spans="2:7" ht="14.25" customHeight="1" x14ac:dyDescent="0.3">
      <c r="B46" s="155" t="s">
        <v>337</v>
      </c>
      <c r="C46" s="156">
        <f>'Consolidated Balance Sheet'!C18+'Consolidated Balance Sheet'!C19+'Consolidated Balance Sheet'!C20</f>
        <v>2755.33</v>
      </c>
      <c r="D46" s="156">
        <f>'Consolidated Balance Sheet'!D18+'Consolidated Balance Sheet'!D19+'Consolidated Balance Sheet'!D20</f>
        <v>2824.08</v>
      </c>
      <c r="E46" s="156">
        <f>'Consolidated Balance Sheet'!E18+'Consolidated Balance Sheet'!E19+'Consolidated Balance Sheet'!E20</f>
        <v>3299.38</v>
      </c>
      <c r="F46" s="156">
        <f>'Consolidated Balance Sheet'!F18+'Consolidated Balance Sheet'!F19+'Consolidated Balance Sheet'!F20</f>
        <v>3940.15</v>
      </c>
      <c r="G46" s="156">
        <f>'Consolidated Balance Sheet'!G18+'Consolidated Balance Sheet'!G19+'Consolidated Balance Sheet'!G20</f>
        <v>5374.11</v>
      </c>
    </row>
    <row r="47" spans="2:7" ht="14.25" customHeight="1" x14ac:dyDescent="0.3">
      <c r="B47" s="24" t="s">
        <v>203</v>
      </c>
      <c r="C47" s="29">
        <f>'Consolidated Balance Sheet'!C27</f>
        <v>5928.24</v>
      </c>
      <c r="D47" s="29">
        <f>'Consolidated Balance Sheet'!D27</f>
        <v>7017.29</v>
      </c>
      <c r="E47" s="29">
        <f>'Consolidated Balance Sheet'!E27</f>
        <v>8016.68</v>
      </c>
      <c r="F47" s="29">
        <f>'Consolidated Balance Sheet'!F27</f>
        <v>10016.4</v>
      </c>
      <c r="G47" s="29">
        <f>'Consolidated Balance Sheet'!G27</f>
        <v>15567.85</v>
      </c>
    </row>
    <row r="48" spans="2:7" ht="14.25" customHeight="1" thickBot="1" x14ac:dyDescent="0.35">
      <c r="B48" s="43" t="s">
        <v>338</v>
      </c>
      <c r="C48" s="154">
        <f>'Consolidated Balance Sheet'!C21+'Consolidated Balance Sheet'!C27</f>
        <v>36457.61</v>
      </c>
      <c r="D48" s="154">
        <f>'Consolidated Balance Sheet'!D21+'Consolidated Balance Sheet'!D27</f>
        <v>41171.760000000002</v>
      </c>
      <c r="E48" s="154">
        <f>'Consolidated Balance Sheet'!E21+'Consolidated Balance Sheet'!E27</f>
        <v>44875.68</v>
      </c>
      <c r="F48" s="154">
        <f>'Consolidated Balance Sheet'!F21+'Consolidated Balance Sheet'!F27</f>
        <v>50948.840000000004</v>
      </c>
      <c r="G48" s="154">
        <f>'Consolidated Balance Sheet'!G21+'Consolidated Balance Sheet'!G27</f>
        <v>66309.279999999999</v>
      </c>
    </row>
    <row r="49" spans="2:7" ht="14.25" customHeight="1" x14ac:dyDescent="0.3"/>
    <row r="50" spans="2:7" ht="14.25" customHeight="1" x14ac:dyDescent="0.3">
      <c r="B50" s="24" t="s">
        <v>339</v>
      </c>
      <c r="C50" s="29">
        <f>'Consolidated Balance Sheet'!C35</f>
        <v>34733.64</v>
      </c>
      <c r="D50" s="29">
        <f>'Consolidated Balance Sheet'!D35</f>
        <v>38247.29</v>
      </c>
      <c r="E50" s="29">
        <f>'Consolidated Balance Sheet'!E35</f>
        <v>41324.14</v>
      </c>
      <c r="F50" s="29">
        <f>'Consolidated Balance Sheet'!F35</f>
        <v>44658.7</v>
      </c>
      <c r="G50" s="29">
        <f>'Consolidated Balance Sheet'!G35</f>
        <v>48259.25</v>
      </c>
    </row>
    <row r="51" spans="2:7" ht="14.25" customHeight="1" x14ac:dyDescent="0.3">
      <c r="B51" s="24" t="s">
        <v>340</v>
      </c>
      <c r="C51" s="29">
        <f>'Consolidated Balance Sheet'!C33</f>
        <v>5060.16</v>
      </c>
      <c r="D51" s="29">
        <f>'Consolidated Balance Sheet'!D33</f>
        <v>6200.44</v>
      </c>
      <c r="E51" s="29">
        <f>'Consolidated Balance Sheet'!E33</f>
        <v>3002.69</v>
      </c>
      <c r="F51" s="29">
        <f>'Consolidated Balance Sheet'!F33</f>
        <v>5695.36</v>
      </c>
      <c r="G51" s="29">
        <f>'Consolidated Balance Sheet'!G33</f>
        <v>2053.6</v>
      </c>
    </row>
    <row r="52" spans="2:7" ht="14.25" customHeight="1" x14ac:dyDescent="0.3">
      <c r="B52" s="24" t="s">
        <v>212</v>
      </c>
      <c r="C52" s="29">
        <f>'Consolidated Balance Sheet'!C36</f>
        <v>264.17</v>
      </c>
      <c r="D52" s="29">
        <f>'Consolidated Balance Sheet'!D36</f>
        <v>312.89</v>
      </c>
      <c r="E52" s="29">
        <f>'Consolidated Balance Sheet'!E36</f>
        <v>323.79000000000002</v>
      </c>
      <c r="F52" s="29">
        <f>'Consolidated Balance Sheet'!F36</f>
        <v>348.72</v>
      </c>
      <c r="G52" s="29">
        <f>'Consolidated Balance Sheet'!G36</f>
        <v>407.29</v>
      </c>
    </row>
    <row r="53" spans="2:7" ht="14.25" customHeight="1" x14ac:dyDescent="0.3">
      <c r="B53" s="24" t="s">
        <v>215</v>
      </c>
      <c r="C53" s="29">
        <f>'Consolidated Balance Sheet'!C39</f>
        <v>5096.8500000000004</v>
      </c>
      <c r="D53" s="29">
        <f>'Consolidated Balance Sheet'!D39</f>
        <v>5840.32</v>
      </c>
      <c r="E53" s="29">
        <f>'Consolidated Balance Sheet'!E39</f>
        <v>6651.53</v>
      </c>
      <c r="F53" s="29">
        <f>'Consolidated Balance Sheet'!F39</f>
        <v>11606.54</v>
      </c>
      <c r="G53" s="29">
        <f>'Consolidated Balance Sheet'!G39</f>
        <v>23639.66</v>
      </c>
    </row>
    <row r="54" spans="2:7" ht="14.25" customHeight="1" thickBot="1" x14ac:dyDescent="0.35">
      <c r="B54" s="43" t="s">
        <v>341</v>
      </c>
      <c r="C54" s="154">
        <f>'Consolidated Balance Sheet'!C40</f>
        <v>41821.49</v>
      </c>
      <c r="D54" s="154">
        <f>'Consolidated Balance Sheet'!D40</f>
        <v>45024.89</v>
      </c>
      <c r="E54" s="154">
        <f>'Consolidated Balance Sheet'!E40</f>
        <v>48960.69</v>
      </c>
      <c r="F54" s="154">
        <f>'Consolidated Balance Sheet'!F40</f>
        <v>57285.98</v>
      </c>
      <c r="G54" s="154">
        <f>'Consolidated Balance Sheet'!G40</f>
        <v>72993.240000000005</v>
      </c>
    </row>
    <row r="55" spans="2:7" ht="14.25" customHeight="1" x14ac:dyDescent="0.3"/>
    <row r="56" spans="2:7" ht="14.25" customHeight="1" x14ac:dyDescent="0.3">
      <c r="B56" s="24" t="s">
        <v>220</v>
      </c>
      <c r="C56" s="29">
        <f>'Consolidated Balance Sheet'!C44</f>
        <v>1070.8399999999999</v>
      </c>
      <c r="D56" s="29">
        <f>'Consolidated Balance Sheet'!D44</f>
        <v>1437.59</v>
      </c>
      <c r="E56" s="29">
        <f>'Consolidated Balance Sheet'!E44</f>
        <v>1564.95</v>
      </c>
      <c r="F56" s="29">
        <f>'Consolidated Balance Sheet'!F44</f>
        <v>4217.8599999999997</v>
      </c>
      <c r="G56" s="29">
        <f>'Consolidated Balance Sheet'!G44</f>
        <v>5733.75</v>
      </c>
    </row>
    <row r="57" spans="2:7" ht="14.25" customHeight="1" x14ac:dyDescent="0.3">
      <c r="B57" s="24" t="s">
        <v>219</v>
      </c>
      <c r="C57" s="29">
        <f>'Consolidated Balance Sheet'!C43</f>
        <v>250.11</v>
      </c>
      <c r="D57" s="29">
        <f>'Consolidated Balance Sheet'!D43</f>
        <v>151.91</v>
      </c>
      <c r="E57" s="29">
        <f>'Consolidated Balance Sheet'!E43</f>
        <v>255.28</v>
      </c>
      <c r="F57" s="29">
        <f>'Consolidated Balance Sheet'!F43</f>
        <v>625.24</v>
      </c>
      <c r="G57" s="29">
        <f>'Consolidated Balance Sheet'!G43</f>
        <v>669.45</v>
      </c>
    </row>
    <row r="58" spans="2:7" ht="14.25" customHeight="1" x14ac:dyDescent="0.3">
      <c r="B58" s="24" t="s">
        <v>342</v>
      </c>
      <c r="C58" s="29">
        <f>'Consolidated Balance Sheet'!C45</f>
        <v>1492.57</v>
      </c>
      <c r="D58" s="29">
        <f>'Consolidated Balance Sheet'!D45</f>
        <v>1704.14</v>
      </c>
      <c r="E58" s="29">
        <f>'Consolidated Balance Sheet'!E45</f>
        <v>2228.14</v>
      </c>
      <c r="F58" s="29">
        <f>'Consolidated Balance Sheet'!F45</f>
        <v>3618.68</v>
      </c>
      <c r="G58" s="29">
        <f>'Consolidated Balance Sheet'!G45</f>
        <v>3947.34</v>
      </c>
    </row>
    <row r="59" spans="2:7" ht="14.25" customHeight="1" thickBot="1" x14ac:dyDescent="0.35">
      <c r="B59" s="43" t="s">
        <v>224</v>
      </c>
      <c r="C59" s="154">
        <f>'Consolidated Balance Sheet'!C48</f>
        <v>5642.62</v>
      </c>
      <c r="D59" s="154">
        <f>'Consolidated Balance Sheet'!D48</f>
        <v>8906.86</v>
      </c>
      <c r="E59" s="154">
        <f>'Consolidated Balance Sheet'!E48</f>
        <v>9618.1200000000008</v>
      </c>
      <c r="F59" s="154">
        <f>'Consolidated Balance Sheet'!F48</f>
        <v>16674.12</v>
      </c>
      <c r="G59" s="154">
        <f>'Consolidated Balance Sheet'!G48</f>
        <v>19841.68</v>
      </c>
    </row>
    <row r="60" spans="2:7" ht="14.25" customHeight="1" x14ac:dyDescent="0.3"/>
    <row r="61" spans="2:7" ht="14.25" customHeight="1" thickBot="1" x14ac:dyDescent="0.35">
      <c r="B61" s="43" t="s">
        <v>225</v>
      </c>
      <c r="C61" s="154">
        <f>'Consolidated Balance Sheet'!C49</f>
        <v>47464.11</v>
      </c>
      <c r="D61" s="154">
        <f>'Consolidated Balance Sheet'!D49</f>
        <v>53931.75</v>
      </c>
      <c r="E61" s="154">
        <f>'Consolidated Balance Sheet'!E49</f>
        <v>58578.81</v>
      </c>
      <c r="F61" s="154">
        <f>'Consolidated Balance Sheet'!F49</f>
        <v>73960.100000000006</v>
      </c>
      <c r="G61" s="154">
        <f>'Consolidated Balance Sheet'!G49</f>
        <v>92834.92</v>
      </c>
    </row>
    <row r="62" spans="2:7" ht="14.25" customHeight="1" x14ac:dyDescent="0.3"/>
  </sheetData>
  <mergeCells count="1">
    <mergeCell ref="B1:G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30"/>
  <sheetViews>
    <sheetView showGridLines="0" zoomScale="67" zoomScaleNormal="100" workbookViewId="0">
      <selection activeCell="G29" sqref="G29"/>
    </sheetView>
  </sheetViews>
  <sheetFormatPr defaultColWidth="8.6328125" defaultRowHeight="14" x14ac:dyDescent="0.3"/>
  <cols>
    <col min="1" max="1" width="2.1796875" style="15" customWidth="1"/>
    <col min="2" max="2" width="34" style="15" customWidth="1"/>
    <col min="3" max="7" width="16.7265625" style="15" customWidth="1"/>
    <col min="8" max="16384" width="8.6328125" style="15"/>
  </cols>
  <sheetData>
    <row r="1" spans="2:7" ht="23.5" customHeight="1" x14ac:dyDescent="0.3">
      <c r="B1" s="290" t="s">
        <v>343</v>
      </c>
      <c r="C1" s="243"/>
      <c r="D1" s="243"/>
      <c r="E1" s="243"/>
      <c r="F1" s="243"/>
      <c r="G1" s="243"/>
    </row>
    <row r="3" spans="2:7" ht="18" customHeight="1" x14ac:dyDescent="0.3">
      <c r="B3" s="157" t="s">
        <v>344</v>
      </c>
      <c r="C3" s="158">
        <v>2022</v>
      </c>
      <c r="D3" s="158">
        <v>2023</v>
      </c>
      <c r="E3" s="158">
        <v>2024</v>
      </c>
      <c r="F3" s="158">
        <v>2025</v>
      </c>
      <c r="G3" s="158">
        <v>2026</v>
      </c>
    </row>
    <row r="4" spans="2:7" ht="14.25" customHeight="1" x14ac:dyDescent="0.3">
      <c r="B4" s="281" t="s">
        <v>345</v>
      </c>
      <c r="C4" s="248"/>
      <c r="D4" s="248"/>
      <c r="E4" s="248"/>
      <c r="F4" s="248"/>
      <c r="G4" s="249"/>
    </row>
    <row r="5" spans="2:7" ht="14.25" customHeight="1" x14ac:dyDescent="0.3">
      <c r="B5" s="24" t="s">
        <v>346</v>
      </c>
      <c r="C5" s="130"/>
      <c r="D5" s="33">
        <f>'Consolidated Balance Sheet'!C31</f>
        <v>28578.02</v>
      </c>
      <c r="E5" s="33">
        <f>'Consolidated Balance Sheet'!D31</f>
        <v>30947.5</v>
      </c>
      <c r="F5" s="33">
        <f>'Consolidated Balance Sheet'!E31</f>
        <v>37219.85</v>
      </c>
      <c r="G5" s="33">
        <f>'Consolidated Balance Sheet'!F31</f>
        <v>37845.22</v>
      </c>
    </row>
    <row r="6" spans="2:7" ht="14.25" customHeight="1" x14ac:dyDescent="0.3">
      <c r="B6" s="27" t="s">
        <v>347</v>
      </c>
      <c r="C6" s="130"/>
      <c r="D6" s="31">
        <f>('Consolidated Balance Sheet'!D31-'Consolidated Balance Sheet'!C31)+'Consolidated Profit &amp; Loss'!D21</f>
        <v>3977.2199999999993</v>
      </c>
      <c r="E6" s="31">
        <f>('Consolidated Balance Sheet'!E31-'Consolidated Balance Sheet'!D31)+'Consolidated Profit &amp; Loss'!E21</f>
        <v>8048.4299999999985</v>
      </c>
      <c r="F6" s="31">
        <f>('Consolidated Balance Sheet'!F31-'Consolidated Balance Sheet'!E31)+'Consolidated Profit &amp; Loss'!F21</f>
        <v>2531.3200000000024</v>
      </c>
      <c r="G6" s="31">
        <f>('Consolidated Balance Sheet'!G31-'Consolidated Balance Sheet'!F31)+'Consolidated Profit &amp; Loss'!G21</f>
        <v>9193.130000000001</v>
      </c>
    </row>
    <row r="7" spans="2:7" ht="14.25" customHeight="1" x14ac:dyDescent="0.3">
      <c r="B7" s="27" t="s">
        <v>348</v>
      </c>
      <c r="C7" s="31">
        <f>'Consolidated Balance Sheet'!C31</f>
        <v>28578.02</v>
      </c>
      <c r="D7" s="31">
        <f>'Consolidated Balance Sheet'!D31</f>
        <v>30947.5</v>
      </c>
      <c r="E7" s="31">
        <f>'Consolidated Balance Sheet'!E31</f>
        <v>37219.85</v>
      </c>
      <c r="F7" s="31">
        <f>'Consolidated Balance Sheet'!F31</f>
        <v>37845.22</v>
      </c>
      <c r="G7" s="31">
        <f>'Consolidated Balance Sheet'!G31</f>
        <v>45060.12</v>
      </c>
    </row>
    <row r="9" spans="2:7" ht="14.25" customHeight="1" x14ac:dyDescent="0.3">
      <c r="B9" s="281" t="s">
        <v>349</v>
      </c>
      <c r="C9" s="248"/>
      <c r="D9" s="248"/>
      <c r="E9" s="248"/>
      <c r="F9" s="248"/>
      <c r="G9" s="249"/>
    </row>
    <row r="10" spans="2:7" ht="14.25" customHeight="1" x14ac:dyDescent="0.3">
      <c r="B10" s="27" t="s">
        <v>350</v>
      </c>
      <c r="C10" s="31">
        <f>'Consolidated Profit &amp; Loss'!C21</f>
        <v>1427.15</v>
      </c>
      <c r="D10" s="31">
        <f>'Consolidated Profit &amp; Loss'!D21</f>
        <v>1607.74</v>
      </c>
      <c r="E10" s="31">
        <f>'Consolidated Profit &amp; Loss'!E21</f>
        <v>1776.08</v>
      </c>
      <c r="F10" s="31">
        <f>'Consolidated Profit &amp; Loss'!F21</f>
        <v>1905.95</v>
      </c>
      <c r="G10" s="31">
        <f>'Consolidated Profit &amp; Loss'!G21</f>
        <v>1978.23</v>
      </c>
    </row>
    <row r="11" spans="2:7" ht="14.25" customHeight="1" x14ac:dyDescent="0.3">
      <c r="B11" s="24" t="s">
        <v>351</v>
      </c>
      <c r="C11" s="130"/>
      <c r="D11" s="33">
        <f>SUM('Consolidated Profit &amp; Loss'!C21:D21)</f>
        <v>3034.8900000000003</v>
      </c>
      <c r="E11" s="33">
        <f>SUM('Consolidated Profit &amp; Loss'!C21:E21)</f>
        <v>4810.97</v>
      </c>
      <c r="F11" s="33">
        <f>SUM('Consolidated Profit &amp; Loss'!C21:F21)</f>
        <v>6716.92</v>
      </c>
      <c r="G11" s="33">
        <f>SUM('Consolidated Profit &amp; Loss'!C21:G21)</f>
        <v>8695.15</v>
      </c>
    </row>
    <row r="13" spans="2:7" ht="14.25" customHeight="1" x14ac:dyDescent="0.3">
      <c r="B13" s="281" t="s">
        <v>352</v>
      </c>
      <c r="C13" s="248"/>
      <c r="D13" s="248"/>
      <c r="E13" s="248"/>
      <c r="F13" s="248"/>
      <c r="G13" s="249"/>
    </row>
    <row r="14" spans="2:7" ht="14.25" customHeight="1" x14ac:dyDescent="0.3">
      <c r="B14" s="27" t="s">
        <v>353</v>
      </c>
      <c r="C14" s="31">
        <f>'Consolidated Balance Sheet'!C31</f>
        <v>28578.02</v>
      </c>
      <c r="D14" s="31">
        <f>'Consolidated Balance Sheet'!D31</f>
        <v>30947.5</v>
      </c>
      <c r="E14" s="31">
        <f>'Consolidated Balance Sheet'!E31</f>
        <v>37219.85</v>
      </c>
      <c r="F14" s="31">
        <f>'Consolidated Balance Sheet'!F31</f>
        <v>37845.22</v>
      </c>
      <c r="G14" s="31">
        <f>'Consolidated Balance Sheet'!G31</f>
        <v>45060.12</v>
      </c>
    </row>
    <row r="15" spans="2:7" ht="14.25" customHeight="1" x14ac:dyDescent="0.3">
      <c r="B15" s="24" t="s">
        <v>354</v>
      </c>
      <c r="C15" s="33">
        <f>'Consolidated Balance Sheet'!C33</f>
        <v>5060.16</v>
      </c>
      <c r="D15" s="33">
        <f>'Consolidated Balance Sheet'!D33</f>
        <v>6200.44</v>
      </c>
      <c r="E15" s="33">
        <f>'Consolidated Balance Sheet'!E33</f>
        <v>3002.69</v>
      </c>
      <c r="F15" s="33">
        <f>'Consolidated Balance Sheet'!F33</f>
        <v>5695.36</v>
      </c>
      <c r="G15" s="33">
        <f>'Consolidated Balance Sheet'!G33</f>
        <v>2053.6</v>
      </c>
    </row>
    <row r="16" spans="2:7" ht="14.25" customHeight="1" x14ac:dyDescent="0.3">
      <c r="B16" s="24" t="s">
        <v>208</v>
      </c>
      <c r="C16" s="33">
        <f>'Consolidated Balance Sheet'!C32</f>
        <v>1095.46</v>
      </c>
      <c r="D16" s="33">
        <f>'Consolidated Balance Sheet'!D32</f>
        <v>1099.3499999999999</v>
      </c>
      <c r="E16" s="33">
        <f>'Consolidated Balance Sheet'!E32</f>
        <v>1101.5999999999999</v>
      </c>
      <c r="F16" s="33">
        <f>'Consolidated Balance Sheet'!F32</f>
        <v>1111.24</v>
      </c>
      <c r="G16" s="33">
        <f>'Consolidated Balance Sheet'!G32</f>
        <v>1145.53</v>
      </c>
    </row>
    <row r="17" spans="2:7" ht="14.25" customHeight="1" x14ac:dyDescent="0.3">
      <c r="B17" s="27" t="s">
        <v>355</v>
      </c>
      <c r="C17" s="31">
        <f>'Consolidated Balance Sheet'!C35</f>
        <v>34733.64</v>
      </c>
      <c r="D17" s="31">
        <f>'Consolidated Balance Sheet'!D35</f>
        <v>38247.29</v>
      </c>
      <c r="E17" s="31">
        <f>'Consolidated Balance Sheet'!E35</f>
        <v>41324.14</v>
      </c>
      <c r="F17" s="31">
        <f>'Consolidated Balance Sheet'!F35</f>
        <v>44658.7</v>
      </c>
      <c r="G17" s="31">
        <f>'Consolidated Balance Sheet'!G35</f>
        <v>48259.25</v>
      </c>
    </row>
    <row r="19" spans="2:7" ht="14.25" customHeight="1" x14ac:dyDescent="0.3">
      <c r="B19" s="281" t="s">
        <v>356</v>
      </c>
      <c r="C19" s="248"/>
      <c r="D19" s="248"/>
      <c r="E19" s="248"/>
      <c r="F19" s="248"/>
      <c r="G19" s="249"/>
    </row>
    <row r="20" spans="2:7" ht="14.25" customHeight="1" x14ac:dyDescent="0.3">
      <c r="B20" s="27" t="s">
        <v>357</v>
      </c>
      <c r="C20" s="130"/>
      <c r="D20" s="31">
        <f>D6</f>
        <v>3977.2199999999993</v>
      </c>
      <c r="E20" s="31">
        <f>E6</f>
        <v>8048.4299999999985</v>
      </c>
      <c r="F20" s="31">
        <f>F6</f>
        <v>2531.3200000000024</v>
      </c>
      <c r="G20" s="31">
        <f>G6</f>
        <v>9193.130000000001</v>
      </c>
    </row>
    <row r="21" spans="2:7" ht="14.25" customHeight="1" x14ac:dyDescent="0.3">
      <c r="B21" s="27" t="s">
        <v>358</v>
      </c>
      <c r="C21" s="31">
        <f>'Consolidated Profit &amp; Loss'!C21</f>
        <v>1427.15</v>
      </c>
      <c r="D21" s="31">
        <f>'Consolidated Profit &amp; Loss'!D21</f>
        <v>1607.74</v>
      </c>
      <c r="E21" s="31">
        <f>'Consolidated Profit &amp; Loss'!E21</f>
        <v>1776.08</v>
      </c>
      <c r="F21" s="31">
        <f>'Consolidated Profit &amp; Loss'!F21</f>
        <v>1905.95</v>
      </c>
      <c r="G21" s="31">
        <f>'Consolidated Profit &amp; Loss'!G21</f>
        <v>1978.23</v>
      </c>
    </row>
    <row r="22" spans="2:7" ht="14.25" customHeight="1" x14ac:dyDescent="0.3">
      <c r="B22" s="27" t="s">
        <v>359</v>
      </c>
      <c r="C22" s="130"/>
      <c r="D22" s="31">
        <f>D20-D21</f>
        <v>2369.4799999999996</v>
      </c>
      <c r="E22" s="31">
        <f>E20-E21</f>
        <v>6272.3499999999985</v>
      </c>
      <c r="F22" s="31">
        <f>F20-F21</f>
        <v>625.37000000000239</v>
      </c>
      <c r="G22" s="31">
        <f>G20-G21</f>
        <v>7214.9000000000015</v>
      </c>
    </row>
    <row r="23" spans="2:7" ht="14.25" customHeight="1" x14ac:dyDescent="0.3">
      <c r="B23" s="24" t="s">
        <v>360</v>
      </c>
      <c r="C23" s="130"/>
      <c r="D23" s="159">
        <f>D20/'Consolidated Profit &amp; Loss'!D9</f>
        <v>0.30605488829652971</v>
      </c>
      <c r="E23" s="159">
        <f>E20/'Consolidated Profit &amp; Loss'!E9</f>
        <v>0.49210792289335187</v>
      </c>
      <c r="F23" s="159">
        <f>F20/'Consolidated Profit &amp; Loss'!F9</f>
        <v>0.10750462389817453</v>
      </c>
      <c r="G23" s="159">
        <f>G20/'Consolidated Profit &amp; Loss'!G9</f>
        <v>0.33795004380091193</v>
      </c>
    </row>
    <row r="24" spans="2:7" ht="14.25" customHeight="1" x14ac:dyDescent="0.3">
      <c r="B24" s="24" t="s">
        <v>361</v>
      </c>
      <c r="C24" s="130"/>
      <c r="D24" s="159">
        <f>D22/'Consolidated Profit &amp; Loss'!D9</f>
        <v>0.18233613848890964</v>
      </c>
      <c r="E24" s="159">
        <f>E22/'Consolidated Profit &amp; Loss'!E9</f>
        <v>0.38351245275912388</v>
      </c>
      <c r="F24" s="159">
        <f>F22/'Consolidated Profit &amp; Loss'!F9</f>
        <v>2.6559331355656971E-2</v>
      </c>
      <c r="G24" s="159">
        <f>G22/'Consolidated Profit &amp; Loss'!G9</f>
        <v>0.26522803126021277</v>
      </c>
    </row>
    <row r="25" spans="2:7" ht="14.25" customHeight="1" x14ac:dyDescent="0.3">
      <c r="B25" s="24" t="s">
        <v>362</v>
      </c>
      <c r="C25" s="159">
        <f>'Consolidated Profit &amp; Loss'!C21/'Consolidated Balance Sheet'!C31</f>
        <v>4.9938729135188514E-2</v>
      </c>
      <c r="D25" s="159">
        <f>'Consolidated Profit &amp; Loss'!D21/'Consolidated Balance Sheet'!D31</f>
        <v>5.1950561434687778E-2</v>
      </c>
      <c r="E25" s="159">
        <f>'Consolidated Profit &amp; Loss'!E21/'Consolidated Balance Sheet'!E31</f>
        <v>4.7718623261512341E-2</v>
      </c>
      <c r="F25" s="159">
        <f>'Consolidated Profit &amp; Loss'!F21/'Consolidated Balance Sheet'!F31</f>
        <v>5.0361710144636494E-2</v>
      </c>
      <c r="G25" s="159">
        <f>'Consolidated Profit &amp; Loss'!G21/'Consolidated Balance Sheet'!G31</f>
        <v>4.3902013576528426E-2</v>
      </c>
    </row>
    <row r="27" spans="2:7" ht="14.25" customHeight="1" x14ac:dyDescent="0.3">
      <c r="B27" s="24" t="s">
        <v>363</v>
      </c>
      <c r="C27" s="291">
        <f>MEDIAN(D23:G23)</f>
        <v>0.32200246604872085</v>
      </c>
      <c r="D27" s="249"/>
    </row>
    <row r="28" spans="2:7" ht="14.25" customHeight="1" x14ac:dyDescent="0.3">
      <c r="B28" s="24" t="s">
        <v>364</v>
      </c>
      <c r="C28" s="291">
        <f>AVERAGE(D23:G23)</f>
        <v>0.310904369722242</v>
      </c>
      <c r="D28" s="249"/>
    </row>
    <row r="29" spans="2:7" ht="14.25" customHeight="1" x14ac:dyDescent="0.3">
      <c r="B29" s="160" t="s">
        <v>365</v>
      </c>
      <c r="C29" s="292">
        <f>MEDIAN(D24:G24)</f>
        <v>0.22378208487456119</v>
      </c>
      <c r="D29" s="293"/>
    </row>
    <row r="30" spans="2:7" ht="14.25" customHeight="1" thickBot="1" x14ac:dyDescent="0.35">
      <c r="B30" s="161" t="s">
        <v>366</v>
      </c>
      <c r="C30" s="294">
        <f>AVERAGE(D24:G24)</f>
        <v>0.21440898846597584</v>
      </c>
      <c r="D30" s="295"/>
    </row>
  </sheetData>
  <mergeCells count="9">
    <mergeCell ref="C29:D29"/>
    <mergeCell ref="C30:D30"/>
    <mergeCell ref="C27:D27"/>
    <mergeCell ref="B9:G9"/>
    <mergeCell ref="B1:G1"/>
    <mergeCell ref="B4:G4"/>
    <mergeCell ref="C28:D28"/>
    <mergeCell ref="B13:G13"/>
    <mergeCell ref="B19:G19"/>
  </mergeCells>
  <pageMargins left="0.75" right="0.75" top="1" bottom="1" header="0.511811023622047" footer="0.511811023622047"/>
  <pageSetup paperSize="9" orientation="portrait" horizontalDpi="300" verticalDpi="300"/>
  <ignoredErrors>
    <ignoredError sqref="D11:G11" formulaRange="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G25"/>
  <sheetViews>
    <sheetView showGridLines="0" zoomScale="74" zoomScaleNormal="100" workbookViewId="0">
      <selection activeCell="J22" sqref="A1:XFD1048576"/>
    </sheetView>
  </sheetViews>
  <sheetFormatPr defaultColWidth="8.6328125" defaultRowHeight="14" x14ac:dyDescent="0.3"/>
  <cols>
    <col min="1" max="1" width="2.1796875" style="15" customWidth="1"/>
    <col min="2" max="2" width="38" style="15" customWidth="1"/>
    <col min="3" max="7" width="16.7265625" style="15" customWidth="1"/>
    <col min="8" max="16384" width="8.6328125" style="15"/>
  </cols>
  <sheetData>
    <row r="1" spans="2:7" ht="18" customHeight="1" x14ac:dyDescent="0.3">
      <c r="B1" s="296" t="s">
        <v>367</v>
      </c>
      <c r="C1" s="248"/>
      <c r="D1" s="248"/>
      <c r="E1" s="248"/>
      <c r="F1" s="248"/>
      <c r="G1" s="249"/>
    </row>
    <row r="3" spans="2:7" ht="18" customHeight="1" x14ac:dyDescent="0.3">
      <c r="B3" s="162" t="s">
        <v>344</v>
      </c>
      <c r="C3" s="163">
        <v>2022</v>
      </c>
      <c r="D3" s="163">
        <v>2023</v>
      </c>
      <c r="E3" s="163">
        <v>2024</v>
      </c>
      <c r="F3" s="163">
        <v>2025</v>
      </c>
      <c r="G3" s="163">
        <v>2026</v>
      </c>
    </row>
    <row r="4" spans="2:7" ht="14.25" customHeight="1" x14ac:dyDescent="0.3">
      <c r="B4" s="24" t="s">
        <v>219</v>
      </c>
      <c r="C4" s="33">
        <f>'Consolidated Balance Sheet'!C43</f>
        <v>250.11</v>
      </c>
      <c r="D4" s="33">
        <f>'Consolidated Balance Sheet'!D43</f>
        <v>151.91</v>
      </c>
      <c r="E4" s="33">
        <f>'Consolidated Balance Sheet'!E43</f>
        <v>255.28</v>
      </c>
      <c r="F4" s="33">
        <f>'Consolidated Balance Sheet'!F43</f>
        <v>625.24</v>
      </c>
      <c r="G4" s="33">
        <f>'Consolidated Balance Sheet'!G43</f>
        <v>669.45</v>
      </c>
    </row>
    <row r="5" spans="2:7" ht="14.25" customHeight="1" x14ac:dyDescent="0.3">
      <c r="B5" s="24" t="s">
        <v>220</v>
      </c>
      <c r="C5" s="33">
        <f>'Consolidated Balance Sheet'!C44</f>
        <v>1070.8399999999999</v>
      </c>
      <c r="D5" s="33">
        <f>'Consolidated Balance Sheet'!D44</f>
        <v>1437.59</v>
      </c>
      <c r="E5" s="33">
        <f>'Consolidated Balance Sheet'!E44</f>
        <v>1564.95</v>
      </c>
      <c r="F5" s="33">
        <f>'Consolidated Balance Sheet'!F44</f>
        <v>4217.8599999999997</v>
      </c>
      <c r="G5" s="33">
        <f>'Consolidated Balance Sheet'!G44</f>
        <v>5733.75</v>
      </c>
    </row>
    <row r="6" spans="2:7" ht="14.25" customHeight="1" x14ac:dyDescent="0.3">
      <c r="B6" s="24" t="s">
        <v>368</v>
      </c>
      <c r="C6" s="33">
        <f>'Consolidated Balance Sheet'!C47</f>
        <v>2524.94</v>
      </c>
      <c r="D6" s="33">
        <f>'Consolidated Balance Sheet'!D47</f>
        <v>4079.23</v>
      </c>
      <c r="E6" s="33">
        <f>'Consolidated Balance Sheet'!E47</f>
        <v>4719.28</v>
      </c>
      <c r="F6" s="33">
        <f>'Consolidated Balance Sheet'!F47</f>
        <v>5916.2</v>
      </c>
      <c r="G6" s="33">
        <f>'Consolidated Balance Sheet'!G47</f>
        <v>7249.05</v>
      </c>
    </row>
    <row r="7" spans="2:7" ht="14.25" customHeight="1" thickBot="1" x14ac:dyDescent="0.35">
      <c r="B7" s="43" t="s">
        <v>369</v>
      </c>
      <c r="C7" s="50">
        <f>'Consolidated Balance Sheet'!C43+'Consolidated Balance Sheet'!C44+'Consolidated Balance Sheet'!C47</f>
        <v>3845.89</v>
      </c>
      <c r="D7" s="50">
        <f>'Consolidated Balance Sheet'!D43+'Consolidated Balance Sheet'!D44+'Consolidated Balance Sheet'!D47</f>
        <v>5668.73</v>
      </c>
      <c r="E7" s="50">
        <f>'Consolidated Balance Sheet'!E43+'Consolidated Balance Sheet'!E44+'Consolidated Balance Sheet'!E47</f>
        <v>6539.51</v>
      </c>
      <c r="F7" s="50">
        <f>'Consolidated Balance Sheet'!F43+'Consolidated Balance Sheet'!F44+'Consolidated Balance Sheet'!F47</f>
        <v>10759.3</v>
      </c>
      <c r="G7" s="50">
        <f>'Consolidated Balance Sheet'!G43+'Consolidated Balance Sheet'!G44+'Consolidated Balance Sheet'!G47</f>
        <v>13652.25</v>
      </c>
    </row>
    <row r="9" spans="2:7" ht="14.25" customHeight="1" x14ac:dyDescent="0.3">
      <c r="B9" s="24" t="s">
        <v>200</v>
      </c>
      <c r="C9" s="33">
        <f>'Consolidated Balance Sheet'!C24</f>
        <v>1607.91</v>
      </c>
      <c r="D9" s="33">
        <f>'Consolidated Balance Sheet'!D24</f>
        <v>1800.43</v>
      </c>
      <c r="E9" s="33">
        <f>'Consolidated Balance Sheet'!E24</f>
        <v>1722.11</v>
      </c>
      <c r="F9" s="33">
        <f>'Consolidated Balance Sheet'!F24</f>
        <v>2955.62</v>
      </c>
      <c r="G9" s="33">
        <f>'Consolidated Balance Sheet'!G24</f>
        <v>4993.6499999999996</v>
      </c>
    </row>
    <row r="10" spans="2:7" ht="14.25" customHeight="1" x14ac:dyDescent="0.3">
      <c r="B10" s="24" t="s">
        <v>201</v>
      </c>
      <c r="C10" s="33">
        <f>'Consolidated Balance Sheet'!C25</f>
        <v>2208.88</v>
      </c>
      <c r="D10" s="33">
        <f>'Consolidated Balance Sheet'!D25</f>
        <v>2229.12</v>
      </c>
      <c r="E10" s="33">
        <f>'Consolidated Balance Sheet'!E25</f>
        <v>2746.81</v>
      </c>
      <c r="F10" s="33">
        <f>'Consolidated Balance Sheet'!F25</f>
        <v>3741.47</v>
      </c>
      <c r="G10" s="33">
        <f>'Consolidated Balance Sheet'!G25</f>
        <v>6836.2</v>
      </c>
    </row>
    <row r="11" spans="2:7" ht="14.25" customHeight="1" x14ac:dyDescent="0.3">
      <c r="B11" s="24" t="s">
        <v>202</v>
      </c>
      <c r="C11" s="33">
        <f>'Consolidated Balance Sheet'!C26</f>
        <v>70.91</v>
      </c>
      <c r="D11" s="33">
        <f>'Consolidated Balance Sheet'!D26</f>
        <v>119.29</v>
      </c>
      <c r="E11" s="33">
        <f>'Consolidated Balance Sheet'!E26</f>
        <v>98.51</v>
      </c>
      <c r="F11" s="33">
        <f>'Consolidated Balance Sheet'!F26</f>
        <v>105.52</v>
      </c>
      <c r="G11" s="33">
        <f>'Consolidated Balance Sheet'!G26</f>
        <v>206.87</v>
      </c>
    </row>
    <row r="12" spans="2:7" ht="14.25" customHeight="1" thickBot="1" x14ac:dyDescent="0.35">
      <c r="B12" s="43" t="s">
        <v>370</v>
      </c>
      <c r="C12" s="50">
        <f>'Consolidated Balance Sheet'!C24+'Consolidated Balance Sheet'!C25+'Consolidated Balance Sheet'!C26</f>
        <v>3887.7</v>
      </c>
      <c r="D12" s="50">
        <f>'Consolidated Balance Sheet'!D24+'Consolidated Balance Sheet'!D25+'Consolidated Balance Sheet'!D26</f>
        <v>4148.84</v>
      </c>
      <c r="E12" s="50">
        <f>'Consolidated Balance Sheet'!E24+'Consolidated Balance Sheet'!E25+'Consolidated Balance Sheet'!E26</f>
        <v>4567.43</v>
      </c>
      <c r="F12" s="50">
        <f>'Consolidated Balance Sheet'!F24+'Consolidated Balance Sheet'!F25+'Consolidated Balance Sheet'!F26</f>
        <v>6802.6100000000006</v>
      </c>
      <c r="G12" s="50">
        <f>'Consolidated Balance Sheet'!G24+'Consolidated Balance Sheet'!G25+'Consolidated Balance Sheet'!G26</f>
        <v>12036.72</v>
      </c>
    </row>
    <row r="14" spans="2:7" ht="14.25" customHeight="1" x14ac:dyDescent="0.3">
      <c r="B14" s="27" t="s">
        <v>371</v>
      </c>
      <c r="C14" s="31">
        <f>(C7-C12)</f>
        <v>-41.809999999999945</v>
      </c>
      <c r="D14" s="31">
        <f>(D7-D12)</f>
        <v>1519.8899999999994</v>
      </c>
      <c r="E14" s="31">
        <f>(E7-E12)</f>
        <v>1972.08</v>
      </c>
      <c r="F14" s="31">
        <f>(F7-F12)</f>
        <v>3956.6899999999987</v>
      </c>
      <c r="G14" s="31">
        <f>(G7-G12)</f>
        <v>1615.5300000000007</v>
      </c>
    </row>
    <row r="15" spans="2:7" ht="14.25" customHeight="1" x14ac:dyDescent="0.3">
      <c r="B15" s="24" t="s">
        <v>372</v>
      </c>
      <c r="C15" s="33"/>
      <c r="D15" s="33">
        <f>D14-C14</f>
        <v>1561.6999999999994</v>
      </c>
      <c r="E15" s="33">
        <f>E14-D14</f>
        <v>452.19000000000051</v>
      </c>
      <c r="F15" s="33">
        <f>F14-E14</f>
        <v>1984.6099999999988</v>
      </c>
      <c r="G15" s="33">
        <f>G14-F14</f>
        <v>-2341.159999999998</v>
      </c>
    </row>
    <row r="16" spans="2:7" ht="14.25" customHeight="1" x14ac:dyDescent="0.3">
      <c r="B16" s="24" t="s">
        <v>373</v>
      </c>
      <c r="C16" s="39"/>
      <c r="D16" s="39">
        <f>D15/'Consolidated Profit &amp; Loss'!D9</f>
        <v>0.12017588140778994</v>
      </c>
      <c r="E16" s="39">
        <f>E15/'Consolidated Profit &amp; Loss'!E9</f>
        <v>2.764840865276148E-2</v>
      </c>
      <c r="F16" s="39">
        <f>F15/'Consolidated Profit &amp; Loss'!F9</f>
        <v>8.4285966070886259E-2</v>
      </c>
      <c r="G16" s="39">
        <f>G15/'Consolidated Profit &amp; Loss'!G9</f>
        <v>-8.6063737219526121E-2</v>
      </c>
    </row>
    <row r="17" spans="2:7" ht="13.5" customHeight="1" x14ac:dyDescent="0.3">
      <c r="B17" s="34" t="s">
        <v>374</v>
      </c>
      <c r="C17" s="164"/>
      <c r="D17" s="35">
        <f>MEDIAN(D16:G16)</f>
        <v>5.5967187361823864E-2</v>
      </c>
    </row>
    <row r="18" spans="2:7" ht="13.5" customHeight="1" x14ac:dyDescent="0.3">
      <c r="B18" s="36" t="s">
        <v>375</v>
      </c>
      <c r="C18" s="165"/>
      <c r="D18" s="37">
        <f>AVERAGE(D16:G16)</f>
        <v>3.651162972797789E-2</v>
      </c>
    </row>
    <row r="19" spans="2:7" ht="14.25" customHeight="1" x14ac:dyDescent="0.3">
      <c r="B19" s="24" t="s">
        <v>376</v>
      </c>
      <c r="C19" s="166">
        <f>'Consolidated Balance Sheet'!C44/'Consolidated Profit &amp; Loss'!C9*365</f>
        <v>35.661415246605671</v>
      </c>
      <c r="D19" s="166">
        <f>'Consolidated Balance Sheet'!D44/'Consolidated Profit &amp; Loss'!D9*365</f>
        <v>40.378261224213396</v>
      </c>
      <c r="E19" s="166">
        <f>'Consolidated Balance Sheet'!E44/'Consolidated Profit &amp; Loss'!E9*365</f>
        <v>34.925490721191856</v>
      </c>
      <c r="F19" s="166">
        <f>'Consolidated Balance Sheet'!F44/'Consolidated Profit &amp; Loss'!F9*365</f>
        <v>65.383041388931943</v>
      </c>
      <c r="G19" s="166">
        <f>'Consolidated Balance Sheet'!G44/'Consolidated Profit &amp; Loss'!G9*365</f>
        <v>76.934426928572705</v>
      </c>
    </row>
    <row r="20" spans="2:7" ht="14.25" customHeight="1" x14ac:dyDescent="0.3">
      <c r="B20" s="24" t="s">
        <v>377</v>
      </c>
      <c r="C20" s="166">
        <f>'Consolidated Balance Sheet'!C43/'Consolidated Profit &amp; Loss'!C9*365</f>
        <v>8.3292336551945638</v>
      </c>
      <c r="D20" s="166">
        <f>'Consolidated Balance Sheet'!D43/'Consolidated Profit &amp; Loss'!D9*365</f>
        <v>4.2667670633283876</v>
      </c>
      <c r="E20" s="166">
        <f>'Consolidated Balance Sheet'!E43/'Consolidated Profit &amp; Loss'!E9*365</f>
        <v>5.6971655780094297</v>
      </c>
      <c r="F20" s="166">
        <f>'Consolidated Balance Sheet'!F43/'Consolidated Profit &amp; Loss'!F9*365</f>
        <v>9.6921407533715698</v>
      </c>
      <c r="G20" s="166">
        <f>'Consolidated Balance Sheet'!G43/'Consolidated Profit &amp; Loss'!G9*365</f>
        <v>8.9825597745512109</v>
      </c>
    </row>
    <row r="21" spans="2:7" ht="14.25" customHeight="1" x14ac:dyDescent="0.3">
      <c r="B21" s="24" t="s">
        <v>378</v>
      </c>
      <c r="C21" s="166">
        <f>'Consolidated Balance Sheet'!C24/'Consolidated Profit &amp; Loss'!C9*365</f>
        <v>53.547071634576348</v>
      </c>
      <c r="D21" s="166">
        <f>'Consolidated Balance Sheet'!D24/'Consolidated Profit &amp; Loss'!D9*365</f>
        <v>50.56951763431195</v>
      </c>
      <c r="E21" s="166">
        <f>'Consolidated Balance Sheet'!E24/'Consolidated Profit &amp; Loss'!E9*365</f>
        <v>38.432880811445543</v>
      </c>
      <c r="F21" s="166">
        <f>'Consolidated Balance Sheet'!F24/'Consolidated Profit &amp; Loss'!F9*365</f>
        <v>45.816462563943567</v>
      </c>
      <c r="G21" s="166">
        <f>'Consolidated Balance Sheet'!G24/'Consolidated Profit &amp; Loss'!G9*365</f>
        <v>67.003898152494813</v>
      </c>
    </row>
    <row r="22" spans="2:7" ht="14.25" customHeight="1" thickBot="1" x14ac:dyDescent="0.35">
      <c r="B22" s="43" t="s">
        <v>379</v>
      </c>
      <c r="C22" s="167">
        <f>C19+C20-C21</f>
        <v>-9.5564227327761131</v>
      </c>
      <c r="D22" s="167">
        <f>D19+D20-D21</f>
        <v>-5.9244893467701658</v>
      </c>
      <c r="E22" s="167">
        <f>E19+E20-E21</f>
        <v>2.189775487755746</v>
      </c>
      <c r="F22" s="167">
        <f>F19+F20-F21</f>
        <v>29.258719578359951</v>
      </c>
      <c r="G22" s="167">
        <f>G19+G20-G21</f>
        <v>18.913088550629098</v>
      </c>
    </row>
    <row r="24" spans="2:7" ht="14.25" customHeight="1" x14ac:dyDescent="0.3">
      <c r="B24" s="168" t="s">
        <v>380</v>
      </c>
      <c r="C24" s="169"/>
      <c r="D24" s="170">
        <f>MEDIAN(D16:G16)</f>
        <v>5.5967187361823864E-2</v>
      </c>
    </row>
    <row r="25" spans="2:7" ht="14.25" customHeight="1" x14ac:dyDescent="0.3">
      <c r="B25" s="168" t="s">
        <v>381</v>
      </c>
      <c r="C25" s="169"/>
      <c r="D25" s="170">
        <f>AVERAGE(D16:G16)</f>
        <v>3.651162972797789E-2</v>
      </c>
    </row>
  </sheetData>
  <mergeCells count="1">
    <mergeCell ref="B1:G1"/>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G18"/>
  <sheetViews>
    <sheetView showGridLines="0" zoomScale="80" zoomScaleNormal="100" workbookViewId="0">
      <selection activeCell="F24" sqref="A1:XFD1048576"/>
    </sheetView>
  </sheetViews>
  <sheetFormatPr defaultColWidth="8.6328125" defaultRowHeight="14" x14ac:dyDescent="0.3"/>
  <cols>
    <col min="1" max="1" width="2.1796875" style="15" customWidth="1"/>
    <col min="2" max="2" width="34" style="15" customWidth="1"/>
    <col min="3" max="7" width="16.7265625" style="15" customWidth="1"/>
    <col min="8" max="16384" width="8.6328125" style="15"/>
  </cols>
  <sheetData>
    <row r="1" spans="2:7" ht="18" customHeight="1" x14ac:dyDescent="0.3">
      <c r="B1" s="297" t="s">
        <v>382</v>
      </c>
      <c r="C1" s="248"/>
      <c r="D1" s="248"/>
      <c r="E1" s="248"/>
      <c r="F1" s="248"/>
      <c r="G1" s="249"/>
    </row>
    <row r="3" spans="2:7" ht="18" customHeight="1" x14ac:dyDescent="0.3">
      <c r="B3" s="96" t="s">
        <v>383</v>
      </c>
      <c r="C3" s="171">
        <v>2022</v>
      </c>
      <c r="D3" s="171">
        <v>2023</v>
      </c>
      <c r="E3" s="171">
        <v>2024</v>
      </c>
      <c r="F3" s="171">
        <v>2025</v>
      </c>
      <c r="G3" s="171">
        <v>2026</v>
      </c>
    </row>
    <row r="4" spans="2:7" ht="14.25" customHeight="1" x14ac:dyDescent="0.3">
      <c r="B4" s="24" t="s">
        <v>287</v>
      </c>
      <c r="C4" s="29">
        <f>'Consolidated Profit &amp; Loss'!C24+'Consolidated Profit &amp; Loss'!C20</f>
        <v>3382.97</v>
      </c>
      <c r="D4" s="29">
        <f>'Consolidated Profit &amp; Loss'!D24+'Consolidated Profit &amp; Loss'!D20</f>
        <v>3457.6099999999997</v>
      </c>
      <c r="E4" s="29">
        <f>'Consolidated Profit &amp; Loss'!E24+'Consolidated Profit &amp; Loss'!E20</f>
        <v>5006.08</v>
      </c>
      <c r="F4" s="29">
        <f>'Consolidated Profit &amp; Loss'!F24+'Consolidated Profit &amp; Loss'!F20</f>
        <v>7180.78</v>
      </c>
      <c r="G4" s="29">
        <f>'Consolidated Profit &amp; Loss'!G24+'Consolidated Profit &amp; Loss'!G20</f>
        <v>7843.2999999999993</v>
      </c>
    </row>
    <row r="5" spans="2:7" ht="14.25" customHeight="1" x14ac:dyDescent="0.3">
      <c r="B5" s="24" t="s">
        <v>384</v>
      </c>
      <c r="C5" s="172">
        <f>C4*('Consolidated Profit &amp; Loss'!C30/'Consolidated Profit &amp; Loss'!C26)</f>
        <v>867.50166022734606</v>
      </c>
      <c r="D5" s="172">
        <f>D4*('Consolidated Profit &amp; Loss'!D30/'Consolidated Profit &amp; Loss'!D26)</f>
        <v>879.35022158997958</v>
      </c>
      <c r="E5" s="172">
        <f>E4*('Consolidated Profit &amp; Loss'!E30/'Consolidated Profit &amp; Loss'!E26)</f>
        <v>1631.9636260648699</v>
      </c>
      <c r="F5" s="172">
        <f>F4*('Consolidated Profit &amp; Loss'!F30/'Consolidated Profit &amp; Loss'!F26)</f>
        <v>1195.7834229892544</v>
      </c>
      <c r="G5" s="172">
        <f>G4*('Consolidated Profit &amp; Loss'!G30/'Consolidated Profit &amp; Loss'!G26)</f>
        <v>1943.1987013779199</v>
      </c>
    </row>
    <row r="6" spans="2:7" ht="14.25" customHeight="1" x14ac:dyDescent="0.3">
      <c r="B6" s="24" t="s">
        <v>385</v>
      </c>
      <c r="C6" s="29">
        <f>C4-C5</f>
        <v>2515.468339772654</v>
      </c>
      <c r="D6" s="29">
        <f>D4-D5</f>
        <v>2578.2597784100199</v>
      </c>
      <c r="E6" s="29">
        <f>E4-E5</f>
        <v>3374.11637393513</v>
      </c>
      <c r="F6" s="29">
        <f>F4-F5</f>
        <v>5984.9965770107456</v>
      </c>
      <c r="G6" s="29">
        <f>G4-G5</f>
        <v>5900.1012986220794</v>
      </c>
    </row>
    <row r="7" spans="2:7" ht="14.25" customHeight="1" x14ac:dyDescent="0.3">
      <c r="B7" s="24" t="s">
        <v>386</v>
      </c>
      <c r="C7" s="29">
        <f>'Consolidated Profit &amp; Loss'!C21</f>
        <v>1427.15</v>
      </c>
      <c r="D7" s="29">
        <f>'Consolidated Profit &amp; Loss'!D21</f>
        <v>1607.74</v>
      </c>
      <c r="E7" s="29">
        <f>'Consolidated Profit &amp; Loss'!E21</f>
        <v>1776.08</v>
      </c>
      <c r="F7" s="29">
        <f>'Consolidated Profit &amp; Loss'!F21</f>
        <v>1905.95</v>
      </c>
      <c r="G7" s="29">
        <f>'Consolidated Profit &amp; Loss'!G21</f>
        <v>1978.23</v>
      </c>
    </row>
    <row r="8" spans="2:7" ht="14.25" customHeight="1" x14ac:dyDescent="0.3">
      <c r="B8" s="24" t="s">
        <v>387</v>
      </c>
      <c r="C8" s="29"/>
      <c r="D8" s="29">
        <f>'Fixed Assets Schedule'!D22</f>
        <v>2369.4799999999996</v>
      </c>
      <c r="E8" s="29">
        <f>'Fixed Assets Schedule'!E22</f>
        <v>6272.3499999999985</v>
      </c>
      <c r="F8" s="29">
        <f>'Fixed Assets Schedule'!F22</f>
        <v>625.37000000000239</v>
      </c>
      <c r="G8" s="29">
        <f>'Fixed Assets Schedule'!G22</f>
        <v>7214.9000000000015</v>
      </c>
    </row>
    <row r="9" spans="2:7" ht="14.25" customHeight="1" x14ac:dyDescent="0.3">
      <c r="B9" s="24" t="s">
        <v>388</v>
      </c>
      <c r="C9" s="29"/>
      <c r="D9" s="29">
        <f>'Working Capital Changes'!D15</f>
        <v>1561.6999999999994</v>
      </c>
      <c r="E9" s="29">
        <f>'Working Capital Changes'!E15</f>
        <v>452.19000000000051</v>
      </c>
      <c r="F9" s="29">
        <f>'Working Capital Changes'!F15</f>
        <v>1984.6099999999988</v>
      </c>
      <c r="G9" s="29">
        <f>'Working Capital Changes'!G15</f>
        <v>-2341.159999999998</v>
      </c>
    </row>
    <row r="10" spans="2:7" ht="14.25" customHeight="1" x14ac:dyDescent="0.3">
      <c r="B10" s="24" t="s">
        <v>389</v>
      </c>
      <c r="C10" s="29"/>
      <c r="D10" s="29">
        <f>D8+D9</f>
        <v>3931.1799999999989</v>
      </c>
      <c r="E10" s="29">
        <f>E8+E9</f>
        <v>6724.5399999999991</v>
      </c>
      <c r="F10" s="29">
        <f>F8+F9</f>
        <v>2609.9800000000014</v>
      </c>
      <c r="G10" s="29">
        <f>G8+G9</f>
        <v>4873.7400000000034</v>
      </c>
    </row>
    <row r="11" spans="2:7" ht="14.25" customHeight="1" thickBot="1" x14ac:dyDescent="0.35">
      <c r="B11" s="43" t="s">
        <v>390</v>
      </c>
      <c r="C11" s="173">
        <f>C6+C7-C10</f>
        <v>3942.6183397726541</v>
      </c>
      <c r="D11" s="173">
        <f>D6+D7-D10</f>
        <v>254.81977841002072</v>
      </c>
      <c r="E11" s="173">
        <f>E6+E7-E10</f>
        <v>-1574.3436260648687</v>
      </c>
      <c r="F11" s="173">
        <f>F6+F7-F10</f>
        <v>5280.966577010744</v>
      </c>
      <c r="G11" s="173">
        <f>G6+G7-G10</f>
        <v>3004.5912986220756</v>
      </c>
    </row>
    <row r="12" spans="2:7" ht="6" customHeight="1" x14ac:dyDescent="0.3"/>
    <row r="13" spans="2:7" ht="14.25" customHeight="1" x14ac:dyDescent="0.3">
      <c r="B13" s="27" t="s">
        <v>391</v>
      </c>
      <c r="C13" s="130"/>
      <c r="D13" s="25">
        <f>D10/D6</f>
        <v>1.5247416233690416</v>
      </c>
      <c r="E13" s="25">
        <f>E10/E6</f>
        <v>1.9929780881141841</v>
      </c>
      <c r="F13" s="25">
        <f>F10/F6</f>
        <v>0.43608713328681248</v>
      </c>
      <c r="G13" s="25">
        <f>G10/G6</f>
        <v>0.8260434445656426</v>
      </c>
    </row>
    <row r="14" spans="2:7" ht="14.25" customHeight="1" x14ac:dyDescent="0.3">
      <c r="B14" s="24" t="s">
        <v>392</v>
      </c>
      <c r="C14" s="130"/>
      <c r="D14" s="25">
        <f>D11/D6</f>
        <v>9.8834019963327691E-2</v>
      </c>
      <c r="E14" s="25">
        <f>E11/E6</f>
        <v>-0.46659434696046337</v>
      </c>
      <c r="F14" s="25">
        <f>F11/F6</f>
        <v>0.88236751835342986</v>
      </c>
      <c r="G14" s="25">
        <f>G11/G6</f>
        <v>0.50924401913637884</v>
      </c>
    </row>
    <row r="15" spans="2:7" ht="14.25" customHeight="1" x14ac:dyDescent="0.3">
      <c r="B15" s="24" t="s">
        <v>393</v>
      </c>
      <c r="C15" s="25">
        <f>C11/'Consolidated Profit &amp; Loss'!C9</f>
        <v>0.35972105824365175</v>
      </c>
      <c r="D15" s="25">
        <f>D11/'Consolidated Profit &amp; Loss'!D9</f>
        <v>1.9608882288891575E-2</v>
      </c>
      <c r="E15" s="25">
        <f>E11/'Consolidated Profit &amp; Loss'!E9</f>
        <v>-9.6260633656895883E-2</v>
      </c>
      <c r="F15" s="25">
        <f>F11/'Consolidated Profit &amp; Loss'!F9</f>
        <v>0.2242815312486646</v>
      </c>
      <c r="G15" s="25">
        <f>G11/'Consolidated Profit &amp; Loss'!G9</f>
        <v>0.11045223563391023</v>
      </c>
    </row>
    <row r="16" spans="2:7" ht="6" customHeight="1" x14ac:dyDescent="0.3"/>
    <row r="17" spans="2:4" ht="14.25" customHeight="1" x14ac:dyDescent="0.3">
      <c r="B17" s="168" t="s">
        <v>394</v>
      </c>
      <c r="C17" s="169"/>
      <c r="D17" s="174">
        <f>MEDIAN(D13:G13)</f>
        <v>1.1753925339673421</v>
      </c>
    </row>
    <row r="18" spans="2:4" ht="14.25" customHeight="1" x14ac:dyDescent="0.3">
      <c r="B18" s="168" t="s">
        <v>395</v>
      </c>
      <c r="C18" s="169"/>
      <c r="D18" s="174">
        <f>AVERAGE(D13:G13)</f>
        <v>1.1949625723339201</v>
      </c>
    </row>
  </sheetData>
  <mergeCells count="1">
    <mergeCell ref="B1:G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N1093"/>
  <sheetViews>
    <sheetView showGridLines="0" zoomScale="78" workbookViewId="0">
      <selection activeCell="J4" sqref="J4"/>
    </sheetView>
  </sheetViews>
  <sheetFormatPr defaultRowHeight="14" x14ac:dyDescent="0.3"/>
  <cols>
    <col min="1" max="1" width="2" style="15" customWidth="1"/>
    <col min="2" max="2" width="10.81640625" style="15" bestFit="1" customWidth="1"/>
    <col min="3" max="3" width="24.36328125" style="15" bestFit="1" customWidth="1"/>
    <col min="4" max="4" width="34.7265625" style="15" bestFit="1" customWidth="1"/>
    <col min="5" max="5" width="8.7265625" style="177" customWidth="1"/>
    <col min="6" max="6" width="17.26953125" style="15" bestFit="1" customWidth="1"/>
    <col min="7" max="7" width="11.81640625" style="15" bestFit="1" customWidth="1"/>
    <col min="8" max="8" width="13.54296875" style="15" bestFit="1" customWidth="1"/>
    <col min="9" max="10" width="11.81640625" style="15" bestFit="1" customWidth="1"/>
    <col min="11" max="11" width="12.453125" style="15" bestFit="1" customWidth="1"/>
    <col min="12" max="16384" width="8.7265625" style="15"/>
  </cols>
  <sheetData>
    <row r="1" spans="2:7" ht="15.5" x14ac:dyDescent="0.3">
      <c r="B1" s="345" t="s">
        <v>396</v>
      </c>
      <c r="C1" s="346" t="s">
        <v>397</v>
      </c>
      <c r="D1" s="346" t="s">
        <v>398</v>
      </c>
      <c r="E1" s="175"/>
    </row>
    <row r="2" spans="2:7" x14ac:dyDescent="0.3">
      <c r="B2" s="176">
        <v>44565</v>
      </c>
      <c r="C2" s="15">
        <v>1.02</v>
      </c>
      <c r="D2" s="15">
        <v>1.38</v>
      </c>
    </row>
    <row r="3" spans="2:7" ht="15" customHeight="1" thickBot="1" x14ac:dyDescent="0.35">
      <c r="B3" s="176">
        <v>44566</v>
      </c>
      <c r="C3" s="15">
        <v>0.67</v>
      </c>
      <c r="D3" s="15">
        <v>0.35</v>
      </c>
      <c r="F3" s="178" t="s">
        <v>399</v>
      </c>
      <c r="G3" s="179">
        <f>G26</f>
        <v>1.382434629830479</v>
      </c>
    </row>
    <row r="4" spans="2:7" x14ac:dyDescent="0.3">
      <c r="B4" s="176">
        <v>44567</v>
      </c>
      <c r="C4" s="15">
        <v>-1</v>
      </c>
      <c r="D4" s="15">
        <v>-0.06</v>
      </c>
      <c r="F4" s="15" t="s">
        <v>400</v>
      </c>
      <c r="G4" s="180">
        <f>_xlfn.COVARIANCE.S(C2:C1093,D2:D1093)</f>
        <v>1.0635786186850134</v>
      </c>
    </row>
    <row r="5" spans="2:7" x14ac:dyDescent="0.3">
      <c r="B5" s="176">
        <v>44568</v>
      </c>
      <c r="C5" s="15">
        <v>0.38</v>
      </c>
      <c r="D5" s="15">
        <v>0.91</v>
      </c>
      <c r="F5" s="15" t="s">
        <v>401</v>
      </c>
      <c r="G5" s="180">
        <f>SLOPE(D2:D1093,C2:C1093)</f>
        <v>1.3824346298304806</v>
      </c>
    </row>
    <row r="6" spans="2:7" x14ac:dyDescent="0.3">
      <c r="B6" s="176">
        <v>44571</v>
      </c>
      <c r="C6" s="15">
        <v>1.07</v>
      </c>
      <c r="D6" s="15">
        <v>2.46</v>
      </c>
      <c r="F6" s="15" t="s">
        <v>402</v>
      </c>
    </row>
    <row r="7" spans="2:7" x14ac:dyDescent="0.3">
      <c r="B7" s="176">
        <v>44572</v>
      </c>
      <c r="C7" s="15">
        <v>0.28999999999999998</v>
      </c>
      <c r="D7" s="15">
        <v>2.62</v>
      </c>
    </row>
    <row r="8" spans="2:7" x14ac:dyDescent="0.3">
      <c r="B8" s="176">
        <v>44573</v>
      </c>
      <c r="C8" s="15">
        <v>0.87</v>
      </c>
      <c r="D8" s="15">
        <v>3.26</v>
      </c>
    </row>
    <row r="9" spans="2:7" x14ac:dyDescent="0.3">
      <c r="B9" s="176">
        <v>44574</v>
      </c>
      <c r="C9" s="15">
        <v>0.25</v>
      </c>
      <c r="D9" s="15">
        <v>4.74</v>
      </c>
      <c r="F9" s="15" t="s">
        <v>403</v>
      </c>
    </row>
    <row r="10" spans="2:7" ht="15" customHeight="1" thickBot="1" x14ac:dyDescent="0.35">
      <c r="B10" s="176">
        <v>44575</v>
      </c>
      <c r="C10" s="15">
        <v>-0.01</v>
      </c>
      <c r="D10" s="15">
        <v>0.04</v>
      </c>
    </row>
    <row r="11" spans="2:7" ht="14.5" x14ac:dyDescent="0.35">
      <c r="B11" s="176">
        <v>44578</v>
      </c>
      <c r="C11" s="15">
        <v>0.28999999999999998</v>
      </c>
      <c r="D11" s="15">
        <v>-0.89</v>
      </c>
      <c r="F11" s="181" t="s">
        <v>404</v>
      </c>
      <c r="G11" s="181"/>
    </row>
    <row r="12" spans="2:7" x14ac:dyDescent="0.3">
      <c r="B12" s="176">
        <v>44579</v>
      </c>
      <c r="C12" s="15">
        <v>-1.07</v>
      </c>
      <c r="D12" s="15">
        <v>1.2</v>
      </c>
      <c r="F12" s="15" t="s">
        <v>405</v>
      </c>
      <c r="G12" s="15">
        <v>0.371210578864901</v>
      </c>
    </row>
    <row r="13" spans="2:7" x14ac:dyDescent="0.3">
      <c r="B13" s="176">
        <v>44580</v>
      </c>
      <c r="C13" s="15">
        <v>-0.96</v>
      </c>
      <c r="D13" s="15">
        <v>0.81</v>
      </c>
      <c r="F13" s="15" t="s">
        <v>406</v>
      </c>
      <c r="G13" s="15">
        <v>0.13779729386121489</v>
      </c>
    </row>
    <row r="14" spans="2:7" x14ac:dyDescent="0.3">
      <c r="B14" s="176">
        <v>44581</v>
      </c>
      <c r="C14" s="15">
        <v>-1.01</v>
      </c>
      <c r="D14" s="15">
        <v>-0.17</v>
      </c>
      <c r="F14" s="15" t="s">
        <v>407</v>
      </c>
      <c r="G14" s="15">
        <v>0.1370062822042068</v>
      </c>
    </row>
    <row r="15" spans="2:7" x14ac:dyDescent="0.3">
      <c r="B15" s="176">
        <v>44582</v>
      </c>
      <c r="C15" s="15">
        <v>-0.79</v>
      </c>
      <c r="D15" s="15">
        <v>1.33</v>
      </c>
      <c r="F15" s="15" t="s">
        <v>408</v>
      </c>
      <c r="G15" s="15">
        <v>3.034523980874777</v>
      </c>
    </row>
    <row r="16" spans="2:7" ht="15" customHeight="1" thickBot="1" x14ac:dyDescent="0.35">
      <c r="B16" s="176">
        <v>44585</v>
      </c>
      <c r="C16" s="15">
        <v>-2.66</v>
      </c>
      <c r="D16" s="15">
        <v>-1.5</v>
      </c>
      <c r="F16" s="182" t="s">
        <v>409</v>
      </c>
      <c r="G16" s="182">
        <v>1092</v>
      </c>
    </row>
    <row r="17" spans="2:14" x14ac:dyDescent="0.3">
      <c r="B17" s="176">
        <v>44586</v>
      </c>
      <c r="C17" s="15">
        <v>0.75</v>
      </c>
      <c r="D17" s="15">
        <v>-2.13</v>
      </c>
    </row>
    <row r="18" spans="2:14" ht="15" customHeight="1" thickBot="1" x14ac:dyDescent="0.35">
      <c r="B18" s="176">
        <v>44588</v>
      </c>
      <c r="C18" s="15">
        <v>-0.97</v>
      </c>
      <c r="D18" s="15">
        <v>0.85</v>
      </c>
      <c r="F18" s="15" t="s">
        <v>410</v>
      </c>
    </row>
    <row r="19" spans="2:14" ht="14.5" x14ac:dyDescent="0.35">
      <c r="B19" s="176">
        <v>44589</v>
      </c>
      <c r="C19" s="15">
        <v>-0.05</v>
      </c>
      <c r="D19" s="15">
        <v>-1.1200000000000001</v>
      </c>
      <c r="F19" s="183"/>
      <c r="G19" s="183" t="s">
        <v>411</v>
      </c>
      <c r="H19" s="183" t="s">
        <v>412</v>
      </c>
      <c r="I19" s="183" t="s">
        <v>413</v>
      </c>
      <c r="J19" s="183" t="s">
        <v>414</v>
      </c>
      <c r="K19" s="183" t="s">
        <v>415</v>
      </c>
    </row>
    <row r="20" spans="2:14" x14ac:dyDescent="0.3">
      <c r="B20" s="176">
        <v>44592</v>
      </c>
      <c r="C20" s="15">
        <v>1.39</v>
      </c>
      <c r="D20" s="15">
        <v>-0.8</v>
      </c>
      <c r="F20" s="15" t="s">
        <v>416</v>
      </c>
      <c r="G20" s="15">
        <v>1</v>
      </c>
      <c r="H20" s="15">
        <v>1604.1277541930181</v>
      </c>
      <c r="I20" s="15">
        <v>1604.1277541930181</v>
      </c>
      <c r="J20" s="15">
        <v>174.2038725224638</v>
      </c>
      <c r="K20" s="15">
        <v>5.2259588412156127E-37</v>
      </c>
    </row>
    <row r="21" spans="2:14" x14ac:dyDescent="0.3">
      <c r="B21" s="176">
        <v>44593</v>
      </c>
      <c r="C21" s="15">
        <v>1.37</v>
      </c>
      <c r="D21" s="15">
        <v>0.81</v>
      </c>
      <c r="F21" s="15" t="s">
        <v>417</v>
      </c>
      <c r="G21" s="15">
        <v>1090</v>
      </c>
      <c r="H21" s="15">
        <v>10037.08601164947</v>
      </c>
      <c r="I21" s="15">
        <v>9.208335790504103</v>
      </c>
    </row>
    <row r="22" spans="2:14" ht="15" customHeight="1" thickBot="1" x14ac:dyDescent="0.35">
      <c r="B22" s="176">
        <v>44594</v>
      </c>
      <c r="C22" s="15">
        <v>1.1599999999999999</v>
      </c>
      <c r="D22" s="15">
        <v>1.46</v>
      </c>
      <c r="F22" s="182" t="s">
        <v>58</v>
      </c>
      <c r="G22" s="182">
        <v>1091</v>
      </c>
      <c r="H22" s="182">
        <v>11641.213765842491</v>
      </c>
      <c r="I22" s="182"/>
      <c r="J22" s="182"/>
      <c r="K22" s="182"/>
    </row>
    <row r="23" spans="2:14" ht="15" customHeight="1" thickBot="1" x14ac:dyDescent="0.35">
      <c r="B23" s="176">
        <v>44595</v>
      </c>
      <c r="C23" s="15">
        <v>-1.24</v>
      </c>
      <c r="D23" s="15">
        <v>-0.49</v>
      </c>
    </row>
    <row r="24" spans="2:14" ht="14.5" x14ac:dyDescent="0.35">
      <c r="B24" s="176">
        <v>44596</v>
      </c>
      <c r="C24" s="15">
        <v>-0.25</v>
      </c>
      <c r="D24" s="15">
        <v>1.34</v>
      </c>
      <c r="F24" s="183"/>
      <c r="G24" s="183" t="s">
        <v>418</v>
      </c>
      <c r="H24" s="183" t="s">
        <v>408</v>
      </c>
      <c r="I24" s="183" t="s">
        <v>419</v>
      </c>
      <c r="J24" s="183" t="s">
        <v>420</v>
      </c>
      <c r="K24" s="183" t="s">
        <v>421</v>
      </c>
      <c r="L24" s="183" t="s">
        <v>422</v>
      </c>
      <c r="M24" s="183" t="s">
        <v>423</v>
      </c>
      <c r="N24" s="183" t="s">
        <v>424</v>
      </c>
    </row>
    <row r="25" spans="2:14" x14ac:dyDescent="0.3">
      <c r="B25" s="176">
        <v>44599</v>
      </c>
      <c r="C25" s="15">
        <v>-1.73</v>
      </c>
      <c r="D25" s="15">
        <v>-0.23</v>
      </c>
      <c r="F25" s="15" t="s">
        <v>425</v>
      </c>
      <c r="G25" s="15">
        <v>2.1789390948851461E-3</v>
      </c>
      <c r="H25" s="15">
        <v>9.1881866235156859E-2</v>
      </c>
      <c r="I25" s="15">
        <v>2.3714571592489232E-2</v>
      </c>
      <c r="J25" s="15">
        <v>0.98108462333748658</v>
      </c>
      <c r="K25" s="15">
        <v>-0.1781063993096933</v>
      </c>
      <c r="L25" s="15">
        <v>0.18246427749946359</v>
      </c>
      <c r="M25" s="15">
        <v>-0.1781063993096933</v>
      </c>
      <c r="N25" s="15">
        <v>0.18246427749946359</v>
      </c>
    </row>
    <row r="26" spans="2:14" ht="15" customHeight="1" thickBot="1" x14ac:dyDescent="0.35">
      <c r="B26" s="176">
        <v>44600</v>
      </c>
      <c r="C26" s="15">
        <v>0.31</v>
      </c>
      <c r="D26" s="15">
        <v>-2.97</v>
      </c>
      <c r="F26" s="182" t="s">
        <v>426</v>
      </c>
      <c r="G26" s="182">
        <v>1.382434629830479</v>
      </c>
      <c r="H26" s="182">
        <v>0.104740755403411</v>
      </c>
      <c r="I26" s="182">
        <v>13.198631463998961</v>
      </c>
      <c r="J26" s="182">
        <v>5.2259588412162826E-37</v>
      </c>
      <c r="K26" s="182">
        <v>1.176918315171321</v>
      </c>
      <c r="L26" s="182">
        <v>1.5879509444896369</v>
      </c>
      <c r="M26" s="182">
        <v>1.176918315171321</v>
      </c>
      <c r="N26" s="182">
        <v>1.5879509444896369</v>
      </c>
    </row>
    <row r="27" spans="2:14" x14ac:dyDescent="0.3">
      <c r="B27" s="176">
        <v>44601</v>
      </c>
      <c r="C27" s="15">
        <v>1.1399999999999999</v>
      </c>
      <c r="D27" s="15">
        <v>-0.67</v>
      </c>
    </row>
    <row r="28" spans="2:14" x14ac:dyDescent="0.3">
      <c r="B28" s="176">
        <v>44602</v>
      </c>
      <c r="C28" s="15">
        <v>0.81</v>
      </c>
      <c r="D28" s="15">
        <v>4.1500000000000004</v>
      </c>
    </row>
    <row r="29" spans="2:14" x14ac:dyDescent="0.3">
      <c r="B29" s="176">
        <v>44603</v>
      </c>
      <c r="C29" s="15">
        <v>-1.31</v>
      </c>
      <c r="D29" s="15">
        <v>-1</v>
      </c>
    </row>
    <row r="30" spans="2:14" x14ac:dyDescent="0.3">
      <c r="B30" s="176">
        <v>44606</v>
      </c>
      <c r="C30" s="15">
        <v>-3.06</v>
      </c>
      <c r="D30" s="15">
        <v>-5</v>
      </c>
    </row>
    <row r="31" spans="2:14" x14ac:dyDescent="0.3">
      <c r="B31" s="176">
        <v>44607</v>
      </c>
      <c r="C31" s="15">
        <v>3.03</v>
      </c>
      <c r="D31" s="15">
        <v>0.61</v>
      </c>
    </row>
    <row r="32" spans="2:14" x14ac:dyDescent="0.3">
      <c r="B32" s="176">
        <v>44608</v>
      </c>
      <c r="C32" s="15">
        <v>-0.17</v>
      </c>
      <c r="D32" s="15">
        <v>0.28999999999999998</v>
      </c>
    </row>
    <row r="33" spans="2:4" x14ac:dyDescent="0.3">
      <c r="B33" s="176">
        <v>44609</v>
      </c>
      <c r="C33" s="15">
        <v>-0.1</v>
      </c>
      <c r="D33" s="15">
        <v>4.57</v>
      </c>
    </row>
    <row r="34" spans="2:4" x14ac:dyDescent="0.3">
      <c r="B34" s="176">
        <v>44610</v>
      </c>
      <c r="C34" s="15">
        <v>-0.16</v>
      </c>
      <c r="D34" s="15">
        <v>-3.11</v>
      </c>
    </row>
    <row r="35" spans="2:4" x14ac:dyDescent="0.3">
      <c r="B35" s="176">
        <v>44613</v>
      </c>
      <c r="C35" s="15">
        <v>-0.4</v>
      </c>
      <c r="D35" s="15">
        <v>-3.18</v>
      </c>
    </row>
    <row r="36" spans="2:4" x14ac:dyDescent="0.3">
      <c r="B36" s="176">
        <v>44614</v>
      </c>
      <c r="C36" s="15">
        <v>-0.67</v>
      </c>
      <c r="D36" s="15">
        <v>3.86</v>
      </c>
    </row>
    <row r="37" spans="2:4" x14ac:dyDescent="0.3">
      <c r="B37" s="176">
        <v>44615</v>
      </c>
      <c r="C37" s="15">
        <v>-0.17</v>
      </c>
      <c r="D37" s="15">
        <v>4.62</v>
      </c>
    </row>
    <row r="38" spans="2:4" x14ac:dyDescent="0.3">
      <c r="B38" s="176">
        <v>44616</v>
      </c>
      <c r="C38" s="15">
        <v>-4.78</v>
      </c>
      <c r="D38" s="15">
        <v>-4.99</v>
      </c>
    </row>
    <row r="39" spans="2:4" x14ac:dyDescent="0.3">
      <c r="B39" s="176">
        <v>44617</v>
      </c>
      <c r="C39" s="15">
        <v>2.5299999999999998</v>
      </c>
      <c r="D39" s="15">
        <v>3.86</v>
      </c>
    </row>
    <row r="40" spans="2:4" x14ac:dyDescent="0.3">
      <c r="B40" s="176">
        <v>44620</v>
      </c>
      <c r="C40" s="15">
        <v>0.81</v>
      </c>
      <c r="D40" s="15">
        <v>5</v>
      </c>
    </row>
    <row r="41" spans="2:4" x14ac:dyDescent="0.3">
      <c r="B41" s="176">
        <v>44622</v>
      </c>
      <c r="C41" s="15">
        <v>-1.1200000000000001</v>
      </c>
      <c r="D41" s="15">
        <v>5</v>
      </c>
    </row>
    <row r="42" spans="2:4" x14ac:dyDescent="0.3">
      <c r="B42" s="176">
        <v>44623</v>
      </c>
      <c r="C42" s="15">
        <v>-0.65</v>
      </c>
      <c r="D42" s="15">
        <v>5</v>
      </c>
    </row>
    <row r="43" spans="2:4" x14ac:dyDescent="0.3">
      <c r="B43" s="176">
        <v>44624</v>
      </c>
      <c r="C43" s="15">
        <v>-1.53</v>
      </c>
      <c r="D43" s="15">
        <v>-1.27</v>
      </c>
    </row>
    <row r="44" spans="2:4" x14ac:dyDescent="0.3">
      <c r="B44" s="176">
        <v>44627</v>
      </c>
      <c r="C44" s="15">
        <v>-2.35</v>
      </c>
      <c r="D44" s="15">
        <v>-4.99</v>
      </c>
    </row>
    <row r="45" spans="2:4" x14ac:dyDescent="0.3">
      <c r="B45" s="176">
        <v>44628</v>
      </c>
      <c r="C45" s="15">
        <v>0.95</v>
      </c>
      <c r="D45" s="15">
        <v>0.44</v>
      </c>
    </row>
    <row r="46" spans="2:4" x14ac:dyDescent="0.3">
      <c r="B46" s="176">
        <v>44629</v>
      </c>
      <c r="C46" s="15">
        <v>2.0699999999999998</v>
      </c>
      <c r="D46" s="15">
        <v>-2.36</v>
      </c>
    </row>
    <row r="47" spans="2:4" x14ac:dyDescent="0.3">
      <c r="B47" s="176">
        <v>44630</v>
      </c>
      <c r="C47" s="15">
        <v>1.53</v>
      </c>
      <c r="D47" s="15">
        <v>4.99</v>
      </c>
    </row>
    <row r="48" spans="2:4" x14ac:dyDescent="0.3">
      <c r="B48" s="176">
        <v>44631</v>
      </c>
      <c r="C48" s="15">
        <v>0.21</v>
      </c>
      <c r="D48" s="15">
        <v>1.52</v>
      </c>
    </row>
    <row r="49" spans="2:4" x14ac:dyDescent="0.3">
      <c r="B49" s="176">
        <v>44634</v>
      </c>
      <c r="C49" s="15">
        <v>1.45</v>
      </c>
      <c r="D49" s="15">
        <v>-1.69</v>
      </c>
    </row>
    <row r="50" spans="2:4" x14ac:dyDescent="0.3">
      <c r="B50" s="176">
        <v>44635</v>
      </c>
      <c r="C50" s="15">
        <v>-1.23</v>
      </c>
      <c r="D50" s="15">
        <v>-2.2400000000000002</v>
      </c>
    </row>
    <row r="51" spans="2:4" x14ac:dyDescent="0.3">
      <c r="B51" s="176">
        <v>44636</v>
      </c>
      <c r="C51" s="15">
        <v>1.87</v>
      </c>
      <c r="D51" s="15">
        <v>3.96</v>
      </c>
    </row>
    <row r="52" spans="2:4" x14ac:dyDescent="0.3">
      <c r="B52" s="176">
        <v>44637</v>
      </c>
      <c r="C52" s="15">
        <v>1.84</v>
      </c>
      <c r="D52" s="15">
        <v>3.66</v>
      </c>
    </row>
    <row r="53" spans="2:4" x14ac:dyDescent="0.3">
      <c r="B53" s="176">
        <v>44641</v>
      </c>
      <c r="C53" s="15">
        <v>-0.98</v>
      </c>
      <c r="D53" s="15">
        <v>-4.22</v>
      </c>
    </row>
    <row r="54" spans="2:4" x14ac:dyDescent="0.3">
      <c r="B54" s="176">
        <v>44642</v>
      </c>
      <c r="C54" s="15">
        <v>1.1599999999999999</v>
      </c>
      <c r="D54" s="15">
        <v>2.14</v>
      </c>
    </row>
    <row r="55" spans="2:4" x14ac:dyDescent="0.3">
      <c r="B55" s="176">
        <v>44643</v>
      </c>
      <c r="C55" s="15">
        <v>-0.4</v>
      </c>
      <c r="D55" s="15">
        <v>2.94</v>
      </c>
    </row>
    <row r="56" spans="2:4" x14ac:dyDescent="0.3">
      <c r="B56" s="176">
        <v>44644</v>
      </c>
      <c r="C56" s="15">
        <v>-0.13</v>
      </c>
      <c r="D56" s="15">
        <v>0.32</v>
      </c>
    </row>
    <row r="57" spans="2:4" x14ac:dyDescent="0.3">
      <c r="B57" s="176">
        <v>44645</v>
      </c>
      <c r="C57" s="15">
        <v>-0.4</v>
      </c>
      <c r="D57" s="15">
        <v>1.42</v>
      </c>
    </row>
    <row r="58" spans="2:4" x14ac:dyDescent="0.3">
      <c r="B58" s="176">
        <v>44648</v>
      </c>
      <c r="C58" s="15">
        <v>0.4</v>
      </c>
      <c r="D58" s="15">
        <v>-0.4</v>
      </c>
    </row>
    <row r="59" spans="2:4" x14ac:dyDescent="0.3">
      <c r="B59" s="176">
        <v>44649</v>
      </c>
      <c r="C59" s="15">
        <v>0.6</v>
      </c>
      <c r="D59" s="15">
        <v>0.92</v>
      </c>
    </row>
    <row r="60" spans="2:4" x14ac:dyDescent="0.3">
      <c r="B60" s="176">
        <v>44650</v>
      </c>
      <c r="C60" s="15">
        <v>1</v>
      </c>
      <c r="D60" s="15">
        <v>-3.42</v>
      </c>
    </row>
    <row r="61" spans="2:4" x14ac:dyDescent="0.3">
      <c r="B61" s="176">
        <v>44651</v>
      </c>
      <c r="C61" s="15">
        <v>-0.19</v>
      </c>
      <c r="D61" s="15">
        <v>-0.39</v>
      </c>
    </row>
    <row r="62" spans="2:4" x14ac:dyDescent="0.3">
      <c r="B62" s="176">
        <v>44652</v>
      </c>
      <c r="C62" s="15">
        <v>1.18</v>
      </c>
      <c r="D62" s="15">
        <v>2.25</v>
      </c>
    </row>
    <row r="63" spans="2:4" x14ac:dyDescent="0.3">
      <c r="B63" s="176">
        <v>44655</v>
      </c>
      <c r="C63" s="15">
        <v>2.17</v>
      </c>
      <c r="D63" s="15">
        <v>1.32</v>
      </c>
    </row>
    <row r="64" spans="2:4" x14ac:dyDescent="0.3">
      <c r="B64" s="176">
        <v>44656</v>
      </c>
      <c r="C64" s="15">
        <v>-0.53</v>
      </c>
      <c r="D64" s="15">
        <v>-0.39</v>
      </c>
    </row>
    <row r="65" spans="2:4" x14ac:dyDescent="0.3">
      <c r="B65" s="176">
        <v>44657</v>
      </c>
      <c r="C65" s="15">
        <v>-0.83</v>
      </c>
      <c r="D65" s="15">
        <v>1.64</v>
      </c>
    </row>
    <row r="66" spans="2:4" x14ac:dyDescent="0.3">
      <c r="B66" s="176">
        <v>44658</v>
      </c>
      <c r="C66" s="15">
        <v>-0.94</v>
      </c>
      <c r="D66" s="15">
        <v>-1.38</v>
      </c>
    </row>
    <row r="67" spans="2:4" x14ac:dyDescent="0.3">
      <c r="B67" s="176">
        <v>44659</v>
      </c>
      <c r="C67" s="15">
        <v>0.82</v>
      </c>
      <c r="D67" s="15">
        <v>3.7</v>
      </c>
    </row>
    <row r="68" spans="2:4" x14ac:dyDescent="0.3">
      <c r="B68" s="176">
        <v>44662</v>
      </c>
      <c r="C68" s="15">
        <v>-0.62</v>
      </c>
      <c r="D68" s="15">
        <v>8.51</v>
      </c>
    </row>
    <row r="69" spans="2:4" x14ac:dyDescent="0.3">
      <c r="B69" s="176">
        <v>44663</v>
      </c>
      <c r="C69" s="15">
        <v>-0.82</v>
      </c>
      <c r="D69" s="15">
        <v>-2.76</v>
      </c>
    </row>
    <row r="70" spans="2:4" x14ac:dyDescent="0.3">
      <c r="B70" s="176">
        <v>44664</v>
      </c>
      <c r="C70" s="15">
        <v>-0.31</v>
      </c>
      <c r="D70" s="15">
        <v>0.38</v>
      </c>
    </row>
    <row r="71" spans="2:4" x14ac:dyDescent="0.3">
      <c r="B71" s="176">
        <v>44669</v>
      </c>
      <c r="C71" s="15">
        <v>-1.73</v>
      </c>
      <c r="D71" s="15">
        <v>1.4</v>
      </c>
    </row>
    <row r="72" spans="2:4" x14ac:dyDescent="0.3">
      <c r="B72" s="176">
        <v>44670</v>
      </c>
      <c r="C72" s="15">
        <v>-1.25</v>
      </c>
      <c r="D72" s="15">
        <v>-4.7699999999999996</v>
      </c>
    </row>
    <row r="73" spans="2:4" x14ac:dyDescent="0.3">
      <c r="B73" s="176">
        <v>44671</v>
      </c>
      <c r="C73" s="15">
        <v>1.05</v>
      </c>
      <c r="D73" s="15">
        <v>3.44</v>
      </c>
    </row>
    <row r="74" spans="2:4" x14ac:dyDescent="0.3">
      <c r="B74" s="176">
        <v>44672</v>
      </c>
      <c r="C74" s="15">
        <v>1.49</v>
      </c>
      <c r="D74" s="15">
        <v>0.45</v>
      </c>
    </row>
    <row r="75" spans="2:4" x14ac:dyDescent="0.3">
      <c r="B75" s="176">
        <v>44673</v>
      </c>
      <c r="C75" s="15">
        <v>-1.27</v>
      </c>
      <c r="D75" s="15">
        <v>-1.52</v>
      </c>
    </row>
    <row r="76" spans="2:4" x14ac:dyDescent="0.3">
      <c r="B76" s="176">
        <v>44676</v>
      </c>
      <c r="C76" s="15">
        <v>-1.27</v>
      </c>
      <c r="D76" s="15">
        <v>-1.6</v>
      </c>
    </row>
    <row r="77" spans="2:4" x14ac:dyDescent="0.3">
      <c r="B77" s="176">
        <v>44677</v>
      </c>
      <c r="C77" s="15">
        <v>1.46</v>
      </c>
      <c r="D77" s="15">
        <v>7.52</v>
      </c>
    </row>
    <row r="78" spans="2:4" x14ac:dyDescent="0.3">
      <c r="B78" s="176">
        <v>44678</v>
      </c>
      <c r="C78" s="15">
        <v>-0.94</v>
      </c>
      <c r="D78" s="15">
        <v>-3.57</v>
      </c>
    </row>
    <row r="79" spans="2:4" x14ac:dyDescent="0.3">
      <c r="B79" s="176">
        <v>44679</v>
      </c>
      <c r="C79" s="15">
        <v>1.21</v>
      </c>
      <c r="D79" s="15">
        <v>3.11</v>
      </c>
    </row>
    <row r="80" spans="2:4" x14ac:dyDescent="0.3">
      <c r="B80" s="176">
        <v>44680</v>
      </c>
      <c r="C80" s="15">
        <v>-0.83</v>
      </c>
      <c r="D80" s="15">
        <v>-0.26</v>
      </c>
    </row>
    <row r="81" spans="2:4" x14ac:dyDescent="0.3">
      <c r="B81" s="176">
        <v>44683</v>
      </c>
      <c r="C81" s="15">
        <v>-0.2</v>
      </c>
      <c r="D81" s="15">
        <v>0.54</v>
      </c>
    </row>
    <row r="82" spans="2:4" x14ac:dyDescent="0.3">
      <c r="B82" s="176">
        <v>44685</v>
      </c>
      <c r="C82" s="15">
        <v>-2.29</v>
      </c>
      <c r="D82" s="15">
        <v>-0.75</v>
      </c>
    </row>
    <row r="83" spans="2:4" x14ac:dyDescent="0.3">
      <c r="B83" s="176">
        <v>44686</v>
      </c>
      <c r="C83" s="15">
        <v>0.03</v>
      </c>
      <c r="D83" s="15">
        <v>0.66</v>
      </c>
    </row>
    <row r="84" spans="2:4" x14ac:dyDescent="0.3">
      <c r="B84" s="176">
        <v>44687</v>
      </c>
      <c r="C84" s="15">
        <v>-1.63</v>
      </c>
      <c r="D84" s="15">
        <v>0.53</v>
      </c>
    </row>
    <row r="85" spans="2:4" x14ac:dyDescent="0.3">
      <c r="B85" s="176">
        <v>44690</v>
      </c>
      <c r="C85" s="15">
        <v>-0.67</v>
      </c>
      <c r="D85" s="15">
        <v>-4.01</v>
      </c>
    </row>
    <row r="86" spans="2:4" x14ac:dyDescent="0.3">
      <c r="B86" s="176">
        <v>44691</v>
      </c>
      <c r="C86" s="15">
        <v>-0.38</v>
      </c>
      <c r="D86" s="15">
        <v>-8.17</v>
      </c>
    </row>
    <row r="87" spans="2:4" x14ac:dyDescent="0.3">
      <c r="B87" s="176">
        <v>44692</v>
      </c>
      <c r="C87" s="15">
        <v>-0.45</v>
      </c>
      <c r="D87" s="15">
        <v>-7.51</v>
      </c>
    </row>
    <row r="88" spans="2:4" x14ac:dyDescent="0.3">
      <c r="B88" s="176">
        <v>44693</v>
      </c>
      <c r="C88" s="15">
        <v>-2.2200000000000002</v>
      </c>
      <c r="D88" s="15">
        <v>-4.75</v>
      </c>
    </row>
    <row r="89" spans="2:4" x14ac:dyDescent="0.3">
      <c r="B89" s="176">
        <v>44694</v>
      </c>
      <c r="C89" s="15">
        <v>-0.16</v>
      </c>
      <c r="D89" s="15">
        <v>0.16</v>
      </c>
    </row>
    <row r="90" spans="2:4" x14ac:dyDescent="0.3">
      <c r="B90" s="176">
        <v>44697</v>
      </c>
      <c r="C90" s="15">
        <v>0.38</v>
      </c>
      <c r="D90" s="15">
        <v>2.71</v>
      </c>
    </row>
    <row r="91" spans="2:4" x14ac:dyDescent="0.3">
      <c r="B91" s="176">
        <v>44698</v>
      </c>
      <c r="C91" s="15">
        <v>2.63</v>
      </c>
      <c r="D91" s="15">
        <v>3.71</v>
      </c>
    </row>
    <row r="92" spans="2:4" x14ac:dyDescent="0.3">
      <c r="B92" s="176">
        <v>44699</v>
      </c>
      <c r="C92" s="15">
        <v>-0.12</v>
      </c>
      <c r="D92" s="15">
        <v>-0.75</v>
      </c>
    </row>
    <row r="93" spans="2:4" x14ac:dyDescent="0.3">
      <c r="B93" s="176">
        <v>44700</v>
      </c>
      <c r="C93" s="15">
        <v>-2.65</v>
      </c>
      <c r="D93" s="15">
        <v>-2.2000000000000002</v>
      </c>
    </row>
    <row r="94" spans="2:4" x14ac:dyDescent="0.3">
      <c r="B94" s="176">
        <v>44701</v>
      </c>
      <c r="C94" s="15">
        <v>2.89</v>
      </c>
      <c r="D94" s="15">
        <v>2.0299999999999998</v>
      </c>
    </row>
    <row r="95" spans="2:4" x14ac:dyDescent="0.3">
      <c r="B95" s="176">
        <v>44704</v>
      </c>
      <c r="C95" s="15">
        <v>-0.32</v>
      </c>
      <c r="D95" s="15">
        <v>-4.84</v>
      </c>
    </row>
    <row r="96" spans="2:4" x14ac:dyDescent="0.3">
      <c r="B96" s="176">
        <v>44705</v>
      </c>
      <c r="C96" s="15">
        <v>-0.55000000000000004</v>
      </c>
      <c r="D96" s="15">
        <v>-0.12</v>
      </c>
    </row>
    <row r="97" spans="2:4" x14ac:dyDescent="0.3">
      <c r="B97" s="176">
        <v>44706</v>
      </c>
      <c r="C97" s="15">
        <v>-0.62</v>
      </c>
      <c r="D97" s="15">
        <v>-4.9400000000000004</v>
      </c>
    </row>
    <row r="98" spans="2:4" x14ac:dyDescent="0.3">
      <c r="B98" s="176">
        <v>44707</v>
      </c>
      <c r="C98" s="15">
        <v>0.9</v>
      </c>
      <c r="D98" s="15">
        <v>2.88</v>
      </c>
    </row>
    <row r="99" spans="2:4" x14ac:dyDescent="0.3">
      <c r="B99" s="176">
        <v>44708</v>
      </c>
      <c r="C99" s="15">
        <v>1.1299999999999999</v>
      </c>
      <c r="D99" s="15">
        <v>1.78</v>
      </c>
    </row>
    <row r="100" spans="2:4" x14ac:dyDescent="0.3">
      <c r="B100" s="176">
        <v>44711</v>
      </c>
      <c r="C100" s="15">
        <v>1.89</v>
      </c>
      <c r="D100" s="15">
        <v>-1.1100000000000001</v>
      </c>
    </row>
    <row r="101" spans="2:4" x14ac:dyDescent="0.3">
      <c r="B101" s="176">
        <v>44712</v>
      </c>
      <c r="C101" s="15">
        <v>-0.46</v>
      </c>
      <c r="D101" s="15">
        <v>-4.95</v>
      </c>
    </row>
    <row r="102" spans="2:4" x14ac:dyDescent="0.3">
      <c r="B102" s="176">
        <v>44713</v>
      </c>
      <c r="C102" s="15">
        <v>-0.37</v>
      </c>
      <c r="D102" s="15">
        <v>-4.7300000000000004</v>
      </c>
    </row>
    <row r="103" spans="2:4" x14ac:dyDescent="0.3">
      <c r="B103" s="176">
        <v>44714</v>
      </c>
      <c r="C103" s="15">
        <v>0.64</v>
      </c>
      <c r="D103" s="15">
        <v>3.46</v>
      </c>
    </row>
    <row r="104" spans="2:4" x14ac:dyDescent="0.3">
      <c r="B104" s="176">
        <v>44715</v>
      </c>
      <c r="C104" s="15">
        <v>-0.26</v>
      </c>
      <c r="D104" s="15">
        <v>-3.44</v>
      </c>
    </row>
    <row r="105" spans="2:4" x14ac:dyDescent="0.3">
      <c r="B105" s="176">
        <v>44718</v>
      </c>
      <c r="C105" s="15">
        <v>-0.09</v>
      </c>
      <c r="D105" s="15">
        <v>3.12</v>
      </c>
    </row>
    <row r="106" spans="2:4" x14ac:dyDescent="0.3">
      <c r="B106" s="176">
        <v>44719</v>
      </c>
      <c r="C106" s="15">
        <v>-0.92</v>
      </c>
      <c r="D106" s="15">
        <v>1.43</v>
      </c>
    </row>
    <row r="107" spans="2:4" x14ac:dyDescent="0.3">
      <c r="B107" s="176">
        <v>44720</v>
      </c>
      <c r="C107" s="15">
        <v>-0.37</v>
      </c>
      <c r="D107" s="15">
        <v>2.2400000000000002</v>
      </c>
    </row>
    <row r="108" spans="2:4" x14ac:dyDescent="0.3">
      <c r="B108" s="176">
        <v>44721</v>
      </c>
      <c r="C108" s="15">
        <v>0.74</v>
      </c>
      <c r="D108" s="15">
        <v>1.18</v>
      </c>
    </row>
    <row r="109" spans="2:4" x14ac:dyDescent="0.3">
      <c r="B109" s="176">
        <v>44722</v>
      </c>
      <c r="C109" s="15">
        <v>-1.68</v>
      </c>
      <c r="D109" s="15">
        <v>-3.05</v>
      </c>
    </row>
    <row r="110" spans="2:4" x14ac:dyDescent="0.3">
      <c r="B110" s="176">
        <v>44725</v>
      </c>
      <c r="C110" s="15">
        <v>-2.64</v>
      </c>
      <c r="D110" s="15">
        <v>0</v>
      </c>
    </row>
    <row r="111" spans="2:4" x14ac:dyDescent="0.3">
      <c r="B111" s="176">
        <v>44726</v>
      </c>
      <c r="C111" s="15">
        <v>-0.27</v>
      </c>
      <c r="D111" s="15">
        <v>0.27</v>
      </c>
    </row>
    <row r="112" spans="2:4" x14ac:dyDescent="0.3">
      <c r="B112" s="176">
        <v>44727</v>
      </c>
      <c r="C112" s="15">
        <v>-0.25</v>
      </c>
      <c r="D112" s="15">
        <v>-0.01</v>
      </c>
    </row>
    <row r="113" spans="2:4" x14ac:dyDescent="0.3">
      <c r="B113" s="176">
        <v>44728</v>
      </c>
      <c r="C113" s="15">
        <v>-2.11</v>
      </c>
      <c r="D113" s="15">
        <v>3.27</v>
      </c>
    </row>
    <row r="114" spans="2:4" x14ac:dyDescent="0.3">
      <c r="B114" s="176">
        <v>44729</v>
      </c>
      <c r="C114" s="15">
        <v>-0.44</v>
      </c>
      <c r="D114" s="15">
        <v>-4.33</v>
      </c>
    </row>
    <row r="115" spans="2:4" x14ac:dyDescent="0.3">
      <c r="B115" s="176">
        <v>44732</v>
      </c>
      <c r="C115" s="15">
        <v>0.37</v>
      </c>
      <c r="D115" s="15">
        <v>1.36</v>
      </c>
    </row>
    <row r="116" spans="2:4" x14ac:dyDescent="0.3">
      <c r="B116" s="176">
        <v>44733</v>
      </c>
      <c r="C116" s="15">
        <v>1.88</v>
      </c>
      <c r="D116" s="15">
        <v>7.51</v>
      </c>
    </row>
    <row r="117" spans="2:4" x14ac:dyDescent="0.3">
      <c r="B117" s="176">
        <v>44734</v>
      </c>
      <c r="C117" s="15">
        <v>-1.44</v>
      </c>
      <c r="D117" s="15">
        <v>-4.1900000000000004</v>
      </c>
    </row>
    <row r="118" spans="2:4" x14ac:dyDescent="0.3">
      <c r="B118" s="176">
        <v>44735</v>
      </c>
      <c r="C118" s="15">
        <v>0.93</v>
      </c>
      <c r="D118" s="15">
        <v>-0.82</v>
      </c>
    </row>
    <row r="119" spans="2:4" x14ac:dyDescent="0.3">
      <c r="B119" s="176">
        <v>44736</v>
      </c>
      <c r="C119" s="15">
        <v>0.92</v>
      </c>
      <c r="D119" s="15">
        <v>2.2400000000000002</v>
      </c>
    </row>
    <row r="120" spans="2:4" x14ac:dyDescent="0.3">
      <c r="B120" s="176">
        <v>44739</v>
      </c>
      <c r="C120" s="15">
        <v>0.85</v>
      </c>
      <c r="D120" s="15">
        <v>-0.54</v>
      </c>
    </row>
    <row r="121" spans="2:4" x14ac:dyDescent="0.3">
      <c r="B121" s="176">
        <v>44740</v>
      </c>
      <c r="C121" s="15">
        <v>0.11</v>
      </c>
      <c r="D121" s="15">
        <v>1.07</v>
      </c>
    </row>
    <row r="122" spans="2:4" x14ac:dyDescent="0.3">
      <c r="B122" s="176">
        <v>44741</v>
      </c>
      <c r="C122" s="15">
        <v>-0.32</v>
      </c>
      <c r="D122" s="15">
        <v>8.5299999999999994</v>
      </c>
    </row>
    <row r="123" spans="2:4" x14ac:dyDescent="0.3">
      <c r="B123" s="176">
        <v>44742</v>
      </c>
      <c r="C123" s="15">
        <v>-0.12</v>
      </c>
      <c r="D123" s="15">
        <v>5.36</v>
      </c>
    </row>
    <row r="124" spans="2:4" x14ac:dyDescent="0.3">
      <c r="B124" s="176">
        <v>44743</v>
      </c>
      <c r="C124" s="15">
        <v>-0.18</v>
      </c>
      <c r="D124" s="15">
        <v>-2.95</v>
      </c>
    </row>
    <row r="125" spans="2:4" x14ac:dyDescent="0.3">
      <c r="B125" s="176">
        <v>44746</v>
      </c>
      <c r="C125" s="15">
        <v>0.53</v>
      </c>
      <c r="D125" s="15">
        <v>0.94</v>
      </c>
    </row>
    <row r="126" spans="2:4" x14ac:dyDescent="0.3">
      <c r="B126" s="176">
        <v>44747</v>
      </c>
      <c r="C126" s="15">
        <v>-0.15</v>
      </c>
      <c r="D126" s="15">
        <v>2.2000000000000002</v>
      </c>
    </row>
    <row r="127" spans="2:4" x14ac:dyDescent="0.3">
      <c r="B127" s="176">
        <v>44748</v>
      </c>
      <c r="C127" s="15">
        <v>1.1299999999999999</v>
      </c>
      <c r="D127" s="15">
        <v>1.43</v>
      </c>
    </row>
    <row r="128" spans="2:4" x14ac:dyDescent="0.3">
      <c r="B128" s="176">
        <v>44749</v>
      </c>
      <c r="C128" s="15">
        <v>0.89</v>
      </c>
      <c r="D128" s="15">
        <v>-1.81</v>
      </c>
    </row>
    <row r="129" spans="2:4" x14ac:dyDescent="0.3">
      <c r="B129" s="176">
        <v>44750</v>
      </c>
      <c r="C129" s="15">
        <v>0.54</v>
      </c>
      <c r="D129" s="15">
        <v>3.24</v>
      </c>
    </row>
    <row r="130" spans="2:4" x14ac:dyDescent="0.3">
      <c r="B130" s="176">
        <v>44753</v>
      </c>
      <c r="C130" s="15">
        <v>-0.03</v>
      </c>
      <c r="D130" s="15">
        <v>5.7</v>
      </c>
    </row>
    <row r="131" spans="2:4" x14ac:dyDescent="0.3">
      <c r="B131" s="176">
        <v>44754</v>
      </c>
      <c r="C131" s="15">
        <v>-0.97</v>
      </c>
      <c r="D131" s="15">
        <v>2.19</v>
      </c>
    </row>
    <row r="132" spans="2:4" x14ac:dyDescent="0.3">
      <c r="B132" s="176">
        <v>44755</v>
      </c>
      <c r="C132" s="15">
        <v>-0.56999999999999995</v>
      </c>
      <c r="D132" s="15">
        <v>-0.69</v>
      </c>
    </row>
    <row r="133" spans="2:4" x14ac:dyDescent="0.3">
      <c r="B133" s="176">
        <v>44756</v>
      </c>
      <c r="C133" s="15">
        <v>-0.18</v>
      </c>
      <c r="D133" s="15">
        <v>5.8</v>
      </c>
    </row>
    <row r="134" spans="2:4" x14ac:dyDescent="0.3">
      <c r="B134" s="176">
        <v>44757</v>
      </c>
      <c r="C134" s="15">
        <v>0.69</v>
      </c>
      <c r="D134" s="15">
        <v>0.01</v>
      </c>
    </row>
    <row r="135" spans="2:4" x14ac:dyDescent="0.3">
      <c r="B135" s="176">
        <v>44760</v>
      </c>
      <c r="C135" s="15">
        <v>1.43</v>
      </c>
      <c r="D135" s="15">
        <v>3.15</v>
      </c>
    </row>
    <row r="136" spans="2:4" x14ac:dyDescent="0.3">
      <c r="B136" s="176">
        <v>44761</v>
      </c>
      <c r="C136" s="15">
        <v>0.38</v>
      </c>
      <c r="D136" s="15">
        <v>1.65</v>
      </c>
    </row>
    <row r="137" spans="2:4" x14ac:dyDescent="0.3">
      <c r="B137" s="176">
        <v>44762</v>
      </c>
      <c r="C137" s="15">
        <v>1.1000000000000001</v>
      </c>
      <c r="D137" s="15">
        <v>-0.36</v>
      </c>
    </row>
    <row r="138" spans="2:4" x14ac:dyDescent="0.3">
      <c r="B138" s="176">
        <v>44763</v>
      </c>
      <c r="C138" s="15">
        <v>0.51</v>
      </c>
      <c r="D138" s="15">
        <v>0.83</v>
      </c>
    </row>
    <row r="139" spans="2:4" x14ac:dyDescent="0.3">
      <c r="B139" s="176">
        <v>44764</v>
      </c>
      <c r="C139" s="15">
        <v>0.69</v>
      </c>
      <c r="D139" s="15">
        <v>-2.1800000000000002</v>
      </c>
    </row>
    <row r="140" spans="2:4" x14ac:dyDescent="0.3">
      <c r="B140" s="176">
        <v>44767</v>
      </c>
      <c r="C140" s="15">
        <v>-0.53</v>
      </c>
      <c r="D140" s="15">
        <v>-0.26</v>
      </c>
    </row>
    <row r="141" spans="2:4" x14ac:dyDescent="0.3">
      <c r="B141" s="176">
        <v>44768</v>
      </c>
      <c r="C141" s="15">
        <v>-0.88</v>
      </c>
      <c r="D141" s="15">
        <v>0.81</v>
      </c>
    </row>
    <row r="142" spans="2:4" x14ac:dyDescent="0.3">
      <c r="B142" s="176">
        <v>44769</v>
      </c>
      <c r="C142" s="15">
        <v>0.96</v>
      </c>
      <c r="D142" s="15">
        <v>0.08</v>
      </c>
    </row>
    <row r="143" spans="2:4" x14ac:dyDescent="0.3">
      <c r="B143" s="176">
        <v>44770</v>
      </c>
      <c r="C143" s="15">
        <v>1.73</v>
      </c>
      <c r="D143" s="15">
        <v>0.55000000000000004</v>
      </c>
    </row>
    <row r="144" spans="2:4" x14ac:dyDescent="0.3">
      <c r="B144" s="176">
        <v>44771</v>
      </c>
      <c r="C144" s="15">
        <v>1.35</v>
      </c>
      <c r="D144" s="15">
        <v>3.22</v>
      </c>
    </row>
    <row r="145" spans="2:4" x14ac:dyDescent="0.3">
      <c r="B145" s="176">
        <v>44774</v>
      </c>
      <c r="C145" s="15">
        <v>1.06</v>
      </c>
      <c r="D145" s="15">
        <v>4.8899999999999997</v>
      </c>
    </row>
    <row r="146" spans="2:4" x14ac:dyDescent="0.3">
      <c r="B146" s="176">
        <v>44775</v>
      </c>
      <c r="C146" s="15">
        <v>0.03</v>
      </c>
      <c r="D146" s="15">
        <v>4.9000000000000004</v>
      </c>
    </row>
    <row r="147" spans="2:4" x14ac:dyDescent="0.3">
      <c r="B147" s="176">
        <v>44776</v>
      </c>
      <c r="C147" s="15">
        <v>0.25</v>
      </c>
      <c r="D147" s="15">
        <v>2.4500000000000002</v>
      </c>
    </row>
    <row r="148" spans="2:4" x14ac:dyDescent="0.3">
      <c r="B148" s="176">
        <v>44777</v>
      </c>
      <c r="C148" s="15">
        <v>-0.04</v>
      </c>
      <c r="D148" s="15">
        <v>0.72</v>
      </c>
    </row>
    <row r="149" spans="2:4" x14ac:dyDescent="0.3">
      <c r="B149" s="176">
        <v>44778</v>
      </c>
      <c r="C149" s="15">
        <v>0.09</v>
      </c>
      <c r="D149" s="15">
        <v>-6.14</v>
      </c>
    </row>
    <row r="150" spans="2:4" x14ac:dyDescent="0.3">
      <c r="B150" s="176">
        <v>44781</v>
      </c>
      <c r="C150" s="15">
        <v>0.73</v>
      </c>
      <c r="D150" s="15">
        <v>4.04</v>
      </c>
    </row>
    <row r="151" spans="2:4" x14ac:dyDescent="0.3">
      <c r="B151" s="176">
        <v>44783</v>
      </c>
      <c r="C151" s="15">
        <v>0.06</v>
      </c>
      <c r="D151" s="15">
        <v>-0.32</v>
      </c>
    </row>
    <row r="152" spans="2:4" x14ac:dyDescent="0.3">
      <c r="B152" s="176">
        <v>44784</v>
      </c>
      <c r="C152" s="15">
        <v>0.71</v>
      </c>
      <c r="D152" s="15">
        <v>1.68</v>
      </c>
    </row>
    <row r="153" spans="2:4" x14ac:dyDescent="0.3">
      <c r="B153" s="176">
        <v>44785</v>
      </c>
      <c r="C153" s="15">
        <v>0.22</v>
      </c>
      <c r="D153" s="15">
        <v>1.19</v>
      </c>
    </row>
    <row r="154" spans="2:4" x14ac:dyDescent="0.3">
      <c r="B154" s="176">
        <v>44789</v>
      </c>
      <c r="C154" s="15">
        <v>0.72</v>
      </c>
      <c r="D154" s="15">
        <v>1.3</v>
      </c>
    </row>
    <row r="155" spans="2:4" x14ac:dyDescent="0.3">
      <c r="B155" s="176">
        <v>44790</v>
      </c>
      <c r="C155" s="15">
        <v>0.67</v>
      </c>
      <c r="D155" s="15">
        <v>0.45</v>
      </c>
    </row>
    <row r="156" spans="2:4" x14ac:dyDescent="0.3">
      <c r="B156" s="176">
        <v>44791</v>
      </c>
      <c r="C156" s="15">
        <v>7.0000000000000007E-2</v>
      </c>
      <c r="D156" s="15">
        <v>0.05</v>
      </c>
    </row>
    <row r="157" spans="2:4" x14ac:dyDescent="0.3">
      <c r="B157" s="176">
        <v>44792</v>
      </c>
      <c r="C157" s="15">
        <v>-1.1000000000000001</v>
      </c>
      <c r="D157" s="15">
        <v>0.99</v>
      </c>
    </row>
    <row r="158" spans="2:4" x14ac:dyDescent="0.3">
      <c r="B158" s="176">
        <v>44795</v>
      </c>
      <c r="C158" s="15">
        <v>-1.51</v>
      </c>
      <c r="D158" s="15">
        <v>-4.09</v>
      </c>
    </row>
    <row r="159" spans="2:4" x14ac:dyDescent="0.3">
      <c r="B159" s="176">
        <v>44796</v>
      </c>
      <c r="C159" s="15">
        <v>0.5</v>
      </c>
      <c r="D159" s="15">
        <v>3.31</v>
      </c>
    </row>
    <row r="160" spans="2:4" x14ac:dyDescent="0.3">
      <c r="B160" s="176">
        <v>44797</v>
      </c>
      <c r="C160" s="15">
        <v>0.16</v>
      </c>
      <c r="D160" s="15">
        <v>2.73</v>
      </c>
    </row>
    <row r="161" spans="2:4" x14ac:dyDescent="0.3">
      <c r="B161" s="176">
        <v>44798</v>
      </c>
      <c r="C161" s="15">
        <v>-0.47</v>
      </c>
      <c r="D161" s="15">
        <v>0.42</v>
      </c>
    </row>
    <row r="162" spans="2:4" x14ac:dyDescent="0.3">
      <c r="B162" s="176">
        <v>44799</v>
      </c>
      <c r="C162" s="15">
        <v>0.21</v>
      </c>
      <c r="D162" s="15">
        <v>0.95</v>
      </c>
    </row>
    <row r="163" spans="2:4" x14ac:dyDescent="0.3">
      <c r="B163" s="176">
        <v>44802</v>
      </c>
      <c r="C163" s="15">
        <v>-1.4</v>
      </c>
      <c r="D163" s="15">
        <v>2.78</v>
      </c>
    </row>
    <row r="164" spans="2:4" x14ac:dyDescent="0.3">
      <c r="B164" s="176">
        <v>44803</v>
      </c>
      <c r="C164" s="15">
        <v>2.58</v>
      </c>
      <c r="D164" s="15">
        <v>2.73</v>
      </c>
    </row>
    <row r="165" spans="2:4" x14ac:dyDescent="0.3">
      <c r="B165" s="176">
        <v>44805</v>
      </c>
      <c r="C165" s="15">
        <v>-1.22</v>
      </c>
      <c r="D165" s="15">
        <v>-2.0299999999999998</v>
      </c>
    </row>
    <row r="166" spans="2:4" x14ac:dyDescent="0.3">
      <c r="B166" s="176">
        <v>44806</v>
      </c>
      <c r="C166" s="15">
        <v>-0.02</v>
      </c>
      <c r="D166" s="15">
        <v>-0.36</v>
      </c>
    </row>
    <row r="167" spans="2:4" x14ac:dyDescent="0.3">
      <c r="B167" s="176">
        <v>44809</v>
      </c>
      <c r="C167" s="15">
        <v>0.72</v>
      </c>
      <c r="D167" s="15">
        <v>0.38</v>
      </c>
    </row>
    <row r="168" spans="2:4" x14ac:dyDescent="0.3">
      <c r="B168" s="176">
        <v>44810</v>
      </c>
      <c r="C168" s="15">
        <v>-0.06</v>
      </c>
      <c r="D168" s="15">
        <v>2.13</v>
      </c>
    </row>
    <row r="169" spans="2:4" x14ac:dyDescent="0.3">
      <c r="B169" s="176">
        <v>44811</v>
      </c>
      <c r="C169" s="15">
        <v>-0.18</v>
      </c>
      <c r="D169" s="15">
        <v>-1.79</v>
      </c>
    </row>
    <row r="170" spans="2:4" x14ac:dyDescent="0.3">
      <c r="B170" s="176">
        <v>44812</v>
      </c>
      <c r="C170" s="15">
        <v>0.99</v>
      </c>
      <c r="D170" s="15">
        <v>0.84</v>
      </c>
    </row>
    <row r="171" spans="2:4" x14ac:dyDescent="0.3">
      <c r="B171" s="176">
        <v>44813</v>
      </c>
      <c r="C171" s="15">
        <v>0.19</v>
      </c>
      <c r="D171" s="15">
        <v>0.13</v>
      </c>
    </row>
    <row r="172" spans="2:4" x14ac:dyDescent="0.3">
      <c r="B172" s="176">
        <v>44816</v>
      </c>
      <c r="C172" s="15">
        <v>0.57999999999999996</v>
      </c>
      <c r="D172" s="15">
        <v>1.91</v>
      </c>
    </row>
    <row r="173" spans="2:4" x14ac:dyDescent="0.3">
      <c r="B173" s="176">
        <v>44817</v>
      </c>
      <c r="C173" s="15">
        <v>0.75</v>
      </c>
      <c r="D173" s="15">
        <v>0.78</v>
      </c>
    </row>
    <row r="174" spans="2:4" x14ac:dyDescent="0.3">
      <c r="B174" s="176">
        <v>44818</v>
      </c>
      <c r="C174" s="15">
        <v>-0.37</v>
      </c>
      <c r="D174" s="15">
        <v>-1.46</v>
      </c>
    </row>
    <row r="175" spans="2:4" x14ac:dyDescent="0.3">
      <c r="B175" s="176">
        <v>44819</v>
      </c>
      <c r="C175" s="15">
        <v>-0.7</v>
      </c>
      <c r="D175" s="15">
        <v>3.2</v>
      </c>
    </row>
    <row r="176" spans="2:4" x14ac:dyDescent="0.3">
      <c r="B176" s="176">
        <v>44820</v>
      </c>
      <c r="C176" s="15">
        <v>-1.94</v>
      </c>
      <c r="D176" s="15">
        <v>-0.26</v>
      </c>
    </row>
    <row r="177" spans="2:4" x14ac:dyDescent="0.3">
      <c r="B177" s="176">
        <v>44823</v>
      </c>
      <c r="C177" s="15">
        <v>0.52</v>
      </c>
      <c r="D177" s="15">
        <v>-1.6</v>
      </c>
    </row>
    <row r="178" spans="2:4" x14ac:dyDescent="0.3">
      <c r="B178" s="176">
        <v>44824</v>
      </c>
      <c r="C178" s="15">
        <v>1.1000000000000001</v>
      </c>
      <c r="D178" s="15">
        <v>-0.19</v>
      </c>
    </row>
    <row r="179" spans="2:4" x14ac:dyDescent="0.3">
      <c r="B179" s="176">
        <v>44825</v>
      </c>
      <c r="C179" s="15">
        <v>-0.55000000000000004</v>
      </c>
      <c r="D179" s="15">
        <v>-3.87</v>
      </c>
    </row>
    <row r="180" spans="2:4" x14ac:dyDescent="0.3">
      <c r="B180" s="176">
        <v>44826</v>
      </c>
      <c r="C180" s="15">
        <v>-0.5</v>
      </c>
      <c r="D180" s="15">
        <v>3.42</v>
      </c>
    </row>
    <row r="181" spans="2:4" x14ac:dyDescent="0.3">
      <c r="B181" s="176">
        <v>44827</v>
      </c>
      <c r="C181" s="15">
        <v>-1.72</v>
      </c>
      <c r="D181" s="15">
        <v>-3.14</v>
      </c>
    </row>
    <row r="182" spans="2:4" x14ac:dyDescent="0.3">
      <c r="B182" s="176">
        <v>44830</v>
      </c>
      <c r="C182" s="15">
        <v>-1.8</v>
      </c>
      <c r="D182" s="15">
        <v>-4.12</v>
      </c>
    </row>
    <row r="183" spans="2:4" x14ac:dyDescent="0.3">
      <c r="B183" s="176">
        <v>44831</v>
      </c>
      <c r="C183" s="15">
        <v>-0.05</v>
      </c>
      <c r="D183" s="15">
        <v>-2.87</v>
      </c>
    </row>
    <row r="184" spans="2:4" x14ac:dyDescent="0.3">
      <c r="B184" s="176">
        <v>44832</v>
      </c>
      <c r="C184" s="15">
        <v>-0.87</v>
      </c>
      <c r="D184" s="15">
        <v>-0.12</v>
      </c>
    </row>
    <row r="185" spans="2:4" x14ac:dyDescent="0.3">
      <c r="B185" s="176">
        <v>44833</v>
      </c>
      <c r="C185" s="15">
        <v>-0.24</v>
      </c>
      <c r="D185" s="15">
        <v>-5.43</v>
      </c>
    </row>
    <row r="186" spans="2:4" x14ac:dyDescent="0.3">
      <c r="B186" s="176">
        <v>44834</v>
      </c>
      <c r="C186" s="15">
        <v>1.64</v>
      </c>
      <c r="D186" s="15">
        <v>-3.42</v>
      </c>
    </row>
    <row r="187" spans="2:4" x14ac:dyDescent="0.3">
      <c r="B187" s="176">
        <v>44837</v>
      </c>
      <c r="C187" s="15">
        <v>-1.21</v>
      </c>
      <c r="D187" s="15">
        <v>-5.05</v>
      </c>
    </row>
    <row r="188" spans="2:4" x14ac:dyDescent="0.3">
      <c r="B188" s="176">
        <v>44838</v>
      </c>
      <c r="C188" s="15">
        <v>2.29</v>
      </c>
      <c r="D188" s="15">
        <v>6.24</v>
      </c>
    </row>
    <row r="189" spans="2:4" x14ac:dyDescent="0.3">
      <c r="B189" s="176">
        <v>44840</v>
      </c>
      <c r="C189" s="15">
        <v>0.33</v>
      </c>
      <c r="D189" s="15">
        <v>1.21</v>
      </c>
    </row>
    <row r="190" spans="2:4" x14ac:dyDescent="0.3">
      <c r="B190" s="176">
        <v>44841</v>
      </c>
      <c r="C190" s="15">
        <v>-0.1</v>
      </c>
      <c r="D190" s="15">
        <v>-2.39</v>
      </c>
    </row>
    <row r="191" spans="2:4" x14ac:dyDescent="0.3">
      <c r="B191" s="176">
        <v>44844</v>
      </c>
      <c r="C191" s="15">
        <v>-0.43</v>
      </c>
      <c r="D191" s="15">
        <v>-2.66</v>
      </c>
    </row>
    <row r="192" spans="2:4" x14ac:dyDescent="0.3">
      <c r="B192" s="176">
        <v>44845</v>
      </c>
      <c r="C192" s="15">
        <v>-1.49</v>
      </c>
      <c r="D192" s="15">
        <v>-1.1599999999999999</v>
      </c>
    </row>
    <row r="193" spans="2:4" x14ac:dyDescent="0.3">
      <c r="B193" s="176">
        <v>44846</v>
      </c>
      <c r="C193" s="15">
        <v>0.82</v>
      </c>
      <c r="D193" s="15">
        <v>1.07</v>
      </c>
    </row>
    <row r="194" spans="2:4" x14ac:dyDescent="0.3">
      <c r="B194" s="176">
        <v>44847</v>
      </c>
      <c r="C194" s="15">
        <v>-0.64</v>
      </c>
      <c r="D194" s="15">
        <v>-2.1</v>
      </c>
    </row>
    <row r="195" spans="2:4" x14ac:dyDescent="0.3">
      <c r="B195" s="176">
        <v>44848</v>
      </c>
      <c r="C195" s="15">
        <v>1.01</v>
      </c>
      <c r="D195" s="15">
        <v>-2.75</v>
      </c>
    </row>
    <row r="196" spans="2:4" x14ac:dyDescent="0.3">
      <c r="B196" s="176">
        <v>44851</v>
      </c>
      <c r="C196" s="15">
        <v>0.73</v>
      </c>
      <c r="D196" s="15">
        <v>1.29</v>
      </c>
    </row>
    <row r="197" spans="2:4" x14ac:dyDescent="0.3">
      <c r="B197" s="176">
        <v>44852</v>
      </c>
      <c r="C197" s="15">
        <v>1.01</v>
      </c>
      <c r="D197" s="15">
        <v>5.49</v>
      </c>
    </row>
    <row r="198" spans="2:4" x14ac:dyDescent="0.3">
      <c r="B198" s="176">
        <v>44853</v>
      </c>
      <c r="C198" s="15">
        <v>0.14000000000000001</v>
      </c>
      <c r="D198" s="15">
        <v>-3.12</v>
      </c>
    </row>
    <row r="199" spans="2:4" x14ac:dyDescent="0.3">
      <c r="B199" s="176">
        <v>44854</v>
      </c>
      <c r="C199" s="15">
        <v>0.3</v>
      </c>
      <c r="D199" s="15">
        <v>4.09</v>
      </c>
    </row>
    <row r="200" spans="2:4" x14ac:dyDescent="0.3">
      <c r="B200" s="176">
        <v>44855</v>
      </c>
      <c r="C200" s="15">
        <v>7.0000000000000007E-2</v>
      </c>
      <c r="D200" s="15">
        <v>0.11</v>
      </c>
    </row>
    <row r="201" spans="2:4" x14ac:dyDescent="0.3">
      <c r="B201" s="176">
        <v>44858</v>
      </c>
      <c r="C201" s="15">
        <v>0.88</v>
      </c>
      <c r="D201" s="15">
        <v>0.31</v>
      </c>
    </row>
    <row r="202" spans="2:4" x14ac:dyDescent="0.3">
      <c r="B202" s="176">
        <v>44859</v>
      </c>
      <c r="C202" s="15">
        <v>-0.42</v>
      </c>
      <c r="D202" s="15">
        <v>-2.91</v>
      </c>
    </row>
    <row r="203" spans="2:4" x14ac:dyDescent="0.3">
      <c r="B203" s="176">
        <v>44861</v>
      </c>
      <c r="C203" s="15">
        <v>0.46</v>
      </c>
      <c r="D203" s="15">
        <v>2.95</v>
      </c>
    </row>
    <row r="204" spans="2:4" x14ac:dyDescent="0.3">
      <c r="B204" s="176">
        <v>44862</v>
      </c>
      <c r="C204" s="15">
        <v>0.28000000000000003</v>
      </c>
      <c r="D204" s="15">
        <v>-0.14000000000000001</v>
      </c>
    </row>
    <row r="205" spans="2:4" x14ac:dyDescent="0.3">
      <c r="B205" s="176">
        <v>44865</v>
      </c>
      <c r="C205" s="15">
        <v>1.27</v>
      </c>
      <c r="D205" s="15">
        <v>2.16</v>
      </c>
    </row>
    <row r="206" spans="2:4" x14ac:dyDescent="0.3">
      <c r="B206" s="176">
        <v>44866</v>
      </c>
      <c r="C206" s="15">
        <v>0.74</v>
      </c>
      <c r="D206" s="15">
        <v>-0.19</v>
      </c>
    </row>
    <row r="207" spans="2:4" x14ac:dyDescent="0.3">
      <c r="B207" s="176">
        <v>44867</v>
      </c>
      <c r="C207" s="15">
        <v>-0.34</v>
      </c>
      <c r="D207" s="15">
        <v>-1.01</v>
      </c>
    </row>
    <row r="208" spans="2:4" x14ac:dyDescent="0.3">
      <c r="B208" s="176">
        <v>44868</v>
      </c>
      <c r="C208" s="15">
        <v>-0.17</v>
      </c>
      <c r="D208" s="15">
        <v>-0.5</v>
      </c>
    </row>
    <row r="209" spans="2:4" x14ac:dyDescent="0.3">
      <c r="B209" s="176">
        <v>44869</v>
      </c>
      <c r="C209" s="15">
        <v>0.36</v>
      </c>
      <c r="D209" s="15">
        <v>0.83</v>
      </c>
    </row>
    <row r="210" spans="2:4" x14ac:dyDescent="0.3">
      <c r="B210" s="176">
        <v>44872</v>
      </c>
      <c r="C210" s="15">
        <v>0.47</v>
      </c>
      <c r="D210" s="15">
        <v>0.39</v>
      </c>
    </row>
    <row r="211" spans="2:4" x14ac:dyDescent="0.3">
      <c r="B211" s="176">
        <v>44874</v>
      </c>
      <c r="C211" s="15">
        <v>-0.25</v>
      </c>
      <c r="D211" s="15">
        <v>-1.27</v>
      </c>
    </row>
    <row r="212" spans="2:4" x14ac:dyDescent="0.3">
      <c r="B212" s="176">
        <v>44875</v>
      </c>
      <c r="C212" s="15">
        <v>-0.71</v>
      </c>
      <c r="D212" s="15">
        <v>0.16</v>
      </c>
    </row>
    <row r="213" spans="2:4" x14ac:dyDescent="0.3">
      <c r="B213" s="176">
        <v>44876</v>
      </c>
      <c r="C213" s="15">
        <v>1.78</v>
      </c>
      <c r="D213" s="15">
        <v>-0.09</v>
      </c>
    </row>
    <row r="214" spans="2:4" x14ac:dyDescent="0.3">
      <c r="B214" s="176">
        <v>44879</v>
      </c>
      <c r="C214" s="15">
        <v>-0.11</v>
      </c>
      <c r="D214" s="15">
        <v>-0.13</v>
      </c>
    </row>
    <row r="215" spans="2:4" x14ac:dyDescent="0.3">
      <c r="B215" s="176">
        <v>44880</v>
      </c>
      <c r="C215" s="15">
        <v>0.41</v>
      </c>
      <c r="D215" s="15">
        <v>0.08</v>
      </c>
    </row>
    <row r="216" spans="2:4" x14ac:dyDescent="0.3">
      <c r="B216" s="176">
        <v>44881</v>
      </c>
      <c r="C216" s="15">
        <v>0.03</v>
      </c>
      <c r="D216" s="15">
        <v>-0.57999999999999996</v>
      </c>
    </row>
    <row r="217" spans="2:4" x14ac:dyDescent="0.3">
      <c r="B217" s="176">
        <v>44882</v>
      </c>
      <c r="C217" s="15">
        <v>-0.36</v>
      </c>
      <c r="D217" s="15">
        <v>-4.7</v>
      </c>
    </row>
    <row r="218" spans="2:4" x14ac:dyDescent="0.3">
      <c r="B218" s="176">
        <v>44883</v>
      </c>
      <c r="C218" s="15">
        <v>-0.2</v>
      </c>
      <c r="D218" s="15">
        <v>-0.04</v>
      </c>
    </row>
    <row r="219" spans="2:4" x14ac:dyDescent="0.3">
      <c r="B219" s="176">
        <v>44886</v>
      </c>
      <c r="C219" s="15">
        <v>-0.81</v>
      </c>
      <c r="D219" s="15">
        <v>-3.13</v>
      </c>
    </row>
    <row r="220" spans="2:4" x14ac:dyDescent="0.3">
      <c r="B220" s="176">
        <v>44887</v>
      </c>
      <c r="C220" s="15">
        <v>0.46</v>
      </c>
      <c r="D220" s="15">
        <v>-4.76</v>
      </c>
    </row>
    <row r="221" spans="2:4" x14ac:dyDescent="0.3">
      <c r="B221" s="176">
        <v>44888</v>
      </c>
      <c r="C221" s="15">
        <v>0.13</v>
      </c>
      <c r="D221" s="15">
        <v>-0.64</v>
      </c>
    </row>
    <row r="222" spans="2:4" x14ac:dyDescent="0.3">
      <c r="B222" s="176">
        <v>44889</v>
      </c>
      <c r="C222" s="15">
        <v>1.19</v>
      </c>
      <c r="D222" s="15">
        <v>-2.31</v>
      </c>
    </row>
    <row r="223" spans="2:4" x14ac:dyDescent="0.3">
      <c r="B223" s="176">
        <v>44890</v>
      </c>
      <c r="C223" s="15">
        <v>0.16</v>
      </c>
      <c r="D223" s="15">
        <v>-1.84</v>
      </c>
    </row>
    <row r="224" spans="2:4" x14ac:dyDescent="0.3">
      <c r="B224" s="176">
        <v>44893</v>
      </c>
      <c r="C224" s="15">
        <v>0.27</v>
      </c>
      <c r="D224" s="15">
        <v>-0.86</v>
      </c>
    </row>
    <row r="225" spans="2:4" x14ac:dyDescent="0.3">
      <c r="B225" s="176">
        <v>44894</v>
      </c>
      <c r="C225" s="15">
        <v>0.3</v>
      </c>
      <c r="D225" s="15">
        <v>2.4500000000000002</v>
      </c>
    </row>
    <row r="226" spans="2:4" x14ac:dyDescent="0.3">
      <c r="B226" s="176">
        <v>44895</v>
      </c>
      <c r="C226" s="15">
        <v>0.75</v>
      </c>
      <c r="D226" s="15">
        <v>4.5199999999999996</v>
      </c>
    </row>
    <row r="227" spans="2:4" x14ac:dyDescent="0.3">
      <c r="B227" s="176">
        <v>44896</v>
      </c>
      <c r="C227" s="15">
        <v>0.28999999999999998</v>
      </c>
      <c r="D227" s="15">
        <v>-2.5499999999999998</v>
      </c>
    </row>
    <row r="228" spans="2:4" x14ac:dyDescent="0.3">
      <c r="B228" s="176">
        <v>44897</v>
      </c>
      <c r="C228" s="15">
        <v>-0.62</v>
      </c>
      <c r="D228" s="15">
        <v>-3.12</v>
      </c>
    </row>
    <row r="229" spans="2:4" x14ac:dyDescent="0.3">
      <c r="B229" s="176">
        <v>44900</v>
      </c>
      <c r="C229" s="15">
        <v>0.03</v>
      </c>
      <c r="D229" s="15">
        <v>-1.08</v>
      </c>
    </row>
    <row r="230" spans="2:4" x14ac:dyDescent="0.3">
      <c r="B230" s="176">
        <v>44901</v>
      </c>
      <c r="C230" s="15">
        <v>-0.31</v>
      </c>
      <c r="D230" s="15">
        <v>2.09</v>
      </c>
    </row>
    <row r="231" spans="2:4" x14ac:dyDescent="0.3">
      <c r="B231" s="176">
        <v>44902</v>
      </c>
      <c r="C231" s="15">
        <v>-0.44</v>
      </c>
      <c r="D231" s="15">
        <v>-1.1299999999999999</v>
      </c>
    </row>
    <row r="232" spans="2:4" x14ac:dyDescent="0.3">
      <c r="B232" s="176">
        <v>44903</v>
      </c>
      <c r="C232" s="15">
        <v>0.26</v>
      </c>
      <c r="D232" s="15">
        <v>-1.83</v>
      </c>
    </row>
    <row r="233" spans="2:4" x14ac:dyDescent="0.3">
      <c r="B233" s="176">
        <v>44904</v>
      </c>
      <c r="C233" s="15">
        <v>-0.61</v>
      </c>
      <c r="D233" s="15">
        <v>-1.67</v>
      </c>
    </row>
    <row r="234" spans="2:4" x14ac:dyDescent="0.3">
      <c r="B234" s="176">
        <v>44907</v>
      </c>
      <c r="C234" s="15">
        <v>0</v>
      </c>
      <c r="D234" s="15">
        <v>1.57</v>
      </c>
    </row>
    <row r="235" spans="2:4" x14ac:dyDescent="0.3">
      <c r="B235" s="176">
        <v>44908</v>
      </c>
      <c r="C235" s="15">
        <v>0.6</v>
      </c>
      <c r="D235" s="15">
        <v>-1.3</v>
      </c>
    </row>
    <row r="236" spans="2:4" x14ac:dyDescent="0.3">
      <c r="B236" s="176">
        <v>44909</v>
      </c>
      <c r="C236" s="15">
        <v>0.28000000000000003</v>
      </c>
      <c r="D236" s="15">
        <v>0.74</v>
      </c>
    </row>
    <row r="237" spans="2:4" x14ac:dyDescent="0.3">
      <c r="B237" s="176">
        <v>44910</v>
      </c>
      <c r="C237" s="15">
        <v>-1.32</v>
      </c>
      <c r="D237" s="15">
        <v>-0.57999999999999996</v>
      </c>
    </row>
    <row r="238" spans="2:4" x14ac:dyDescent="0.3">
      <c r="B238" s="176">
        <v>44911</v>
      </c>
      <c r="C238" s="15">
        <v>-0.79</v>
      </c>
      <c r="D238" s="15">
        <v>-0.51</v>
      </c>
    </row>
    <row r="239" spans="2:4" x14ac:dyDescent="0.3">
      <c r="B239" s="176">
        <v>44914</v>
      </c>
      <c r="C239" s="15">
        <v>0.83</v>
      </c>
      <c r="D239" s="15">
        <v>1.35</v>
      </c>
    </row>
    <row r="240" spans="2:4" x14ac:dyDescent="0.3">
      <c r="B240" s="176">
        <v>44915</v>
      </c>
      <c r="C240" s="15">
        <v>-0.19</v>
      </c>
      <c r="D240" s="15">
        <v>0.34</v>
      </c>
    </row>
    <row r="241" spans="2:4" x14ac:dyDescent="0.3">
      <c r="B241" s="176">
        <v>44916</v>
      </c>
      <c r="C241" s="15">
        <v>-1.01</v>
      </c>
      <c r="D241" s="15">
        <v>-2.7</v>
      </c>
    </row>
    <row r="242" spans="2:4" x14ac:dyDescent="0.3">
      <c r="B242" s="176">
        <v>44917</v>
      </c>
      <c r="C242" s="15">
        <v>-0.39</v>
      </c>
      <c r="D242" s="15">
        <v>-3.74</v>
      </c>
    </row>
    <row r="243" spans="2:4" x14ac:dyDescent="0.3">
      <c r="B243" s="176">
        <v>44918</v>
      </c>
      <c r="C243" s="15">
        <v>-1.77</v>
      </c>
      <c r="D243" s="15">
        <v>-9.84</v>
      </c>
    </row>
    <row r="244" spans="2:4" x14ac:dyDescent="0.3">
      <c r="B244" s="176">
        <v>44921</v>
      </c>
      <c r="C244" s="15">
        <v>1.17</v>
      </c>
      <c r="D244" s="15">
        <v>8.6300000000000008</v>
      </c>
    </row>
    <row r="245" spans="2:4" x14ac:dyDescent="0.3">
      <c r="B245" s="176">
        <v>44922</v>
      </c>
      <c r="C245" s="15">
        <v>0.65</v>
      </c>
      <c r="D245" s="15">
        <v>1.45</v>
      </c>
    </row>
    <row r="246" spans="2:4" x14ac:dyDescent="0.3">
      <c r="B246" s="176">
        <v>44923</v>
      </c>
      <c r="C246" s="15">
        <v>-0.05</v>
      </c>
      <c r="D246" s="15">
        <v>2.5</v>
      </c>
    </row>
    <row r="247" spans="2:4" x14ac:dyDescent="0.3">
      <c r="B247" s="176">
        <v>44924</v>
      </c>
      <c r="C247" s="15">
        <v>0.38</v>
      </c>
      <c r="D247" s="15">
        <v>4.0999999999999996</v>
      </c>
    </row>
    <row r="248" spans="2:4" x14ac:dyDescent="0.3">
      <c r="B248" s="176">
        <v>44925</v>
      </c>
      <c r="C248" s="15">
        <v>-0.47</v>
      </c>
      <c r="D248" s="15">
        <v>-3.01</v>
      </c>
    </row>
    <row r="249" spans="2:4" x14ac:dyDescent="0.3">
      <c r="B249" s="176">
        <v>44928</v>
      </c>
      <c r="C249" s="15">
        <v>0.51</v>
      </c>
      <c r="D249" s="15">
        <v>-1.54</v>
      </c>
    </row>
    <row r="250" spans="2:4" x14ac:dyDescent="0.3">
      <c r="B250" s="176">
        <v>44929</v>
      </c>
      <c r="C250" s="15">
        <v>0.19</v>
      </c>
      <c r="D250" s="15">
        <v>1.06</v>
      </c>
    </row>
    <row r="251" spans="2:4" x14ac:dyDescent="0.3">
      <c r="B251" s="176">
        <v>44930</v>
      </c>
      <c r="C251" s="15">
        <v>-1.04</v>
      </c>
      <c r="D251" s="15">
        <v>-2.48</v>
      </c>
    </row>
    <row r="252" spans="2:4" x14ac:dyDescent="0.3">
      <c r="B252" s="176">
        <v>44931</v>
      </c>
      <c r="C252" s="15">
        <v>-0.28000000000000003</v>
      </c>
      <c r="D252" s="15">
        <v>1.65</v>
      </c>
    </row>
    <row r="253" spans="2:4" x14ac:dyDescent="0.3">
      <c r="B253" s="176">
        <v>44932</v>
      </c>
      <c r="C253" s="15">
        <v>-0.74</v>
      </c>
      <c r="D253" s="15">
        <v>-1.21</v>
      </c>
    </row>
    <row r="254" spans="2:4" x14ac:dyDescent="0.3">
      <c r="B254" s="176">
        <v>44935</v>
      </c>
      <c r="C254" s="15">
        <v>1.35</v>
      </c>
      <c r="D254" s="15">
        <v>3.61</v>
      </c>
    </row>
    <row r="255" spans="2:4" x14ac:dyDescent="0.3">
      <c r="B255" s="176">
        <v>44936</v>
      </c>
      <c r="C255" s="15">
        <v>-1.03</v>
      </c>
      <c r="D255" s="15">
        <v>1.43</v>
      </c>
    </row>
    <row r="256" spans="2:4" x14ac:dyDescent="0.3">
      <c r="B256" s="176">
        <v>44937</v>
      </c>
      <c r="C256" s="15">
        <v>-0.1</v>
      </c>
      <c r="D256" s="15">
        <v>-2.5099999999999998</v>
      </c>
    </row>
    <row r="257" spans="2:4" x14ac:dyDescent="0.3">
      <c r="B257" s="176">
        <v>44938</v>
      </c>
      <c r="C257" s="15">
        <v>-0.21</v>
      </c>
      <c r="D257" s="15">
        <v>1.49</v>
      </c>
    </row>
    <row r="258" spans="2:4" x14ac:dyDescent="0.3">
      <c r="B258" s="176">
        <v>44939</v>
      </c>
      <c r="C258" s="15">
        <v>0.55000000000000004</v>
      </c>
      <c r="D258" s="15">
        <v>2.48</v>
      </c>
    </row>
    <row r="259" spans="2:4" x14ac:dyDescent="0.3">
      <c r="B259" s="176">
        <v>44942</v>
      </c>
      <c r="C259" s="15">
        <v>-0.34</v>
      </c>
      <c r="D259" s="15">
        <v>0.52</v>
      </c>
    </row>
    <row r="260" spans="2:4" x14ac:dyDescent="0.3">
      <c r="B260" s="176">
        <v>44943</v>
      </c>
      <c r="C260" s="15">
        <v>0.89</v>
      </c>
      <c r="D260" s="15">
        <v>0.81</v>
      </c>
    </row>
    <row r="261" spans="2:4" x14ac:dyDescent="0.3">
      <c r="B261" s="176">
        <v>44944</v>
      </c>
      <c r="C261" s="15">
        <v>0.62</v>
      </c>
      <c r="D261" s="15">
        <v>-0.52</v>
      </c>
    </row>
    <row r="262" spans="2:4" x14ac:dyDescent="0.3">
      <c r="B262" s="176">
        <v>44945</v>
      </c>
      <c r="C262" s="15">
        <v>-0.32</v>
      </c>
      <c r="D262" s="15">
        <v>0.86</v>
      </c>
    </row>
    <row r="263" spans="2:4" x14ac:dyDescent="0.3">
      <c r="B263" s="176">
        <v>44946</v>
      </c>
      <c r="C263" s="15">
        <v>-0.44</v>
      </c>
      <c r="D263" s="15">
        <v>0.14000000000000001</v>
      </c>
    </row>
    <row r="264" spans="2:4" x14ac:dyDescent="0.3">
      <c r="B264" s="176">
        <v>44949</v>
      </c>
      <c r="C264" s="15">
        <v>0.5</v>
      </c>
      <c r="D264" s="15">
        <v>1.69</v>
      </c>
    </row>
    <row r="265" spans="2:4" x14ac:dyDescent="0.3">
      <c r="B265" s="176">
        <v>44950</v>
      </c>
      <c r="C265" s="15">
        <v>0</v>
      </c>
      <c r="D265" s="15">
        <v>-0.79</v>
      </c>
    </row>
    <row r="266" spans="2:4" x14ac:dyDescent="0.3">
      <c r="B266" s="176">
        <v>44951</v>
      </c>
      <c r="C266" s="15">
        <v>-1.25</v>
      </c>
      <c r="D266" s="15">
        <v>-8.85</v>
      </c>
    </row>
    <row r="267" spans="2:4" x14ac:dyDescent="0.3">
      <c r="B267" s="176">
        <v>44953</v>
      </c>
      <c r="C267" s="15">
        <v>-1.61</v>
      </c>
      <c r="D267" s="15">
        <v>-20</v>
      </c>
    </row>
    <row r="268" spans="2:4" x14ac:dyDescent="0.3">
      <c r="B268" s="176">
        <v>44956</v>
      </c>
      <c r="C268" s="15">
        <v>0.25</v>
      </c>
      <c r="D268" s="15">
        <v>-15.19</v>
      </c>
    </row>
    <row r="269" spans="2:4" x14ac:dyDescent="0.3">
      <c r="B269" s="176">
        <v>44957</v>
      </c>
      <c r="C269" s="15">
        <v>7.0000000000000007E-2</v>
      </c>
      <c r="D269" s="15">
        <v>3.85</v>
      </c>
    </row>
    <row r="270" spans="2:4" x14ac:dyDescent="0.3">
      <c r="B270" s="176">
        <v>44958</v>
      </c>
      <c r="C270" s="15">
        <v>-0.26</v>
      </c>
      <c r="D270" s="15">
        <v>-2.85</v>
      </c>
    </row>
    <row r="271" spans="2:4" x14ac:dyDescent="0.3">
      <c r="B271" s="176">
        <v>44959</v>
      </c>
      <c r="C271" s="15">
        <v>-0.03</v>
      </c>
      <c r="D271" s="15">
        <v>-10</v>
      </c>
    </row>
    <row r="272" spans="2:4" x14ac:dyDescent="0.3">
      <c r="B272" s="176">
        <v>44960</v>
      </c>
      <c r="C272" s="15">
        <v>1.38</v>
      </c>
      <c r="D272" s="15">
        <v>-10</v>
      </c>
    </row>
    <row r="273" spans="2:4" x14ac:dyDescent="0.3">
      <c r="B273" s="176">
        <v>44963</v>
      </c>
      <c r="C273" s="15">
        <v>-0.5</v>
      </c>
      <c r="D273" s="15">
        <v>-10</v>
      </c>
    </row>
    <row r="274" spans="2:4" x14ac:dyDescent="0.3">
      <c r="B274" s="176">
        <v>44964</v>
      </c>
      <c r="C274" s="15">
        <v>-0.24</v>
      </c>
      <c r="D274" s="15">
        <v>-0.34</v>
      </c>
    </row>
    <row r="275" spans="2:4" x14ac:dyDescent="0.3">
      <c r="B275" s="176">
        <v>44965</v>
      </c>
      <c r="C275" s="15">
        <v>0.85</v>
      </c>
      <c r="D275" s="15">
        <v>5</v>
      </c>
    </row>
    <row r="276" spans="2:4" x14ac:dyDescent="0.3">
      <c r="B276" s="176">
        <v>44966</v>
      </c>
      <c r="C276" s="15">
        <v>0.12</v>
      </c>
      <c r="D276" s="15">
        <v>-5</v>
      </c>
    </row>
    <row r="277" spans="2:4" x14ac:dyDescent="0.3">
      <c r="B277" s="176">
        <v>44967</v>
      </c>
      <c r="C277" s="15">
        <v>-0.21</v>
      </c>
      <c r="D277" s="15">
        <v>-5</v>
      </c>
    </row>
    <row r="278" spans="2:4" x14ac:dyDescent="0.3">
      <c r="B278" s="176">
        <v>44970</v>
      </c>
      <c r="C278" s="15">
        <v>-0.48</v>
      </c>
      <c r="D278" s="15">
        <v>-5</v>
      </c>
    </row>
    <row r="279" spans="2:4" x14ac:dyDescent="0.3">
      <c r="B279" s="176">
        <v>44971</v>
      </c>
      <c r="C279" s="15">
        <v>0.89</v>
      </c>
      <c r="D279" s="15">
        <v>-5</v>
      </c>
    </row>
    <row r="280" spans="2:4" x14ac:dyDescent="0.3">
      <c r="B280" s="176">
        <v>44972</v>
      </c>
      <c r="C280" s="15">
        <v>0.48</v>
      </c>
      <c r="D280" s="15">
        <v>-5</v>
      </c>
    </row>
    <row r="281" spans="2:4" x14ac:dyDescent="0.3">
      <c r="B281" s="176">
        <v>44973</v>
      </c>
      <c r="C281" s="15">
        <v>0.11</v>
      </c>
      <c r="D281" s="15">
        <v>-4.8099999999999996</v>
      </c>
    </row>
    <row r="282" spans="2:4" x14ac:dyDescent="0.3">
      <c r="B282" s="176">
        <v>44974</v>
      </c>
      <c r="C282" s="15">
        <v>-0.51</v>
      </c>
      <c r="D282" s="15">
        <v>-4.97</v>
      </c>
    </row>
    <row r="283" spans="2:4" x14ac:dyDescent="0.3">
      <c r="B283" s="176">
        <v>44977</v>
      </c>
      <c r="C283" s="15">
        <v>-0.56000000000000005</v>
      </c>
      <c r="D283" s="15">
        <v>-5</v>
      </c>
    </row>
    <row r="284" spans="2:4" x14ac:dyDescent="0.3">
      <c r="B284" s="176">
        <v>44978</v>
      </c>
      <c r="C284" s="15">
        <v>-0.1</v>
      </c>
      <c r="D284" s="15">
        <v>-5</v>
      </c>
    </row>
    <row r="285" spans="2:4" x14ac:dyDescent="0.3">
      <c r="B285" s="176">
        <v>44979</v>
      </c>
      <c r="C285" s="15">
        <v>-1.53</v>
      </c>
      <c r="D285" s="15">
        <v>-5</v>
      </c>
    </row>
    <row r="286" spans="2:4" x14ac:dyDescent="0.3">
      <c r="B286" s="176">
        <v>44980</v>
      </c>
      <c r="C286" s="15">
        <v>-0.25</v>
      </c>
      <c r="D286" s="15">
        <v>-5</v>
      </c>
    </row>
    <row r="287" spans="2:4" x14ac:dyDescent="0.3">
      <c r="B287" s="176">
        <v>44981</v>
      </c>
      <c r="C287" s="15">
        <v>-0.26</v>
      </c>
      <c r="D287" s="15">
        <v>-4.99</v>
      </c>
    </row>
    <row r="288" spans="2:4" x14ac:dyDescent="0.3">
      <c r="B288" s="176">
        <v>44984</v>
      </c>
      <c r="C288" s="15">
        <v>-0.42</v>
      </c>
      <c r="D288" s="15">
        <v>-5</v>
      </c>
    </row>
    <row r="289" spans="2:4" x14ac:dyDescent="0.3">
      <c r="B289" s="176">
        <v>44985</v>
      </c>
      <c r="C289" s="15">
        <v>-0.51</v>
      </c>
      <c r="D289" s="15">
        <v>-4.99</v>
      </c>
    </row>
    <row r="290" spans="2:4" x14ac:dyDescent="0.3">
      <c r="B290" s="176">
        <v>44986</v>
      </c>
      <c r="C290" s="15">
        <v>0.85</v>
      </c>
      <c r="D290" s="15">
        <v>4.99</v>
      </c>
    </row>
    <row r="291" spans="2:4" x14ac:dyDescent="0.3">
      <c r="B291" s="176">
        <v>44987</v>
      </c>
      <c r="C291" s="15">
        <v>-0.74</v>
      </c>
      <c r="D291" s="15">
        <v>5</v>
      </c>
    </row>
    <row r="292" spans="2:4" x14ac:dyDescent="0.3">
      <c r="B292" s="176">
        <v>44988</v>
      </c>
      <c r="C292" s="15">
        <v>1.57</v>
      </c>
      <c r="D292" s="15">
        <v>4.99</v>
      </c>
    </row>
    <row r="293" spans="2:4" x14ac:dyDescent="0.3">
      <c r="B293" s="176">
        <v>44991</v>
      </c>
      <c r="C293" s="15">
        <v>0.67</v>
      </c>
      <c r="D293" s="15">
        <v>5</v>
      </c>
    </row>
    <row r="294" spans="2:4" x14ac:dyDescent="0.3">
      <c r="B294" s="176">
        <v>44993</v>
      </c>
      <c r="C294" s="15">
        <v>0.24</v>
      </c>
      <c r="D294" s="15">
        <v>5</v>
      </c>
    </row>
    <row r="295" spans="2:4" x14ac:dyDescent="0.3">
      <c r="B295" s="176">
        <v>44994</v>
      </c>
      <c r="C295" s="15">
        <v>-0.93</v>
      </c>
      <c r="D295" s="15">
        <v>5</v>
      </c>
    </row>
    <row r="296" spans="2:4" x14ac:dyDescent="0.3">
      <c r="B296" s="176">
        <v>44995</v>
      </c>
      <c r="C296" s="15">
        <v>-1</v>
      </c>
      <c r="D296" s="15">
        <v>5</v>
      </c>
    </row>
    <row r="297" spans="2:4" x14ac:dyDescent="0.3">
      <c r="B297" s="176">
        <v>44998</v>
      </c>
      <c r="C297" s="15">
        <v>-1.49</v>
      </c>
      <c r="D297" s="15">
        <v>5</v>
      </c>
    </row>
    <row r="298" spans="2:4" x14ac:dyDescent="0.3">
      <c r="B298" s="176">
        <v>44999</v>
      </c>
      <c r="C298" s="15">
        <v>-0.65</v>
      </c>
      <c r="D298" s="15">
        <v>-5</v>
      </c>
    </row>
    <row r="299" spans="2:4" x14ac:dyDescent="0.3">
      <c r="B299" s="176">
        <v>45000</v>
      </c>
      <c r="C299" s="15">
        <v>-0.42</v>
      </c>
      <c r="D299" s="15">
        <v>2.9</v>
      </c>
    </row>
    <row r="300" spans="2:4" x14ac:dyDescent="0.3">
      <c r="B300" s="176">
        <v>45001</v>
      </c>
      <c r="C300" s="15">
        <v>0.08</v>
      </c>
      <c r="D300" s="15">
        <v>4.8899999999999997</v>
      </c>
    </row>
    <row r="301" spans="2:4" x14ac:dyDescent="0.3">
      <c r="B301" s="176">
        <v>45002</v>
      </c>
      <c r="C301" s="15">
        <v>0.67</v>
      </c>
      <c r="D301" s="15">
        <v>5</v>
      </c>
    </row>
    <row r="302" spans="2:4" x14ac:dyDescent="0.3">
      <c r="B302" s="176">
        <v>45005</v>
      </c>
      <c r="C302" s="15">
        <v>-0.65</v>
      </c>
      <c r="D302" s="15">
        <v>-1.3</v>
      </c>
    </row>
    <row r="303" spans="2:4" x14ac:dyDescent="0.3">
      <c r="B303" s="176">
        <v>45006</v>
      </c>
      <c r="C303" s="15">
        <v>0.7</v>
      </c>
      <c r="D303" s="15">
        <v>-0.3</v>
      </c>
    </row>
    <row r="304" spans="2:4" x14ac:dyDescent="0.3">
      <c r="B304" s="176">
        <v>45007</v>
      </c>
      <c r="C304" s="15">
        <v>0.26</v>
      </c>
      <c r="D304" s="15">
        <v>2.65</v>
      </c>
    </row>
    <row r="305" spans="2:4" x14ac:dyDescent="0.3">
      <c r="B305" s="176">
        <v>45008</v>
      </c>
      <c r="C305" s="15">
        <v>-0.44</v>
      </c>
      <c r="D305" s="15">
        <v>5</v>
      </c>
    </row>
    <row r="306" spans="2:4" x14ac:dyDescent="0.3">
      <c r="B306" s="176">
        <v>45009</v>
      </c>
      <c r="C306" s="15">
        <v>-0.77</v>
      </c>
      <c r="D306" s="15">
        <v>3.7</v>
      </c>
    </row>
    <row r="307" spans="2:4" x14ac:dyDescent="0.3">
      <c r="B307" s="176">
        <v>45012</v>
      </c>
      <c r="C307" s="15">
        <v>0.24</v>
      </c>
      <c r="D307" s="15">
        <v>-4.99</v>
      </c>
    </row>
    <row r="308" spans="2:4" x14ac:dyDescent="0.3">
      <c r="B308" s="176">
        <v>45013</v>
      </c>
      <c r="C308" s="15">
        <v>-0.2</v>
      </c>
      <c r="D308" s="15">
        <v>-5</v>
      </c>
    </row>
    <row r="309" spans="2:4" x14ac:dyDescent="0.3">
      <c r="B309" s="176">
        <v>45014</v>
      </c>
      <c r="C309" s="15">
        <v>0.76</v>
      </c>
      <c r="D309" s="15">
        <v>-1.1399999999999999</v>
      </c>
    </row>
    <row r="310" spans="2:4" x14ac:dyDescent="0.3">
      <c r="B310" s="176">
        <v>45016</v>
      </c>
      <c r="C310" s="15">
        <v>1.63</v>
      </c>
      <c r="D310" s="15">
        <v>-1.04</v>
      </c>
    </row>
    <row r="311" spans="2:4" x14ac:dyDescent="0.3">
      <c r="B311" s="176">
        <v>45019</v>
      </c>
      <c r="C311" s="15">
        <v>0.22</v>
      </c>
      <c r="D311" s="15">
        <v>-5</v>
      </c>
    </row>
    <row r="312" spans="2:4" x14ac:dyDescent="0.3">
      <c r="B312" s="176">
        <v>45021</v>
      </c>
      <c r="C312" s="15">
        <v>0.91</v>
      </c>
      <c r="D312" s="15">
        <v>-3.77</v>
      </c>
    </row>
    <row r="313" spans="2:4" x14ac:dyDescent="0.3">
      <c r="B313" s="176">
        <v>45022</v>
      </c>
      <c r="C313" s="15">
        <v>0.24</v>
      </c>
      <c r="D313" s="15">
        <v>5</v>
      </c>
    </row>
    <row r="314" spans="2:4" x14ac:dyDescent="0.3">
      <c r="B314" s="176">
        <v>45026</v>
      </c>
      <c r="C314" s="15">
        <v>0.14000000000000001</v>
      </c>
      <c r="D314" s="15">
        <v>5</v>
      </c>
    </row>
    <row r="315" spans="2:4" x14ac:dyDescent="0.3">
      <c r="B315" s="176">
        <v>45027</v>
      </c>
      <c r="C315" s="15">
        <v>0.56000000000000005</v>
      </c>
      <c r="D315" s="15">
        <v>5</v>
      </c>
    </row>
    <row r="316" spans="2:4" x14ac:dyDescent="0.3">
      <c r="B316" s="176">
        <v>45028</v>
      </c>
      <c r="C316" s="15">
        <v>0.51</v>
      </c>
      <c r="D316" s="15">
        <v>-0.7</v>
      </c>
    </row>
    <row r="317" spans="2:4" x14ac:dyDescent="0.3">
      <c r="B317" s="176">
        <v>45029</v>
      </c>
      <c r="C317" s="15">
        <v>0.09</v>
      </c>
      <c r="D317" s="15">
        <v>-1.21</v>
      </c>
    </row>
    <row r="318" spans="2:4" x14ac:dyDescent="0.3">
      <c r="B318" s="176">
        <v>45033</v>
      </c>
      <c r="C318" s="15">
        <v>-0.68</v>
      </c>
      <c r="D318" s="15">
        <v>0.84</v>
      </c>
    </row>
    <row r="319" spans="2:4" x14ac:dyDescent="0.3">
      <c r="B319" s="176">
        <v>45034</v>
      </c>
      <c r="C319" s="15">
        <v>-0.26</v>
      </c>
      <c r="D319" s="15">
        <v>-0.72</v>
      </c>
    </row>
    <row r="320" spans="2:4" x14ac:dyDescent="0.3">
      <c r="B320" s="176">
        <v>45035</v>
      </c>
      <c r="C320" s="15">
        <v>-0.23</v>
      </c>
      <c r="D320" s="15">
        <v>-1.39</v>
      </c>
    </row>
    <row r="321" spans="2:4" x14ac:dyDescent="0.3">
      <c r="B321" s="176">
        <v>45036</v>
      </c>
      <c r="C321" s="15">
        <v>0.03</v>
      </c>
      <c r="D321" s="15">
        <v>-0.65</v>
      </c>
    </row>
    <row r="322" spans="2:4" x14ac:dyDescent="0.3">
      <c r="B322" s="176">
        <v>45037</v>
      </c>
      <c r="C322" s="15">
        <v>0</v>
      </c>
      <c r="D322" s="15">
        <v>-1.6</v>
      </c>
    </row>
    <row r="323" spans="2:4" x14ac:dyDescent="0.3">
      <c r="B323" s="176">
        <v>45040</v>
      </c>
      <c r="C323" s="15">
        <v>0.68</v>
      </c>
      <c r="D323" s="15">
        <v>-3</v>
      </c>
    </row>
    <row r="324" spans="2:4" x14ac:dyDescent="0.3">
      <c r="B324" s="176">
        <v>45041</v>
      </c>
      <c r="C324" s="15">
        <v>0.15</v>
      </c>
      <c r="D324" s="15">
        <v>4.96</v>
      </c>
    </row>
    <row r="325" spans="2:4" x14ac:dyDescent="0.3">
      <c r="B325" s="176">
        <v>45042</v>
      </c>
      <c r="C325" s="15">
        <v>0.25</v>
      </c>
      <c r="D325" s="15">
        <v>-2.48</v>
      </c>
    </row>
    <row r="326" spans="2:4" x14ac:dyDescent="0.3">
      <c r="B326" s="176">
        <v>45043</v>
      </c>
      <c r="C326" s="15">
        <v>0.56999999999999995</v>
      </c>
      <c r="D326" s="15">
        <v>-0.56000000000000005</v>
      </c>
    </row>
    <row r="327" spans="2:4" x14ac:dyDescent="0.3">
      <c r="B327" s="176">
        <v>45044</v>
      </c>
      <c r="C327" s="15">
        <v>0.84</v>
      </c>
      <c r="D327" s="15">
        <v>4.8</v>
      </c>
    </row>
    <row r="328" spans="2:4" x14ac:dyDescent="0.3">
      <c r="B328" s="176">
        <v>45048</v>
      </c>
      <c r="C328" s="15">
        <v>0.46</v>
      </c>
      <c r="D328" s="15">
        <v>-0.73</v>
      </c>
    </row>
    <row r="329" spans="2:4" x14ac:dyDescent="0.3">
      <c r="B329" s="176">
        <v>45049</v>
      </c>
      <c r="C329" s="15">
        <v>-0.32</v>
      </c>
      <c r="D329" s="15">
        <v>-2.83</v>
      </c>
    </row>
    <row r="330" spans="2:4" x14ac:dyDescent="0.3">
      <c r="B330" s="176">
        <v>45050</v>
      </c>
      <c r="C330" s="15">
        <v>0.92</v>
      </c>
      <c r="D330" s="15">
        <v>1.86</v>
      </c>
    </row>
    <row r="331" spans="2:4" x14ac:dyDescent="0.3">
      <c r="B331" s="176">
        <v>45051</v>
      </c>
      <c r="C331" s="15">
        <v>-1.02</v>
      </c>
      <c r="D331" s="15">
        <v>-1.24</v>
      </c>
    </row>
    <row r="332" spans="2:4" x14ac:dyDescent="0.3">
      <c r="B332" s="176">
        <v>45054</v>
      </c>
      <c r="C332" s="15">
        <v>1.08</v>
      </c>
      <c r="D332" s="15">
        <v>-5</v>
      </c>
    </row>
    <row r="333" spans="2:4" x14ac:dyDescent="0.3">
      <c r="B333" s="176">
        <v>45055</v>
      </c>
      <c r="C333" s="15">
        <v>0.01</v>
      </c>
      <c r="D333" s="15">
        <v>-5</v>
      </c>
    </row>
    <row r="334" spans="2:4" x14ac:dyDescent="0.3">
      <c r="B334" s="176">
        <v>45056</v>
      </c>
      <c r="C334" s="15">
        <v>0.27</v>
      </c>
      <c r="D334" s="15">
        <v>-1.21</v>
      </c>
    </row>
    <row r="335" spans="2:4" x14ac:dyDescent="0.3">
      <c r="B335" s="176">
        <v>45057</v>
      </c>
      <c r="C335" s="15">
        <v>-0.1</v>
      </c>
      <c r="D335" s="15">
        <v>2.99</v>
      </c>
    </row>
    <row r="336" spans="2:4" x14ac:dyDescent="0.3">
      <c r="B336" s="176">
        <v>45058</v>
      </c>
      <c r="C336" s="15">
        <v>0.1</v>
      </c>
      <c r="D336" s="15">
        <v>-3.54</v>
      </c>
    </row>
    <row r="337" spans="2:4" x14ac:dyDescent="0.3">
      <c r="B337" s="176">
        <v>45061</v>
      </c>
      <c r="C337" s="15">
        <v>0.46</v>
      </c>
      <c r="D337" s="15">
        <v>-5</v>
      </c>
    </row>
    <row r="338" spans="2:4" x14ac:dyDescent="0.3">
      <c r="B338" s="176">
        <v>45062</v>
      </c>
      <c r="C338" s="15">
        <v>-0.61</v>
      </c>
      <c r="D338" s="15">
        <v>-3.39</v>
      </c>
    </row>
    <row r="339" spans="2:4" x14ac:dyDescent="0.3">
      <c r="B339" s="176">
        <v>45063</v>
      </c>
      <c r="C339" s="15">
        <v>-0.56999999999999995</v>
      </c>
      <c r="D339" s="15">
        <v>-2.72</v>
      </c>
    </row>
    <row r="340" spans="2:4" x14ac:dyDescent="0.3">
      <c r="B340" s="176">
        <v>45064</v>
      </c>
      <c r="C340" s="15">
        <v>-0.28000000000000003</v>
      </c>
      <c r="D340" s="15">
        <v>-4.8600000000000003</v>
      </c>
    </row>
    <row r="341" spans="2:4" x14ac:dyDescent="0.3">
      <c r="B341" s="176">
        <v>45065</v>
      </c>
      <c r="C341" s="15">
        <v>0.41</v>
      </c>
      <c r="D341" s="15">
        <v>4.76</v>
      </c>
    </row>
    <row r="342" spans="2:4" x14ac:dyDescent="0.3">
      <c r="B342" s="176">
        <v>45068</v>
      </c>
      <c r="C342" s="15">
        <v>0.61</v>
      </c>
      <c r="D342" s="15">
        <v>5</v>
      </c>
    </row>
    <row r="343" spans="2:4" x14ac:dyDescent="0.3">
      <c r="B343" s="176">
        <v>45069</v>
      </c>
      <c r="C343" s="15">
        <v>0.18</v>
      </c>
      <c r="D343" s="15">
        <v>5</v>
      </c>
    </row>
    <row r="344" spans="2:4" x14ac:dyDescent="0.3">
      <c r="B344" s="176">
        <v>45070</v>
      </c>
      <c r="C344" s="15">
        <v>-0.34</v>
      </c>
      <c r="D344" s="15">
        <v>5</v>
      </c>
    </row>
    <row r="345" spans="2:4" x14ac:dyDescent="0.3">
      <c r="B345" s="176">
        <v>45071</v>
      </c>
      <c r="C345" s="15">
        <v>0.2</v>
      </c>
      <c r="D345" s="15">
        <v>-2.16</v>
      </c>
    </row>
    <row r="346" spans="2:4" x14ac:dyDescent="0.3">
      <c r="B346" s="176">
        <v>45072</v>
      </c>
      <c r="C346" s="15">
        <v>0.97</v>
      </c>
      <c r="D346" s="15">
        <v>-4.67</v>
      </c>
    </row>
    <row r="347" spans="2:4" x14ac:dyDescent="0.3">
      <c r="B347" s="176">
        <v>45075</v>
      </c>
      <c r="C347" s="15">
        <v>0.54</v>
      </c>
      <c r="D347" s="15">
        <v>-2.11</v>
      </c>
    </row>
    <row r="348" spans="2:4" x14ac:dyDescent="0.3">
      <c r="B348" s="176">
        <v>45076</v>
      </c>
      <c r="C348" s="15">
        <v>0.19</v>
      </c>
      <c r="D348" s="15">
        <v>-3.35</v>
      </c>
    </row>
    <row r="349" spans="2:4" x14ac:dyDescent="0.3">
      <c r="B349" s="176">
        <v>45077</v>
      </c>
      <c r="C349" s="15">
        <v>-0.53</v>
      </c>
      <c r="D349" s="15">
        <v>-3.43</v>
      </c>
    </row>
    <row r="350" spans="2:4" x14ac:dyDescent="0.3">
      <c r="B350" s="176">
        <v>45078</v>
      </c>
      <c r="C350" s="15">
        <v>-0.25</v>
      </c>
      <c r="D350" s="15">
        <v>5</v>
      </c>
    </row>
    <row r="351" spans="2:4" x14ac:dyDescent="0.3">
      <c r="B351" s="176">
        <v>45079</v>
      </c>
      <c r="C351" s="15">
        <v>0.25</v>
      </c>
      <c r="D351" s="15">
        <v>-2.56</v>
      </c>
    </row>
    <row r="352" spans="2:4" x14ac:dyDescent="0.3">
      <c r="B352" s="176">
        <v>45082</v>
      </c>
      <c r="C352" s="15">
        <v>0.32</v>
      </c>
      <c r="D352" s="15">
        <v>4.2</v>
      </c>
    </row>
    <row r="353" spans="2:4" x14ac:dyDescent="0.3">
      <c r="B353" s="176">
        <v>45083</v>
      </c>
      <c r="C353" s="15">
        <v>0.03</v>
      </c>
      <c r="D353" s="15">
        <v>-1.42</v>
      </c>
    </row>
    <row r="354" spans="2:4" x14ac:dyDescent="0.3">
      <c r="B354" s="176">
        <v>45084</v>
      </c>
      <c r="C354" s="15">
        <v>0.68</v>
      </c>
      <c r="D354" s="15">
        <v>2.57</v>
      </c>
    </row>
    <row r="355" spans="2:4" x14ac:dyDescent="0.3">
      <c r="B355" s="176">
        <v>45085</v>
      </c>
      <c r="C355" s="15">
        <v>-0.49</v>
      </c>
      <c r="D355" s="15">
        <v>-0.96</v>
      </c>
    </row>
    <row r="356" spans="2:4" x14ac:dyDescent="0.3">
      <c r="B356" s="176">
        <v>45086</v>
      </c>
      <c r="C356" s="15">
        <v>-0.38</v>
      </c>
      <c r="D356" s="15">
        <v>0.17</v>
      </c>
    </row>
    <row r="357" spans="2:4" x14ac:dyDescent="0.3">
      <c r="B357" s="176">
        <v>45089</v>
      </c>
      <c r="C357" s="15">
        <v>0.21</v>
      </c>
      <c r="D357" s="15">
        <v>-0.04</v>
      </c>
    </row>
    <row r="358" spans="2:4" x14ac:dyDescent="0.3">
      <c r="B358" s="176">
        <v>45090</v>
      </c>
      <c r="C358" s="15">
        <v>0.62</v>
      </c>
      <c r="D358" s="15">
        <v>-0.89</v>
      </c>
    </row>
    <row r="359" spans="2:4" x14ac:dyDescent="0.3">
      <c r="B359" s="176">
        <v>45091</v>
      </c>
      <c r="C359" s="15">
        <v>0.21</v>
      </c>
      <c r="D359" s="15">
        <v>-1.76</v>
      </c>
    </row>
    <row r="360" spans="2:4" x14ac:dyDescent="0.3">
      <c r="B360" s="176">
        <v>45092</v>
      </c>
      <c r="C360" s="15">
        <v>-0.36</v>
      </c>
      <c r="D360" s="15">
        <v>0.76</v>
      </c>
    </row>
    <row r="361" spans="2:4" x14ac:dyDescent="0.3">
      <c r="B361" s="176">
        <v>45093</v>
      </c>
      <c r="C361" s="15">
        <v>0.74</v>
      </c>
      <c r="D361" s="15">
        <v>-0.47</v>
      </c>
    </row>
    <row r="362" spans="2:4" x14ac:dyDescent="0.3">
      <c r="B362" s="176">
        <v>45096</v>
      </c>
      <c r="C362" s="15">
        <v>-0.37</v>
      </c>
      <c r="D362" s="15">
        <v>-0.53</v>
      </c>
    </row>
    <row r="363" spans="2:4" x14ac:dyDescent="0.3">
      <c r="B363" s="176">
        <v>45097</v>
      </c>
      <c r="C363" s="15">
        <v>0.33</v>
      </c>
      <c r="D363" s="15">
        <v>0.66</v>
      </c>
    </row>
    <row r="364" spans="2:4" x14ac:dyDescent="0.3">
      <c r="B364" s="176">
        <v>45098</v>
      </c>
      <c r="C364" s="15">
        <v>0.21</v>
      </c>
      <c r="D364" s="15">
        <v>-0.65</v>
      </c>
    </row>
    <row r="365" spans="2:4" x14ac:dyDescent="0.3">
      <c r="B365" s="176">
        <v>45099</v>
      </c>
      <c r="C365" s="15">
        <v>-0.45</v>
      </c>
      <c r="D365" s="15">
        <v>-0.28999999999999998</v>
      </c>
    </row>
    <row r="366" spans="2:4" x14ac:dyDescent="0.3">
      <c r="B366" s="176">
        <v>45100</v>
      </c>
      <c r="C366" s="15">
        <v>-0.56000000000000005</v>
      </c>
      <c r="D366" s="15">
        <v>-5.83</v>
      </c>
    </row>
    <row r="367" spans="2:4" x14ac:dyDescent="0.3">
      <c r="B367" s="176">
        <v>45103</v>
      </c>
      <c r="C367" s="15">
        <v>0.14000000000000001</v>
      </c>
      <c r="D367" s="15">
        <v>1.75</v>
      </c>
    </row>
    <row r="368" spans="2:4" x14ac:dyDescent="0.3">
      <c r="B368" s="176">
        <v>45104</v>
      </c>
      <c r="C368" s="15">
        <v>0.68</v>
      </c>
      <c r="D368" s="15">
        <v>0.32</v>
      </c>
    </row>
    <row r="369" spans="2:4" x14ac:dyDescent="0.3">
      <c r="B369" s="176">
        <v>45105</v>
      </c>
      <c r="C369" s="15">
        <v>0.82</v>
      </c>
      <c r="D369" s="15">
        <v>5.94</v>
      </c>
    </row>
    <row r="370" spans="2:4" x14ac:dyDescent="0.3">
      <c r="B370" s="176">
        <v>45107</v>
      </c>
      <c r="C370" s="15">
        <v>1.1399999999999999</v>
      </c>
      <c r="D370" s="15">
        <v>-6.34</v>
      </c>
    </row>
    <row r="371" spans="2:4" x14ac:dyDescent="0.3">
      <c r="B371" s="176">
        <v>45110</v>
      </c>
      <c r="C371" s="15">
        <v>0.7</v>
      </c>
      <c r="D371" s="15">
        <v>0.78</v>
      </c>
    </row>
    <row r="372" spans="2:4" x14ac:dyDescent="0.3">
      <c r="B372" s="176">
        <v>45111</v>
      </c>
      <c r="C372" s="15">
        <v>0.34</v>
      </c>
      <c r="D372" s="15">
        <v>-0.34</v>
      </c>
    </row>
    <row r="373" spans="2:4" x14ac:dyDescent="0.3">
      <c r="B373" s="176">
        <v>45112</v>
      </c>
      <c r="C373" s="15">
        <v>0.05</v>
      </c>
      <c r="D373" s="15">
        <v>-0.08</v>
      </c>
    </row>
    <row r="374" spans="2:4" x14ac:dyDescent="0.3">
      <c r="B374" s="176">
        <v>45113</v>
      </c>
      <c r="C374" s="15">
        <v>0.51</v>
      </c>
      <c r="D374" s="15">
        <v>-0.08</v>
      </c>
    </row>
    <row r="375" spans="2:4" x14ac:dyDescent="0.3">
      <c r="B375" s="176">
        <v>45114</v>
      </c>
      <c r="C375" s="15">
        <v>-0.85</v>
      </c>
      <c r="D375" s="15">
        <v>-1.23</v>
      </c>
    </row>
    <row r="376" spans="2:4" x14ac:dyDescent="0.3">
      <c r="B376" s="176">
        <v>45117</v>
      </c>
      <c r="C376" s="15">
        <v>0.12</v>
      </c>
      <c r="D376" s="15">
        <v>-1.32</v>
      </c>
    </row>
    <row r="377" spans="2:4" x14ac:dyDescent="0.3">
      <c r="B377" s="176">
        <v>45118</v>
      </c>
      <c r="C377" s="15">
        <v>0.43</v>
      </c>
      <c r="D377" s="15">
        <v>0.56000000000000005</v>
      </c>
    </row>
    <row r="378" spans="2:4" x14ac:dyDescent="0.3">
      <c r="B378" s="176">
        <v>45119</v>
      </c>
      <c r="C378" s="15">
        <v>-0.28000000000000003</v>
      </c>
      <c r="D378" s="15">
        <v>-0.19</v>
      </c>
    </row>
    <row r="379" spans="2:4" x14ac:dyDescent="0.3">
      <c r="B379" s="176">
        <v>45120</v>
      </c>
      <c r="C379" s="15">
        <v>0.15</v>
      </c>
      <c r="D379" s="15">
        <v>-0.99</v>
      </c>
    </row>
    <row r="380" spans="2:4" x14ac:dyDescent="0.3">
      <c r="B380" s="176">
        <v>45121</v>
      </c>
      <c r="C380" s="15">
        <v>0.78</v>
      </c>
      <c r="D380" s="15">
        <v>-0.39</v>
      </c>
    </row>
    <row r="381" spans="2:4" x14ac:dyDescent="0.3">
      <c r="B381" s="176">
        <v>45124</v>
      </c>
      <c r="C381" s="15">
        <v>0.75</v>
      </c>
      <c r="D381" s="15">
        <v>3.79</v>
      </c>
    </row>
    <row r="382" spans="2:4" x14ac:dyDescent="0.3">
      <c r="B382" s="176">
        <v>45125</v>
      </c>
      <c r="C382" s="15">
        <v>0.19</v>
      </c>
      <c r="D382" s="15">
        <v>1.63</v>
      </c>
    </row>
    <row r="383" spans="2:4" x14ac:dyDescent="0.3">
      <c r="B383" s="176">
        <v>45126</v>
      </c>
      <c r="C383" s="15">
        <v>0.42</v>
      </c>
      <c r="D383" s="15">
        <v>-0.5</v>
      </c>
    </row>
    <row r="384" spans="2:4" x14ac:dyDescent="0.3">
      <c r="B384" s="176">
        <v>45127</v>
      </c>
      <c r="C384" s="15">
        <v>0.74</v>
      </c>
      <c r="D384" s="15">
        <v>0.15</v>
      </c>
    </row>
    <row r="385" spans="2:4" x14ac:dyDescent="0.3">
      <c r="B385" s="176">
        <v>45128</v>
      </c>
      <c r="C385" s="15">
        <v>-1.17</v>
      </c>
      <c r="D385" s="15">
        <v>-0.66</v>
      </c>
    </row>
    <row r="386" spans="2:4" x14ac:dyDescent="0.3">
      <c r="B386" s="176">
        <v>45131</v>
      </c>
      <c r="C386" s="15">
        <v>-0.37</v>
      </c>
      <c r="D386" s="15">
        <v>-0.25</v>
      </c>
    </row>
    <row r="387" spans="2:4" x14ac:dyDescent="0.3">
      <c r="B387" s="176">
        <v>45132</v>
      </c>
      <c r="C387" s="15">
        <v>0.04</v>
      </c>
      <c r="D387" s="15">
        <v>7.97</v>
      </c>
    </row>
    <row r="388" spans="2:4" x14ac:dyDescent="0.3">
      <c r="B388" s="176">
        <v>45133</v>
      </c>
      <c r="C388" s="15">
        <v>0.5</v>
      </c>
      <c r="D388" s="15">
        <v>-2.38</v>
      </c>
    </row>
    <row r="389" spans="2:4" x14ac:dyDescent="0.3">
      <c r="B389" s="176">
        <v>45134</v>
      </c>
      <c r="C389" s="15">
        <v>-0.6</v>
      </c>
      <c r="D389" s="15">
        <v>-1.22</v>
      </c>
    </row>
    <row r="390" spans="2:4" x14ac:dyDescent="0.3">
      <c r="B390" s="176">
        <v>45135</v>
      </c>
      <c r="C390" s="15">
        <v>-7.0000000000000007E-2</v>
      </c>
      <c r="D390" s="15">
        <v>1.22</v>
      </c>
    </row>
    <row r="391" spans="2:4" x14ac:dyDescent="0.3">
      <c r="B391" s="176">
        <v>45138</v>
      </c>
      <c r="C391" s="15">
        <v>0.55000000000000004</v>
      </c>
      <c r="D391" s="15">
        <v>0.72</v>
      </c>
    </row>
    <row r="392" spans="2:4" x14ac:dyDescent="0.3">
      <c r="B392" s="176">
        <v>45139</v>
      </c>
      <c r="C392" s="15">
        <v>-0.1</v>
      </c>
      <c r="D392" s="15">
        <v>-2.04</v>
      </c>
    </row>
    <row r="393" spans="2:4" x14ac:dyDescent="0.3">
      <c r="B393" s="176">
        <v>45140</v>
      </c>
      <c r="C393" s="15">
        <v>-1.05</v>
      </c>
      <c r="D393" s="15">
        <v>-1.82</v>
      </c>
    </row>
    <row r="394" spans="2:4" x14ac:dyDescent="0.3">
      <c r="B394" s="176">
        <v>45141</v>
      </c>
      <c r="C394" s="15">
        <v>-0.74</v>
      </c>
      <c r="D394" s="15">
        <v>0.94</v>
      </c>
    </row>
    <row r="395" spans="2:4" x14ac:dyDescent="0.3">
      <c r="B395" s="176">
        <v>45142</v>
      </c>
      <c r="C395" s="15">
        <v>0.7</v>
      </c>
      <c r="D395" s="15">
        <v>-0.01</v>
      </c>
    </row>
    <row r="396" spans="2:4" x14ac:dyDescent="0.3">
      <c r="B396" s="176">
        <v>45145</v>
      </c>
      <c r="C396" s="15">
        <v>0.41</v>
      </c>
      <c r="D396" s="15">
        <v>4.53</v>
      </c>
    </row>
    <row r="397" spans="2:4" x14ac:dyDescent="0.3">
      <c r="B397" s="176">
        <v>45146</v>
      </c>
      <c r="C397" s="15">
        <v>-0.13</v>
      </c>
      <c r="D397" s="15">
        <v>-1.0900000000000001</v>
      </c>
    </row>
    <row r="398" spans="2:4" x14ac:dyDescent="0.3">
      <c r="B398" s="176">
        <v>45147</v>
      </c>
      <c r="C398" s="15">
        <v>0.32</v>
      </c>
      <c r="D398" s="15">
        <v>-1.41</v>
      </c>
    </row>
    <row r="399" spans="2:4" x14ac:dyDescent="0.3">
      <c r="B399" s="176">
        <v>45148</v>
      </c>
      <c r="C399" s="15">
        <v>-0.46</v>
      </c>
      <c r="D399" s="15">
        <v>1.0900000000000001</v>
      </c>
    </row>
    <row r="400" spans="2:4" x14ac:dyDescent="0.3">
      <c r="B400" s="176">
        <v>45149</v>
      </c>
      <c r="C400" s="15">
        <v>-0.59</v>
      </c>
      <c r="D400" s="15">
        <v>1.33</v>
      </c>
    </row>
    <row r="401" spans="2:4" x14ac:dyDescent="0.3">
      <c r="B401" s="176">
        <v>45152</v>
      </c>
      <c r="C401" s="15">
        <v>0.03</v>
      </c>
      <c r="D401" s="15">
        <v>-2.81</v>
      </c>
    </row>
    <row r="402" spans="2:4" x14ac:dyDescent="0.3">
      <c r="B402" s="176">
        <v>45154</v>
      </c>
      <c r="C402" s="15">
        <v>0.16</v>
      </c>
      <c r="D402" s="15">
        <v>1.21</v>
      </c>
    </row>
    <row r="403" spans="2:4" x14ac:dyDescent="0.3">
      <c r="B403" s="176">
        <v>45155</v>
      </c>
      <c r="C403" s="15">
        <v>-0.51</v>
      </c>
      <c r="D403" s="15">
        <v>0.5</v>
      </c>
    </row>
    <row r="404" spans="2:4" x14ac:dyDescent="0.3">
      <c r="B404" s="176">
        <v>45156</v>
      </c>
      <c r="C404" s="15">
        <v>-0.28000000000000003</v>
      </c>
      <c r="D404" s="15">
        <v>6.04</v>
      </c>
    </row>
    <row r="405" spans="2:4" x14ac:dyDescent="0.3">
      <c r="B405" s="176">
        <v>45159</v>
      </c>
      <c r="C405" s="15">
        <v>0.43</v>
      </c>
      <c r="D405" s="15">
        <v>5.92</v>
      </c>
    </row>
    <row r="406" spans="2:4" x14ac:dyDescent="0.3">
      <c r="B406" s="176">
        <v>45160</v>
      </c>
      <c r="C406" s="15">
        <v>0.01</v>
      </c>
      <c r="D406" s="15">
        <v>3.96</v>
      </c>
    </row>
    <row r="407" spans="2:4" x14ac:dyDescent="0.3">
      <c r="B407" s="176">
        <v>45161</v>
      </c>
      <c r="C407" s="15">
        <v>0.25</v>
      </c>
      <c r="D407" s="15">
        <v>-7.26</v>
      </c>
    </row>
    <row r="408" spans="2:4" x14ac:dyDescent="0.3">
      <c r="B408" s="176">
        <v>45162</v>
      </c>
      <c r="C408" s="15">
        <v>-0.28999999999999998</v>
      </c>
      <c r="D408" s="15">
        <v>0.53</v>
      </c>
    </row>
    <row r="409" spans="2:4" x14ac:dyDescent="0.3">
      <c r="B409" s="176">
        <v>45163</v>
      </c>
      <c r="C409" s="15">
        <v>-0.62</v>
      </c>
      <c r="D409" s="15">
        <v>-2.2999999999999998</v>
      </c>
    </row>
    <row r="410" spans="2:4" x14ac:dyDescent="0.3">
      <c r="B410" s="176">
        <v>45166</v>
      </c>
      <c r="C410" s="15">
        <v>0.21</v>
      </c>
      <c r="D410" s="15">
        <v>-1.1000000000000001</v>
      </c>
    </row>
    <row r="411" spans="2:4" x14ac:dyDescent="0.3">
      <c r="B411" s="176">
        <v>45167</v>
      </c>
      <c r="C411" s="15">
        <v>0.19</v>
      </c>
      <c r="D411" s="15">
        <v>-0.9</v>
      </c>
    </row>
    <row r="412" spans="2:4" x14ac:dyDescent="0.3">
      <c r="B412" s="176">
        <v>45168</v>
      </c>
      <c r="C412" s="15">
        <v>0.02</v>
      </c>
      <c r="D412" s="15">
        <v>-1.8</v>
      </c>
    </row>
    <row r="413" spans="2:4" x14ac:dyDescent="0.3">
      <c r="B413" s="176">
        <v>45169</v>
      </c>
      <c r="C413" s="15">
        <v>-0.48</v>
      </c>
      <c r="D413" s="15">
        <v>-3.53</v>
      </c>
    </row>
    <row r="414" spans="2:4" x14ac:dyDescent="0.3">
      <c r="B414" s="176">
        <v>45170</v>
      </c>
      <c r="C414" s="15">
        <v>0.94</v>
      </c>
      <c r="D414" s="15">
        <v>1.59</v>
      </c>
    </row>
    <row r="415" spans="2:4" x14ac:dyDescent="0.3">
      <c r="B415" s="176">
        <v>45173</v>
      </c>
      <c r="C415" s="15">
        <v>0.48</v>
      </c>
      <c r="D415" s="15">
        <v>-0.88</v>
      </c>
    </row>
    <row r="416" spans="2:4" x14ac:dyDescent="0.3">
      <c r="B416" s="176">
        <v>45174</v>
      </c>
      <c r="C416" s="15">
        <v>0.24</v>
      </c>
      <c r="D416" s="15">
        <v>-0.51</v>
      </c>
    </row>
    <row r="417" spans="2:4" x14ac:dyDescent="0.3">
      <c r="B417" s="176">
        <v>45175</v>
      </c>
      <c r="C417" s="15">
        <v>0.18</v>
      </c>
      <c r="D417" s="15">
        <v>5.22</v>
      </c>
    </row>
    <row r="418" spans="2:4" x14ac:dyDescent="0.3">
      <c r="B418" s="176">
        <v>45176</v>
      </c>
      <c r="C418" s="15">
        <v>0.59</v>
      </c>
      <c r="D418" s="15">
        <v>-1.93</v>
      </c>
    </row>
    <row r="419" spans="2:4" x14ac:dyDescent="0.3">
      <c r="B419" s="176">
        <v>45177</v>
      </c>
      <c r="C419" s="15">
        <v>0.47</v>
      </c>
      <c r="D419" s="15">
        <v>-0.76</v>
      </c>
    </row>
    <row r="420" spans="2:4" x14ac:dyDescent="0.3">
      <c r="B420" s="176">
        <v>45180</v>
      </c>
      <c r="C420" s="15">
        <v>0.89</v>
      </c>
      <c r="D420" s="15">
        <v>5.03</v>
      </c>
    </row>
    <row r="421" spans="2:4" x14ac:dyDescent="0.3">
      <c r="B421" s="176">
        <v>45181</v>
      </c>
      <c r="C421" s="15">
        <v>-0.02</v>
      </c>
      <c r="D421" s="15">
        <v>-2.58</v>
      </c>
    </row>
    <row r="422" spans="2:4" x14ac:dyDescent="0.3">
      <c r="B422" s="176">
        <v>45182</v>
      </c>
      <c r="C422" s="15">
        <v>0.38</v>
      </c>
      <c r="D422" s="15">
        <v>-1.81</v>
      </c>
    </row>
    <row r="423" spans="2:4" x14ac:dyDescent="0.3">
      <c r="B423" s="176">
        <v>45183</v>
      </c>
      <c r="C423" s="15">
        <v>0.16</v>
      </c>
      <c r="D423" s="15">
        <v>1.77</v>
      </c>
    </row>
    <row r="424" spans="2:4" x14ac:dyDescent="0.3">
      <c r="B424" s="176">
        <v>45184</v>
      </c>
      <c r="C424" s="15">
        <v>0.44</v>
      </c>
      <c r="D424" s="15">
        <v>-0.66</v>
      </c>
    </row>
    <row r="425" spans="2:4" x14ac:dyDescent="0.3">
      <c r="B425" s="176">
        <v>45187</v>
      </c>
      <c r="C425" s="15">
        <v>-0.28999999999999998</v>
      </c>
      <c r="D425" s="15">
        <v>1.06</v>
      </c>
    </row>
    <row r="426" spans="2:4" x14ac:dyDescent="0.3">
      <c r="B426" s="176">
        <v>45189</v>
      </c>
      <c r="C426" s="15">
        <v>-1.1499999999999999</v>
      </c>
      <c r="D426" s="15">
        <v>0.01</v>
      </c>
    </row>
    <row r="427" spans="2:4" x14ac:dyDescent="0.3">
      <c r="B427" s="176">
        <v>45190</v>
      </c>
      <c r="C427" s="15">
        <v>-0.8</v>
      </c>
      <c r="D427" s="15">
        <v>-0.92</v>
      </c>
    </row>
    <row r="428" spans="2:4" x14ac:dyDescent="0.3">
      <c r="B428" s="176">
        <v>45191</v>
      </c>
      <c r="C428" s="15">
        <v>-0.34</v>
      </c>
      <c r="D428" s="15">
        <v>-0.97</v>
      </c>
    </row>
    <row r="429" spans="2:4" x14ac:dyDescent="0.3">
      <c r="B429" s="176">
        <v>45194</v>
      </c>
      <c r="C429" s="15">
        <v>0</v>
      </c>
      <c r="D429" s="15">
        <v>-1.04</v>
      </c>
    </row>
    <row r="430" spans="2:4" x14ac:dyDescent="0.3">
      <c r="B430" s="176">
        <v>45195</v>
      </c>
      <c r="C430" s="15">
        <v>-0.05</v>
      </c>
      <c r="D430" s="15">
        <v>-1.51</v>
      </c>
    </row>
    <row r="431" spans="2:4" x14ac:dyDescent="0.3">
      <c r="B431" s="176">
        <v>45196</v>
      </c>
      <c r="C431" s="15">
        <v>0.26</v>
      </c>
      <c r="D431" s="15">
        <v>-0.2</v>
      </c>
    </row>
    <row r="432" spans="2:4" x14ac:dyDescent="0.3">
      <c r="B432" s="176">
        <v>45197</v>
      </c>
      <c r="C432" s="15">
        <v>-0.98</v>
      </c>
      <c r="D432" s="15">
        <v>1.75</v>
      </c>
    </row>
    <row r="433" spans="2:4" x14ac:dyDescent="0.3">
      <c r="B433" s="176">
        <v>45198</v>
      </c>
      <c r="C433" s="15">
        <v>0.59</v>
      </c>
      <c r="D433" s="15">
        <v>-2.44</v>
      </c>
    </row>
    <row r="434" spans="2:4" x14ac:dyDescent="0.3">
      <c r="B434" s="176">
        <v>45202</v>
      </c>
      <c r="C434" s="15">
        <v>-0.56000000000000005</v>
      </c>
      <c r="D434" s="15">
        <v>-0.31</v>
      </c>
    </row>
    <row r="435" spans="2:4" x14ac:dyDescent="0.3">
      <c r="B435" s="176">
        <v>45203</v>
      </c>
      <c r="C435" s="15">
        <v>-0.47</v>
      </c>
      <c r="D435" s="15">
        <v>0.04</v>
      </c>
    </row>
    <row r="436" spans="2:4" x14ac:dyDescent="0.3">
      <c r="B436" s="176">
        <v>45204</v>
      </c>
      <c r="C436" s="15">
        <v>0.56000000000000005</v>
      </c>
      <c r="D436" s="15">
        <v>-0.05</v>
      </c>
    </row>
    <row r="437" spans="2:4" x14ac:dyDescent="0.3">
      <c r="B437" s="176">
        <v>45205</v>
      </c>
      <c r="C437" s="15">
        <v>0.55000000000000004</v>
      </c>
      <c r="D437" s="15">
        <v>-0.21</v>
      </c>
    </row>
    <row r="438" spans="2:4" x14ac:dyDescent="0.3">
      <c r="B438" s="176">
        <v>45208</v>
      </c>
      <c r="C438" s="15">
        <v>-0.72</v>
      </c>
      <c r="D438" s="15">
        <v>-3.36</v>
      </c>
    </row>
    <row r="439" spans="2:4" x14ac:dyDescent="0.3">
      <c r="B439" s="176">
        <v>45209</v>
      </c>
      <c r="C439" s="15">
        <v>0.91</v>
      </c>
      <c r="D439" s="15">
        <v>0.91</v>
      </c>
    </row>
    <row r="440" spans="2:4" x14ac:dyDescent="0.3">
      <c r="B440" s="176">
        <v>45210</v>
      </c>
      <c r="C440" s="15">
        <v>0.62</v>
      </c>
      <c r="D440" s="15">
        <v>1.55</v>
      </c>
    </row>
    <row r="441" spans="2:4" x14ac:dyDescent="0.3">
      <c r="B441" s="176">
        <v>45211</v>
      </c>
      <c r="C441" s="15">
        <v>-0.09</v>
      </c>
      <c r="D441" s="15">
        <v>-0.56000000000000005</v>
      </c>
    </row>
    <row r="442" spans="2:4" x14ac:dyDescent="0.3">
      <c r="B442" s="176">
        <v>45212</v>
      </c>
      <c r="C442" s="15">
        <v>-0.22</v>
      </c>
      <c r="D442" s="15">
        <v>-1.07</v>
      </c>
    </row>
    <row r="443" spans="2:4" x14ac:dyDescent="0.3">
      <c r="B443" s="176">
        <v>45215</v>
      </c>
      <c r="C443" s="15">
        <v>-0.1</v>
      </c>
      <c r="D443" s="15">
        <v>-1.33</v>
      </c>
    </row>
    <row r="444" spans="2:4" x14ac:dyDescent="0.3">
      <c r="B444" s="176">
        <v>45216</v>
      </c>
      <c r="C444" s="15">
        <v>0.4</v>
      </c>
      <c r="D444" s="15">
        <v>0.02</v>
      </c>
    </row>
    <row r="445" spans="2:4" x14ac:dyDescent="0.3">
      <c r="B445" s="176">
        <v>45217</v>
      </c>
      <c r="C445" s="15">
        <v>-0.71</v>
      </c>
      <c r="D445" s="15">
        <v>-1.29</v>
      </c>
    </row>
    <row r="446" spans="2:4" x14ac:dyDescent="0.3">
      <c r="B446" s="176">
        <v>45218</v>
      </c>
      <c r="C446" s="15">
        <v>-0.24</v>
      </c>
      <c r="D446" s="15">
        <v>-0.72</v>
      </c>
    </row>
    <row r="447" spans="2:4" x14ac:dyDescent="0.3">
      <c r="B447" s="176">
        <v>45219</v>
      </c>
      <c r="C447" s="15">
        <v>-0.42</v>
      </c>
      <c r="D447" s="15">
        <v>0.65</v>
      </c>
    </row>
    <row r="448" spans="2:4" x14ac:dyDescent="0.3">
      <c r="B448" s="176">
        <v>45222</v>
      </c>
      <c r="C448" s="15">
        <v>-1.34</v>
      </c>
      <c r="D448" s="15">
        <v>-3.74</v>
      </c>
    </row>
    <row r="449" spans="2:4" x14ac:dyDescent="0.3">
      <c r="B449" s="176">
        <v>45224</v>
      </c>
      <c r="C449" s="15">
        <v>-0.83</v>
      </c>
      <c r="D449" s="15">
        <v>-2.2999999999999998</v>
      </c>
    </row>
    <row r="450" spans="2:4" x14ac:dyDescent="0.3">
      <c r="B450" s="176">
        <v>45225</v>
      </c>
      <c r="C450" s="15">
        <v>-1.39</v>
      </c>
      <c r="D450" s="15">
        <v>2.81</v>
      </c>
    </row>
    <row r="451" spans="2:4" x14ac:dyDescent="0.3">
      <c r="B451" s="176">
        <v>45226</v>
      </c>
      <c r="C451" s="15">
        <v>1.01</v>
      </c>
      <c r="D451" s="15">
        <v>3.44</v>
      </c>
    </row>
    <row r="452" spans="2:4" x14ac:dyDescent="0.3">
      <c r="B452" s="176">
        <v>45229</v>
      </c>
      <c r="C452" s="15">
        <v>0.49</v>
      </c>
      <c r="D452" s="15">
        <v>-0.69</v>
      </c>
    </row>
    <row r="453" spans="2:4" x14ac:dyDescent="0.3">
      <c r="B453" s="176">
        <v>45230</v>
      </c>
      <c r="C453" s="15">
        <v>-0.32</v>
      </c>
      <c r="D453" s="15">
        <v>1.39</v>
      </c>
    </row>
    <row r="454" spans="2:4" x14ac:dyDescent="0.3">
      <c r="B454" s="176">
        <v>45231</v>
      </c>
      <c r="C454" s="15">
        <v>-0.47</v>
      </c>
      <c r="D454" s="15">
        <v>-2.58</v>
      </c>
    </row>
    <row r="455" spans="2:4" x14ac:dyDescent="0.3">
      <c r="B455" s="176">
        <v>45232</v>
      </c>
      <c r="C455" s="15">
        <v>0.76</v>
      </c>
      <c r="D455" s="15">
        <v>0.31</v>
      </c>
    </row>
    <row r="456" spans="2:4" x14ac:dyDescent="0.3">
      <c r="B456" s="176">
        <v>45233</v>
      </c>
      <c r="C456" s="15">
        <v>0.51</v>
      </c>
      <c r="D456" s="15">
        <v>1.76</v>
      </c>
    </row>
    <row r="457" spans="2:4" x14ac:dyDescent="0.3">
      <c r="B457" s="176">
        <v>45236</v>
      </c>
      <c r="C457" s="15">
        <v>0.94</v>
      </c>
      <c r="D457" s="15">
        <v>0.83</v>
      </c>
    </row>
    <row r="458" spans="2:4" x14ac:dyDescent="0.3">
      <c r="B458" s="176">
        <v>45237</v>
      </c>
      <c r="C458" s="15">
        <v>-0.03</v>
      </c>
      <c r="D458" s="15">
        <v>-1.27</v>
      </c>
    </row>
    <row r="459" spans="2:4" x14ac:dyDescent="0.3">
      <c r="B459" s="176">
        <v>45238</v>
      </c>
      <c r="C459" s="15">
        <v>0.19</v>
      </c>
      <c r="D459" s="15">
        <v>-0.54</v>
      </c>
    </row>
    <row r="460" spans="2:4" x14ac:dyDescent="0.3">
      <c r="B460" s="176">
        <v>45239</v>
      </c>
      <c r="C460" s="15">
        <v>-0.25</v>
      </c>
      <c r="D460" s="15">
        <v>-1.02</v>
      </c>
    </row>
    <row r="461" spans="2:4" x14ac:dyDescent="0.3">
      <c r="B461" s="176">
        <v>45240</v>
      </c>
      <c r="C461" s="15">
        <v>0.15</v>
      </c>
      <c r="D461" s="15">
        <v>1.37</v>
      </c>
    </row>
    <row r="462" spans="2:4" x14ac:dyDescent="0.3">
      <c r="B462" s="176">
        <v>45243</v>
      </c>
      <c r="C462" s="15">
        <v>0.09</v>
      </c>
      <c r="D462" s="15">
        <v>-0.19</v>
      </c>
    </row>
    <row r="463" spans="2:4" x14ac:dyDescent="0.3">
      <c r="B463" s="176">
        <v>45245</v>
      </c>
      <c r="C463" s="15">
        <v>1.19</v>
      </c>
      <c r="D463" s="15">
        <v>-0.61</v>
      </c>
    </row>
    <row r="464" spans="2:4" x14ac:dyDescent="0.3">
      <c r="B464" s="176">
        <v>45246</v>
      </c>
      <c r="C464" s="15">
        <v>0.46</v>
      </c>
      <c r="D464" s="15">
        <v>-0.95</v>
      </c>
    </row>
    <row r="465" spans="2:4" x14ac:dyDescent="0.3">
      <c r="B465" s="176">
        <v>45247</v>
      </c>
      <c r="C465" s="15">
        <v>-0.17</v>
      </c>
      <c r="D465" s="15">
        <v>-0.8</v>
      </c>
    </row>
    <row r="466" spans="2:4" x14ac:dyDescent="0.3">
      <c r="B466" s="176">
        <v>45250</v>
      </c>
      <c r="C466" s="15">
        <v>-0.19</v>
      </c>
      <c r="D466" s="15">
        <v>-1.85</v>
      </c>
    </row>
    <row r="467" spans="2:4" x14ac:dyDescent="0.3">
      <c r="B467" s="176">
        <v>45251</v>
      </c>
      <c r="C467" s="15">
        <v>0.45</v>
      </c>
      <c r="D467" s="15">
        <v>0.59</v>
      </c>
    </row>
    <row r="468" spans="2:4" x14ac:dyDescent="0.3">
      <c r="B468" s="176">
        <v>45252</v>
      </c>
      <c r="C468" s="15">
        <v>0.14000000000000001</v>
      </c>
      <c r="D468" s="15">
        <v>-0.66</v>
      </c>
    </row>
    <row r="469" spans="2:4" x14ac:dyDescent="0.3">
      <c r="B469" s="176">
        <v>45253</v>
      </c>
      <c r="C469" s="15">
        <v>-0.05</v>
      </c>
      <c r="D469" s="15">
        <v>-0.54</v>
      </c>
    </row>
    <row r="470" spans="2:4" x14ac:dyDescent="0.3">
      <c r="B470" s="176">
        <v>45254</v>
      </c>
      <c r="C470" s="15">
        <v>-0.04</v>
      </c>
      <c r="D470" s="15">
        <v>0.84</v>
      </c>
    </row>
    <row r="471" spans="2:4" x14ac:dyDescent="0.3">
      <c r="B471" s="176">
        <v>45258</v>
      </c>
      <c r="C471" s="15">
        <v>0.48</v>
      </c>
      <c r="D471" s="15">
        <v>18.649999999999999</v>
      </c>
    </row>
    <row r="472" spans="2:4" x14ac:dyDescent="0.3">
      <c r="B472" s="176">
        <v>45259</v>
      </c>
      <c r="C472" s="15">
        <v>1.04</v>
      </c>
      <c r="D472" s="15">
        <v>1.23</v>
      </c>
    </row>
    <row r="473" spans="2:4" x14ac:dyDescent="0.3">
      <c r="B473" s="176">
        <v>45260</v>
      </c>
      <c r="C473" s="15">
        <v>0.18</v>
      </c>
      <c r="D473" s="15">
        <v>-0.35</v>
      </c>
    </row>
    <row r="474" spans="2:4" x14ac:dyDescent="0.3">
      <c r="B474" s="176">
        <v>45261</v>
      </c>
      <c r="C474" s="15">
        <v>0.67</v>
      </c>
      <c r="D474" s="15">
        <v>-2.06</v>
      </c>
    </row>
    <row r="475" spans="2:4" x14ac:dyDescent="0.3">
      <c r="B475" s="176">
        <v>45264</v>
      </c>
      <c r="C475" s="15">
        <v>2.0699999999999998</v>
      </c>
      <c r="D475" s="15">
        <v>5.73</v>
      </c>
    </row>
    <row r="476" spans="2:4" x14ac:dyDescent="0.3">
      <c r="B476" s="176">
        <v>45265</v>
      </c>
      <c r="C476" s="15">
        <v>0.81</v>
      </c>
      <c r="D476" s="15">
        <v>20</v>
      </c>
    </row>
    <row r="477" spans="2:4" x14ac:dyDescent="0.3">
      <c r="B477" s="176">
        <v>45266</v>
      </c>
      <c r="C477" s="15">
        <v>0.4</v>
      </c>
      <c r="D477" s="15">
        <v>7.37</v>
      </c>
    </row>
    <row r="478" spans="2:4" x14ac:dyDescent="0.3">
      <c r="B478" s="176">
        <v>45267</v>
      </c>
      <c r="C478" s="15">
        <v>-0.17</v>
      </c>
      <c r="D478" s="15">
        <v>2.95</v>
      </c>
    </row>
    <row r="479" spans="2:4" x14ac:dyDescent="0.3">
      <c r="B479" s="176">
        <v>45268</v>
      </c>
      <c r="C479" s="15">
        <v>0.33</v>
      </c>
      <c r="D479" s="15">
        <v>-5.61</v>
      </c>
    </row>
    <row r="480" spans="2:4" x14ac:dyDescent="0.3">
      <c r="B480" s="176">
        <v>45271</v>
      </c>
      <c r="C480" s="15">
        <v>0.13</v>
      </c>
      <c r="D480" s="15">
        <v>-0.14000000000000001</v>
      </c>
    </row>
    <row r="481" spans="2:4" x14ac:dyDescent="0.3">
      <c r="B481" s="176">
        <v>45272</v>
      </c>
      <c r="C481" s="15">
        <v>-0.43</v>
      </c>
      <c r="D481" s="15">
        <v>-3.61</v>
      </c>
    </row>
    <row r="482" spans="2:4" x14ac:dyDescent="0.3">
      <c r="B482" s="176">
        <v>45273</v>
      </c>
      <c r="C482" s="15">
        <v>0.1</v>
      </c>
      <c r="D482" s="15">
        <v>-5.35</v>
      </c>
    </row>
    <row r="483" spans="2:4" x14ac:dyDescent="0.3">
      <c r="B483" s="176">
        <v>45274</v>
      </c>
      <c r="C483" s="15">
        <v>1.23</v>
      </c>
      <c r="D483" s="15">
        <v>4.25</v>
      </c>
    </row>
    <row r="484" spans="2:4" x14ac:dyDescent="0.3">
      <c r="B484" s="176">
        <v>45275</v>
      </c>
      <c r="C484" s="15">
        <v>1.29</v>
      </c>
      <c r="D484" s="15">
        <v>-2.56</v>
      </c>
    </row>
    <row r="485" spans="2:4" x14ac:dyDescent="0.3">
      <c r="B485" s="176">
        <v>45278</v>
      </c>
      <c r="C485" s="15">
        <v>-0.18</v>
      </c>
      <c r="D485" s="15">
        <v>-0.4</v>
      </c>
    </row>
    <row r="486" spans="2:4" x14ac:dyDescent="0.3">
      <c r="B486" s="176">
        <v>45279</v>
      </c>
      <c r="C486" s="15">
        <v>0.16</v>
      </c>
      <c r="D486" s="15">
        <v>3.18</v>
      </c>
    </row>
    <row r="487" spans="2:4" x14ac:dyDescent="0.3">
      <c r="B487" s="176">
        <v>45280</v>
      </c>
      <c r="C487" s="15">
        <v>-1.41</v>
      </c>
      <c r="D487" s="15">
        <v>-7.18</v>
      </c>
    </row>
    <row r="488" spans="2:4" x14ac:dyDescent="0.3">
      <c r="B488" s="176">
        <v>45281</v>
      </c>
      <c r="C488" s="15">
        <v>0.5</v>
      </c>
      <c r="D488" s="15">
        <v>2.77</v>
      </c>
    </row>
    <row r="489" spans="2:4" x14ac:dyDescent="0.3">
      <c r="B489" s="176">
        <v>45282</v>
      </c>
      <c r="C489" s="15">
        <v>0.44</v>
      </c>
      <c r="D489" s="15">
        <v>0.13</v>
      </c>
    </row>
    <row r="490" spans="2:4" x14ac:dyDescent="0.3">
      <c r="B490" s="176">
        <v>45286</v>
      </c>
      <c r="C490" s="15">
        <v>0.43</v>
      </c>
      <c r="D490" s="15">
        <v>1.33</v>
      </c>
    </row>
    <row r="491" spans="2:4" x14ac:dyDescent="0.3">
      <c r="B491" s="176">
        <v>45287</v>
      </c>
      <c r="C491" s="15">
        <v>1</v>
      </c>
      <c r="D491" s="15">
        <v>1.64</v>
      </c>
    </row>
    <row r="492" spans="2:4" x14ac:dyDescent="0.3">
      <c r="B492" s="176">
        <v>45288</v>
      </c>
      <c r="C492" s="15">
        <v>0.56999999999999995</v>
      </c>
      <c r="D492" s="15">
        <v>-3.41</v>
      </c>
    </row>
    <row r="493" spans="2:4" x14ac:dyDescent="0.3">
      <c r="B493" s="176">
        <v>45289</v>
      </c>
      <c r="C493" s="15">
        <v>-0.22</v>
      </c>
      <c r="D493" s="15">
        <v>2.27</v>
      </c>
    </row>
    <row r="494" spans="2:4" x14ac:dyDescent="0.3">
      <c r="B494" s="176">
        <v>45292</v>
      </c>
      <c r="C494" s="15">
        <v>0.05</v>
      </c>
      <c r="D494" s="15">
        <v>0.89</v>
      </c>
    </row>
    <row r="495" spans="2:4" x14ac:dyDescent="0.3">
      <c r="B495" s="176">
        <v>45293</v>
      </c>
      <c r="C495" s="15">
        <v>-0.35</v>
      </c>
      <c r="D495" s="15">
        <v>0.7</v>
      </c>
    </row>
    <row r="496" spans="2:4" x14ac:dyDescent="0.3">
      <c r="B496" s="176">
        <v>45294</v>
      </c>
      <c r="C496" s="15">
        <v>-0.69</v>
      </c>
      <c r="D496" s="15">
        <v>11.37</v>
      </c>
    </row>
    <row r="497" spans="2:4" x14ac:dyDescent="0.3">
      <c r="B497" s="176">
        <v>45295</v>
      </c>
      <c r="C497" s="15">
        <v>0.66</v>
      </c>
      <c r="D497" s="15">
        <v>-0.28999999999999998</v>
      </c>
    </row>
    <row r="498" spans="2:4" x14ac:dyDescent="0.3">
      <c r="B498" s="176">
        <v>45296</v>
      </c>
      <c r="C498" s="15">
        <v>0.24</v>
      </c>
      <c r="D498" s="15">
        <v>-1.34</v>
      </c>
    </row>
    <row r="499" spans="2:4" x14ac:dyDescent="0.3">
      <c r="B499" s="176">
        <v>45299</v>
      </c>
      <c r="C499" s="15">
        <v>-0.91</v>
      </c>
      <c r="D499" s="15">
        <v>-1.76</v>
      </c>
    </row>
    <row r="500" spans="2:4" x14ac:dyDescent="0.3">
      <c r="B500" s="176">
        <v>45300</v>
      </c>
      <c r="C500" s="15">
        <v>0.15</v>
      </c>
      <c r="D500" s="15">
        <v>1.8</v>
      </c>
    </row>
    <row r="501" spans="2:4" x14ac:dyDescent="0.3">
      <c r="B501" s="176">
        <v>45301</v>
      </c>
      <c r="C501" s="15">
        <v>0.34</v>
      </c>
      <c r="D501" s="15">
        <v>0.53</v>
      </c>
    </row>
    <row r="502" spans="2:4" x14ac:dyDescent="0.3">
      <c r="B502" s="176">
        <v>45302</v>
      </c>
      <c r="C502" s="15">
        <v>0.13</v>
      </c>
      <c r="D502" s="15">
        <v>-0.91</v>
      </c>
    </row>
    <row r="503" spans="2:4" x14ac:dyDescent="0.3">
      <c r="B503" s="176">
        <v>45303</v>
      </c>
      <c r="C503" s="15">
        <v>1.1399999999999999</v>
      </c>
      <c r="D503" s="15">
        <v>-0.65</v>
      </c>
    </row>
    <row r="504" spans="2:4" x14ac:dyDescent="0.3">
      <c r="B504" s="176">
        <v>45306</v>
      </c>
      <c r="C504" s="15">
        <v>0.93</v>
      </c>
      <c r="D504" s="15">
        <v>0</v>
      </c>
    </row>
    <row r="505" spans="2:4" x14ac:dyDescent="0.3">
      <c r="B505" s="176">
        <v>45307</v>
      </c>
      <c r="C505" s="15">
        <v>-0.28999999999999998</v>
      </c>
      <c r="D505" s="15">
        <v>-2.2400000000000002</v>
      </c>
    </row>
    <row r="506" spans="2:4" x14ac:dyDescent="0.3">
      <c r="B506" s="176">
        <v>45308</v>
      </c>
      <c r="C506" s="15">
        <v>-2.09</v>
      </c>
      <c r="D506" s="15">
        <v>-3.48</v>
      </c>
    </row>
    <row r="507" spans="2:4" x14ac:dyDescent="0.3">
      <c r="B507" s="176">
        <v>45309</v>
      </c>
      <c r="C507" s="15">
        <v>-0.51</v>
      </c>
      <c r="D507" s="15">
        <v>-1.99</v>
      </c>
    </row>
    <row r="508" spans="2:4" x14ac:dyDescent="0.3">
      <c r="B508" s="176">
        <v>45310</v>
      </c>
      <c r="C508" s="15">
        <v>0.75</v>
      </c>
      <c r="D508" s="15">
        <v>-1.4</v>
      </c>
    </row>
    <row r="509" spans="2:4" x14ac:dyDescent="0.3">
      <c r="B509" s="176">
        <v>45314</v>
      </c>
      <c r="C509" s="15">
        <v>-1.77</v>
      </c>
      <c r="D509" s="15">
        <v>0.53</v>
      </c>
    </row>
    <row r="510" spans="2:4" x14ac:dyDescent="0.3">
      <c r="B510" s="176">
        <v>45315</v>
      </c>
      <c r="C510" s="15">
        <v>1.01</v>
      </c>
      <c r="D510" s="15">
        <v>-1.88</v>
      </c>
    </row>
    <row r="511" spans="2:4" x14ac:dyDescent="0.3">
      <c r="B511" s="176">
        <v>45316</v>
      </c>
      <c r="C511" s="15">
        <v>-0.47</v>
      </c>
      <c r="D511" s="15">
        <v>2.4700000000000002</v>
      </c>
    </row>
    <row r="512" spans="2:4" x14ac:dyDescent="0.3">
      <c r="B512" s="176">
        <v>45320</v>
      </c>
      <c r="C512" s="15">
        <v>1.8</v>
      </c>
      <c r="D512" s="15">
        <v>3.41</v>
      </c>
    </row>
    <row r="513" spans="2:4" x14ac:dyDescent="0.3">
      <c r="B513" s="176">
        <v>45321</v>
      </c>
      <c r="C513" s="15">
        <v>-0.99</v>
      </c>
      <c r="D513" s="15">
        <v>-2.31</v>
      </c>
    </row>
    <row r="514" spans="2:4" x14ac:dyDescent="0.3">
      <c r="B514" s="176">
        <v>45322</v>
      </c>
      <c r="C514" s="15">
        <v>0.95</v>
      </c>
      <c r="D514" s="15">
        <v>-0.45</v>
      </c>
    </row>
    <row r="515" spans="2:4" x14ac:dyDescent="0.3">
      <c r="B515" s="176">
        <v>45323</v>
      </c>
      <c r="C515" s="15">
        <v>-0.13</v>
      </c>
      <c r="D515" s="15">
        <v>-0.01</v>
      </c>
    </row>
    <row r="516" spans="2:4" x14ac:dyDescent="0.3">
      <c r="B516" s="176">
        <v>45324</v>
      </c>
      <c r="C516" s="15">
        <v>0.72</v>
      </c>
      <c r="D516" s="15">
        <v>-1.47</v>
      </c>
    </row>
    <row r="517" spans="2:4" x14ac:dyDescent="0.3">
      <c r="B517" s="176">
        <v>45327</v>
      </c>
      <c r="C517" s="15">
        <v>-0.38</v>
      </c>
      <c r="D517" s="15">
        <v>-2.8</v>
      </c>
    </row>
    <row r="518" spans="2:4" x14ac:dyDescent="0.3">
      <c r="B518" s="176">
        <v>45328</v>
      </c>
      <c r="C518" s="15">
        <v>0.72</v>
      </c>
      <c r="D518" s="15">
        <v>0.63</v>
      </c>
    </row>
    <row r="519" spans="2:4" x14ac:dyDescent="0.3">
      <c r="B519" s="176">
        <v>45329</v>
      </c>
      <c r="C519" s="15">
        <v>0.01</v>
      </c>
      <c r="D519" s="15">
        <v>3.58</v>
      </c>
    </row>
    <row r="520" spans="2:4" x14ac:dyDescent="0.3">
      <c r="B520" s="176">
        <v>45330</v>
      </c>
      <c r="C520" s="15">
        <v>-0.97</v>
      </c>
      <c r="D520" s="15">
        <v>-1.5</v>
      </c>
    </row>
    <row r="521" spans="2:4" x14ac:dyDescent="0.3">
      <c r="B521" s="176">
        <v>45331</v>
      </c>
      <c r="C521" s="15">
        <v>0.3</v>
      </c>
      <c r="D521" s="15">
        <v>0.46</v>
      </c>
    </row>
    <row r="522" spans="2:4" x14ac:dyDescent="0.3">
      <c r="B522" s="176">
        <v>45334</v>
      </c>
      <c r="C522" s="15">
        <v>-0.76</v>
      </c>
      <c r="D522" s="15">
        <v>1.4</v>
      </c>
    </row>
    <row r="523" spans="2:4" x14ac:dyDescent="0.3">
      <c r="B523" s="176">
        <v>45335</v>
      </c>
      <c r="C523" s="15">
        <v>0.59</v>
      </c>
      <c r="D523" s="15">
        <v>-2.2999999999999998</v>
      </c>
    </row>
    <row r="524" spans="2:4" x14ac:dyDescent="0.3">
      <c r="B524" s="176">
        <v>45336</v>
      </c>
      <c r="C524" s="15">
        <v>0.45</v>
      </c>
      <c r="D524" s="15">
        <v>-0.75</v>
      </c>
    </row>
    <row r="525" spans="2:4" x14ac:dyDescent="0.3">
      <c r="B525" s="176">
        <v>45337</v>
      </c>
      <c r="C525" s="15">
        <v>0.32</v>
      </c>
      <c r="D525" s="15">
        <v>1.45</v>
      </c>
    </row>
    <row r="526" spans="2:4" x14ac:dyDescent="0.3">
      <c r="B526" s="176">
        <v>45338</v>
      </c>
      <c r="C526" s="15">
        <v>0.59</v>
      </c>
      <c r="D526" s="15">
        <v>0.91</v>
      </c>
    </row>
    <row r="527" spans="2:4" x14ac:dyDescent="0.3">
      <c r="B527" s="176">
        <v>45341</v>
      </c>
      <c r="C527" s="15">
        <v>0.37</v>
      </c>
      <c r="D527" s="15">
        <v>1.21</v>
      </c>
    </row>
    <row r="528" spans="2:4" x14ac:dyDescent="0.3">
      <c r="B528" s="176">
        <v>45342</v>
      </c>
      <c r="C528" s="15">
        <v>0.34</v>
      </c>
      <c r="D528" s="15">
        <v>-0.43</v>
      </c>
    </row>
    <row r="529" spans="2:4" x14ac:dyDescent="0.3">
      <c r="B529" s="176">
        <v>45343</v>
      </c>
      <c r="C529" s="15">
        <v>-0.64</v>
      </c>
      <c r="D529" s="15">
        <v>-0.47</v>
      </c>
    </row>
    <row r="530" spans="2:4" x14ac:dyDescent="0.3">
      <c r="B530" s="176">
        <v>45344</v>
      </c>
      <c r="C530" s="15">
        <v>0.74</v>
      </c>
      <c r="D530" s="15">
        <v>-0.55000000000000004</v>
      </c>
    </row>
    <row r="531" spans="2:4" x14ac:dyDescent="0.3">
      <c r="B531" s="176">
        <v>45345</v>
      </c>
      <c r="C531" s="15">
        <v>-0.02</v>
      </c>
      <c r="D531" s="15">
        <v>2.16</v>
      </c>
    </row>
    <row r="532" spans="2:4" x14ac:dyDescent="0.3">
      <c r="B532" s="176">
        <v>45348</v>
      </c>
      <c r="C532" s="15">
        <v>-0.41</v>
      </c>
      <c r="D532" s="15">
        <v>8.7200000000000006</v>
      </c>
    </row>
    <row r="533" spans="2:4" x14ac:dyDescent="0.3">
      <c r="B533" s="176">
        <v>45349</v>
      </c>
      <c r="C533" s="15">
        <v>0.34</v>
      </c>
      <c r="D533" s="15">
        <v>-4.54</v>
      </c>
    </row>
    <row r="534" spans="2:4" x14ac:dyDescent="0.3">
      <c r="B534" s="176">
        <v>45350</v>
      </c>
      <c r="C534" s="15">
        <v>-1.1100000000000001</v>
      </c>
      <c r="D534" s="15">
        <v>-4.12</v>
      </c>
    </row>
    <row r="535" spans="2:4" x14ac:dyDescent="0.3">
      <c r="B535" s="176">
        <v>45351</v>
      </c>
      <c r="C535" s="15">
        <v>0.14000000000000001</v>
      </c>
      <c r="D535" s="15">
        <v>-1.08</v>
      </c>
    </row>
    <row r="536" spans="2:4" x14ac:dyDescent="0.3">
      <c r="B536" s="176">
        <v>45352</v>
      </c>
      <c r="C536" s="15">
        <v>1.62</v>
      </c>
      <c r="D536" s="15">
        <v>0.71</v>
      </c>
    </row>
    <row r="537" spans="2:4" x14ac:dyDescent="0.3">
      <c r="B537" s="176">
        <v>45355</v>
      </c>
      <c r="C537" s="15">
        <v>0.3</v>
      </c>
      <c r="D537" s="15">
        <v>-0.75</v>
      </c>
    </row>
    <row r="538" spans="2:4" x14ac:dyDescent="0.3">
      <c r="B538" s="176">
        <v>45356</v>
      </c>
      <c r="C538" s="15">
        <v>-0.22</v>
      </c>
      <c r="D538" s="15">
        <v>0.56000000000000005</v>
      </c>
    </row>
    <row r="539" spans="2:4" x14ac:dyDescent="0.3">
      <c r="B539" s="176">
        <v>45357</v>
      </c>
      <c r="C539" s="15">
        <v>0.53</v>
      </c>
      <c r="D539" s="15">
        <v>-7.0000000000000007E-2</v>
      </c>
    </row>
    <row r="540" spans="2:4" x14ac:dyDescent="0.3">
      <c r="B540" s="176">
        <v>45358</v>
      </c>
      <c r="C540" s="15">
        <v>0.09</v>
      </c>
      <c r="D540" s="15">
        <v>0.01</v>
      </c>
    </row>
    <row r="541" spans="2:4" x14ac:dyDescent="0.3">
      <c r="B541" s="176">
        <v>45362</v>
      </c>
      <c r="C541" s="15">
        <v>-0.72</v>
      </c>
      <c r="D541" s="15">
        <v>-0.55000000000000004</v>
      </c>
    </row>
    <row r="542" spans="2:4" x14ac:dyDescent="0.3">
      <c r="B542" s="176">
        <v>45363</v>
      </c>
      <c r="C542" s="15">
        <v>0.01</v>
      </c>
      <c r="D542" s="15">
        <v>-2.4900000000000002</v>
      </c>
    </row>
    <row r="543" spans="2:4" x14ac:dyDescent="0.3">
      <c r="B543" s="176">
        <v>45364</v>
      </c>
      <c r="C543" s="15">
        <v>-1.51</v>
      </c>
      <c r="D543" s="15">
        <v>-8.61</v>
      </c>
    </row>
    <row r="544" spans="2:4" x14ac:dyDescent="0.3">
      <c r="B544" s="176">
        <v>45365</v>
      </c>
      <c r="C544" s="15">
        <v>0.68</v>
      </c>
      <c r="D544" s="15">
        <v>11.25</v>
      </c>
    </row>
    <row r="545" spans="2:4" x14ac:dyDescent="0.3">
      <c r="B545" s="176">
        <v>45366</v>
      </c>
      <c r="C545" s="15">
        <v>-0.56000000000000005</v>
      </c>
      <c r="D545" s="15">
        <v>-0.83</v>
      </c>
    </row>
    <row r="546" spans="2:4" x14ac:dyDescent="0.3">
      <c r="B546" s="176">
        <v>45369</v>
      </c>
      <c r="C546" s="15">
        <v>0.15</v>
      </c>
      <c r="D546" s="15">
        <v>-3.54</v>
      </c>
    </row>
    <row r="547" spans="2:4" x14ac:dyDescent="0.3">
      <c r="B547" s="176">
        <v>45370</v>
      </c>
      <c r="C547" s="15">
        <v>-1.08</v>
      </c>
      <c r="D547" s="15">
        <v>-0.25</v>
      </c>
    </row>
    <row r="548" spans="2:4" x14ac:dyDescent="0.3">
      <c r="B548" s="176">
        <v>45371</v>
      </c>
      <c r="C548" s="15">
        <v>0.1</v>
      </c>
      <c r="D548" s="15">
        <v>0.51</v>
      </c>
    </row>
    <row r="549" spans="2:4" x14ac:dyDescent="0.3">
      <c r="B549" s="176">
        <v>45372</v>
      </c>
      <c r="C549" s="15">
        <v>0.79</v>
      </c>
      <c r="D549" s="15">
        <v>-0.25</v>
      </c>
    </row>
    <row r="550" spans="2:4" x14ac:dyDescent="0.3">
      <c r="B550" s="176">
        <v>45373</v>
      </c>
      <c r="C550" s="15">
        <v>0.39</v>
      </c>
      <c r="D550" s="15">
        <v>0.66</v>
      </c>
    </row>
    <row r="551" spans="2:4" x14ac:dyDescent="0.3">
      <c r="B551" s="176">
        <v>45377</v>
      </c>
      <c r="C551" s="15">
        <v>-0.42</v>
      </c>
      <c r="D551" s="15">
        <v>2.98</v>
      </c>
    </row>
    <row r="552" spans="2:4" x14ac:dyDescent="0.3">
      <c r="B552" s="176">
        <v>45378</v>
      </c>
      <c r="C552" s="15">
        <v>0.54</v>
      </c>
      <c r="D552" s="15">
        <v>-2.97</v>
      </c>
    </row>
    <row r="553" spans="2:4" x14ac:dyDescent="0.3">
      <c r="B553" s="176">
        <v>45379</v>
      </c>
      <c r="C553" s="15">
        <v>0.92</v>
      </c>
      <c r="D553" s="15">
        <v>1.17</v>
      </c>
    </row>
    <row r="554" spans="2:4" x14ac:dyDescent="0.3">
      <c r="B554" s="176">
        <v>45383</v>
      </c>
      <c r="C554" s="15">
        <v>0.61</v>
      </c>
      <c r="D554" s="15">
        <v>8.31</v>
      </c>
    </row>
    <row r="555" spans="2:4" x14ac:dyDescent="0.3">
      <c r="B555" s="176">
        <v>45384</v>
      </c>
      <c r="C555" s="15">
        <v>-0.04</v>
      </c>
      <c r="D555" s="15">
        <v>-1.23</v>
      </c>
    </row>
    <row r="556" spans="2:4" x14ac:dyDescent="0.3">
      <c r="B556" s="176">
        <v>45385</v>
      </c>
      <c r="C556" s="15">
        <v>-0.08</v>
      </c>
      <c r="D556" s="15">
        <v>-0.33</v>
      </c>
    </row>
    <row r="557" spans="2:4" x14ac:dyDescent="0.3">
      <c r="B557" s="176">
        <v>45386</v>
      </c>
      <c r="C557" s="15">
        <v>0.36</v>
      </c>
      <c r="D557" s="15">
        <v>0.66</v>
      </c>
    </row>
    <row r="558" spans="2:4" x14ac:dyDescent="0.3">
      <c r="B558" s="176">
        <v>45387</v>
      </c>
      <c r="C558" s="15">
        <v>0</v>
      </c>
      <c r="D558" s="15">
        <v>-0.52</v>
      </c>
    </row>
    <row r="559" spans="2:4" x14ac:dyDescent="0.3">
      <c r="B559" s="176">
        <v>45390</v>
      </c>
      <c r="C559" s="15">
        <v>0.68</v>
      </c>
      <c r="D559" s="15">
        <v>-1.87</v>
      </c>
    </row>
    <row r="560" spans="2:4" x14ac:dyDescent="0.3">
      <c r="B560" s="176">
        <v>45391</v>
      </c>
      <c r="C560" s="15">
        <v>-0.1</v>
      </c>
      <c r="D560" s="15">
        <v>-0.43</v>
      </c>
    </row>
    <row r="561" spans="2:4" x14ac:dyDescent="0.3">
      <c r="B561" s="176">
        <v>45392</v>
      </c>
      <c r="C561" s="15">
        <v>0.49</v>
      </c>
      <c r="D561" s="15">
        <v>-0.65</v>
      </c>
    </row>
    <row r="562" spans="2:4" x14ac:dyDescent="0.3">
      <c r="B562" s="176">
        <v>45394</v>
      </c>
      <c r="C562" s="15">
        <v>-1.03</v>
      </c>
      <c r="D562" s="15">
        <v>0.44</v>
      </c>
    </row>
    <row r="563" spans="2:4" x14ac:dyDescent="0.3">
      <c r="B563" s="176">
        <v>45397</v>
      </c>
      <c r="C563" s="15">
        <v>-1.1000000000000001</v>
      </c>
      <c r="D563" s="15">
        <v>-2.76</v>
      </c>
    </row>
    <row r="564" spans="2:4" x14ac:dyDescent="0.3">
      <c r="B564" s="176">
        <v>45398</v>
      </c>
      <c r="C564" s="15">
        <v>-0.56000000000000005</v>
      </c>
      <c r="D564" s="15">
        <v>1.18</v>
      </c>
    </row>
    <row r="565" spans="2:4" x14ac:dyDescent="0.3">
      <c r="B565" s="176">
        <v>45400</v>
      </c>
      <c r="C565" s="15">
        <v>-0.69</v>
      </c>
      <c r="D565" s="15">
        <v>-1.24</v>
      </c>
    </row>
    <row r="566" spans="2:4" x14ac:dyDescent="0.3">
      <c r="B566" s="176">
        <v>45401</v>
      </c>
      <c r="C566" s="15">
        <v>0.69</v>
      </c>
      <c r="D566" s="15">
        <v>0.18</v>
      </c>
    </row>
    <row r="567" spans="2:4" x14ac:dyDescent="0.3">
      <c r="B567" s="176">
        <v>45404</v>
      </c>
      <c r="C567" s="15">
        <v>0.86</v>
      </c>
      <c r="D567" s="15">
        <v>0.23</v>
      </c>
    </row>
    <row r="568" spans="2:4" x14ac:dyDescent="0.3">
      <c r="B568" s="176">
        <v>45405</v>
      </c>
      <c r="C568" s="15">
        <v>0.14000000000000001</v>
      </c>
      <c r="D568" s="15">
        <v>0.68</v>
      </c>
    </row>
    <row r="569" spans="2:4" x14ac:dyDescent="0.3">
      <c r="B569" s="176">
        <v>45406</v>
      </c>
      <c r="C569" s="15">
        <v>0.15</v>
      </c>
      <c r="D569" s="15">
        <v>-0.21</v>
      </c>
    </row>
    <row r="570" spans="2:4" x14ac:dyDescent="0.3">
      <c r="B570" s="176">
        <v>45407</v>
      </c>
      <c r="C570" s="15">
        <v>0.75</v>
      </c>
      <c r="D570" s="15">
        <v>0.22</v>
      </c>
    </row>
    <row r="571" spans="2:4" x14ac:dyDescent="0.3">
      <c r="B571" s="176">
        <v>45408</v>
      </c>
      <c r="C571" s="15">
        <v>-0.67</v>
      </c>
      <c r="D571" s="15">
        <v>1.21</v>
      </c>
    </row>
    <row r="572" spans="2:4" x14ac:dyDescent="0.3">
      <c r="B572" s="176">
        <v>45411</v>
      </c>
      <c r="C572" s="15">
        <v>1</v>
      </c>
      <c r="D572" s="15">
        <v>-0.17</v>
      </c>
    </row>
    <row r="573" spans="2:4" x14ac:dyDescent="0.3">
      <c r="B573" s="176">
        <v>45412</v>
      </c>
      <c r="C573" s="15">
        <v>-0.17</v>
      </c>
      <c r="D573" s="15">
        <v>0.4</v>
      </c>
    </row>
    <row r="574" spans="2:4" x14ac:dyDescent="0.3">
      <c r="B574" s="176">
        <v>45414</v>
      </c>
      <c r="C574" s="15">
        <v>0.19</v>
      </c>
      <c r="D574" s="15">
        <v>-1.1599999999999999</v>
      </c>
    </row>
    <row r="575" spans="2:4" x14ac:dyDescent="0.3">
      <c r="B575" s="176">
        <v>45415</v>
      </c>
      <c r="C575" s="15">
        <v>-0.76</v>
      </c>
      <c r="D575" s="15">
        <v>0.83</v>
      </c>
    </row>
    <row r="576" spans="2:4" x14ac:dyDescent="0.3">
      <c r="B576" s="176">
        <v>45418</v>
      </c>
      <c r="C576" s="15">
        <v>-0.15</v>
      </c>
      <c r="D576" s="15">
        <v>-0.28999999999999998</v>
      </c>
    </row>
    <row r="577" spans="2:4" x14ac:dyDescent="0.3">
      <c r="B577" s="176">
        <v>45419</v>
      </c>
      <c r="C577" s="15">
        <v>-0.62</v>
      </c>
      <c r="D577" s="15">
        <v>-3.49</v>
      </c>
    </row>
    <row r="578" spans="2:4" x14ac:dyDescent="0.3">
      <c r="B578" s="176">
        <v>45420</v>
      </c>
      <c r="C578" s="15">
        <v>0</v>
      </c>
      <c r="D578" s="15">
        <v>-0.2</v>
      </c>
    </row>
    <row r="579" spans="2:4" x14ac:dyDescent="0.3">
      <c r="B579" s="176">
        <v>45421</v>
      </c>
      <c r="C579" s="15">
        <v>-1.55</v>
      </c>
      <c r="D579" s="15">
        <v>-3.87</v>
      </c>
    </row>
    <row r="580" spans="2:4" x14ac:dyDescent="0.3">
      <c r="B580" s="176">
        <v>45422</v>
      </c>
      <c r="C580" s="15">
        <v>0.44</v>
      </c>
      <c r="D580" s="15">
        <v>1.07</v>
      </c>
    </row>
    <row r="581" spans="2:4" x14ac:dyDescent="0.3">
      <c r="B581" s="176">
        <v>45425</v>
      </c>
      <c r="C581" s="15">
        <v>0.22</v>
      </c>
      <c r="D581" s="15">
        <v>0.05</v>
      </c>
    </row>
    <row r="582" spans="2:4" x14ac:dyDescent="0.3">
      <c r="B582" s="176">
        <v>45426</v>
      </c>
      <c r="C582" s="15">
        <v>0.51</v>
      </c>
      <c r="D582" s="15">
        <v>3.13</v>
      </c>
    </row>
    <row r="583" spans="2:4" x14ac:dyDescent="0.3">
      <c r="B583" s="176">
        <v>45427</v>
      </c>
      <c r="C583" s="15">
        <v>-0.08</v>
      </c>
      <c r="D583" s="15">
        <v>-0.04</v>
      </c>
    </row>
    <row r="584" spans="2:4" x14ac:dyDescent="0.3">
      <c r="B584" s="176">
        <v>45428</v>
      </c>
      <c r="C584" s="15">
        <v>0.92</v>
      </c>
      <c r="D584" s="15">
        <v>0.92</v>
      </c>
    </row>
    <row r="585" spans="2:4" x14ac:dyDescent="0.3">
      <c r="B585" s="176">
        <v>45429</v>
      </c>
      <c r="C585" s="15">
        <v>0.28000000000000003</v>
      </c>
      <c r="D585" s="15">
        <v>0.4</v>
      </c>
    </row>
    <row r="586" spans="2:4" x14ac:dyDescent="0.3">
      <c r="B586" s="176">
        <v>45433</v>
      </c>
      <c r="C586" s="15">
        <v>0.28000000000000003</v>
      </c>
      <c r="D586" s="15">
        <v>2.54</v>
      </c>
    </row>
    <row r="587" spans="2:4" x14ac:dyDescent="0.3">
      <c r="B587" s="176">
        <v>45434</v>
      </c>
      <c r="C587" s="15">
        <v>0.31</v>
      </c>
      <c r="D587" s="15">
        <v>2.41</v>
      </c>
    </row>
    <row r="588" spans="2:4" x14ac:dyDescent="0.3">
      <c r="B588" s="176">
        <v>45435</v>
      </c>
      <c r="C588" s="15">
        <v>1.64</v>
      </c>
      <c r="D588" s="15">
        <v>1.1599999999999999</v>
      </c>
    </row>
    <row r="589" spans="2:4" x14ac:dyDescent="0.3">
      <c r="B589" s="176">
        <v>45436</v>
      </c>
      <c r="C589" s="15">
        <v>-0.05</v>
      </c>
      <c r="D589" s="15">
        <v>0.65</v>
      </c>
    </row>
    <row r="590" spans="2:4" x14ac:dyDescent="0.3">
      <c r="B590" s="176">
        <v>45439</v>
      </c>
      <c r="C590" s="15">
        <v>-0.11</v>
      </c>
      <c r="D590" s="15">
        <v>-0.21</v>
      </c>
    </row>
    <row r="591" spans="2:4" x14ac:dyDescent="0.3">
      <c r="B591" s="176">
        <v>45440</v>
      </c>
      <c r="C591" s="15">
        <v>-0.19</v>
      </c>
      <c r="D591" s="15">
        <v>-1.47</v>
      </c>
    </row>
    <row r="592" spans="2:4" x14ac:dyDescent="0.3">
      <c r="B592" s="176">
        <v>45441</v>
      </c>
      <c r="C592" s="15">
        <v>-0.8</v>
      </c>
      <c r="D592" s="15">
        <v>-0.22</v>
      </c>
    </row>
    <row r="593" spans="2:4" x14ac:dyDescent="0.3">
      <c r="B593" s="176">
        <v>45442</v>
      </c>
      <c r="C593" s="15">
        <v>-0.95</v>
      </c>
      <c r="D593" s="15">
        <v>1.28</v>
      </c>
    </row>
    <row r="594" spans="2:4" x14ac:dyDescent="0.3">
      <c r="B594" s="176">
        <v>45443</v>
      </c>
      <c r="C594" s="15">
        <v>0.19</v>
      </c>
      <c r="D594" s="15">
        <v>2.11</v>
      </c>
    </row>
    <row r="595" spans="2:4" x14ac:dyDescent="0.3">
      <c r="B595" s="176">
        <v>45446</v>
      </c>
      <c r="C595" s="15">
        <v>3.25</v>
      </c>
      <c r="D595" s="15">
        <v>8.83</v>
      </c>
    </row>
    <row r="596" spans="2:4" x14ac:dyDescent="0.3">
      <c r="B596" s="176">
        <v>45447</v>
      </c>
      <c r="C596" s="15">
        <v>-5.93</v>
      </c>
      <c r="D596" s="15">
        <v>-20</v>
      </c>
    </row>
    <row r="597" spans="2:4" x14ac:dyDescent="0.3">
      <c r="B597" s="176">
        <v>45448</v>
      </c>
      <c r="C597" s="15">
        <v>3.36</v>
      </c>
      <c r="D597" s="15">
        <v>-2.65</v>
      </c>
    </row>
    <row r="598" spans="2:4" x14ac:dyDescent="0.3">
      <c r="B598" s="176">
        <v>45449</v>
      </c>
      <c r="C598" s="15">
        <v>0.89</v>
      </c>
      <c r="D598" s="15">
        <v>5.19</v>
      </c>
    </row>
    <row r="599" spans="2:4" x14ac:dyDescent="0.3">
      <c r="B599" s="176">
        <v>45450</v>
      </c>
      <c r="C599" s="15">
        <v>2.0499999999999998</v>
      </c>
      <c r="D599" s="15">
        <v>1.9</v>
      </c>
    </row>
    <row r="600" spans="2:4" x14ac:dyDescent="0.3">
      <c r="B600" s="176">
        <v>45453</v>
      </c>
      <c r="C600" s="15">
        <v>-0.13</v>
      </c>
      <c r="D600" s="15">
        <v>0.66</v>
      </c>
    </row>
    <row r="601" spans="2:4" x14ac:dyDescent="0.3">
      <c r="B601" s="176">
        <v>45454</v>
      </c>
      <c r="C601" s="15">
        <v>0.02</v>
      </c>
      <c r="D601" s="15">
        <v>-0.87</v>
      </c>
    </row>
    <row r="602" spans="2:4" x14ac:dyDescent="0.3">
      <c r="B602" s="176">
        <v>45455</v>
      </c>
      <c r="C602" s="15">
        <v>0.25</v>
      </c>
      <c r="D602" s="15">
        <v>0.26</v>
      </c>
    </row>
    <row r="603" spans="2:4" x14ac:dyDescent="0.3">
      <c r="B603" s="176">
        <v>45456</v>
      </c>
      <c r="C603" s="15">
        <v>0.33</v>
      </c>
      <c r="D603" s="15">
        <v>-0.28000000000000003</v>
      </c>
    </row>
    <row r="604" spans="2:4" x14ac:dyDescent="0.3">
      <c r="B604" s="176">
        <v>45457</v>
      </c>
      <c r="C604" s="15">
        <v>0.28999999999999998</v>
      </c>
      <c r="D604" s="15">
        <v>0.21</v>
      </c>
    </row>
    <row r="605" spans="2:4" x14ac:dyDescent="0.3">
      <c r="B605" s="176">
        <v>45461</v>
      </c>
      <c r="C605" s="15">
        <v>0.39</v>
      </c>
      <c r="D605" s="15">
        <v>0.66</v>
      </c>
    </row>
    <row r="606" spans="2:4" x14ac:dyDescent="0.3">
      <c r="B606" s="176">
        <v>45462</v>
      </c>
      <c r="C606" s="15">
        <v>-0.18</v>
      </c>
      <c r="D606" s="15">
        <v>-1.83</v>
      </c>
    </row>
    <row r="607" spans="2:4" x14ac:dyDescent="0.3">
      <c r="B607" s="176">
        <v>45463</v>
      </c>
      <c r="C607" s="15">
        <v>0.22</v>
      </c>
      <c r="D607" s="15">
        <v>0.87</v>
      </c>
    </row>
    <row r="608" spans="2:4" x14ac:dyDescent="0.3">
      <c r="B608" s="176">
        <v>45464</v>
      </c>
      <c r="C608" s="15">
        <v>-0.28000000000000003</v>
      </c>
      <c r="D608" s="15">
        <v>-0.59</v>
      </c>
    </row>
    <row r="609" spans="2:4" x14ac:dyDescent="0.3">
      <c r="B609" s="176">
        <v>45467</v>
      </c>
      <c r="C609" s="15">
        <v>0.16</v>
      </c>
      <c r="D609" s="15">
        <v>0.66</v>
      </c>
    </row>
    <row r="610" spans="2:4" x14ac:dyDescent="0.3">
      <c r="B610" s="176">
        <v>45468</v>
      </c>
      <c r="C610" s="15">
        <v>0.78</v>
      </c>
      <c r="D610" s="15">
        <v>-0.3</v>
      </c>
    </row>
    <row r="611" spans="2:4" x14ac:dyDescent="0.3">
      <c r="B611" s="176">
        <v>45469</v>
      </c>
      <c r="C611" s="15">
        <v>0.62</v>
      </c>
      <c r="D611" s="15">
        <v>-0.9</v>
      </c>
    </row>
    <row r="612" spans="2:4" x14ac:dyDescent="0.3">
      <c r="B612" s="176">
        <v>45470</v>
      </c>
      <c r="C612" s="15">
        <v>0.74</v>
      </c>
      <c r="D612" s="15">
        <v>0.71</v>
      </c>
    </row>
    <row r="613" spans="2:4" x14ac:dyDescent="0.3">
      <c r="B613" s="176">
        <v>45471</v>
      </c>
      <c r="C613" s="15">
        <v>-0.14000000000000001</v>
      </c>
      <c r="D613" s="15">
        <v>-1.47</v>
      </c>
    </row>
    <row r="614" spans="2:4" x14ac:dyDescent="0.3">
      <c r="B614" s="176">
        <v>45474</v>
      </c>
      <c r="C614" s="15">
        <v>0.55000000000000004</v>
      </c>
      <c r="D614" s="15">
        <v>0.19</v>
      </c>
    </row>
    <row r="615" spans="2:4" x14ac:dyDescent="0.3">
      <c r="B615" s="176">
        <v>45475</v>
      </c>
      <c r="C615" s="15">
        <v>-7.0000000000000007E-2</v>
      </c>
      <c r="D615" s="15">
        <v>2.56</v>
      </c>
    </row>
    <row r="616" spans="2:4" x14ac:dyDescent="0.3">
      <c r="B616" s="176">
        <v>45476</v>
      </c>
      <c r="C616" s="15">
        <v>0.67</v>
      </c>
      <c r="D616" s="15">
        <v>1.02</v>
      </c>
    </row>
    <row r="617" spans="2:4" x14ac:dyDescent="0.3">
      <c r="B617" s="176">
        <v>45477</v>
      </c>
      <c r="C617" s="15">
        <v>0.06</v>
      </c>
      <c r="D617" s="15">
        <v>-0.9</v>
      </c>
    </row>
    <row r="618" spans="2:4" x14ac:dyDescent="0.3">
      <c r="B618" s="176">
        <v>45478</v>
      </c>
      <c r="C618" s="15">
        <v>0.09</v>
      </c>
      <c r="D618" s="15">
        <v>-1.29</v>
      </c>
    </row>
    <row r="619" spans="2:4" x14ac:dyDescent="0.3">
      <c r="B619" s="176">
        <v>45481</v>
      </c>
      <c r="C619" s="15">
        <v>-0.01</v>
      </c>
      <c r="D619" s="15">
        <v>-1.41</v>
      </c>
    </row>
    <row r="620" spans="2:4" x14ac:dyDescent="0.3">
      <c r="B620" s="176">
        <v>45482</v>
      </c>
      <c r="C620" s="15">
        <v>0.46</v>
      </c>
      <c r="D620" s="15">
        <v>0.51</v>
      </c>
    </row>
    <row r="621" spans="2:4" x14ac:dyDescent="0.3">
      <c r="B621" s="176">
        <v>45483</v>
      </c>
      <c r="C621" s="15">
        <v>-0.45</v>
      </c>
      <c r="D621" s="15">
        <v>-0.02</v>
      </c>
    </row>
    <row r="622" spans="2:4" x14ac:dyDescent="0.3">
      <c r="B622" s="176">
        <v>45484</v>
      </c>
      <c r="C622" s="15">
        <v>-0.03</v>
      </c>
      <c r="D622" s="15">
        <v>-0.2</v>
      </c>
    </row>
    <row r="623" spans="2:4" x14ac:dyDescent="0.3">
      <c r="B623" s="176">
        <v>45485</v>
      </c>
      <c r="C623" s="15">
        <v>0.77</v>
      </c>
      <c r="D623" s="15">
        <v>0.36</v>
      </c>
    </row>
    <row r="624" spans="2:4" x14ac:dyDescent="0.3">
      <c r="B624" s="176">
        <v>45488</v>
      </c>
      <c r="C624" s="15">
        <v>0.35</v>
      </c>
      <c r="D624" s="15">
        <v>0.85</v>
      </c>
    </row>
    <row r="625" spans="2:4" x14ac:dyDescent="0.3">
      <c r="B625" s="176">
        <v>45489</v>
      </c>
      <c r="C625" s="15">
        <v>0.11</v>
      </c>
      <c r="D625" s="15">
        <v>0.88</v>
      </c>
    </row>
    <row r="626" spans="2:4" x14ac:dyDescent="0.3">
      <c r="B626" s="176">
        <v>45491</v>
      </c>
      <c r="C626" s="15">
        <v>0.76</v>
      </c>
      <c r="D626" s="15">
        <v>-1.1499999999999999</v>
      </c>
    </row>
    <row r="627" spans="2:4" x14ac:dyDescent="0.3">
      <c r="B627" s="176">
        <v>45492</v>
      </c>
      <c r="C627" s="15">
        <v>-1.0900000000000001</v>
      </c>
      <c r="D627" s="15">
        <v>0.02</v>
      </c>
    </row>
    <row r="628" spans="2:4" x14ac:dyDescent="0.3">
      <c r="B628" s="176">
        <v>45495</v>
      </c>
      <c r="C628" s="15">
        <v>-0.09</v>
      </c>
      <c r="D628" s="15">
        <v>0.03</v>
      </c>
    </row>
    <row r="629" spans="2:4" x14ac:dyDescent="0.3">
      <c r="B629" s="176">
        <v>45496</v>
      </c>
      <c r="C629" s="15">
        <v>-0.12</v>
      </c>
      <c r="D629" s="15">
        <v>1.26</v>
      </c>
    </row>
    <row r="630" spans="2:4" x14ac:dyDescent="0.3">
      <c r="B630" s="176">
        <v>45497</v>
      </c>
      <c r="C630" s="15">
        <v>-0.27</v>
      </c>
      <c r="D630" s="15">
        <v>1.21</v>
      </c>
    </row>
    <row r="631" spans="2:4" x14ac:dyDescent="0.3">
      <c r="B631" s="176">
        <v>45498</v>
      </c>
      <c r="C631" s="15">
        <v>-0.03</v>
      </c>
      <c r="D631" s="15">
        <v>1.35</v>
      </c>
    </row>
    <row r="632" spans="2:4" x14ac:dyDescent="0.3">
      <c r="B632" s="176">
        <v>45499</v>
      </c>
      <c r="C632" s="15">
        <v>1.76</v>
      </c>
      <c r="D632" s="15">
        <v>0.17</v>
      </c>
    </row>
    <row r="633" spans="2:4" x14ac:dyDescent="0.3">
      <c r="B633" s="176">
        <v>45502</v>
      </c>
      <c r="C633" s="15">
        <v>0.01</v>
      </c>
      <c r="D633" s="15">
        <v>0</v>
      </c>
    </row>
    <row r="634" spans="2:4" x14ac:dyDescent="0.3">
      <c r="B634" s="176">
        <v>45503</v>
      </c>
      <c r="C634" s="15">
        <v>0.09</v>
      </c>
      <c r="D634" s="15">
        <v>6.93</v>
      </c>
    </row>
    <row r="635" spans="2:4" x14ac:dyDescent="0.3">
      <c r="B635" s="176">
        <v>45504</v>
      </c>
      <c r="C635" s="15">
        <v>0.38</v>
      </c>
      <c r="D635" s="15">
        <v>1.17</v>
      </c>
    </row>
    <row r="636" spans="2:4" x14ac:dyDescent="0.3">
      <c r="B636" s="176">
        <v>45505</v>
      </c>
      <c r="C636" s="15">
        <v>0.24</v>
      </c>
      <c r="D636" s="15">
        <v>12.05</v>
      </c>
    </row>
    <row r="637" spans="2:4" x14ac:dyDescent="0.3">
      <c r="B637" s="176">
        <v>45506</v>
      </c>
      <c r="C637" s="15">
        <v>-1.17</v>
      </c>
      <c r="D637" s="15">
        <v>-1.05</v>
      </c>
    </row>
    <row r="638" spans="2:4" x14ac:dyDescent="0.3">
      <c r="B638" s="176">
        <v>45509</v>
      </c>
      <c r="C638" s="15">
        <v>-2.68</v>
      </c>
      <c r="D638" s="15">
        <v>-8.14</v>
      </c>
    </row>
    <row r="639" spans="2:4" x14ac:dyDescent="0.3">
      <c r="B639" s="176">
        <v>45510</v>
      </c>
      <c r="C639" s="15">
        <v>-0.26</v>
      </c>
      <c r="D639" s="15">
        <v>-2.95</v>
      </c>
    </row>
    <row r="640" spans="2:4" x14ac:dyDescent="0.3">
      <c r="B640" s="176">
        <v>45511</v>
      </c>
      <c r="C640" s="15">
        <v>1.27</v>
      </c>
      <c r="D640" s="15">
        <v>0.6</v>
      </c>
    </row>
    <row r="641" spans="2:4" x14ac:dyDescent="0.3">
      <c r="B641" s="176">
        <v>45512</v>
      </c>
      <c r="C641" s="15">
        <v>-0.74</v>
      </c>
      <c r="D641" s="15">
        <v>-2.67</v>
      </c>
    </row>
    <row r="642" spans="2:4" x14ac:dyDescent="0.3">
      <c r="B642" s="176">
        <v>45513</v>
      </c>
      <c r="C642" s="15">
        <v>1.04</v>
      </c>
      <c r="D642" s="15">
        <v>0.21</v>
      </c>
    </row>
    <row r="643" spans="2:4" x14ac:dyDescent="0.3">
      <c r="B643" s="176">
        <v>45516</v>
      </c>
      <c r="C643" s="15">
        <v>-0.08</v>
      </c>
      <c r="D643" s="15">
        <v>-3.7</v>
      </c>
    </row>
    <row r="644" spans="2:4" x14ac:dyDescent="0.3">
      <c r="B644" s="176">
        <v>45517</v>
      </c>
      <c r="C644" s="15">
        <v>-0.85</v>
      </c>
      <c r="D644" s="15">
        <v>0.78</v>
      </c>
    </row>
    <row r="645" spans="2:4" x14ac:dyDescent="0.3">
      <c r="B645" s="176">
        <v>45518</v>
      </c>
      <c r="C645" s="15">
        <v>0.02</v>
      </c>
      <c r="D645" s="15">
        <v>3.96</v>
      </c>
    </row>
    <row r="646" spans="2:4" x14ac:dyDescent="0.3">
      <c r="B646" s="176">
        <v>45520</v>
      </c>
      <c r="C646" s="15">
        <v>1.65</v>
      </c>
      <c r="D646" s="15">
        <v>-2.5499999999999998</v>
      </c>
    </row>
    <row r="647" spans="2:4" x14ac:dyDescent="0.3">
      <c r="B647" s="176">
        <v>45523</v>
      </c>
      <c r="C647" s="15">
        <v>0.13</v>
      </c>
      <c r="D647" s="15">
        <v>0.67</v>
      </c>
    </row>
    <row r="648" spans="2:4" x14ac:dyDescent="0.3">
      <c r="B648" s="176">
        <v>45524</v>
      </c>
      <c r="C648" s="15">
        <v>0.51</v>
      </c>
      <c r="D648" s="15">
        <v>0.67</v>
      </c>
    </row>
    <row r="649" spans="2:4" x14ac:dyDescent="0.3">
      <c r="B649" s="176">
        <v>45525</v>
      </c>
      <c r="C649" s="15">
        <v>0.28999999999999998</v>
      </c>
      <c r="D649" s="15">
        <v>-1.05</v>
      </c>
    </row>
    <row r="650" spans="2:4" x14ac:dyDescent="0.3">
      <c r="B650" s="176">
        <v>45526</v>
      </c>
      <c r="C650" s="15">
        <v>0.17</v>
      </c>
      <c r="D650" s="15">
        <v>-0.98</v>
      </c>
    </row>
    <row r="651" spans="2:4" x14ac:dyDescent="0.3">
      <c r="B651" s="176">
        <v>45527</v>
      </c>
      <c r="C651" s="15">
        <v>0.05</v>
      </c>
      <c r="D651" s="15">
        <v>-1.1200000000000001</v>
      </c>
    </row>
    <row r="652" spans="2:4" x14ac:dyDescent="0.3">
      <c r="B652" s="176">
        <v>45530</v>
      </c>
      <c r="C652" s="15">
        <v>0.76</v>
      </c>
      <c r="D652" s="15">
        <v>-1.1499999999999999</v>
      </c>
    </row>
    <row r="653" spans="2:4" x14ac:dyDescent="0.3">
      <c r="B653" s="176">
        <v>45531</v>
      </c>
      <c r="C653" s="15">
        <v>0.03</v>
      </c>
      <c r="D653" s="15">
        <v>-0.68</v>
      </c>
    </row>
    <row r="654" spans="2:4" x14ac:dyDescent="0.3">
      <c r="B654" s="176">
        <v>45532</v>
      </c>
      <c r="C654" s="15">
        <v>0.14000000000000001</v>
      </c>
      <c r="D654" s="15">
        <v>-1.82</v>
      </c>
    </row>
    <row r="655" spans="2:4" x14ac:dyDescent="0.3">
      <c r="B655" s="176">
        <v>45533</v>
      </c>
      <c r="C655" s="15">
        <v>0.4</v>
      </c>
      <c r="D655" s="15">
        <v>-2.2400000000000002</v>
      </c>
    </row>
    <row r="656" spans="2:4" x14ac:dyDescent="0.3">
      <c r="B656" s="176">
        <v>45534</v>
      </c>
      <c r="C656" s="15">
        <v>0.33</v>
      </c>
      <c r="D656" s="15">
        <v>0.33</v>
      </c>
    </row>
    <row r="657" spans="2:4" x14ac:dyDescent="0.3">
      <c r="B657" s="176">
        <v>45537</v>
      </c>
      <c r="C657" s="15">
        <v>0.17</v>
      </c>
      <c r="D657" s="15">
        <v>2.65</v>
      </c>
    </row>
    <row r="658" spans="2:4" x14ac:dyDescent="0.3">
      <c r="B658" s="176">
        <v>45538</v>
      </c>
      <c r="C658" s="15">
        <v>0</v>
      </c>
      <c r="D658" s="15">
        <v>-0.47</v>
      </c>
    </row>
    <row r="659" spans="2:4" x14ac:dyDescent="0.3">
      <c r="B659" s="176">
        <v>45539</v>
      </c>
      <c r="C659" s="15">
        <v>-0.32</v>
      </c>
      <c r="D659" s="15">
        <v>-0.06</v>
      </c>
    </row>
    <row r="660" spans="2:4" x14ac:dyDescent="0.3">
      <c r="B660" s="176">
        <v>45540</v>
      </c>
      <c r="C660" s="15">
        <v>-0.21</v>
      </c>
      <c r="D660" s="15">
        <v>-2.06</v>
      </c>
    </row>
    <row r="661" spans="2:4" x14ac:dyDescent="0.3">
      <c r="B661" s="176">
        <v>45541</v>
      </c>
      <c r="C661" s="15">
        <v>-1.17</v>
      </c>
      <c r="D661" s="15">
        <v>-2.19</v>
      </c>
    </row>
    <row r="662" spans="2:4" x14ac:dyDescent="0.3">
      <c r="B662" s="176">
        <v>45544</v>
      </c>
      <c r="C662" s="15">
        <v>0.34</v>
      </c>
      <c r="D662" s="15">
        <v>2.2000000000000002</v>
      </c>
    </row>
    <row r="663" spans="2:4" x14ac:dyDescent="0.3">
      <c r="B663" s="176">
        <v>45545</v>
      </c>
      <c r="C663" s="15">
        <v>0.42</v>
      </c>
      <c r="D663" s="15">
        <v>0.69</v>
      </c>
    </row>
    <row r="664" spans="2:4" x14ac:dyDescent="0.3">
      <c r="B664" s="176">
        <v>45546</v>
      </c>
      <c r="C664" s="15">
        <v>-0.49</v>
      </c>
      <c r="D664" s="15">
        <v>-1.57</v>
      </c>
    </row>
    <row r="665" spans="2:4" x14ac:dyDescent="0.3">
      <c r="B665" s="176">
        <v>45547</v>
      </c>
      <c r="C665" s="15">
        <v>1.89</v>
      </c>
      <c r="D665" s="15">
        <v>1.01</v>
      </c>
    </row>
    <row r="666" spans="2:4" x14ac:dyDescent="0.3">
      <c r="B666" s="176">
        <v>45548</v>
      </c>
      <c r="C666" s="15">
        <v>-0.13</v>
      </c>
      <c r="D666" s="15">
        <v>-2.4700000000000002</v>
      </c>
    </row>
    <row r="667" spans="2:4" x14ac:dyDescent="0.3">
      <c r="B667" s="176">
        <v>45551</v>
      </c>
      <c r="C667" s="15">
        <v>0.11</v>
      </c>
      <c r="D667" s="15">
        <v>-0.28000000000000003</v>
      </c>
    </row>
    <row r="668" spans="2:4" x14ac:dyDescent="0.3">
      <c r="B668" s="176">
        <v>45552</v>
      </c>
      <c r="C668" s="15">
        <v>0.14000000000000001</v>
      </c>
      <c r="D668" s="15">
        <v>0.87</v>
      </c>
    </row>
    <row r="669" spans="2:4" x14ac:dyDescent="0.3">
      <c r="B669" s="176">
        <v>45553</v>
      </c>
      <c r="C669" s="15">
        <v>-0.16</v>
      </c>
      <c r="D669" s="15">
        <v>-0.92</v>
      </c>
    </row>
    <row r="670" spans="2:4" x14ac:dyDescent="0.3">
      <c r="B670" s="176">
        <v>45554</v>
      </c>
      <c r="C670" s="15">
        <v>0.15</v>
      </c>
      <c r="D670" s="15">
        <v>-0.09</v>
      </c>
    </row>
    <row r="671" spans="2:4" x14ac:dyDescent="0.3">
      <c r="B671" s="176">
        <v>45555</v>
      </c>
      <c r="C671" s="15">
        <v>1.48</v>
      </c>
      <c r="D671" s="15">
        <v>2.88</v>
      </c>
    </row>
    <row r="672" spans="2:4" x14ac:dyDescent="0.3">
      <c r="B672" s="176">
        <v>45558</v>
      </c>
      <c r="C672" s="15">
        <v>0.56999999999999995</v>
      </c>
      <c r="D672" s="15">
        <v>1.87</v>
      </c>
    </row>
    <row r="673" spans="2:4" x14ac:dyDescent="0.3">
      <c r="B673" s="176">
        <v>45559</v>
      </c>
      <c r="C673" s="15">
        <v>0.01</v>
      </c>
      <c r="D673" s="15">
        <v>2.46</v>
      </c>
    </row>
    <row r="674" spans="2:4" x14ac:dyDescent="0.3">
      <c r="B674" s="176">
        <v>45560</v>
      </c>
      <c r="C674" s="15">
        <v>0.25</v>
      </c>
      <c r="D674" s="15">
        <v>-0.66</v>
      </c>
    </row>
    <row r="675" spans="2:4" x14ac:dyDescent="0.3">
      <c r="B675" s="176">
        <v>45561</v>
      </c>
      <c r="C675" s="15">
        <v>0.81</v>
      </c>
      <c r="D675" s="15">
        <v>-0.72</v>
      </c>
    </row>
    <row r="676" spans="2:4" x14ac:dyDescent="0.3">
      <c r="B676" s="176">
        <v>45562</v>
      </c>
      <c r="C676" s="15">
        <v>-0.14000000000000001</v>
      </c>
      <c r="D676" s="15">
        <v>-2.56</v>
      </c>
    </row>
    <row r="677" spans="2:4" x14ac:dyDescent="0.3">
      <c r="B677" s="176">
        <v>45565</v>
      </c>
      <c r="C677" s="15">
        <v>-1.41</v>
      </c>
      <c r="D677" s="15">
        <v>-0.05</v>
      </c>
    </row>
    <row r="678" spans="2:4" x14ac:dyDescent="0.3">
      <c r="B678" s="176">
        <v>45566</v>
      </c>
      <c r="C678" s="15">
        <v>-0.05</v>
      </c>
      <c r="D678" s="15">
        <v>3.02</v>
      </c>
    </row>
    <row r="679" spans="2:4" x14ac:dyDescent="0.3">
      <c r="B679" s="176">
        <v>45568</v>
      </c>
      <c r="C679" s="15">
        <v>-2.12</v>
      </c>
      <c r="D679" s="15">
        <v>-2.33</v>
      </c>
    </row>
    <row r="680" spans="2:4" x14ac:dyDescent="0.3">
      <c r="B680" s="176">
        <v>45569</v>
      </c>
      <c r="C680" s="15">
        <v>-0.93</v>
      </c>
      <c r="D680" s="15">
        <v>-5.23</v>
      </c>
    </row>
    <row r="681" spans="2:4" x14ac:dyDescent="0.3">
      <c r="B681" s="176">
        <v>45572</v>
      </c>
      <c r="C681" s="15">
        <v>-0.87</v>
      </c>
      <c r="D681" s="15">
        <v>-2.97</v>
      </c>
    </row>
    <row r="682" spans="2:4" x14ac:dyDescent="0.3">
      <c r="B682" s="176">
        <v>45573</v>
      </c>
      <c r="C682" s="15">
        <v>0.88</v>
      </c>
      <c r="D682" s="15">
        <v>7.82</v>
      </c>
    </row>
    <row r="683" spans="2:4" x14ac:dyDescent="0.3">
      <c r="B683" s="176">
        <v>45574</v>
      </c>
      <c r="C683" s="15">
        <v>-0.12</v>
      </c>
      <c r="D683" s="15">
        <v>-2.38</v>
      </c>
    </row>
    <row r="684" spans="2:4" x14ac:dyDescent="0.3">
      <c r="B684" s="176">
        <v>45575</v>
      </c>
      <c r="C684" s="15">
        <v>7.0000000000000007E-2</v>
      </c>
      <c r="D684" s="15">
        <v>0.67</v>
      </c>
    </row>
    <row r="685" spans="2:4" x14ac:dyDescent="0.3">
      <c r="B685" s="176">
        <v>45576</v>
      </c>
      <c r="C685" s="15">
        <v>-0.14000000000000001</v>
      </c>
      <c r="D685" s="15">
        <v>-1.32</v>
      </c>
    </row>
    <row r="686" spans="2:4" x14ac:dyDescent="0.3">
      <c r="B686" s="176">
        <v>45579</v>
      </c>
      <c r="C686" s="15">
        <v>0.66</v>
      </c>
      <c r="D686" s="15">
        <v>0.56999999999999995</v>
      </c>
    </row>
    <row r="687" spans="2:4" x14ac:dyDescent="0.3">
      <c r="B687" s="176">
        <v>45580</v>
      </c>
      <c r="C687" s="15">
        <v>-0.28000000000000003</v>
      </c>
      <c r="D687" s="15">
        <v>2.27</v>
      </c>
    </row>
    <row r="688" spans="2:4" x14ac:dyDescent="0.3">
      <c r="B688" s="176">
        <v>45581</v>
      </c>
      <c r="C688" s="15">
        <v>-0.34</v>
      </c>
      <c r="D688" s="15">
        <v>2.78</v>
      </c>
    </row>
    <row r="689" spans="2:4" x14ac:dyDescent="0.3">
      <c r="B689" s="176">
        <v>45582</v>
      </c>
      <c r="C689" s="15">
        <v>-0.89</v>
      </c>
      <c r="D689" s="15">
        <v>-1.07</v>
      </c>
    </row>
    <row r="690" spans="2:4" x14ac:dyDescent="0.3">
      <c r="B690" s="176">
        <v>45583</v>
      </c>
      <c r="C690" s="15">
        <v>0.42</v>
      </c>
      <c r="D690" s="15">
        <v>2.12</v>
      </c>
    </row>
    <row r="691" spans="2:4" x14ac:dyDescent="0.3">
      <c r="B691" s="176">
        <v>45586</v>
      </c>
      <c r="C691" s="15">
        <v>-0.28999999999999998</v>
      </c>
      <c r="D691" s="15">
        <v>-2.4700000000000002</v>
      </c>
    </row>
    <row r="692" spans="2:4" x14ac:dyDescent="0.3">
      <c r="B692" s="176">
        <v>45587</v>
      </c>
      <c r="C692" s="15">
        <v>-1.25</v>
      </c>
      <c r="D692" s="15">
        <v>-0.76</v>
      </c>
    </row>
    <row r="693" spans="2:4" x14ac:dyDescent="0.3">
      <c r="B693" s="176">
        <v>45588</v>
      </c>
      <c r="C693" s="15">
        <v>-0.15</v>
      </c>
      <c r="D693" s="15">
        <v>-2.8</v>
      </c>
    </row>
    <row r="694" spans="2:4" x14ac:dyDescent="0.3">
      <c r="B694" s="176">
        <v>45589</v>
      </c>
      <c r="C694" s="15">
        <v>-0.15</v>
      </c>
      <c r="D694" s="15">
        <v>-0.53</v>
      </c>
    </row>
    <row r="695" spans="2:4" x14ac:dyDescent="0.3">
      <c r="B695" s="176">
        <v>45590</v>
      </c>
      <c r="C695" s="15">
        <v>-0.9</v>
      </c>
      <c r="D695" s="15">
        <v>-5.84</v>
      </c>
    </row>
    <row r="696" spans="2:4" x14ac:dyDescent="0.3">
      <c r="B696" s="176">
        <v>45593</v>
      </c>
      <c r="C696" s="15">
        <v>0.65</v>
      </c>
      <c r="D696" s="15">
        <v>2.25</v>
      </c>
    </row>
    <row r="697" spans="2:4" x14ac:dyDescent="0.3">
      <c r="B697" s="176">
        <v>45594</v>
      </c>
      <c r="C697" s="15">
        <v>0.52</v>
      </c>
      <c r="D697" s="15">
        <v>-1</v>
      </c>
    </row>
    <row r="698" spans="2:4" x14ac:dyDescent="0.3">
      <c r="B698" s="176">
        <v>45595</v>
      </c>
      <c r="C698" s="15">
        <v>-0.51</v>
      </c>
      <c r="D698" s="15">
        <v>1.64</v>
      </c>
    </row>
    <row r="699" spans="2:4" x14ac:dyDescent="0.3">
      <c r="B699" s="176">
        <v>45596</v>
      </c>
      <c r="C699" s="15">
        <v>-0.56000000000000005</v>
      </c>
      <c r="D699" s="15">
        <v>3.2</v>
      </c>
    </row>
    <row r="700" spans="2:4" x14ac:dyDescent="0.3">
      <c r="B700" s="176">
        <v>45597</v>
      </c>
      <c r="C700" s="15">
        <v>0.41</v>
      </c>
      <c r="D700" s="15">
        <v>0.26</v>
      </c>
    </row>
    <row r="701" spans="2:4" x14ac:dyDescent="0.3">
      <c r="B701" s="176">
        <v>45600</v>
      </c>
      <c r="C701" s="15">
        <v>-1.27</v>
      </c>
      <c r="D701" s="15">
        <v>-1.43</v>
      </c>
    </row>
    <row r="702" spans="2:4" x14ac:dyDescent="0.3">
      <c r="B702" s="176">
        <v>45601</v>
      </c>
      <c r="C702" s="15">
        <v>0.91</v>
      </c>
      <c r="D702" s="15">
        <v>5.2</v>
      </c>
    </row>
    <row r="703" spans="2:4" x14ac:dyDescent="0.3">
      <c r="B703" s="176">
        <v>45602</v>
      </c>
      <c r="C703" s="15">
        <v>1.1200000000000001</v>
      </c>
      <c r="D703" s="15">
        <v>6.04</v>
      </c>
    </row>
    <row r="704" spans="2:4" x14ac:dyDescent="0.3">
      <c r="B704" s="176">
        <v>45603</v>
      </c>
      <c r="C704" s="15">
        <v>-1.1599999999999999</v>
      </c>
      <c r="D704" s="15">
        <v>-10.43</v>
      </c>
    </row>
    <row r="705" spans="2:4" x14ac:dyDescent="0.3">
      <c r="B705" s="176">
        <v>45604</v>
      </c>
      <c r="C705" s="15">
        <v>-0.21</v>
      </c>
      <c r="D705" s="15">
        <v>-2.88</v>
      </c>
    </row>
    <row r="706" spans="2:4" x14ac:dyDescent="0.3">
      <c r="B706" s="176">
        <v>45607</v>
      </c>
      <c r="C706" s="15">
        <v>-0.03</v>
      </c>
      <c r="D706" s="15">
        <v>-3.66</v>
      </c>
    </row>
    <row r="707" spans="2:4" x14ac:dyDescent="0.3">
      <c r="B707" s="176">
        <v>45608</v>
      </c>
      <c r="C707" s="15">
        <v>-1.07</v>
      </c>
      <c r="D707" s="15">
        <v>2.4500000000000002</v>
      </c>
    </row>
    <row r="708" spans="2:4" x14ac:dyDescent="0.3">
      <c r="B708" s="176">
        <v>45609</v>
      </c>
      <c r="C708" s="15">
        <v>-1.36</v>
      </c>
      <c r="D708" s="15">
        <v>-3.7</v>
      </c>
    </row>
    <row r="709" spans="2:4" x14ac:dyDescent="0.3">
      <c r="B709" s="176">
        <v>45610</v>
      </c>
      <c r="C709" s="15">
        <v>-0.11</v>
      </c>
      <c r="D709" s="15">
        <v>-1.1399999999999999</v>
      </c>
    </row>
    <row r="710" spans="2:4" x14ac:dyDescent="0.3">
      <c r="B710" s="176">
        <v>45614</v>
      </c>
      <c r="C710" s="15">
        <v>-0.34</v>
      </c>
      <c r="D710" s="15">
        <v>-1.49</v>
      </c>
    </row>
    <row r="711" spans="2:4" x14ac:dyDescent="0.3">
      <c r="B711" s="176">
        <v>45615</v>
      </c>
      <c r="C711" s="15">
        <v>0.28000000000000003</v>
      </c>
      <c r="D711" s="15">
        <v>0.57999999999999996</v>
      </c>
    </row>
    <row r="712" spans="2:4" x14ac:dyDescent="0.3">
      <c r="B712" s="176">
        <v>45617</v>
      </c>
      <c r="C712" s="15">
        <v>-0.72</v>
      </c>
      <c r="D712" s="15">
        <v>-20</v>
      </c>
    </row>
    <row r="713" spans="2:4" x14ac:dyDescent="0.3">
      <c r="B713" s="176">
        <v>45618</v>
      </c>
      <c r="C713" s="15">
        <v>2.39</v>
      </c>
      <c r="D713" s="15">
        <v>-6.93</v>
      </c>
    </row>
    <row r="714" spans="2:4" x14ac:dyDescent="0.3">
      <c r="B714" s="176">
        <v>45621</v>
      </c>
      <c r="C714" s="15">
        <v>1.32</v>
      </c>
      <c r="D714" s="15">
        <v>-3.66</v>
      </c>
    </row>
    <row r="715" spans="2:4" x14ac:dyDescent="0.3">
      <c r="B715" s="176">
        <v>45622</v>
      </c>
      <c r="C715" s="15">
        <v>-0.11</v>
      </c>
      <c r="D715" s="15">
        <v>-3.91</v>
      </c>
    </row>
    <row r="716" spans="2:4" x14ac:dyDescent="0.3">
      <c r="B716" s="176">
        <v>45623</v>
      </c>
      <c r="C716" s="15">
        <v>0.33</v>
      </c>
      <c r="D716" s="15">
        <v>10</v>
      </c>
    </row>
    <row r="717" spans="2:4" x14ac:dyDescent="0.3">
      <c r="B717" s="176">
        <v>45624</v>
      </c>
      <c r="C717" s="15">
        <v>-1.49</v>
      </c>
      <c r="D717" s="15">
        <v>10</v>
      </c>
    </row>
    <row r="718" spans="2:4" x14ac:dyDescent="0.3">
      <c r="B718" s="176">
        <v>45625</v>
      </c>
      <c r="C718" s="15">
        <v>0.91</v>
      </c>
      <c r="D718" s="15">
        <v>15.64</v>
      </c>
    </row>
    <row r="719" spans="2:4" x14ac:dyDescent="0.3">
      <c r="B719" s="176">
        <v>45628</v>
      </c>
      <c r="C719" s="15">
        <v>0.6</v>
      </c>
      <c r="D719" s="15">
        <v>-3.99</v>
      </c>
    </row>
    <row r="720" spans="2:4" x14ac:dyDescent="0.3">
      <c r="B720" s="176">
        <v>45629</v>
      </c>
      <c r="C720" s="15">
        <v>0.75</v>
      </c>
      <c r="D720" s="15">
        <v>-0.64</v>
      </c>
    </row>
    <row r="721" spans="2:4" x14ac:dyDescent="0.3">
      <c r="B721" s="176">
        <v>45630</v>
      </c>
      <c r="C721" s="15">
        <v>0.04</v>
      </c>
      <c r="D721" s="15">
        <v>1.45</v>
      </c>
    </row>
    <row r="722" spans="2:4" x14ac:dyDescent="0.3">
      <c r="B722" s="176">
        <v>45631</v>
      </c>
      <c r="C722" s="15">
        <v>0.98</v>
      </c>
      <c r="D722" s="15">
        <v>1.1499999999999999</v>
      </c>
    </row>
    <row r="723" spans="2:4" x14ac:dyDescent="0.3">
      <c r="B723" s="176">
        <v>45632</v>
      </c>
      <c r="C723" s="15">
        <v>-0.12</v>
      </c>
      <c r="D723" s="15">
        <v>-1.76</v>
      </c>
    </row>
    <row r="724" spans="2:4" x14ac:dyDescent="0.3">
      <c r="B724" s="176">
        <v>45635</v>
      </c>
      <c r="C724" s="15">
        <v>-0.24</v>
      </c>
      <c r="D724" s="15">
        <v>-0.61</v>
      </c>
    </row>
    <row r="725" spans="2:4" x14ac:dyDescent="0.3">
      <c r="B725" s="176">
        <v>45636</v>
      </c>
      <c r="C725" s="15">
        <v>-0.04</v>
      </c>
      <c r="D725" s="15">
        <v>-2.35</v>
      </c>
    </row>
    <row r="726" spans="2:4" x14ac:dyDescent="0.3">
      <c r="B726" s="176">
        <v>45637</v>
      </c>
      <c r="C726" s="15">
        <v>0.13</v>
      </c>
      <c r="D726" s="15">
        <v>0.89</v>
      </c>
    </row>
    <row r="727" spans="2:4" x14ac:dyDescent="0.3">
      <c r="B727" s="176">
        <v>45638</v>
      </c>
      <c r="C727" s="15">
        <v>-0.38</v>
      </c>
      <c r="D727" s="15">
        <v>3.37</v>
      </c>
    </row>
    <row r="728" spans="2:4" x14ac:dyDescent="0.3">
      <c r="B728" s="176">
        <v>45639</v>
      </c>
      <c r="C728" s="15">
        <v>0.89</v>
      </c>
      <c r="D728" s="15">
        <v>1.74</v>
      </c>
    </row>
    <row r="729" spans="2:4" x14ac:dyDescent="0.3">
      <c r="B729" s="176">
        <v>45642</v>
      </c>
      <c r="C729" s="15">
        <v>-0.4</v>
      </c>
      <c r="D729" s="15">
        <v>-2.46</v>
      </c>
    </row>
    <row r="730" spans="2:4" x14ac:dyDescent="0.3">
      <c r="B730" s="176">
        <v>45643</v>
      </c>
      <c r="C730" s="15">
        <v>-1.35</v>
      </c>
      <c r="D730" s="15">
        <v>0.18</v>
      </c>
    </row>
    <row r="731" spans="2:4" x14ac:dyDescent="0.3">
      <c r="B731" s="176">
        <v>45644</v>
      </c>
      <c r="C731" s="15">
        <v>-0.56000000000000005</v>
      </c>
      <c r="D731" s="15">
        <v>-2.4</v>
      </c>
    </row>
    <row r="732" spans="2:4" x14ac:dyDescent="0.3">
      <c r="B732" s="176">
        <v>45645</v>
      </c>
      <c r="C732" s="15">
        <v>-1.02</v>
      </c>
      <c r="D732" s="15">
        <v>0.27</v>
      </c>
    </row>
    <row r="733" spans="2:4" x14ac:dyDescent="0.3">
      <c r="B733" s="176">
        <v>45646</v>
      </c>
      <c r="C733" s="15">
        <v>-1.52</v>
      </c>
      <c r="D733" s="15">
        <v>-3.57</v>
      </c>
    </row>
    <row r="734" spans="2:4" x14ac:dyDescent="0.3">
      <c r="B734" s="176">
        <v>45649</v>
      </c>
      <c r="C734" s="15">
        <v>0.7</v>
      </c>
      <c r="D734" s="15">
        <v>0.75</v>
      </c>
    </row>
    <row r="735" spans="2:4" x14ac:dyDescent="0.3">
      <c r="B735" s="176">
        <v>45650</v>
      </c>
      <c r="C735" s="15">
        <v>-0.11</v>
      </c>
      <c r="D735" s="15">
        <v>-0.26</v>
      </c>
    </row>
    <row r="736" spans="2:4" x14ac:dyDescent="0.3">
      <c r="B736" s="176">
        <v>45652</v>
      </c>
      <c r="C736" s="15">
        <v>0.1</v>
      </c>
      <c r="D736" s="15">
        <v>2.72</v>
      </c>
    </row>
    <row r="737" spans="2:4" x14ac:dyDescent="0.3">
      <c r="B737" s="176">
        <v>45653</v>
      </c>
      <c r="C737" s="15">
        <v>0.27</v>
      </c>
      <c r="D737" s="15">
        <v>1.72</v>
      </c>
    </row>
    <row r="738" spans="2:4" x14ac:dyDescent="0.3">
      <c r="B738" s="176">
        <v>45656</v>
      </c>
      <c r="C738" s="15">
        <v>-0.71</v>
      </c>
      <c r="D738" s="15">
        <v>2.52</v>
      </c>
    </row>
    <row r="739" spans="2:4" x14ac:dyDescent="0.3">
      <c r="B739" s="176">
        <v>45657</v>
      </c>
      <c r="C739" s="15">
        <v>0</v>
      </c>
      <c r="D739" s="15">
        <v>-2.4300000000000002</v>
      </c>
    </row>
    <row r="740" spans="2:4" x14ac:dyDescent="0.3">
      <c r="B740" s="176">
        <v>45658</v>
      </c>
      <c r="C740" s="15">
        <v>0.41</v>
      </c>
      <c r="D740" s="15">
        <v>-0.09</v>
      </c>
    </row>
    <row r="741" spans="2:4" x14ac:dyDescent="0.3">
      <c r="B741" s="176">
        <v>45659</v>
      </c>
      <c r="C741" s="15">
        <v>1.88</v>
      </c>
      <c r="D741" s="15">
        <v>0.45</v>
      </c>
    </row>
    <row r="742" spans="2:4" x14ac:dyDescent="0.3">
      <c r="B742" s="176">
        <v>45660</v>
      </c>
      <c r="C742" s="15">
        <v>-0.76</v>
      </c>
      <c r="D742" s="15">
        <v>1.51</v>
      </c>
    </row>
    <row r="743" spans="2:4" x14ac:dyDescent="0.3">
      <c r="B743" s="176">
        <v>45663</v>
      </c>
      <c r="C743" s="15">
        <v>-1.62</v>
      </c>
      <c r="D743" s="15">
        <v>-6.41</v>
      </c>
    </row>
    <row r="744" spans="2:4" x14ac:dyDescent="0.3">
      <c r="B744" s="176">
        <v>45664</v>
      </c>
      <c r="C744" s="15">
        <v>0.39</v>
      </c>
      <c r="D744" s="15">
        <v>1.68</v>
      </c>
    </row>
    <row r="745" spans="2:4" x14ac:dyDescent="0.3">
      <c r="B745" s="176">
        <v>45665</v>
      </c>
      <c r="C745" s="15">
        <v>-0.08</v>
      </c>
      <c r="D745" s="15">
        <v>-1.45</v>
      </c>
    </row>
    <row r="746" spans="2:4" x14ac:dyDescent="0.3">
      <c r="B746" s="176">
        <v>45666</v>
      </c>
      <c r="C746" s="15">
        <v>-0.69</v>
      </c>
      <c r="D746" s="15">
        <v>-2.4300000000000002</v>
      </c>
    </row>
    <row r="747" spans="2:4" x14ac:dyDescent="0.3">
      <c r="B747" s="176">
        <v>45667</v>
      </c>
      <c r="C747" s="15">
        <v>-0.4</v>
      </c>
      <c r="D747" s="15">
        <v>-2.96</v>
      </c>
    </row>
    <row r="748" spans="2:4" x14ac:dyDescent="0.3">
      <c r="B748" s="176">
        <v>45670</v>
      </c>
      <c r="C748" s="15">
        <v>-1.47</v>
      </c>
      <c r="D748" s="15">
        <v>-5.55</v>
      </c>
    </row>
    <row r="749" spans="2:4" x14ac:dyDescent="0.3">
      <c r="B749" s="176">
        <v>45671</v>
      </c>
      <c r="C749" s="15">
        <v>0.39</v>
      </c>
      <c r="D749" s="15">
        <v>11.99</v>
      </c>
    </row>
    <row r="750" spans="2:4" x14ac:dyDescent="0.3">
      <c r="B750" s="176">
        <v>45672</v>
      </c>
      <c r="C750" s="15">
        <v>0.16</v>
      </c>
      <c r="D750" s="15">
        <v>1.1499999999999999</v>
      </c>
    </row>
    <row r="751" spans="2:4" x14ac:dyDescent="0.3">
      <c r="B751" s="176">
        <v>45673</v>
      </c>
      <c r="C751" s="15">
        <v>0.42</v>
      </c>
      <c r="D751" s="15">
        <v>1.58</v>
      </c>
    </row>
    <row r="752" spans="2:4" x14ac:dyDescent="0.3">
      <c r="B752" s="176">
        <v>45674</v>
      </c>
      <c r="C752" s="15">
        <v>-0.47</v>
      </c>
      <c r="D752" s="15">
        <v>1.6</v>
      </c>
    </row>
    <row r="753" spans="2:4" x14ac:dyDescent="0.3">
      <c r="B753" s="176">
        <v>45677</v>
      </c>
      <c r="C753" s="15">
        <v>0.61</v>
      </c>
      <c r="D753" s="15">
        <v>1.32</v>
      </c>
    </row>
    <row r="754" spans="2:4" x14ac:dyDescent="0.3">
      <c r="B754" s="176">
        <v>45678</v>
      </c>
      <c r="C754" s="15">
        <v>-1.37</v>
      </c>
      <c r="D754" s="15">
        <v>-0.28999999999999998</v>
      </c>
    </row>
    <row r="755" spans="2:4" x14ac:dyDescent="0.3">
      <c r="B755" s="176">
        <v>45679</v>
      </c>
      <c r="C755" s="15">
        <v>0.56999999999999995</v>
      </c>
      <c r="D755" s="15">
        <v>-1.3</v>
      </c>
    </row>
    <row r="756" spans="2:4" x14ac:dyDescent="0.3">
      <c r="B756" s="176">
        <v>45680</v>
      </c>
      <c r="C756" s="15">
        <v>0.22</v>
      </c>
      <c r="D756" s="15">
        <v>0.75</v>
      </c>
    </row>
    <row r="757" spans="2:4" x14ac:dyDescent="0.3">
      <c r="B757" s="176">
        <v>45681</v>
      </c>
      <c r="C757" s="15">
        <v>-0.49</v>
      </c>
      <c r="D757" s="15">
        <v>-2.27</v>
      </c>
    </row>
    <row r="758" spans="2:4" x14ac:dyDescent="0.3">
      <c r="B758" s="176">
        <v>45684</v>
      </c>
      <c r="C758" s="15">
        <v>-1.1399999999999999</v>
      </c>
      <c r="D758" s="15">
        <v>-4.4000000000000004</v>
      </c>
    </row>
    <row r="759" spans="2:4" x14ac:dyDescent="0.3">
      <c r="B759" s="176">
        <v>45685</v>
      </c>
      <c r="C759" s="15">
        <v>0.56000000000000005</v>
      </c>
      <c r="D759" s="15">
        <v>-1.07</v>
      </c>
    </row>
    <row r="760" spans="2:4" x14ac:dyDescent="0.3">
      <c r="B760" s="176">
        <v>45686</v>
      </c>
      <c r="C760" s="15">
        <v>0.9</v>
      </c>
      <c r="D760" s="15">
        <v>-0.39</v>
      </c>
    </row>
    <row r="761" spans="2:4" x14ac:dyDescent="0.3">
      <c r="B761" s="176">
        <v>45687</v>
      </c>
      <c r="C761" s="15">
        <v>0.37</v>
      </c>
      <c r="D761" s="15">
        <v>-0.6</v>
      </c>
    </row>
    <row r="762" spans="2:4" x14ac:dyDescent="0.3">
      <c r="B762" s="176">
        <v>45688</v>
      </c>
      <c r="C762" s="15">
        <v>1.1100000000000001</v>
      </c>
      <c r="D762" s="15">
        <v>1.0900000000000001</v>
      </c>
    </row>
    <row r="763" spans="2:4" x14ac:dyDescent="0.3">
      <c r="B763" s="176">
        <v>45691</v>
      </c>
      <c r="C763" s="15">
        <v>-0.52</v>
      </c>
      <c r="D763" s="15">
        <v>-2.4</v>
      </c>
    </row>
    <row r="764" spans="2:4" x14ac:dyDescent="0.3">
      <c r="B764" s="176">
        <v>45692</v>
      </c>
      <c r="C764" s="15">
        <v>1.62</v>
      </c>
      <c r="D764" s="15">
        <v>3.25</v>
      </c>
    </row>
    <row r="765" spans="2:4" x14ac:dyDescent="0.3">
      <c r="B765" s="176">
        <v>45693</v>
      </c>
      <c r="C765" s="15">
        <v>-0.18</v>
      </c>
      <c r="D765" s="15">
        <v>3.15</v>
      </c>
    </row>
    <row r="766" spans="2:4" x14ac:dyDescent="0.3">
      <c r="B766" s="176">
        <v>45694</v>
      </c>
      <c r="C766" s="15">
        <v>-0.39</v>
      </c>
      <c r="D766" s="15">
        <v>-0.3</v>
      </c>
    </row>
    <row r="767" spans="2:4" x14ac:dyDescent="0.3">
      <c r="B767" s="176">
        <v>45695</v>
      </c>
      <c r="C767" s="15">
        <v>-0.18</v>
      </c>
      <c r="D767" s="15">
        <v>0.03</v>
      </c>
    </row>
    <row r="768" spans="2:4" x14ac:dyDescent="0.3">
      <c r="B768" s="176">
        <v>45698</v>
      </c>
      <c r="C768" s="15">
        <v>-0.76</v>
      </c>
      <c r="D768" s="15">
        <v>-4.0999999999999996</v>
      </c>
    </row>
    <row r="769" spans="2:4" x14ac:dyDescent="0.3">
      <c r="B769" s="176">
        <v>45699</v>
      </c>
      <c r="C769" s="15">
        <v>-1.32</v>
      </c>
      <c r="D769" s="15">
        <v>-1.3</v>
      </c>
    </row>
    <row r="770" spans="2:4" x14ac:dyDescent="0.3">
      <c r="B770" s="176">
        <v>45700</v>
      </c>
      <c r="C770" s="15">
        <v>-0.12</v>
      </c>
      <c r="D770" s="15">
        <v>3.38</v>
      </c>
    </row>
    <row r="771" spans="2:4" x14ac:dyDescent="0.3">
      <c r="B771" s="176">
        <v>45701</v>
      </c>
      <c r="C771" s="15">
        <v>-0.06</v>
      </c>
      <c r="D771" s="15">
        <v>-1.69</v>
      </c>
    </row>
    <row r="772" spans="2:4" x14ac:dyDescent="0.3">
      <c r="B772" s="176">
        <v>45702</v>
      </c>
      <c r="C772" s="15">
        <v>-0.44</v>
      </c>
      <c r="D772" s="15">
        <v>-4.78</v>
      </c>
    </row>
    <row r="773" spans="2:4" x14ac:dyDescent="0.3">
      <c r="B773" s="176">
        <v>45705</v>
      </c>
      <c r="C773" s="15">
        <v>0.13</v>
      </c>
      <c r="D773" s="15">
        <v>-0.9</v>
      </c>
    </row>
    <row r="774" spans="2:4" x14ac:dyDescent="0.3">
      <c r="B774" s="176">
        <v>45706</v>
      </c>
      <c r="C774" s="15">
        <v>-0.06</v>
      </c>
      <c r="D774" s="15">
        <v>-3.54</v>
      </c>
    </row>
    <row r="775" spans="2:4" x14ac:dyDescent="0.3">
      <c r="B775" s="176">
        <v>45707</v>
      </c>
      <c r="C775" s="15">
        <v>-0.05</v>
      </c>
      <c r="D775" s="15">
        <v>-0.96</v>
      </c>
    </row>
    <row r="776" spans="2:4" x14ac:dyDescent="0.3">
      <c r="B776" s="176">
        <v>45708</v>
      </c>
      <c r="C776" s="15">
        <v>-0.09</v>
      </c>
      <c r="D776" s="15">
        <v>1.1000000000000001</v>
      </c>
    </row>
    <row r="777" spans="2:4" x14ac:dyDescent="0.3">
      <c r="B777" s="176">
        <v>45709</v>
      </c>
      <c r="C777" s="15">
        <v>-0.51</v>
      </c>
      <c r="D777" s="15">
        <v>-1.04</v>
      </c>
    </row>
    <row r="778" spans="2:4" x14ac:dyDescent="0.3">
      <c r="B778" s="176">
        <v>45712</v>
      </c>
      <c r="C778" s="15">
        <v>-1.06</v>
      </c>
      <c r="D778" s="15">
        <v>-0.2</v>
      </c>
    </row>
    <row r="779" spans="2:4" x14ac:dyDescent="0.3">
      <c r="B779" s="176">
        <v>45713</v>
      </c>
      <c r="C779" s="15">
        <v>-0.03</v>
      </c>
      <c r="D779" s="15">
        <v>0.01</v>
      </c>
    </row>
    <row r="780" spans="2:4" x14ac:dyDescent="0.3">
      <c r="B780" s="176">
        <v>45715</v>
      </c>
      <c r="C780" s="15">
        <v>-0.01</v>
      </c>
      <c r="D780" s="15">
        <v>-1.19</v>
      </c>
    </row>
    <row r="781" spans="2:4" x14ac:dyDescent="0.3">
      <c r="B781" s="176">
        <v>45716</v>
      </c>
      <c r="C781" s="15">
        <v>-1.86</v>
      </c>
      <c r="D781" s="15">
        <v>-1.63</v>
      </c>
    </row>
    <row r="782" spans="2:4" x14ac:dyDescent="0.3">
      <c r="B782" s="176">
        <v>45719</v>
      </c>
      <c r="C782" s="15">
        <v>-0.02</v>
      </c>
      <c r="D782" s="15">
        <v>0.48</v>
      </c>
    </row>
    <row r="783" spans="2:4" x14ac:dyDescent="0.3">
      <c r="B783" s="176">
        <v>45720</v>
      </c>
      <c r="C783" s="15">
        <v>-0.17</v>
      </c>
      <c r="D783" s="15">
        <v>-1.1299999999999999</v>
      </c>
    </row>
    <row r="784" spans="2:4" x14ac:dyDescent="0.3">
      <c r="B784" s="176">
        <v>45721</v>
      </c>
      <c r="C784" s="15">
        <v>1.1499999999999999</v>
      </c>
      <c r="D784" s="15">
        <v>9.7100000000000009</v>
      </c>
    </row>
    <row r="785" spans="2:4" x14ac:dyDescent="0.3">
      <c r="B785" s="176">
        <v>45722</v>
      </c>
      <c r="C785" s="15">
        <v>0.93</v>
      </c>
      <c r="D785" s="15">
        <v>3.35</v>
      </c>
    </row>
    <row r="786" spans="2:4" x14ac:dyDescent="0.3">
      <c r="B786" s="176">
        <v>45723</v>
      </c>
      <c r="C786" s="15">
        <v>0.03</v>
      </c>
      <c r="D786" s="15">
        <v>1.96</v>
      </c>
    </row>
    <row r="787" spans="2:4" x14ac:dyDescent="0.3">
      <c r="B787" s="176">
        <v>45726</v>
      </c>
      <c r="C787" s="15">
        <v>-0.41</v>
      </c>
      <c r="D787" s="15">
        <v>1.54</v>
      </c>
    </row>
    <row r="788" spans="2:4" x14ac:dyDescent="0.3">
      <c r="B788" s="176">
        <v>45727</v>
      </c>
      <c r="C788" s="15">
        <v>0.17</v>
      </c>
      <c r="D788" s="15">
        <v>0.26</v>
      </c>
    </row>
    <row r="789" spans="2:4" x14ac:dyDescent="0.3">
      <c r="B789" s="176">
        <v>45728</v>
      </c>
      <c r="C789" s="15">
        <v>-0.12</v>
      </c>
      <c r="D789" s="15">
        <v>2.72</v>
      </c>
    </row>
    <row r="790" spans="2:4" x14ac:dyDescent="0.3">
      <c r="B790" s="176">
        <v>45729</v>
      </c>
      <c r="C790" s="15">
        <v>-0.33</v>
      </c>
      <c r="D790" s="15">
        <v>0.19</v>
      </c>
    </row>
    <row r="791" spans="2:4" x14ac:dyDescent="0.3">
      <c r="B791" s="176">
        <v>45733</v>
      </c>
      <c r="C791" s="15">
        <v>0.5</v>
      </c>
      <c r="D791" s="15">
        <v>1.51</v>
      </c>
    </row>
    <row r="792" spans="2:4" x14ac:dyDescent="0.3">
      <c r="B792" s="176">
        <v>45734</v>
      </c>
      <c r="C792" s="15">
        <v>1.45</v>
      </c>
      <c r="D792" s="15">
        <v>0</v>
      </c>
    </row>
    <row r="793" spans="2:4" x14ac:dyDescent="0.3">
      <c r="B793" s="176">
        <v>45735</v>
      </c>
      <c r="C793" s="15">
        <v>0.32</v>
      </c>
      <c r="D793" s="15">
        <v>2.37</v>
      </c>
    </row>
    <row r="794" spans="2:4" x14ac:dyDescent="0.3">
      <c r="B794" s="176">
        <v>45736</v>
      </c>
      <c r="C794" s="15">
        <v>1.24</v>
      </c>
      <c r="D794" s="15">
        <v>0.15</v>
      </c>
    </row>
    <row r="795" spans="2:4" x14ac:dyDescent="0.3">
      <c r="B795" s="176">
        <v>45737</v>
      </c>
      <c r="C795" s="15">
        <v>0.69</v>
      </c>
      <c r="D795" s="15">
        <v>2.04</v>
      </c>
    </row>
    <row r="796" spans="2:4" x14ac:dyDescent="0.3">
      <c r="B796" s="176">
        <v>45740</v>
      </c>
      <c r="C796" s="15">
        <v>1.32</v>
      </c>
      <c r="D796" s="15">
        <v>-1.38</v>
      </c>
    </row>
    <row r="797" spans="2:4" x14ac:dyDescent="0.3">
      <c r="B797" s="176">
        <v>45741</v>
      </c>
      <c r="C797" s="15">
        <v>0.04</v>
      </c>
      <c r="D797" s="15">
        <v>-0.45</v>
      </c>
    </row>
    <row r="798" spans="2:4" x14ac:dyDescent="0.3">
      <c r="B798" s="176">
        <v>45742</v>
      </c>
      <c r="C798" s="15">
        <v>-0.77</v>
      </c>
      <c r="D798" s="15">
        <v>-1.66</v>
      </c>
    </row>
    <row r="799" spans="2:4" x14ac:dyDescent="0.3">
      <c r="B799" s="176">
        <v>45743</v>
      </c>
      <c r="C799" s="15">
        <v>0.45</v>
      </c>
      <c r="D799" s="15">
        <v>8.6999999999999993</v>
      </c>
    </row>
    <row r="800" spans="2:4" x14ac:dyDescent="0.3">
      <c r="B800" s="176">
        <v>45744</v>
      </c>
      <c r="C800" s="15">
        <v>-0.31</v>
      </c>
      <c r="D800" s="15">
        <v>-0.1</v>
      </c>
    </row>
    <row r="801" spans="2:4" x14ac:dyDescent="0.3">
      <c r="B801" s="176">
        <v>45748</v>
      </c>
      <c r="C801" s="15">
        <v>-1.5</v>
      </c>
      <c r="D801" s="15">
        <v>-0.65</v>
      </c>
    </row>
    <row r="802" spans="2:4" x14ac:dyDescent="0.3">
      <c r="B802" s="176">
        <v>45749</v>
      </c>
      <c r="C802" s="15">
        <v>0.72</v>
      </c>
      <c r="D802" s="15">
        <v>0.18</v>
      </c>
    </row>
    <row r="803" spans="2:4" x14ac:dyDescent="0.3">
      <c r="B803" s="176">
        <v>45750</v>
      </c>
      <c r="C803" s="15">
        <v>-0.35</v>
      </c>
      <c r="D803" s="15">
        <v>1.9</v>
      </c>
    </row>
    <row r="804" spans="2:4" x14ac:dyDescent="0.3">
      <c r="B804" s="176">
        <v>45751</v>
      </c>
      <c r="C804" s="15">
        <v>-1.49</v>
      </c>
      <c r="D804" s="15">
        <v>-2.82</v>
      </c>
    </row>
    <row r="805" spans="2:4" x14ac:dyDescent="0.3">
      <c r="B805" s="176">
        <v>45754</v>
      </c>
      <c r="C805" s="15">
        <v>-3.24</v>
      </c>
      <c r="D805" s="15">
        <v>-5.16</v>
      </c>
    </row>
    <row r="806" spans="2:4" x14ac:dyDescent="0.3">
      <c r="B806" s="176">
        <v>45755</v>
      </c>
      <c r="C806" s="15">
        <v>1.69</v>
      </c>
      <c r="D806" s="15">
        <v>3.2</v>
      </c>
    </row>
    <row r="807" spans="2:4" x14ac:dyDescent="0.3">
      <c r="B807" s="176">
        <v>45756</v>
      </c>
      <c r="C807" s="15">
        <v>-0.61</v>
      </c>
      <c r="D807" s="15">
        <v>-0.45</v>
      </c>
    </row>
    <row r="808" spans="2:4" x14ac:dyDescent="0.3">
      <c r="B808" s="176">
        <v>45758</v>
      </c>
      <c r="C808" s="15">
        <v>1.92</v>
      </c>
      <c r="D808" s="15">
        <v>0.88</v>
      </c>
    </row>
    <row r="809" spans="2:4" x14ac:dyDescent="0.3">
      <c r="B809" s="176">
        <v>45762</v>
      </c>
      <c r="C809" s="15">
        <v>2.19</v>
      </c>
      <c r="D809" s="15">
        <v>5.04</v>
      </c>
    </row>
    <row r="810" spans="2:4" x14ac:dyDescent="0.3">
      <c r="B810" s="176">
        <v>45763</v>
      </c>
      <c r="C810" s="15">
        <v>0.47</v>
      </c>
      <c r="D810" s="15">
        <v>0.87</v>
      </c>
    </row>
    <row r="811" spans="2:4" x14ac:dyDescent="0.3">
      <c r="B811" s="176">
        <v>45764</v>
      </c>
      <c r="C811" s="15">
        <v>1.77</v>
      </c>
      <c r="D811" s="15">
        <v>2.12</v>
      </c>
    </row>
    <row r="812" spans="2:4" x14ac:dyDescent="0.3">
      <c r="B812" s="176">
        <v>45768</v>
      </c>
      <c r="C812" s="15">
        <v>1.1499999999999999</v>
      </c>
      <c r="D812" s="15">
        <v>2.5499999999999998</v>
      </c>
    </row>
    <row r="813" spans="2:4" x14ac:dyDescent="0.3">
      <c r="B813" s="176">
        <v>45769</v>
      </c>
      <c r="C813" s="15">
        <v>0.17</v>
      </c>
      <c r="D813" s="15">
        <v>-0.84</v>
      </c>
    </row>
    <row r="814" spans="2:4" x14ac:dyDescent="0.3">
      <c r="B814" s="176">
        <v>45770</v>
      </c>
      <c r="C814" s="15">
        <v>0.67</v>
      </c>
      <c r="D814" s="15">
        <v>0.99</v>
      </c>
    </row>
    <row r="815" spans="2:4" x14ac:dyDescent="0.3">
      <c r="B815" s="176">
        <v>45771</v>
      </c>
      <c r="C815" s="15">
        <v>-0.34</v>
      </c>
      <c r="D815" s="15">
        <v>2.44</v>
      </c>
    </row>
    <row r="816" spans="2:4" x14ac:dyDescent="0.3">
      <c r="B816" s="176">
        <v>45772</v>
      </c>
      <c r="C816" s="15">
        <v>-0.86</v>
      </c>
      <c r="D816" s="15">
        <v>-4.92</v>
      </c>
    </row>
    <row r="817" spans="2:4" x14ac:dyDescent="0.3">
      <c r="B817" s="176">
        <v>45775</v>
      </c>
      <c r="C817" s="15">
        <v>1.2</v>
      </c>
      <c r="D817" s="15">
        <v>1.2</v>
      </c>
    </row>
    <row r="818" spans="2:4" x14ac:dyDescent="0.3">
      <c r="B818" s="176">
        <v>45776</v>
      </c>
      <c r="C818" s="15">
        <v>0.03</v>
      </c>
      <c r="D818" s="15">
        <v>-0.83</v>
      </c>
    </row>
    <row r="819" spans="2:4" x14ac:dyDescent="0.3">
      <c r="B819" s="176">
        <v>45777</v>
      </c>
      <c r="C819" s="15">
        <v>-0.01</v>
      </c>
      <c r="D819" s="15">
        <v>-1.96</v>
      </c>
    </row>
    <row r="820" spans="2:4" x14ac:dyDescent="0.3">
      <c r="B820" s="176">
        <v>45779</v>
      </c>
      <c r="C820" s="15">
        <v>0.05</v>
      </c>
      <c r="D820" s="15">
        <v>0.67</v>
      </c>
    </row>
    <row r="821" spans="2:4" x14ac:dyDescent="0.3">
      <c r="B821" s="176">
        <v>45782</v>
      </c>
      <c r="C821" s="15">
        <v>0.47</v>
      </c>
      <c r="D821" s="15">
        <v>3.48</v>
      </c>
    </row>
    <row r="822" spans="2:4" x14ac:dyDescent="0.3">
      <c r="B822" s="176">
        <v>45783</v>
      </c>
      <c r="C822" s="15">
        <v>-0.33</v>
      </c>
      <c r="D822" s="15">
        <v>-3.18</v>
      </c>
    </row>
    <row r="823" spans="2:4" x14ac:dyDescent="0.3">
      <c r="B823" s="176">
        <v>45784</v>
      </c>
      <c r="C823" s="15">
        <v>0.14000000000000001</v>
      </c>
      <c r="D823" s="15">
        <v>-3.95</v>
      </c>
    </row>
    <row r="824" spans="2:4" x14ac:dyDescent="0.3">
      <c r="B824" s="176">
        <v>45785</v>
      </c>
      <c r="C824" s="15">
        <v>-0.57999999999999996</v>
      </c>
      <c r="D824" s="15">
        <v>-3.74</v>
      </c>
    </row>
    <row r="825" spans="2:4" x14ac:dyDescent="0.3">
      <c r="B825" s="176">
        <v>45786</v>
      </c>
      <c r="C825" s="15">
        <v>-1.1000000000000001</v>
      </c>
      <c r="D825" s="15">
        <v>-1.42</v>
      </c>
    </row>
    <row r="826" spans="2:4" x14ac:dyDescent="0.3">
      <c r="B826" s="176">
        <v>45789</v>
      </c>
      <c r="C826" s="15">
        <v>3.82</v>
      </c>
      <c r="D826" s="15">
        <v>8.1199999999999992</v>
      </c>
    </row>
    <row r="827" spans="2:4" x14ac:dyDescent="0.3">
      <c r="B827" s="176">
        <v>45790</v>
      </c>
      <c r="C827" s="15">
        <v>-1.39</v>
      </c>
      <c r="D827" s="15">
        <v>1.1100000000000001</v>
      </c>
    </row>
    <row r="828" spans="2:4" x14ac:dyDescent="0.3">
      <c r="B828" s="176">
        <v>45791</v>
      </c>
      <c r="C828" s="15">
        <v>0.36</v>
      </c>
      <c r="D828" s="15">
        <v>-1.48</v>
      </c>
    </row>
    <row r="829" spans="2:4" x14ac:dyDescent="0.3">
      <c r="B829" s="176">
        <v>45792</v>
      </c>
      <c r="C829" s="15">
        <v>1.6</v>
      </c>
      <c r="D829" s="15">
        <v>2.25</v>
      </c>
    </row>
    <row r="830" spans="2:4" x14ac:dyDescent="0.3">
      <c r="B830" s="176">
        <v>45793</v>
      </c>
      <c r="C830" s="15">
        <v>-0.17</v>
      </c>
      <c r="D830" s="15">
        <v>0.47</v>
      </c>
    </row>
    <row r="831" spans="2:4" x14ac:dyDescent="0.3">
      <c r="B831" s="176">
        <v>45796</v>
      </c>
      <c r="C831" s="15">
        <v>-0.3</v>
      </c>
      <c r="D831" s="15">
        <v>-2.86</v>
      </c>
    </row>
    <row r="832" spans="2:4" x14ac:dyDescent="0.3">
      <c r="B832" s="176">
        <v>45797</v>
      </c>
      <c r="C832" s="15">
        <v>-1.05</v>
      </c>
      <c r="D832" s="15">
        <v>-2.15</v>
      </c>
    </row>
    <row r="833" spans="2:4" x14ac:dyDescent="0.3">
      <c r="B833" s="176">
        <v>45798</v>
      </c>
      <c r="C833" s="15">
        <v>0.52</v>
      </c>
      <c r="D833" s="15">
        <v>0.28000000000000003</v>
      </c>
    </row>
    <row r="834" spans="2:4" x14ac:dyDescent="0.3">
      <c r="B834" s="176">
        <v>45799</v>
      </c>
      <c r="C834" s="15">
        <v>-0.82</v>
      </c>
      <c r="D834" s="15">
        <v>0.79</v>
      </c>
    </row>
    <row r="835" spans="2:4" x14ac:dyDescent="0.3">
      <c r="B835" s="176">
        <v>45800</v>
      </c>
      <c r="C835" s="15">
        <v>0.99</v>
      </c>
      <c r="D835" s="15">
        <v>-0.28000000000000003</v>
      </c>
    </row>
    <row r="836" spans="2:4" x14ac:dyDescent="0.3">
      <c r="B836" s="176">
        <v>45803</v>
      </c>
      <c r="C836" s="15">
        <v>0.6</v>
      </c>
      <c r="D836" s="15">
        <v>0.25</v>
      </c>
    </row>
    <row r="837" spans="2:4" x14ac:dyDescent="0.3">
      <c r="B837" s="176">
        <v>45804</v>
      </c>
      <c r="C837" s="15">
        <v>-0.7</v>
      </c>
      <c r="D837" s="15">
        <v>0.05</v>
      </c>
    </row>
    <row r="838" spans="2:4" x14ac:dyDescent="0.3">
      <c r="B838" s="176">
        <v>45805</v>
      </c>
      <c r="C838" s="15">
        <v>-0.3</v>
      </c>
      <c r="D838" s="15">
        <v>-1.1499999999999999</v>
      </c>
    </row>
    <row r="839" spans="2:4" x14ac:dyDescent="0.3">
      <c r="B839" s="176">
        <v>45806</v>
      </c>
      <c r="C839" s="15">
        <v>0.33</v>
      </c>
      <c r="D839" s="15">
        <v>1.38</v>
      </c>
    </row>
    <row r="840" spans="2:4" x14ac:dyDescent="0.3">
      <c r="B840" s="176">
        <v>45807</v>
      </c>
      <c r="C840" s="15">
        <v>-0.33</v>
      </c>
      <c r="D840" s="15">
        <v>-1.56</v>
      </c>
    </row>
    <row r="841" spans="2:4" x14ac:dyDescent="0.3">
      <c r="B841" s="176">
        <v>45810</v>
      </c>
      <c r="C841" s="15">
        <v>-0.14000000000000001</v>
      </c>
      <c r="D841" s="15">
        <v>0.88</v>
      </c>
    </row>
    <row r="842" spans="2:4" x14ac:dyDescent="0.3">
      <c r="B842" s="176">
        <v>45811</v>
      </c>
      <c r="C842" s="15">
        <v>-0.7</v>
      </c>
      <c r="D842" s="15">
        <v>-2.09</v>
      </c>
    </row>
    <row r="843" spans="2:4" x14ac:dyDescent="0.3">
      <c r="B843" s="176">
        <v>45812</v>
      </c>
      <c r="C843" s="15">
        <v>0.32</v>
      </c>
      <c r="D843" s="15">
        <v>1.1000000000000001</v>
      </c>
    </row>
    <row r="844" spans="2:4" x14ac:dyDescent="0.3">
      <c r="B844" s="176">
        <v>45813</v>
      </c>
      <c r="C844" s="15">
        <v>0.53</v>
      </c>
      <c r="D844" s="15">
        <v>0.72</v>
      </c>
    </row>
    <row r="845" spans="2:4" x14ac:dyDescent="0.3">
      <c r="B845" s="176">
        <v>45814</v>
      </c>
      <c r="C845" s="15">
        <v>1.02</v>
      </c>
      <c r="D845" s="15">
        <v>1.36</v>
      </c>
    </row>
    <row r="846" spans="2:4" x14ac:dyDescent="0.3">
      <c r="B846" s="176">
        <v>45817</v>
      </c>
      <c r="C846" s="15">
        <v>0.4</v>
      </c>
      <c r="D846" s="15">
        <v>1.96</v>
      </c>
    </row>
    <row r="847" spans="2:4" x14ac:dyDescent="0.3">
      <c r="B847" s="176">
        <v>45818</v>
      </c>
      <c r="C847" s="15">
        <v>0</v>
      </c>
      <c r="D847" s="15">
        <v>1.56</v>
      </c>
    </row>
    <row r="848" spans="2:4" x14ac:dyDescent="0.3">
      <c r="B848" s="176">
        <v>45819</v>
      </c>
      <c r="C848" s="15">
        <v>0.15</v>
      </c>
      <c r="D848" s="15">
        <v>-1.2</v>
      </c>
    </row>
    <row r="849" spans="2:4" x14ac:dyDescent="0.3">
      <c r="B849" s="176">
        <v>45820</v>
      </c>
      <c r="C849" s="15">
        <v>-1.01</v>
      </c>
      <c r="D849" s="15">
        <v>-3.05</v>
      </c>
    </row>
    <row r="850" spans="2:4" x14ac:dyDescent="0.3">
      <c r="B850" s="176">
        <v>45821</v>
      </c>
      <c r="C850" s="15">
        <v>-0.68</v>
      </c>
      <c r="D850" s="15">
        <v>-1.82</v>
      </c>
    </row>
    <row r="851" spans="2:4" x14ac:dyDescent="0.3">
      <c r="B851" s="176">
        <v>45824</v>
      </c>
      <c r="C851" s="15">
        <v>0.92</v>
      </c>
      <c r="D851" s="15">
        <v>0.55000000000000004</v>
      </c>
    </row>
    <row r="852" spans="2:4" x14ac:dyDescent="0.3">
      <c r="B852" s="176">
        <v>45825</v>
      </c>
      <c r="C852" s="15">
        <v>-0.37</v>
      </c>
      <c r="D852" s="15">
        <v>-1.95</v>
      </c>
    </row>
    <row r="853" spans="2:4" x14ac:dyDescent="0.3">
      <c r="B853" s="176">
        <v>45826</v>
      </c>
      <c r="C853" s="15">
        <v>-0.17</v>
      </c>
      <c r="D853" s="15">
        <v>-0.28000000000000003</v>
      </c>
    </row>
    <row r="854" spans="2:4" x14ac:dyDescent="0.3">
      <c r="B854" s="176">
        <v>45827</v>
      </c>
      <c r="C854" s="15">
        <v>-0.08</v>
      </c>
      <c r="D854" s="15">
        <v>-2.7</v>
      </c>
    </row>
    <row r="855" spans="2:4" x14ac:dyDescent="0.3">
      <c r="B855" s="176">
        <v>45828</v>
      </c>
      <c r="C855" s="15">
        <v>1.29</v>
      </c>
      <c r="D855" s="15">
        <v>0.55000000000000004</v>
      </c>
    </row>
    <row r="856" spans="2:4" x14ac:dyDescent="0.3">
      <c r="B856" s="176">
        <v>45831</v>
      </c>
      <c r="C856" s="15">
        <v>-0.56000000000000005</v>
      </c>
      <c r="D856" s="15">
        <v>1.1000000000000001</v>
      </c>
    </row>
    <row r="857" spans="2:4" x14ac:dyDescent="0.3">
      <c r="B857" s="176">
        <v>45832</v>
      </c>
      <c r="C857" s="15">
        <v>0.28999999999999998</v>
      </c>
      <c r="D857" s="15">
        <v>1.75</v>
      </c>
    </row>
    <row r="858" spans="2:4" x14ac:dyDescent="0.3">
      <c r="B858" s="176">
        <v>45833</v>
      </c>
      <c r="C858" s="15">
        <v>0.8</v>
      </c>
      <c r="D858" s="15">
        <v>-0.19</v>
      </c>
    </row>
    <row r="859" spans="2:4" x14ac:dyDescent="0.3">
      <c r="B859" s="176">
        <v>45834</v>
      </c>
      <c r="C859" s="15">
        <v>1.21</v>
      </c>
      <c r="D859" s="15">
        <v>1.71</v>
      </c>
    </row>
    <row r="860" spans="2:4" x14ac:dyDescent="0.3">
      <c r="B860" s="176">
        <v>45835</v>
      </c>
      <c r="C860" s="15">
        <v>0.35</v>
      </c>
      <c r="D860" s="15">
        <v>2.19</v>
      </c>
    </row>
    <row r="861" spans="2:4" x14ac:dyDescent="0.3">
      <c r="B861" s="176">
        <v>45838</v>
      </c>
      <c r="C861" s="15">
        <v>-0.47</v>
      </c>
      <c r="D861" s="15">
        <v>-0.22</v>
      </c>
    </row>
    <row r="862" spans="2:4" x14ac:dyDescent="0.3">
      <c r="B862" s="176">
        <v>45839</v>
      </c>
      <c r="C862" s="15">
        <v>0.1</v>
      </c>
      <c r="D862" s="15">
        <v>-1.06</v>
      </c>
    </row>
    <row r="863" spans="2:4" x14ac:dyDescent="0.3">
      <c r="B863" s="176">
        <v>45840</v>
      </c>
      <c r="C863" s="15">
        <v>-0.35</v>
      </c>
      <c r="D863" s="15">
        <v>0.73</v>
      </c>
    </row>
    <row r="864" spans="2:4" x14ac:dyDescent="0.3">
      <c r="B864" s="176">
        <v>45841</v>
      </c>
      <c r="C864" s="15">
        <v>-0.19</v>
      </c>
      <c r="D864" s="15">
        <v>-0.4</v>
      </c>
    </row>
    <row r="865" spans="2:4" x14ac:dyDescent="0.3">
      <c r="B865" s="176">
        <v>45842</v>
      </c>
      <c r="C865" s="15">
        <v>0.22</v>
      </c>
      <c r="D865" s="15">
        <v>0.22</v>
      </c>
    </row>
    <row r="866" spans="2:4" x14ac:dyDescent="0.3">
      <c r="B866" s="176">
        <v>45845</v>
      </c>
      <c r="C866" s="15">
        <v>0</v>
      </c>
      <c r="D866" s="15">
        <v>0.7</v>
      </c>
    </row>
    <row r="867" spans="2:4" x14ac:dyDescent="0.3">
      <c r="B867" s="176">
        <v>45846</v>
      </c>
      <c r="C867" s="15">
        <v>0.24</v>
      </c>
      <c r="D867" s="15">
        <v>-0.24</v>
      </c>
    </row>
    <row r="868" spans="2:4" x14ac:dyDescent="0.3">
      <c r="B868" s="176">
        <v>45847</v>
      </c>
      <c r="C868" s="15">
        <v>-0.18</v>
      </c>
      <c r="D868" s="15">
        <v>1.01</v>
      </c>
    </row>
    <row r="869" spans="2:4" x14ac:dyDescent="0.3">
      <c r="B869" s="176">
        <v>45848</v>
      </c>
      <c r="C869" s="15">
        <v>-0.47</v>
      </c>
      <c r="D869" s="15">
        <v>0.1</v>
      </c>
    </row>
    <row r="870" spans="2:4" x14ac:dyDescent="0.3">
      <c r="B870" s="176">
        <v>45849</v>
      </c>
      <c r="C870" s="15">
        <v>-0.81</v>
      </c>
      <c r="D870" s="15">
        <v>-1.91</v>
      </c>
    </row>
    <row r="871" spans="2:4" x14ac:dyDescent="0.3">
      <c r="B871" s="176">
        <v>45852</v>
      </c>
      <c r="C871" s="15">
        <v>-0.27</v>
      </c>
      <c r="D871" s="15">
        <v>0.74</v>
      </c>
    </row>
    <row r="872" spans="2:4" x14ac:dyDescent="0.3">
      <c r="B872" s="176">
        <v>45853</v>
      </c>
      <c r="C872" s="15">
        <v>0.45</v>
      </c>
      <c r="D872" s="15">
        <v>-0.09</v>
      </c>
    </row>
    <row r="873" spans="2:4" x14ac:dyDescent="0.3">
      <c r="B873" s="176">
        <v>45854</v>
      </c>
      <c r="C873" s="15">
        <v>0.06</v>
      </c>
      <c r="D873" s="15">
        <v>-0.36</v>
      </c>
    </row>
    <row r="874" spans="2:4" x14ac:dyDescent="0.3">
      <c r="B874" s="176">
        <v>45855</v>
      </c>
      <c r="C874" s="15">
        <v>-0.4</v>
      </c>
      <c r="D874" s="15">
        <v>-0.37</v>
      </c>
    </row>
    <row r="875" spans="2:4" x14ac:dyDescent="0.3">
      <c r="B875" s="176">
        <v>45856</v>
      </c>
      <c r="C875" s="15">
        <v>-0.56999999999999995</v>
      </c>
      <c r="D875" s="15">
        <v>-0.46</v>
      </c>
    </row>
    <row r="876" spans="2:4" x14ac:dyDescent="0.3">
      <c r="B876" s="176">
        <v>45859</v>
      </c>
      <c r="C876" s="15">
        <v>0.49</v>
      </c>
      <c r="D876" s="15">
        <v>0.26</v>
      </c>
    </row>
    <row r="877" spans="2:4" x14ac:dyDescent="0.3">
      <c r="B877" s="176">
        <v>45860</v>
      </c>
      <c r="C877" s="15">
        <v>-0.12</v>
      </c>
      <c r="D877" s="15">
        <v>-0.51</v>
      </c>
    </row>
    <row r="878" spans="2:4" x14ac:dyDescent="0.3">
      <c r="B878" s="176">
        <v>45861</v>
      </c>
      <c r="C878" s="15">
        <v>0.63</v>
      </c>
      <c r="D878" s="15">
        <v>-0.47</v>
      </c>
    </row>
    <row r="879" spans="2:4" x14ac:dyDescent="0.3">
      <c r="B879" s="176">
        <v>45862</v>
      </c>
      <c r="C879" s="15">
        <v>-0.63</v>
      </c>
      <c r="D879" s="15">
        <v>-1.63</v>
      </c>
    </row>
    <row r="880" spans="2:4" x14ac:dyDescent="0.3">
      <c r="B880" s="176">
        <v>45863</v>
      </c>
      <c r="C880" s="15">
        <v>-0.9</v>
      </c>
      <c r="D880" s="15">
        <v>-3.76</v>
      </c>
    </row>
    <row r="881" spans="2:4" x14ac:dyDescent="0.3">
      <c r="B881" s="176">
        <v>45866</v>
      </c>
      <c r="C881" s="15">
        <v>-0.63</v>
      </c>
      <c r="D881" s="15">
        <v>-0.15</v>
      </c>
    </row>
    <row r="882" spans="2:4" x14ac:dyDescent="0.3">
      <c r="B882" s="176">
        <v>45867</v>
      </c>
      <c r="C882" s="15">
        <v>0.56999999999999995</v>
      </c>
      <c r="D882" s="15">
        <v>1.35</v>
      </c>
    </row>
    <row r="883" spans="2:4" x14ac:dyDescent="0.3">
      <c r="B883" s="176">
        <v>45868</v>
      </c>
      <c r="C883" s="15">
        <v>0.14000000000000001</v>
      </c>
      <c r="D883" s="15">
        <v>-0.37</v>
      </c>
    </row>
    <row r="884" spans="2:4" x14ac:dyDescent="0.3">
      <c r="B884" s="176">
        <v>45869</v>
      </c>
      <c r="C884" s="15">
        <v>-0.35</v>
      </c>
      <c r="D884" s="15">
        <v>-1.88</v>
      </c>
    </row>
    <row r="885" spans="2:4" x14ac:dyDescent="0.3">
      <c r="B885" s="176">
        <v>45870</v>
      </c>
      <c r="C885" s="15">
        <v>-0.82</v>
      </c>
      <c r="D885" s="15">
        <v>-1.9</v>
      </c>
    </row>
    <row r="886" spans="2:4" x14ac:dyDescent="0.3">
      <c r="B886" s="176">
        <v>45873</v>
      </c>
      <c r="C886" s="15">
        <v>0.64</v>
      </c>
      <c r="D886" s="15">
        <v>0.82</v>
      </c>
    </row>
    <row r="887" spans="2:4" x14ac:dyDescent="0.3">
      <c r="B887" s="176">
        <v>45874</v>
      </c>
      <c r="C887" s="15">
        <v>-0.3</v>
      </c>
      <c r="D887" s="15">
        <v>0.31</v>
      </c>
    </row>
    <row r="888" spans="2:4" x14ac:dyDescent="0.3">
      <c r="B888" s="176">
        <v>45875</v>
      </c>
      <c r="C888" s="15">
        <v>-0.31</v>
      </c>
      <c r="D888" s="15">
        <v>-1.37</v>
      </c>
    </row>
    <row r="889" spans="2:4" x14ac:dyDescent="0.3">
      <c r="B889" s="176">
        <v>45876</v>
      </c>
      <c r="C889" s="15">
        <v>0.09</v>
      </c>
      <c r="D889" s="15">
        <v>0.44</v>
      </c>
    </row>
    <row r="890" spans="2:4" x14ac:dyDescent="0.3">
      <c r="B890" s="176">
        <v>45877</v>
      </c>
      <c r="C890" s="15">
        <v>-0.95</v>
      </c>
      <c r="D890" s="15">
        <v>-0.56000000000000005</v>
      </c>
    </row>
    <row r="891" spans="2:4" x14ac:dyDescent="0.3">
      <c r="B891" s="176">
        <v>45880</v>
      </c>
      <c r="C891" s="15">
        <v>0.91</v>
      </c>
      <c r="D891" s="15">
        <v>0.23</v>
      </c>
    </row>
    <row r="892" spans="2:4" x14ac:dyDescent="0.3">
      <c r="B892" s="176">
        <v>45881</v>
      </c>
      <c r="C892" s="15">
        <v>-0.4</v>
      </c>
      <c r="D892" s="15">
        <v>-0.66</v>
      </c>
    </row>
    <row r="893" spans="2:4" x14ac:dyDescent="0.3">
      <c r="B893" s="176">
        <v>45882</v>
      </c>
      <c r="C893" s="15">
        <v>0.54</v>
      </c>
      <c r="D893" s="15">
        <v>-0.06</v>
      </c>
    </row>
    <row r="894" spans="2:4" x14ac:dyDescent="0.3">
      <c r="B894" s="176">
        <v>45883</v>
      </c>
      <c r="C894" s="15">
        <v>0.05</v>
      </c>
      <c r="D894" s="15">
        <v>-1.34</v>
      </c>
    </row>
    <row r="895" spans="2:4" x14ac:dyDescent="0.3">
      <c r="B895" s="176">
        <v>45887</v>
      </c>
      <c r="C895" s="15">
        <v>1</v>
      </c>
      <c r="D895" s="15">
        <v>5.54</v>
      </c>
    </row>
    <row r="896" spans="2:4" x14ac:dyDescent="0.3">
      <c r="B896" s="176">
        <v>45888</v>
      </c>
      <c r="C896" s="15">
        <v>0.42</v>
      </c>
      <c r="D896" s="15">
        <v>1.1499999999999999</v>
      </c>
    </row>
    <row r="897" spans="2:4" x14ac:dyDescent="0.3">
      <c r="B897" s="176">
        <v>45889</v>
      </c>
      <c r="C897" s="15">
        <v>0.28000000000000003</v>
      </c>
      <c r="D897" s="15">
        <v>-0.48</v>
      </c>
    </row>
    <row r="898" spans="2:4" x14ac:dyDescent="0.3">
      <c r="B898" s="176">
        <v>45890</v>
      </c>
      <c r="C898" s="15">
        <v>0.13</v>
      </c>
      <c r="D898" s="15">
        <v>-1.1000000000000001</v>
      </c>
    </row>
    <row r="899" spans="2:4" x14ac:dyDescent="0.3">
      <c r="B899" s="176">
        <v>45891</v>
      </c>
      <c r="C899" s="15">
        <v>-0.85</v>
      </c>
      <c r="D899" s="15">
        <v>-1.84</v>
      </c>
    </row>
    <row r="900" spans="2:4" x14ac:dyDescent="0.3">
      <c r="B900" s="176">
        <v>45894</v>
      </c>
      <c r="C900" s="15">
        <v>0.39</v>
      </c>
      <c r="D900" s="15">
        <v>0.7</v>
      </c>
    </row>
    <row r="901" spans="2:4" x14ac:dyDescent="0.3">
      <c r="B901" s="176">
        <v>45895</v>
      </c>
      <c r="C901" s="15">
        <v>-1.02</v>
      </c>
      <c r="D901" s="15">
        <v>-2.12</v>
      </c>
    </row>
    <row r="902" spans="2:4" x14ac:dyDescent="0.3">
      <c r="B902" s="176">
        <v>45897</v>
      </c>
      <c r="C902" s="15">
        <v>-0.85</v>
      </c>
      <c r="D902" s="15">
        <v>-2.2400000000000002</v>
      </c>
    </row>
    <row r="903" spans="2:4" x14ac:dyDescent="0.3">
      <c r="B903" s="176">
        <v>45898</v>
      </c>
      <c r="C903" s="15">
        <v>-0.3</v>
      </c>
      <c r="D903" s="15">
        <v>-0.88</v>
      </c>
    </row>
    <row r="904" spans="2:4" x14ac:dyDescent="0.3">
      <c r="B904" s="176">
        <v>45901</v>
      </c>
      <c r="C904" s="15">
        <v>0.81</v>
      </c>
      <c r="D904" s="15">
        <v>0.33</v>
      </c>
    </row>
    <row r="905" spans="2:4" x14ac:dyDescent="0.3">
      <c r="B905" s="176">
        <v>45902</v>
      </c>
      <c r="C905" s="15">
        <v>-0.18</v>
      </c>
      <c r="D905" s="15">
        <v>-0.47</v>
      </c>
    </row>
    <row r="906" spans="2:4" x14ac:dyDescent="0.3">
      <c r="B906" s="176">
        <v>45903</v>
      </c>
      <c r="C906" s="15">
        <v>0.55000000000000004</v>
      </c>
      <c r="D906" s="15">
        <v>0.09</v>
      </c>
    </row>
    <row r="907" spans="2:4" x14ac:dyDescent="0.3">
      <c r="B907" s="176">
        <v>45904</v>
      </c>
      <c r="C907" s="15">
        <v>0.08</v>
      </c>
      <c r="D907" s="15">
        <v>-0.7</v>
      </c>
    </row>
    <row r="908" spans="2:4" x14ac:dyDescent="0.3">
      <c r="B908" s="176">
        <v>45905</v>
      </c>
      <c r="C908" s="15">
        <v>0.03</v>
      </c>
      <c r="D908" s="15">
        <v>-0.32</v>
      </c>
    </row>
    <row r="909" spans="2:4" x14ac:dyDescent="0.3">
      <c r="B909" s="176">
        <v>45908</v>
      </c>
      <c r="C909" s="15">
        <v>0.13</v>
      </c>
      <c r="D909" s="15">
        <v>2.69</v>
      </c>
    </row>
    <row r="910" spans="2:4" x14ac:dyDescent="0.3">
      <c r="B910" s="176">
        <v>45909</v>
      </c>
      <c r="C910" s="15">
        <v>0.39</v>
      </c>
      <c r="D910" s="15">
        <v>2.31</v>
      </c>
    </row>
    <row r="911" spans="2:4" x14ac:dyDescent="0.3">
      <c r="B911" s="176">
        <v>45910</v>
      </c>
      <c r="C911" s="15">
        <v>0.42</v>
      </c>
      <c r="D911" s="15">
        <v>2.2200000000000002</v>
      </c>
    </row>
    <row r="912" spans="2:4" x14ac:dyDescent="0.3">
      <c r="B912" s="176">
        <v>45911</v>
      </c>
      <c r="C912" s="15">
        <v>0.13</v>
      </c>
      <c r="D912" s="15">
        <v>0.24</v>
      </c>
    </row>
    <row r="913" spans="2:4" x14ac:dyDescent="0.3">
      <c r="B913" s="176">
        <v>45912</v>
      </c>
      <c r="C913" s="15">
        <v>0.43</v>
      </c>
      <c r="D913" s="15">
        <v>1.99</v>
      </c>
    </row>
    <row r="914" spans="2:4" x14ac:dyDescent="0.3">
      <c r="B914" s="176">
        <v>45915</v>
      </c>
      <c r="C914" s="15">
        <v>-0.18</v>
      </c>
      <c r="D914" s="15">
        <v>0.87</v>
      </c>
    </row>
    <row r="915" spans="2:4" x14ac:dyDescent="0.3">
      <c r="B915" s="176">
        <v>45916</v>
      </c>
      <c r="C915" s="15">
        <v>0.68</v>
      </c>
      <c r="D915" s="15">
        <v>-7.0000000000000007E-2</v>
      </c>
    </row>
    <row r="916" spans="2:4" x14ac:dyDescent="0.3">
      <c r="B916" s="176">
        <v>45917</v>
      </c>
      <c r="C916" s="15">
        <v>0.36</v>
      </c>
      <c r="D916" s="15">
        <v>-1.21</v>
      </c>
    </row>
    <row r="917" spans="2:4" x14ac:dyDescent="0.3">
      <c r="B917" s="176">
        <v>45918</v>
      </c>
      <c r="C917" s="15">
        <v>0.37</v>
      </c>
      <c r="D917" s="15">
        <v>1.35</v>
      </c>
    </row>
    <row r="918" spans="2:4" x14ac:dyDescent="0.3">
      <c r="B918" s="176">
        <v>45919</v>
      </c>
      <c r="C918" s="15">
        <v>-0.38</v>
      </c>
      <c r="D918" s="15">
        <v>4.72</v>
      </c>
    </row>
    <row r="919" spans="2:4" x14ac:dyDescent="0.3">
      <c r="B919" s="176">
        <v>45922</v>
      </c>
      <c r="C919" s="15">
        <v>-0.49</v>
      </c>
      <c r="D919" s="15">
        <v>6.87</v>
      </c>
    </row>
    <row r="920" spans="2:4" x14ac:dyDescent="0.3">
      <c r="B920" s="176">
        <v>45923</v>
      </c>
      <c r="C920" s="15">
        <v>-0.13</v>
      </c>
      <c r="D920" s="15">
        <v>-1.31</v>
      </c>
    </row>
    <row r="921" spans="2:4" x14ac:dyDescent="0.3">
      <c r="B921" s="176">
        <v>45924</v>
      </c>
      <c r="C921" s="15">
        <v>-0.45</v>
      </c>
      <c r="D921" s="15">
        <v>-3.9</v>
      </c>
    </row>
    <row r="922" spans="2:4" x14ac:dyDescent="0.3">
      <c r="B922" s="176">
        <v>45925</v>
      </c>
      <c r="C922" s="15">
        <v>-0.66</v>
      </c>
      <c r="D922" s="15">
        <v>0.57999999999999996</v>
      </c>
    </row>
    <row r="923" spans="2:4" x14ac:dyDescent="0.3">
      <c r="B923" s="176">
        <v>45926</v>
      </c>
      <c r="C923" s="15">
        <v>-0.95</v>
      </c>
      <c r="D923" s="15">
        <v>-1.68</v>
      </c>
    </row>
    <row r="924" spans="2:4" x14ac:dyDescent="0.3">
      <c r="B924" s="176">
        <v>45929</v>
      </c>
      <c r="C924" s="15">
        <v>-0.08</v>
      </c>
      <c r="D924" s="15">
        <v>-0.85</v>
      </c>
    </row>
    <row r="925" spans="2:4" x14ac:dyDescent="0.3">
      <c r="B925" s="176">
        <v>45930</v>
      </c>
      <c r="C925" s="15">
        <v>-0.1</v>
      </c>
      <c r="D925" s="15">
        <v>0.06</v>
      </c>
    </row>
    <row r="926" spans="2:4" x14ac:dyDescent="0.3">
      <c r="B926" s="176">
        <v>45931</v>
      </c>
      <c r="C926" s="15">
        <v>0.92</v>
      </c>
      <c r="D926" s="15">
        <v>2.76</v>
      </c>
    </row>
    <row r="927" spans="2:4" x14ac:dyDescent="0.3">
      <c r="B927" s="176">
        <v>45933</v>
      </c>
      <c r="C927" s="15">
        <v>0.23</v>
      </c>
      <c r="D927" s="15">
        <v>2.23</v>
      </c>
    </row>
    <row r="928" spans="2:4" x14ac:dyDescent="0.3">
      <c r="B928" s="176">
        <v>45936</v>
      </c>
      <c r="C928" s="15">
        <v>0.74</v>
      </c>
      <c r="D928" s="15">
        <v>1.1200000000000001</v>
      </c>
    </row>
    <row r="929" spans="2:4" x14ac:dyDescent="0.3">
      <c r="B929" s="176">
        <v>45937</v>
      </c>
      <c r="C929" s="15">
        <v>0.12</v>
      </c>
      <c r="D929" s="15">
        <v>-0.83</v>
      </c>
    </row>
    <row r="930" spans="2:4" x14ac:dyDescent="0.3">
      <c r="B930" s="176">
        <v>45938</v>
      </c>
      <c r="C930" s="15">
        <v>-0.25</v>
      </c>
      <c r="D930" s="15">
        <v>-0.54</v>
      </c>
    </row>
    <row r="931" spans="2:4" x14ac:dyDescent="0.3">
      <c r="B931" s="176">
        <v>45939</v>
      </c>
      <c r="C931" s="15">
        <v>0.54</v>
      </c>
      <c r="D931" s="15">
        <v>1.96</v>
      </c>
    </row>
    <row r="932" spans="2:4" x14ac:dyDescent="0.3">
      <c r="B932" s="176">
        <v>45940</v>
      </c>
      <c r="C932" s="15">
        <v>0.41</v>
      </c>
      <c r="D932" s="15">
        <v>-0.65</v>
      </c>
    </row>
    <row r="933" spans="2:4" x14ac:dyDescent="0.3">
      <c r="B933" s="176">
        <v>45943</v>
      </c>
      <c r="C933" s="15">
        <v>-0.23</v>
      </c>
      <c r="D933" s="15">
        <v>1.27</v>
      </c>
    </row>
    <row r="934" spans="2:4" x14ac:dyDescent="0.3">
      <c r="B934" s="176">
        <v>45944</v>
      </c>
      <c r="C934" s="15">
        <v>-0.32</v>
      </c>
      <c r="D934" s="15">
        <v>-0.42</v>
      </c>
    </row>
    <row r="935" spans="2:4" x14ac:dyDescent="0.3">
      <c r="B935" s="176">
        <v>45945</v>
      </c>
      <c r="C935" s="15">
        <v>0.71</v>
      </c>
      <c r="D935" s="15">
        <v>1.1200000000000001</v>
      </c>
    </row>
    <row r="936" spans="2:4" x14ac:dyDescent="0.3">
      <c r="B936" s="176">
        <v>45946</v>
      </c>
      <c r="C936" s="15">
        <v>1.03</v>
      </c>
      <c r="D936" s="15">
        <v>0.4</v>
      </c>
    </row>
    <row r="937" spans="2:4" x14ac:dyDescent="0.3">
      <c r="B937" s="176">
        <v>45947</v>
      </c>
      <c r="C937" s="15">
        <v>0.49</v>
      </c>
      <c r="D937" s="15">
        <v>-1.93</v>
      </c>
    </row>
    <row r="938" spans="2:4" x14ac:dyDescent="0.3">
      <c r="B938" s="176">
        <v>45950</v>
      </c>
      <c r="C938" s="15">
        <v>0.52</v>
      </c>
      <c r="D938" s="15">
        <v>0.79</v>
      </c>
    </row>
    <row r="939" spans="2:4" x14ac:dyDescent="0.3">
      <c r="B939" s="176">
        <v>45951</v>
      </c>
      <c r="C939" s="15">
        <v>0.1</v>
      </c>
      <c r="D939" s="15">
        <v>-0.06</v>
      </c>
    </row>
    <row r="940" spans="2:4" x14ac:dyDescent="0.3">
      <c r="B940" s="176">
        <v>45953</v>
      </c>
      <c r="C940" s="15">
        <v>0.09</v>
      </c>
      <c r="D940" s="15">
        <v>1.7</v>
      </c>
    </row>
    <row r="941" spans="2:4" x14ac:dyDescent="0.3">
      <c r="B941" s="176">
        <v>45954</v>
      </c>
      <c r="C941" s="15">
        <v>-0.37</v>
      </c>
      <c r="D941" s="15">
        <v>-0.86</v>
      </c>
    </row>
    <row r="942" spans="2:4" x14ac:dyDescent="0.3">
      <c r="B942" s="176">
        <v>45957</v>
      </c>
      <c r="C942" s="15">
        <v>0.66</v>
      </c>
      <c r="D942" s="15">
        <v>0.22</v>
      </c>
    </row>
    <row r="943" spans="2:4" x14ac:dyDescent="0.3">
      <c r="B943" s="176">
        <v>45958</v>
      </c>
      <c r="C943" s="15">
        <v>-0.11</v>
      </c>
      <c r="D943" s="15">
        <v>-2.66</v>
      </c>
    </row>
    <row r="944" spans="2:4" x14ac:dyDescent="0.3">
      <c r="B944" s="176">
        <v>45959</v>
      </c>
      <c r="C944" s="15">
        <v>0.45</v>
      </c>
      <c r="D944" s="15">
        <v>5.03</v>
      </c>
    </row>
    <row r="945" spans="2:4" x14ac:dyDescent="0.3">
      <c r="B945" s="176">
        <v>45960</v>
      </c>
      <c r="C945" s="15">
        <v>-0.68</v>
      </c>
      <c r="D945" s="15">
        <v>-0.2</v>
      </c>
    </row>
    <row r="946" spans="2:4" x14ac:dyDescent="0.3">
      <c r="B946" s="176">
        <v>45961</v>
      </c>
      <c r="C946" s="15">
        <v>-0.6</v>
      </c>
      <c r="D946" s="15">
        <v>2.13</v>
      </c>
    </row>
    <row r="947" spans="2:4" x14ac:dyDescent="0.3">
      <c r="B947" s="176">
        <v>45964</v>
      </c>
      <c r="C947" s="15">
        <v>0.16</v>
      </c>
      <c r="D947" s="15">
        <v>0.85</v>
      </c>
    </row>
    <row r="948" spans="2:4" x14ac:dyDescent="0.3">
      <c r="B948" s="176">
        <v>45965</v>
      </c>
      <c r="C948" s="15">
        <v>-0.64</v>
      </c>
      <c r="D948" s="15">
        <v>-0.87</v>
      </c>
    </row>
    <row r="949" spans="2:4" x14ac:dyDescent="0.3">
      <c r="B949" s="176">
        <v>45967</v>
      </c>
      <c r="C949" s="15">
        <v>-0.34</v>
      </c>
      <c r="D949" s="15">
        <v>-1.8</v>
      </c>
    </row>
    <row r="950" spans="2:4" x14ac:dyDescent="0.3">
      <c r="B950" s="176">
        <v>45968</v>
      </c>
      <c r="C950" s="15">
        <v>-7.0000000000000007E-2</v>
      </c>
      <c r="D950" s="15">
        <v>-0.78</v>
      </c>
    </row>
    <row r="951" spans="2:4" x14ac:dyDescent="0.3">
      <c r="B951" s="176">
        <v>45971</v>
      </c>
      <c r="C951" s="15">
        <v>0.32</v>
      </c>
      <c r="D951" s="15">
        <v>-0.15</v>
      </c>
    </row>
    <row r="952" spans="2:4" x14ac:dyDescent="0.3">
      <c r="B952" s="176">
        <v>45972</v>
      </c>
      <c r="C952" s="15">
        <v>0.47</v>
      </c>
      <c r="D952" s="15">
        <v>3.14</v>
      </c>
    </row>
    <row r="953" spans="2:4" x14ac:dyDescent="0.3">
      <c r="B953" s="176">
        <v>45973</v>
      </c>
      <c r="C953" s="15">
        <v>0.7</v>
      </c>
      <c r="D953" s="15">
        <v>1.27</v>
      </c>
    </row>
    <row r="954" spans="2:4" x14ac:dyDescent="0.3">
      <c r="B954" s="176">
        <v>45974</v>
      </c>
      <c r="C954" s="15">
        <v>0.01</v>
      </c>
      <c r="D954" s="15">
        <v>1.95</v>
      </c>
    </row>
    <row r="955" spans="2:4" x14ac:dyDescent="0.3">
      <c r="B955" s="176">
        <v>45975</v>
      </c>
      <c r="C955" s="15">
        <v>0.12</v>
      </c>
      <c r="D955" s="15">
        <v>0.24</v>
      </c>
    </row>
    <row r="956" spans="2:4" x14ac:dyDescent="0.3">
      <c r="B956" s="176">
        <v>45978</v>
      </c>
      <c r="C956" s="15">
        <v>0.4</v>
      </c>
      <c r="D956" s="15">
        <v>-0.22</v>
      </c>
    </row>
    <row r="957" spans="2:4" x14ac:dyDescent="0.3">
      <c r="B957" s="176">
        <v>45979</v>
      </c>
      <c r="C957" s="15">
        <v>-0.4</v>
      </c>
      <c r="D957" s="15">
        <v>0.5</v>
      </c>
    </row>
    <row r="958" spans="2:4" x14ac:dyDescent="0.3">
      <c r="B958" s="176">
        <v>45980</v>
      </c>
      <c r="C958" s="15">
        <v>0.55000000000000004</v>
      </c>
      <c r="D958" s="15">
        <v>-1.99</v>
      </c>
    </row>
    <row r="959" spans="2:4" x14ac:dyDescent="0.3">
      <c r="B959" s="176">
        <v>45981</v>
      </c>
      <c r="C959" s="15">
        <v>0.54</v>
      </c>
      <c r="D959" s="15">
        <v>-1.26</v>
      </c>
    </row>
    <row r="960" spans="2:4" x14ac:dyDescent="0.3">
      <c r="B960" s="176">
        <v>45982</v>
      </c>
      <c r="C960" s="15">
        <v>-0.47</v>
      </c>
      <c r="D960" s="15">
        <v>-1.89</v>
      </c>
    </row>
    <row r="961" spans="2:4" x14ac:dyDescent="0.3">
      <c r="B961" s="176">
        <v>45985</v>
      </c>
      <c r="C961" s="15">
        <v>-0.42</v>
      </c>
      <c r="D961" s="15">
        <v>-0.48</v>
      </c>
    </row>
    <row r="962" spans="2:4" x14ac:dyDescent="0.3">
      <c r="B962" s="176">
        <v>45986</v>
      </c>
      <c r="C962" s="15">
        <v>-0.28999999999999998</v>
      </c>
      <c r="D962" s="15">
        <v>0.14000000000000001</v>
      </c>
    </row>
    <row r="963" spans="2:4" x14ac:dyDescent="0.3">
      <c r="B963" s="176">
        <v>45987</v>
      </c>
      <c r="C963" s="15">
        <v>1.24</v>
      </c>
      <c r="D963" s="15">
        <v>2.0299999999999998</v>
      </c>
    </row>
    <row r="964" spans="2:4" x14ac:dyDescent="0.3">
      <c r="B964" s="176">
        <v>45988</v>
      </c>
      <c r="C964" s="15">
        <v>0.04</v>
      </c>
      <c r="D964" s="15">
        <v>-0.69</v>
      </c>
    </row>
    <row r="965" spans="2:4" x14ac:dyDescent="0.3">
      <c r="B965" s="176">
        <v>45989</v>
      </c>
      <c r="C965" s="15">
        <v>-0.05</v>
      </c>
      <c r="D965" s="15">
        <v>1.04</v>
      </c>
    </row>
    <row r="966" spans="2:4" x14ac:dyDescent="0.3">
      <c r="B966" s="176">
        <v>45992</v>
      </c>
      <c r="C966" s="15">
        <v>-0.1</v>
      </c>
      <c r="D966" s="15">
        <v>0.46</v>
      </c>
    </row>
    <row r="967" spans="2:4" x14ac:dyDescent="0.3">
      <c r="B967" s="176">
        <v>45993</v>
      </c>
      <c r="C967" s="15">
        <v>-0.55000000000000004</v>
      </c>
      <c r="D967" s="15">
        <v>-2.2200000000000002</v>
      </c>
    </row>
    <row r="968" spans="2:4" x14ac:dyDescent="0.3">
      <c r="B968" s="176">
        <v>45994</v>
      </c>
      <c r="C968" s="15">
        <v>-0.18</v>
      </c>
      <c r="D968" s="15">
        <v>-0.76</v>
      </c>
    </row>
    <row r="969" spans="2:4" x14ac:dyDescent="0.3">
      <c r="B969" s="176">
        <v>45995</v>
      </c>
      <c r="C969" s="15">
        <v>0.18</v>
      </c>
      <c r="D969" s="15">
        <v>0.23</v>
      </c>
    </row>
    <row r="970" spans="2:4" x14ac:dyDescent="0.3">
      <c r="B970" s="176">
        <v>45996</v>
      </c>
      <c r="C970" s="15">
        <v>0.59</v>
      </c>
      <c r="D970" s="15">
        <v>0.74</v>
      </c>
    </row>
    <row r="971" spans="2:4" x14ac:dyDescent="0.3">
      <c r="B971" s="176">
        <v>45999</v>
      </c>
      <c r="C971" s="15">
        <v>-0.86</v>
      </c>
      <c r="D971" s="15">
        <v>-1.87</v>
      </c>
    </row>
    <row r="972" spans="2:4" x14ac:dyDescent="0.3">
      <c r="B972" s="176">
        <v>46000</v>
      </c>
      <c r="C972" s="15">
        <v>-0.47</v>
      </c>
      <c r="D972" s="15">
        <v>1.47</v>
      </c>
    </row>
    <row r="973" spans="2:4" x14ac:dyDescent="0.3">
      <c r="B973" s="176">
        <v>46001</v>
      </c>
      <c r="C973" s="15">
        <v>-0.32</v>
      </c>
      <c r="D973" s="15">
        <v>0.82</v>
      </c>
    </row>
    <row r="974" spans="2:4" x14ac:dyDescent="0.3">
      <c r="B974" s="176">
        <v>46002</v>
      </c>
      <c r="C974" s="15">
        <v>0.55000000000000004</v>
      </c>
      <c r="D974" s="15">
        <v>1.74</v>
      </c>
    </row>
    <row r="975" spans="2:4" x14ac:dyDescent="0.3">
      <c r="B975" s="176">
        <v>46003</v>
      </c>
      <c r="C975" s="15">
        <v>0.56999999999999995</v>
      </c>
      <c r="D975" s="15">
        <v>1.17</v>
      </c>
    </row>
    <row r="976" spans="2:4" x14ac:dyDescent="0.3">
      <c r="B976" s="176">
        <v>46006</v>
      </c>
      <c r="C976" s="15">
        <v>-0.08</v>
      </c>
      <c r="D976" s="15">
        <v>0.51</v>
      </c>
    </row>
    <row r="977" spans="2:4" x14ac:dyDescent="0.3">
      <c r="B977" s="176">
        <v>46007</v>
      </c>
      <c r="C977" s="15">
        <v>-0.64</v>
      </c>
      <c r="D977" s="15">
        <v>-2.1800000000000002</v>
      </c>
    </row>
    <row r="978" spans="2:4" x14ac:dyDescent="0.3">
      <c r="B978" s="176">
        <v>46008</v>
      </c>
      <c r="C978" s="15">
        <v>-0.16</v>
      </c>
      <c r="D978" s="15">
        <v>-1.68</v>
      </c>
    </row>
    <row r="979" spans="2:4" x14ac:dyDescent="0.3">
      <c r="B979" s="176">
        <v>46009</v>
      </c>
      <c r="C979" s="15">
        <v>-0.01</v>
      </c>
      <c r="D979" s="15">
        <v>-0.13</v>
      </c>
    </row>
    <row r="980" spans="2:4" x14ac:dyDescent="0.3">
      <c r="B980" s="176">
        <v>46010</v>
      </c>
      <c r="C980" s="15">
        <v>0.57999999999999996</v>
      </c>
      <c r="D980" s="15">
        <v>1.22</v>
      </c>
    </row>
    <row r="981" spans="2:4" x14ac:dyDescent="0.3">
      <c r="B981" s="176">
        <v>46013</v>
      </c>
      <c r="C981" s="15">
        <v>0.79</v>
      </c>
      <c r="D981" s="15">
        <v>1.99</v>
      </c>
    </row>
    <row r="982" spans="2:4" x14ac:dyDescent="0.3">
      <c r="B982" s="176">
        <v>46014</v>
      </c>
      <c r="C982" s="15">
        <v>0.02</v>
      </c>
      <c r="D982" s="15">
        <v>-1.32</v>
      </c>
    </row>
    <row r="983" spans="2:4" x14ac:dyDescent="0.3">
      <c r="B983" s="176">
        <v>46015</v>
      </c>
      <c r="C983" s="15">
        <v>-0.13</v>
      </c>
      <c r="D983" s="15">
        <v>0.2</v>
      </c>
    </row>
    <row r="984" spans="2:4" x14ac:dyDescent="0.3">
      <c r="B984" s="176">
        <v>46017</v>
      </c>
      <c r="C984" s="15">
        <v>-0.38</v>
      </c>
      <c r="D984" s="15">
        <v>1.88</v>
      </c>
    </row>
    <row r="985" spans="2:4" x14ac:dyDescent="0.3">
      <c r="B985" s="176">
        <v>46020</v>
      </c>
      <c r="C985" s="15">
        <v>-0.38</v>
      </c>
      <c r="D985" s="15">
        <v>-1.57</v>
      </c>
    </row>
    <row r="986" spans="2:4" x14ac:dyDescent="0.3">
      <c r="B986" s="176">
        <v>46021</v>
      </c>
      <c r="C986" s="15">
        <v>-0.01</v>
      </c>
      <c r="D986" s="15">
        <v>2.48</v>
      </c>
    </row>
    <row r="987" spans="2:4" x14ac:dyDescent="0.3">
      <c r="B987" s="176">
        <v>46022</v>
      </c>
      <c r="C987" s="15">
        <v>0.74</v>
      </c>
      <c r="D987" s="15">
        <v>0.31</v>
      </c>
    </row>
    <row r="988" spans="2:4" x14ac:dyDescent="0.3">
      <c r="B988" s="176">
        <v>46023</v>
      </c>
      <c r="C988" s="15">
        <v>0.06</v>
      </c>
      <c r="D988" s="15">
        <v>1.85</v>
      </c>
    </row>
    <row r="989" spans="2:4" x14ac:dyDescent="0.3">
      <c r="B989" s="176">
        <v>46024</v>
      </c>
      <c r="C989" s="15">
        <v>0.7</v>
      </c>
      <c r="D989" s="15">
        <v>1.1000000000000001</v>
      </c>
    </row>
    <row r="990" spans="2:4" x14ac:dyDescent="0.3">
      <c r="B990" s="176">
        <v>46027</v>
      </c>
      <c r="C990" s="15">
        <v>-0.3</v>
      </c>
      <c r="D990" s="15">
        <v>-1.23</v>
      </c>
    </row>
    <row r="991" spans="2:4" x14ac:dyDescent="0.3">
      <c r="B991" s="176">
        <v>46028</v>
      </c>
      <c r="C991" s="15">
        <v>-0.27</v>
      </c>
      <c r="D991" s="15">
        <v>-0.08</v>
      </c>
    </row>
    <row r="992" spans="2:4" x14ac:dyDescent="0.3">
      <c r="B992" s="176">
        <v>46029</v>
      </c>
      <c r="C992" s="15">
        <v>-0.14000000000000001</v>
      </c>
      <c r="D992" s="15">
        <v>-1.02</v>
      </c>
    </row>
    <row r="993" spans="2:4" x14ac:dyDescent="0.3">
      <c r="B993" s="176">
        <v>46030</v>
      </c>
      <c r="C993" s="15">
        <v>-1.01</v>
      </c>
      <c r="D993" s="15">
        <v>-3.79</v>
      </c>
    </row>
    <row r="994" spans="2:4" x14ac:dyDescent="0.3">
      <c r="B994" s="176">
        <v>46031</v>
      </c>
      <c r="C994" s="15">
        <v>-0.75</v>
      </c>
      <c r="D994" s="15">
        <v>-3.39</v>
      </c>
    </row>
    <row r="995" spans="2:4" x14ac:dyDescent="0.3">
      <c r="B995" s="176">
        <v>46034</v>
      </c>
      <c r="C995" s="15">
        <v>0.42</v>
      </c>
      <c r="D995" s="15">
        <v>-1.01</v>
      </c>
    </row>
    <row r="996" spans="2:4" x14ac:dyDescent="0.3">
      <c r="B996" s="176">
        <v>46035</v>
      </c>
      <c r="C996" s="15">
        <v>-0.22</v>
      </c>
      <c r="D996" s="15">
        <v>-1.94</v>
      </c>
    </row>
    <row r="997" spans="2:4" x14ac:dyDescent="0.3">
      <c r="B997" s="176">
        <v>46036</v>
      </c>
      <c r="C997" s="15">
        <v>-0.26</v>
      </c>
      <c r="D997" s="15">
        <v>-1.06</v>
      </c>
    </row>
    <row r="998" spans="2:4" x14ac:dyDescent="0.3">
      <c r="B998" s="176">
        <v>46038</v>
      </c>
      <c r="C998" s="15">
        <v>0.11</v>
      </c>
      <c r="D998" s="15">
        <v>-1.51</v>
      </c>
    </row>
    <row r="999" spans="2:4" x14ac:dyDescent="0.3">
      <c r="B999" s="176">
        <v>46041</v>
      </c>
      <c r="C999" s="15">
        <v>-0.42</v>
      </c>
      <c r="D999" s="15">
        <v>-0.03</v>
      </c>
    </row>
    <row r="1000" spans="2:4" x14ac:dyDescent="0.3">
      <c r="B1000" s="176">
        <v>46042</v>
      </c>
      <c r="C1000" s="15">
        <v>-1.38</v>
      </c>
      <c r="D1000" s="15">
        <v>-2.52</v>
      </c>
    </row>
    <row r="1001" spans="2:4" x14ac:dyDescent="0.3">
      <c r="B1001" s="176">
        <v>46043</v>
      </c>
      <c r="C1001" s="15">
        <v>-0.3</v>
      </c>
      <c r="D1001" s="15">
        <v>1.56</v>
      </c>
    </row>
    <row r="1002" spans="2:4" x14ac:dyDescent="0.3">
      <c r="B1002" s="176">
        <v>46044</v>
      </c>
      <c r="C1002" s="15">
        <v>0.53</v>
      </c>
      <c r="D1002" s="15">
        <v>2.84</v>
      </c>
    </row>
    <row r="1003" spans="2:4" x14ac:dyDescent="0.3">
      <c r="B1003" s="176">
        <v>46045</v>
      </c>
      <c r="C1003" s="15">
        <v>-0.95</v>
      </c>
      <c r="D1003" s="15">
        <v>-12.12</v>
      </c>
    </row>
    <row r="1004" spans="2:4" x14ac:dyDescent="0.3">
      <c r="B1004" s="176">
        <v>46049</v>
      </c>
      <c r="C1004" s="15">
        <v>0.51</v>
      </c>
      <c r="D1004" s="15">
        <v>4.4800000000000004</v>
      </c>
    </row>
    <row r="1005" spans="2:4" x14ac:dyDescent="0.3">
      <c r="B1005" s="176">
        <v>46050</v>
      </c>
      <c r="C1005" s="15">
        <v>0.66</v>
      </c>
      <c r="D1005" s="15">
        <v>3.87</v>
      </c>
    </row>
    <row r="1006" spans="2:4" x14ac:dyDescent="0.3">
      <c r="B1006" s="176">
        <v>46051</v>
      </c>
      <c r="C1006" s="15">
        <v>0.3</v>
      </c>
      <c r="D1006" s="15">
        <v>3.64</v>
      </c>
    </row>
    <row r="1007" spans="2:4" x14ac:dyDescent="0.3">
      <c r="B1007" s="176">
        <v>46052</v>
      </c>
      <c r="C1007" s="15">
        <v>-0.39</v>
      </c>
      <c r="D1007" s="15">
        <v>-2.11</v>
      </c>
    </row>
    <row r="1008" spans="2:4" x14ac:dyDescent="0.3">
      <c r="B1008" s="176">
        <v>46055</v>
      </c>
      <c r="C1008" s="15">
        <v>-0.92</v>
      </c>
      <c r="D1008" s="15">
        <v>-1.1399999999999999</v>
      </c>
    </row>
    <row r="1009" spans="2:4" x14ac:dyDescent="0.3">
      <c r="B1009" s="176">
        <v>46056</v>
      </c>
      <c r="C1009" s="15">
        <v>2.5499999999999998</v>
      </c>
      <c r="D1009" s="15">
        <v>10.15</v>
      </c>
    </row>
    <row r="1010" spans="2:4" x14ac:dyDescent="0.3">
      <c r="B1010" s="176">
        <v>46057</v>
      </c>
      <c r="C1010" s="15">
        <v>0.19</v>
      </c>
      <c r="D1010" s="15">
        <v>1.41</v>
      </c>
    </row>
    <row r="1011" spans="2:4" x14ac:dyDescent="0.3">
      <c r="B1011" s="176">
        <v>46058</v>
      </c>
      <c r="C1011" s="15">
        <v>-0.52</v>
      </c>
      <c r="D1011" s="15">
        <v>2.36</v>
      </c>
    </row>
    <row r="1012" spans="2:4" x14ac:dyDescent="0.3">
      <c r="B1012" s="176">
        <v>46059</v>
      </c>
      <c r="C1012" s="15">
        <v>0.2</v>
      </c>
      <c r="D1012" s="15">
        <v>0.62</v>
      </c>
    </row>
    <row r="1013" spans="2:4" x14ac:dyDescent="0.3">
      <c r="B1013" s="176">
        <v>46062</v>
      </c>
      <c r="C1013" s="15">
        <v>0.68</v>
      </c>
      <c r="D1013" s="15">
        <v>1.45</v>
      </c>
    </row>
    <row r="1014" spans="2:4" x14ac:dyDescent="0.3">
      <c r="B1014" s="176">
        <v>46063</v>
      </c>
      <c r="C1014" s="15">
        <v>0.26</v>
      </c>
      <c r="D1014" s="15">
        <v>-1.53</v>
      </c>
    </row>
    <row r="1015" spans="2:4" x14ac:dyDescent="0.3">
      <c r="B1015" s="176">
        <v>46064</v>
      </c>
      <c r="C1015" s="15">
        <v>7.0000000000000007E-2</v>
      </c>
      <c r="D1015" s="15">
        <v>1.68</v>
      </c>
    </row>
    <row r="1016" spans="2:4" x14ac:dyDescent="0.3">
      <c r="B1016" s="176">
        <v>46065</v>
      </c>
      <c r="C1016" s="15">
        <v>-0.56999999999999995</v>
      </c>
      <c r="D1016" s="15">
        <v>-1.06</v>
      </c>
    </row>
    <row r="1017" spans="2:4" x14ac:dyDescent="0.3">
      <c r="B1017" s="176">
        <v>46066</v>
      </c>
      <c r="C1017" s="15">
        <v>-1.3</v>
      </c>
      <c r="D1017" s="15">
        <v>-3.4</v>
      </c>
    </row>
    <row r="1018" spans="2:4" x14ac:dyDescent="0.3">
      <c r="B1018" s="176">
        <v>46069</v>
      </c>
      <c r="C1018" s="15">
        <v>0.83</v>
      </c>
      <c r="D1018" s="15">
        <v>1.56</v>
      </c>
    </row>
    <row r="1019" spans="2:4" x14ac:dyDescent="0.3">
      <c r="B1019" s="176">
        <v>46070</v>
      </c>
      <c r="C1019" s="15">
        <v>0.17</v>
      </c>
      <c r="D1019" s="15">
        <v>2.67</v>
      </c>
    </row>
    <row r="1020" spans="2:4" x14ac:dyDescent="0.3">
      <c r="B1020" s="176">
        <v>46071</v>
      </c>
      <c r="C1020" s="15">
        <v>0.37</v>
      </c>
      <c r="D1020" s="15">
        <v>0.53</v>
      </c>
    </row>
    <row r="1021" spans="2:4" x14ac:dyDescent="0.3">
      <c r="B1021" s="176">
        <v>46072</v>
      </c>
      <c r="C1021" s="15">
        <v>-1.41</v>
      </c>
      <c r="D1021" s="15">
        <v>-2.75</v>
      </c>
    </row>
    <row r="1022" spans="2:4" x14ac:dyDescent="0.3">
      <c r="B1022" s="176">
        <v>46073</v>
      </c>
      <c r="C1022" s="15">
        <v>0.46</v>
      </c>
      <c r="D1022" s="15">
        <v>-0.9</v>
      </c>
    </row>
    <row r="1023" spans="2:4" x14ac:dyDescent="0.3">
      <c r="B1023" s="176">
        <v>46076</v>
      </c>
      <c r="C1023" s="15">
        <v>0.55000000000000004</v>
      </c>
      <c r="D1023" s="15">
        <v>0.56999999999999995</v>
      </c>
    </row>
    <row r="1024" spans="2:4" x14ac:dyDescent="0.3">
      <c r="B1024" s="176">
        <v>46077</v>
      </c>
      <c r="C1024" s="15">
        <v>-1.1200000000000001</v>
      </c>
      <c r="D1024" s="15">
        <v>3.32</v>
      </c>
    </row>
    <row r="1025" spans="2:4" x14ac:dyDescent="0.3">
      <c r="B1025" s="176">
        <v>46078</v>
      </c>
      <c r="C1025" s="15">
        <v>0.23</v>
      </c>
      <c r="D1025" s="15">
        <v>-2.3199999999999998</v>
      </c>
    </row>
    <row r="1026" spans="2:4" x14ac:dyDescent="0.3">
      <c r="B1026" s="176">
        <v>46079</v>
      </c>
      <c r="C1026" s="15">
        <v>0.06</v>
      </c>
      <c r="D1026" s="15">
        <v>1.08</v>
      </c>
    </row>
    <row r="1027" spans="2:4" x14ac:dyDescent="0.3">
      <c r="B1027" s="176">
        <v>46080</v>
      </c>
      <c r="C1027" s="15">
        <v>-1.25</v>
      </c>
      <c r="D1027" s="15">
        <v>-1.21</v>
      </c>
    </row>
    <row r="1028" spans="2:4" x14ac:dyDescent="0.3">
      <c r="B1028" s="176">
        <v>46083</v>
      </c>
      <c r="C1028" s="15">
        <v>-1.24</v>
      </c>
      <c r="D1028" s="15">
        <v>-3.88</v>
      </c>
    </row>
    <row r="1029" spans="2:4" x14ac:dyDescent="0.3">
      <c r="B1029" s="176">
        <v>46085</v>
      </c>
      <c r="C1029" s="15">
        <v>-1.55</v>
      </c>
      <c r="D1029" s="15">
        <v>-1.21</v>
      </c>
    </row>
    <row r="1030" spans="2:4" x14ac:dyDescent="0.3">
      <c r="B1030" s="176">
        <v>46086</v>
      </c>
      <c r="C1030" s="15">
        <v>1.17</v>
      </c>
      <c r="D1030" s="15">
        <v>2.85</v>
      </c>
    </row>
    <row r="1031" spans="2:4" x14ac:dyDescent="0.3">
      <c r="B1031" s="176">
        <v>46087</v>
      </c>
      <c r="C1031" s="15">
        <v>-1.27</v>
      </c>
      <c r="D1031" s="15">
        <v>0.47</v>
      </c>
    </row>
    <row r="1032" spans="2:4" x14ac:dyDescent="0.3">
      <c r="B1032" s="176">
        <v>46090</v>
      </c>
      <c r="C1032" s="15">
        <v>-1.73</v>
      </c>
      <c r="D1032" s="15">
        <v>-1.1200000000000001</v>
      </c>
    </row>
    <row r="1033" spans="2:4" x14ac:dyDescent="0.3">
      <c r="B1033" s="176">
        <v>46091</v>
      </c>
      <c r="C1033" s="15">
        <v>0.97</v>
      </c>
      <c r="D1033" s="15">
        <v>3.28</v>
      </c>
    </row>
    <row r="1034" spans="2:4" x14ac:dyDescent="0.3">
      <c r="B1034" s="176">
        <v>46092</v>
      </c>
      <c r="C1034" s="15">
        <v>-1.63</v>
      </c>
      <c r="D1034" s="15">
        <v>-2.13</v>
      </c>
    </row>
    <row r="1035" spans="2:4" x14ac:dyDescent="0.3">
      <c r="B1035" s="176">
        <v>46093</v>
      </c>
      <c r="C1035" s="15">
        <v>-0.95</v>
      </c>
      <c r="D1035" s="15">
        <v>1.25</v>
      </c>
    </row>
    <row r="1036" spans="2:4" x14ac:dyDescent="0.3">
      <c r="B1036" s="176">
        <v>46094</v>
      </c>
      <c r="C1036" s="15">
        <v>-2.06</v>
      </c>
      <c r="D1036" s="15">
        <v>-1.2</v>
      </c>
    </row>
    <row r="1037" spans="2:4" x14ac:dyDescent="0.3">
      <c r="B1037" s="176">
        <v>46097</v>
      </c>
      <c r="C1037" s="15">
        <v>1.1100000000000001</v>
      </c>
      <c r="D1037" s="15">
        <v>0.42</v>
      </c>
    </row>
    <row r="1038" spans="2:4" x14ac:dyDescent="0.3">
      <c r="B1038" s="176">
        <v>46098</v>
      </c>
      <c r="C1038" s="15">
        <v>0.74</v>
      </c>
      <c r="D1038" s="15">
        <v>0.41</v>
      </c>
    </row>
    <row r="1039" spans="2:4" x14ac:dyDescent="0.3">
      <c r="B1039" s="176">
        <v>46099</v>
      </c>
      <c r="C1039" s="15">
        <v>0.83</v>
      </c>
      <c r="D1039" s="15">
        <v>3.61</v>
      </c>
    </row>
    <row r="1040" spans="2:4" x14ac:dyDescent="0.3">
      <c r="B1040" s="176">
        <v>46100</v>
      </c>
      <c r="C1040" s="15">
        <v>-3.26</v>
      </c>
      <c r="D1040" s="15">
        <v>-3.03</v>
      </c>
    </row>
    <row r="1041" spans="2:4" x14ac:dyDescent="0.3">
      <c r="B1041" s="176">
        <v>46101</v>
      </c>
      <c r="C1041" s="15">
        <v>0.49</v>
      </c>
      <c r="D1041" s="15">
        <v>0.46</v>
      </c>
    </row>
    <row r="1042" spans="2:4" x14ac:dyDescent="0.3">
      <c r="B1042" s="176">
        <v>46104</v>
      </c>
      <c r="C1042" s="15">
        <v>-2.6</v>
      </c>
      <c r="D1042" s="15">
        <v>-6.24</v>
      </c>
    </row>
    <row r="1043" spans="2:4" x14ac:dyDescent="0.3">
      <c r="B1043" s="176">
        <v>46105</v>
      </c>
      <c r="C1043" s="15">
        <v>1.78</v>
      </c>
      <c r="D1043" s="15">
        <v>2.15</v>
      </c>
    </row>
    <row r="1044" spans="2:4" x14ac:dyDescent="0.3">
      <c r="B1044" s="176">
        <v>46106</v>
      </c>
      <c r="C1044" s="15">
        <v>1.72</v>
      </c>
      <c r="D1044" s="15">
        <v>2.39</v>
      </c>
    </row>
    <row r="1045" spans="2:4" x14ac:dyDescent="0.3">
      <c r="B1045" s="176">
        <v>46108</v>
      </c>
      <c r="C1045" s="15">
        <v>-2.09</v>
      </c>
      <c r="D1045" s="15">
        <v>-3.47</v>
      </c>
    </row>
    <row r="1046" spans="2:4" x14ac:dyDescent="0.3">
      <c r="B1046" s="176">
        <v>46111</v>
      </c>
      <c r="C1046" s="15">
        <v>-2.14</v>
      </c>
      <c r="D1046" s="15">
        <v>-2.21</v>
      </c>
    </row>
    <row r="1047" spans="2:4" x14ac:dyDescent="0.3">
      <c r="B1047" s="176">
        <v>46113</v>
      </c>
      <c r="C1047" s="15">
        <v>1.56</v>
      </c>
      <c r="D1047" s="15">
        <v>2.3199999999999998</v>
      </c>
    </row>
    <row r="1048" spans="2:4" x14ac:dyDescent="0.3">
      <c r="B1048" s="176">
        <v>46114</v>
      </c>
      <c r="C1048" s="15">
        <v>0.15</v>
      </c>
      <c r="D1048" s="15">
        <v>-1.57</v>
      </c>
    </row>
    <row r="1049" spans="2:4" x14ac:dyDescent="0.3">
      <c r="B1049" s="176">
        <v>46118</v>
      </c>
      <c r="C1049" s="15">
        <v>1.1200000000000001</v>
      </c>
      <c r="D1049" s="15">
        <v>5.28</v>
      </c>
    </row>
    <row r="1050" spans="2:4" x14ac:dyDescent="0.3">
      <c r="B1050" s="176">
        <v>46119</v>
      </c>
      <c r="C1050" s="15">
        <v>0.68</v>
      </c>
      <c r="D1050" s="15">
        <v>-0.51</v>
      </c>
    </row>
    <row r="1051" spans="2:4" x14ac:dyDescent="0.3">
      <c r="B1051" s="176">
        <v>46120</v>
      </c>
      <c r="C1051" s="15">
        <v>3.78</v>
      </c>
      <c r="D1051" s="15">
        <v>8.83</v>
      </c>
    </row>
    <row r="1052" spans="2:4" x14ac:dyDescent="0.3">
      <c r="B1052" s="176">
        <v>46121</v>
      </c>
      <c r="C1052" s="15">
        <v>-0.93</v>
      </c>
      <c r="D1052" s="15">
        <v>0.51</v>
      </c>
    </row>
    <row r="1053" spans="2:4" x14ac:dyDescent="0.3">
      <c r="B1053" s="176">
        <v>46122</v>
      </c>
      <c r="C1053" s="15">
        <v>1.1599999999999999</v>
      </c>
      <c r="D1053" s="15">
        <v>7.34</v>
      </c>
    </row>
    <row r="1054" spans="2:4" x14ac:dyDescent="0.3">
      <c r="B1054" s="176">
        <v>46125</v>
      </c>
      <c r="C1054" s="15">
        <v>-0.86</v>
      </c>
      <c r="D1054" s="15">
        <v>1.5</v>
      </c>
    </row>
    <row r="1055" spans="2:4" x14ac:dyDescent="0.3">
      <c r="B1055" s="176">
        <v>46127</v>
      </c>
      <c r="C1055" s="15">
        <v>1.63</v>
      </c>
      <c r="D1055" s="15">
        <v>-0.35</v>
      </c>
    </row>
    <row r="1056" spans="2:4" x14ac:dyDescent="0.3">
      <c r="B1056" s="176">
        <v>46128</v>
      </c>
      <c r="C1056" s="15">
        <v>-0.14000000000000001</v>
      </c>
      <c r="D1056" s="15">
        <v>4.3899999999999997</v>
      </c>
    </row>
    <row r="1057" spans="2:4" x14ac:dyDescent="0.3">
      <c r="B1057" s="176">
        <v>46129</v>
      </c>
      <c r="C1057" s="15">
        <v>0.65</v>
      </c>
      <c r="D1057" s="15">
        <v>3.04</v>
      </c>
    </row>
    <row r="1058" spans="2:4" x14ac:dyDescent="0.3">
      <c r="B1058" s="176">
        <v>46132</v>
      </c>
      <c r="C1058" s="15">
        <v>0.05</v>
      </c>
      <c r="D1058" s="15">
        <v>-0.03</v>
      </c>
    </row>
    <row r="1059" spans="2:4" x14ac:dyDescent="0.3">
      <c r="B1059" s="176">
        <v>46133</v>
      </c>
      <c r="C1059" s="15">
        <v>0.87</v>
      </c>
      <c r="D1059" s="15">
        <v>0.47</v>
      </c>
    </row>
    <row r="1060" spans="2:4" x14ac:dyDescent="0.3">
      <c r="B1060" s="176">
        <v>46134</v>
      </c>
      <c r="C1060" s="15">
        <v>-0.81</v>
      </c>
      <c r="D1060" s="15">
        <v>8.1199999999999992</v>
      </c>
    </row>
    <row r="1061" spans="2:4" x14ac:dyDescent="0.3">
      <c r="B1061" s="176">
        <v>46135</v>
      </c>
      <c r="C1061" s="15">
        <v>-0.84</v>
      </c>
      <c r="D1061" s="15">
        <v>-0.5</v>
      </c>
    </row>
    <row r="1062" spans="2:4" x14ac:dyDescent="0.3">
      <c r="B1062" s="176">
        <v>46136</v>
      </c>
      <c r="C1062" s="15">
        <v>-1.1399999999999999</v>
      </c>
      <c r="D1062" s="15">
        <v>3.72</v>
      </c>
    </row>
    <row r="1063" spans="2:4" x14ac:dyDescent="0.3">
      <c r="B1063" s="176">
        <v>46139</v>
      </c>
      <c r="C1063" s="15">
        <v>0.81</v>
      </c>
      <c r="D1063" s="15">
        <v>1.69</v>
      </c>
    </row>
    <row r="1064" spans="2:4" x14ac:dyDescent="0.3">
      <c r="B1064" s="176">
        <v>46140</v>
      </c>
      <c r="C1064" s="15">
        <v>-0.4</v>
      </c>
      <c r="D1064" s="15">
        <v>-0.02</v>
      </c>
    </row>
    <row r="1065" spans="2:4" x14ac:dyDescent="0.3">
      <c r="B1065" s="176">
        <v>46141</v>
      </c>
      <c r="C1065" s="15">
        <v>0.76</v>
      </c>
      <c r="D1065" s="15">
        <v>-1.21</v>
      </c>
    </row>
    <row r="1066" spans="2:4" x14ac:dyDescent="0.3">
      <c r="B1066" s="176">
        <v>46142</v>
      </c>
      <c r="C1066" s="15">
        <v>-0.74</v>
      </c>
      <c r="D1066" s="15">
        <v>-5.35</v>
      </c>
    </row>
    <row r="1067" spans="2:4" x14ac:dyDescent="0.3">
      <c r="B1067" s="176">
        <v>46146</v>
      </c>
      <c r="C1067" s="15">
        <v>0.51</v>
      </c>
      <c r="D1067" s="15">
        <v>4.18</v>
      </c>
    </row>
    <row r="1068" spans="2:4" x14ac:dyDescent="0.3">
      <c r="B1068" s="176">
        <v>46147</v>
      </c>
      <c r="C1068" s="15">
        <v>-0.36</v>
      </c>
      <c r="D1068" s="15">
        <v>0.8</v>
      </c>
    </row>
    <row r="1069" spans="2:4" x14ac:dyDescent="0.3">
      <c r="B1069" s="176">
        <v>46148</v>
      </c>
      <c r="C1069" s="15">
        <v>1.24</v>
      </c>
      <c r="D1069" s="15">
        <v>-0.16</v>
      </c>
    </row>
    <row r="1070" spans="2:4" x14ac:dyDescent="0.3">
      <c r="B1070" s="176">
        <v>46149</v>
      </c>
      <c r="C1070" s="15">
        <v>-0.02</v>
      </c>
      <c r="D1070" s="15">
        <v>-1.44</v>
      </c>
    </row>
    <row r="1071" spans="2:4" x14ac:dyDescent="0.3">
      <c r="B1071" s="176">
        <v>46150</v>
      </c>
      <c r="C1071" s="15">
        <v>-0.62</v>
      </c>
      <c r="D1071" s="15">
        <v>-2.42</v>
      </c>
    </row>
    <row r="1072" spans="2:4" x14ac:dyDescent="0.3">
      <c r="B1072" s="176">
        <v>46153</v>
      </c>
      <c r="C1072" s="15">
        <v>-1.49</v>
      </c>
      <c r="D1072" s="15">
        <v>-0.98</v>
      </c>
    </row>
    <row r="1073" spans="2:4" x14ac:dyDescent="0.3">
      <c r="B1073" s="176">
        <v>46154</v>
      </c>
      <c r="C1073" s="15">
        <v>-1.83</v>
      </c>
      <c r="D1073" s="15">
        <v>-4.1900000000000004</v>
      </c>
    </row>
    <row r="1074" spans="2:4" x14ac:dyDescent="0.3">
      <c r="B1074" s="176">
        <v>46155</v>
      </c>
      <c r="C1074" s="15">
        <v>0.14000000000000001</v>
      </c>
      <c r="D1074" s="15">
        <v>2.64</v>
      </c>
    </row>
    <row r="1075" spans="2:4" x14ac:dyDescent="0.3">
      <c r="B1075" s="176">
        <v>46156</v>
      </c>
      <c r="C1075" s="15">
        <v>1.18</v>
      </c>
      <c r="D1075" s="15">
        <v>7.0000000000000007E-2</v>
      </c>
    </row>
    <row r="1076" spans="2:4" x14ac:dyDescent="0.3">
      <c r="B1076" s="176">
        <v>46157</v>
      </c>
      <c r="C1076" s="15">
        <v>-0.19</v>
      </c>
      <c r="D1076" s="15">
        <v>-1.18</v>
      </c>
    </row>
    <row r="1077" spans="2:4" x14ac:dyDescent="0.3">
      <c r="B1077" s="176">
        <v>46160</v>
      </c>
      <c r="C1077" s="15">
        <v>0.03</v>
      </c>
      <c r="D1077" s="15">
        <v>1.89</v>
      </c>
    </row>
    <row r="1078" spans="2:4" x14ac:dyDescent="0.3">
      <c r="B1078" s="176">
        <v>46161</v>
      </c>
      <c r="C1078" s="15">
        <v>-0.14000000000000001</v>
      </c>
      <c r="D1078" s="15">
        <v>0.09</v>
      </c>
    </row>
    <row r="1079" spans="2:4" x14ac:dyDescent="0.3">
      <c r="B1079" s="176">
        <v>46162</v>
      </c>
      <c r="C1079" s="15">
        <v>0.17</v>
      </c>
      <c r="D1079" s="15">
        <v>1.25</v>
      </c>
    </row>
    <row r="1080" spans="2:4" x14ac:dyDescent="0.3">
      <c r="B1080" s="176">
        <v>46163</v>
      </c>
      <c r="C1080" s="15">
        <v>-0.02</v>
      </c>
      <c r="D1080" s="15">
        <v>-0.28999999999999998</v>
      </c>
    </row>
    <row r="1081" spans="2:4" x14ac:dyDescent="0.3">
      <c r="B1081" s="176">
        <v>46164</v>
      </c>
      <c r="C1081" s="15">
        <v>0.27</v>
      </c>
      <c r="D1081" s="15">
        <v>1.91</v>
      </c>
    </row>
    <row r="1082" spans="2:4" x14ac:dyDescent="0.3">
      <c r="B1082" s="176">
        <v>46167</v>
      </c>
      <c r="C1082" s="15">
        <v>1.32</v>
      </c>
      <c r="D1082" s="15">
        <v>2.66</v>
      </c>
    </row>
    <row r="1083" spans="2:4" x14ac:dyDescent="0.3">
      <c r="B1083" s="176">
        <v>46168</v>
      </c>
      <c r="C1083" s="15">
        <v>-0.49</v>
      </c>
      <c r="D1083" s="15">
        <v>4.2</v>
      </c>
    </row>
    <row r="1084" spans="2:4" x14ac:dyDescent="0.3">
      <c r="B1084" s="176">
        <v>46169</v>
      </c>
      <c r="C1084" s="15">
        <v>-0.03</v>
      </c>
      <c r="D1084" s="15">
        <v>5.25</v>
      </c>
    </row>
    <row r="1085" spans="2:4" x14ac:dyDescent="0.3">
      <c r="B1085" s="176">
        <v>46171</v>
      </c>
      <c r="C1085" s="15">
        <v>-1.5</v>
      </c>
      <c r="D1085" s="15">
        <v>-1.74</v>
      </c>
    </row>
    <row r="1086" spans="2:4" x14ac:dyDescent="0.3">
      <c r="B1086" s="176">
        <v>46174</v>
      </c>
      <c r="C1086" s="15">
        <v>-0.7</v>
      </c>
      <c r="D1086" s="15">
        <v>-1.1100000000000001</v>
      </c>
    </row>
    <row r="1087" spans="2:4" x14ac:dyDescent="0.3">
      <c r="B1087" s="176">
        <v>46175</v>
      </c>
      <c r="C1087" s="15">
        <v>0.43</v>
      </c>
      <c r="D1087" s="15">
        <v>2.2799999999999998</v>
      </c>
    </row>
    <row r="1088" spans="2:4" x14ac:dyDescent="0.3">
      <c r="B1088" s="176">
        <v>46176</v>
      </c>
      <c r="C1088" s="15">
        <v>-0.33</v>
      </c>
      <c r="D1088" s="15">
        <v>-2.4500000000000002</v>
      </c>
    </row>
    <row r="1089" spans="2:4" x14ac:dyDescent="0.3">
      <c r="B1089" s="176">
        <v>46177</v>
      </c>
      <c r="C1089" s="15">
        <v>0.05</v>
      </c>
      <c r="D1089" s="15">
        <v>1.8</v>
      </c>
    </row>
    <row r="1090" spans="2:4" x14ac:dyDescent="0.3">
      <c r="B1090" s="176">
        <v>46178</v>
      </c>
      <c r="C1090" s="15">
        <v>-0.21</v>
      </c>
      <c r="D1090" s="15">
        <v>3.88</v>
      </c>
    </row>
    <row r="1091" spans="2:4" x14ac:dyDescent="0.3">
      <c r="B1091" s="176">
        <v>46181</v>
      </c>
      <c r="C1091" s="15">
        <v>-1.04</v>
      </c>
      <c r="D1091" s="15">
        <v>-0.54</v>
      </c>
    </row>
    <row r="1092" spans="2:4" x14ac:dyDescent="0.3">
      <c r="B1092" s="176">
        <v>46182</v>
      </c>
      <c r="C1092" s="15">
        <v>0.52</v>
      </c>
      <c r="D1092" s="15">
        <v>0.56000000000000005</v>
      </c>
    </row>
    <row r="1093" spans="2:4" x14ac:dyDescent="0.3">
      <c r="B1093" s="176">
        <v>46184</v>
      </c>
      <c r="C1093" s="15">
        <v>0.35</v>
      </c>
      <c r="D1093" s="15">
        <v>-2.21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D38"/>
  <sheetViews>
    <sheetView showGridLines="0" zoomScale="82" zoomScaleNormal="100" workbookViewId="0">
      <selection activeCell="E18" sqref="E18"/>
    </sheetView>
  </sheetViews>
  <sheetFormatPr defaultColWidth="8.6328125" defaultRowHeight="14" x14ac:dyDescent="0.3"/>
  <cols>
    <col min="1" max="1" width="3.453125" style="15" customWidth="1"/>
    <col min="2" max="2" width="30.81640625" style="15" customWidth="1"/>
    <col min="3" max="3" width="12.08984375" style="15" customWidth="1"/>
    <col min="4" max="4" width="17.453125" style="15" customWidth="1"/>
    <col min="5" max="16384" width="8.6328125" style="15"/>
  </cols>
  <sheetData>
    <row r="1" spans="2:4" ht="27.75" customHeight="1" x14ac:dyDescent="0.3">
      <c r="B1" s="298" t="s">
        <v>427</v>
      </c>
      <c r="C1" s="299"/>
    </row>
    <row r="2" spans="2:4" x14ac:dyDescent="0.3">
      <c r="B2" s="184"/>
      <c r="C2" s="185"/>
    </row>
    <row r="3" spans="2:4" ht="15" customHeight="1" x14ac:dyDescent="0.3">
      <c r="B3" s="300" t="s">
        <v>428</v>
      </c>
      <c r="C3" s="301"/>
    </row>
    <row r="4" spans="2:4" ht="14.25" customHeight="1" x14ac:dyDescent="0.3">
      <c r="B4" s="24" t="s">
        <v>429</v>
      </c>
      <c r="C4" s="41" t="s">
        <v>430</v>
      </c>
    </row>
    <row r="5" spans="2:4" ht="13.5" customHeight="1" x14ac:dyDescent="0.3">
      <c r="B5" s="184"/>
      <c r="C5" s="185"/>
    </row>
    <row r="6" spans="2:4" ht="15" customHeight="1" x14ac:dyDescent="0.3">
      <c r="B6" s="300" t="s">
        <v>431</v>
      </c>
      <c r="C6" s="301"/>
    </row>
    <row r="7" spans="2:4" ht="13.5" customHeight="1" x14ac:dyDescent="0.3">
      <c r="B7" s="24" t="s">
        <v>432</v>
      </c>
      <c r="C7" s="39">
        <v>6.8500000000000005E-2</v>
      </c>
      <c r="D7" s="2"/>
    </row>
    <row r="8" spans="2:4" ht="13.5" customHeight="1" x14ac:dyDescent="0.3">
      <c r="B8" s="24" t="s">
        <v>433</v>
      </c>
      <c r="C8" s="39">
        <v>1.8700000000000001E-2</v>
      </c>
      <c r="D8" s="2"/>
    </row>
    <row r="9" spans="2:4" ht="13.5" customHeight="1" x14ac:dyDescent="0.3">
      <c r="B9" s="24" t="s">
        <v>399</v>
      </c>
      <c r="C9" s="40">
        <v>1.05</v>
      </c>
      <c r="D9" s="2"/>
    </row>
    <row r="10" spans="2:4" ht="13.5" customHeight="1" x14ac:dyDescent="0.3">
      <c r="B10" s="24" t="s">
        <v>434</v>
      </c>
      <c r="C10" s="186">
        <v>7.4999999999999997E-2</v>
      </c>
      <c r="D10" s="2"/>
    </row>
    <row r="11" spans="2:4" ht="13.5" customHeight="1" x14ac:dyDescent="0.3">
      <c r="B11" s="24" t="s">
        <v>22</v>
      </c>
      <c r="C11" s="39">
        <f>C10</f>
        <v>7.4999999999999997E-2</v>
      </c>
    </row>
    <row r="12" spans="2:4" ht="13.5" customHeight="1" x14ac:dyDescent="0.3">
      <c r="B12" s="27" t="s">
        <v>435</v>
      </c>
      <c r="C12" s="39">
        <f>C7+(C9*C11)</f>
        <v>0.14724999999999999</v>
      </c>
    </row>
    <row r="13" spans="2:4" ht="13.5" customHeight="1" x14ac:dyDescent="0.3">
      <c r="B13" s="184"/>
      <c r="C13" s="185"/>
    </row>
    <row r="14" spans="2:4" ht="13.5" customHeight="1" x14ac:dyDescent="0.3">
      <c r="B14" s="184"/>
      <c r="C14" s="185"/>
    </row>
    <row r="15" spans="2:4" ht="15" customHeight="1" x14ac:dyDescent="0.3">
      <c r="B15" s="302" t="s">
        <v>436</v>
      </c>
      <c r="C15" s="249"/>
    </row>
    <row r="16" spans="2:4" ht="13.5" customHeight="1" x14ac:dyDescent="0.3">
      <c r="B16" s="24" t="s">
        <v>437</v>
      </c>
      <c r="C16" s="39">
        <f>C17/C18</f>
        <v>7.4294788485115587E-2</v>
      </c>
    </row>
    <row r="17" spans="2:4" ht="13.5" customHeight="1" x14ac:dyDescent="0.3">
      <c r="B17" s="24" t="s">
        <v>438</v>
      </c>
      <c r="C17" s="33">
        <f>'Consolidated Profit &amp; Loss'!G20</f>
        <v>3632.9</v>
      </c>
    </row>
    <row r="18" spans="2:4" ht="13.5" customHeight="1" x14ac:dyDescent="0.3">
      <c r="B18" s="24" t="s">
        <v>4</v>
      </c>
      <c r="C18" s="33">
        <f>'Consolidated Balance Sheet'!G17+'Consolidated Balance Sheet'!G23</f>
        <v>48898.45</v>
      </c>
    </row>
    <row r="19" spans="2:4" ht="13.5" customHeight="1" x14ac:dyDescent="0.3">
      <c r="B19" s="184"/>
      <c r="C19" s="185"/>
    </row>
    <row r="20" spans="2:4" ht="13.5" customHeight="1" x14ac:dyDescent="0.3">
      <c r="B20" s="24" t="s">
        <v>439</v>
      </c>
      <c r="C20" s="25">
        <f>'Consolidated Profit &amp; Loss'!G30/'Consolidated Profit &amp; Loss'!G26</f>
        <v>0.24775269355729349</v>
      </c>
      <c r="D20" s="2"/>
    </row>
    <row r="21" spans="2:4" ht="13.5" customHeight="1" thickBot="1" x14ac:dyDescent="0.35">
      <c r="B21" s="43" t="s">
        <v>440</v>
      </c>
      <c r="C21" s="44">
        <f>C16*(1-C20)</f>
        <v>5.5888054520658807E-2</v>
      </c>
    </row>
    <row r="22" spans="2:4" ht="13.5" customHeight="1" x14ac:dyDescent="0.3">
      <c r="B22" s="184"/>
      <c r="C22" s="185"/>
    </row>
    <row r="23" spans="2:4" ht="15" customHeight="1" x14ac:dyDescent="0.3">
      <c r="B23" s="302" t="s">
        <v>441</v>
      </c>
      <c r="C23" s="249"/>
    </row>
    <row r="24" spans="2:4" ht="13.5" customHeight="1" x14ac:dyDescent="0.3">
      <c r="B24" s="24" t="s">
        <v>185</v>
      </c>
      <c r="C24" s="40">
        <f>'Consolidated Balance Sheet'!G9</f>
        <v>1201.28</v>
      </c>
    </row>
    <row r="25" spans="2:4" ht="13.5" customHeight="1" x14ac:dyDescent="0.3">
      <c r="B25" s="24" t="s">
        <v>442</v>
      </c>
      <c r="C25" s="40">
        <v>10</v>
      </c>
    </row>
    <row r="26" spans="2:4" ht="13.5" customHeight="1" x14ac:dyDescent="0.3">
      <c r="B26" s="24" t="s">
        <v>443</v>
      </c>
      <c r="C26" s="40">
        <f>C24/C25</f>
        <v>120.128</v>
      </c>
    </row>
    <row r="27" spans="2:4" ht="13.5" customHeight="1" x14ac:dyDescent="0.3">
      <c r="B27" s="184"/>
      <c r="C27" s="185"/>
    </row>
    <row r="28" spans="2:4" ht="13.5" customHeight="1" x14ac:dyDescent="0.3">
      <c r="B28" s="184"/>
      <c r="C28" s="185"/>
    </row>
    <row r="29" spans="2:4" ht="13.5" customHeight="1" x14ac:dyDescent="0.3">
      <c r="B29" s="24" t="s">
        <v>444</v>
      </c>
      <c r="C29" s="187">
        <v>1490</v>
      </c>
      <c r="D29" s="2"/>
    </row>
    <row r="30" spans="2:4" ht="13.5" customHeight="1" x14ac:dyDescent="0.3">
      <c r="B30" s="24" t="s">
        <v>445</v>
      </c>
      <c r="C30" s="40">
        <f>C29*C26</f>
        <v>178990.72</v>
      </c>
    </row>
    <row r="31" spans="2:4" ht="13.5" customHeight="1" x14ac:dyDescent="0.3">
      <c r="B31" s="184"/>
      <c r="C31" s="185"/>
    </row>
    <row r="32" spans="2:4" ht="13.5" customHeight="1" x14ac:dyDescent="0.3">
      <c r="B32" s="303" t="s">
        <v>446</v>
      </c>
      <c r="C32" s="249"/>
    </row>
    <row r="33" spans="2:3" ht="13.5" customHeight="1" x14ac:dyDescent="0.3">
      <c r="B33" s="24" t="s">
        <v>31</v>
      </c>
      <c r="C33" s="42">
        <f>C18+C30</f>
        <v>227889.16999999998</v>
      </c>
    </row>
    <row r="34" spans="2:3" ht="13.5" customHeight="1" x14ac:dyDescent="0.3">
      <c r="B34" s="184"/>
      <c r="C34" s="185"/>
    </row>
    <row r="35" spans="2:3" ht="13.5" customHeight="1" x14ac:dyDescent="0.3">
      <c r="B35" s="24" t="s">
        <v>447</v>
      </c>
      <c r="C35" s="39">
        <f>C18/C33</f>
        <v>0.21457118826664734</v>
      </c>
    </row>
    <row r="36" spans="2:3" ht="13.5" customHeight="1" x14ac:dyDescent="0.3">
      <c r="B36" s="24" t="s">
        <v>448</v>
      </c>
      <c r="C36" s="39">
        <f>C30/C33</f>
        <v>0.78542881173335277</v>
      </c>
    </row>
    <row r="37" spans="2:3" ht="13.5" customHeight="1" x14ac:dyDescent="0.3">
      <c r="B37" s="184"/>
      <c r="C37" s="185"/>
    </row>
    <row r="38" spans="2:3" ht="13.5" customHeight="1" x14ac:dyDescent="0.3">
      <c r="B38" s="45" t="s">
        <v>35</v>
      </c>
      <c r="C38" s="46">
        <f>(C36*C12)+(C35*C21)</f>
        <v>0.12764635879614511</v>
      </c>
    </row>
  </sheetData>
  <mergeCells count="6">
    <mergeCell ref="B32:C32"/>
    <mergeCell ref="B1:C1"/>
    <mergeCell ref="B6:C6"/>
    <mergeCell ref="B15:C15"/>
    <mergeCell ref="B3:C3"/>
    <mergeCell ref="B23:C23"/>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K41"/>
  <sheetViews>
    <sheetView showGridLines="0" zoomScale="63" workbookViewId="0">
      <selection activeCell="O10" sqref="O10"/>
    </sheetView>
  </sheetViews>
  <sheetFormatPr defaultRowHeight="14" x14ac:dyDescent="0.3"/>
  <cols>
    <col min="1" max="1" width="8.7265625" style="15"/>
    <col min="2" max="2" width="26" style="15" customWidth="1"/>
    <col min="3" max="3" width="11.7265625" style="15" bestFit="1" customWidth="1"/>
    <col min="4" max="4" width="10" style="15" customWidth="1"/>
    <col min="5" max="6" width="12" style="15" customWidth="1"/>
    <col min="7" max="7" width="26" style="15" customWidth="1"/>
    <col min="8" max="10" width="10" style="15" customWidth="1"/>
    <col min="11" max="11" width="12" style="15" customWidth="1"/>
    <col min="12" max="16384" width="8.7265625" style="15"/>
  </cols>
  <sheetData>
    <row r="2" spans="2:11" ht="29.5" customHeight="1" x14ac:dyDescent="0.3">
      <c r="B2" s="347" t="s">
        <v>601</v>
      </c>
      <c r="C2" s="347"/>
      <c r="D2" s="347"/>
      <c r="E2" s="347"/>
      <c r="F2" s="347"/>
      <c r="G2" s="347"/>
      <c r="H2" s="347"/>
      <c r="I2" s="347"/>
      <c r="J2" s="347"/>
      <c r="K2" s="347"/>
    </row>
    <row r="3" spans="2:11" ht="14.5" x14ac:dyDescent="0.35">
      <c r="B3" s="188" t="s">
        <v>602</v>
      </c>
    </row>
    <row r="4" spans="2:11" ht="17.5" x14ac:dyDescent="0.35">
      <c r="B4" s="189" t="s">
        <v>0</v>
      </c>
      <c r="C4" s="189"/>
      <c r="D4" s="189"/>
      <c r="E4" s="189"/>
      <c r="F4" s="189"/>
      <c r="G4" s="189"/>
      <c r="H4" s="189"/>
      <c r="I4" s="189"/>
      <c r="J4" s="189"/>
      <c r="K4" s="189"/>
    </row>
    <row r="5" spans="2:11" ht="18" thickBot="1" x14ac:dyDescent="0.4">
      <c r="B5" s="190" t="s">
        <v>1</v>
      </c>
      <c r="C5" s="190"/>
      <c r="D5" s="190" t="s">
        <v>2</v>
      </c>
      <c r="E5" s="190" t="s">
        <v>3</v>
      </c>
      <c r="F5" s="190" t="s">
        <v>4</v>
      </c>
      <c r="G5" s="190" t="s">
        <v>5</v>
      </c>
      <c r="H5" s="190" t="s">
        <v>6</v>
      </c>
      <c r="I5" s="190" t="s">
        <v>7</v>
      </c>
      <c r="J5" s="190" t="s">
        <v>8</v>
      </c>
      <c r="K5" s="190" t="s">
        <v>9</v>
      </c>
    </row>
    <row r="7" spans="2:11" x14ac:dyDescent="0.3">
      <c r="B7" s="130" t="s">
        <v>10</v>
      </c>
      <c r="C7" s="130"/>
      <c r="D7" s="130" t="s">
        <v>11</v>
      </c>
      <c r="E7" s="191">
        <f>'Relative Valuation'!E6</f>
        <v>179591.36</v>
      </c>
      <c r="F7" s="191">
        <f>'Relative Valuation'!F6</f>
        <v>48898.45</v>
      </c>
      <c r="G7" s="192">
        <v>0.25</v>
      </c>
      <c r="H7" s="193">
        <f>F7/E7</f>
        <v>0.27227618299677669</v>
      </c>
      <c r="I7" s="193">
        <f>F7/(F7+E7)</f>
        <v>0.2140071366858767</v>
      </c>
      <c r="J7" s="194">
        <f>'Beta Calculation'!G26</f>
        <v>1.382434629830479</v>
      </c>
      <c r="K7" s="195">
        <f>J7/(1+(1-G7)*H7)</f>
        <v>1.1480040161448184</v>
      </c>
    </row>
    <row r="8" spans="2:11" x14ac:dyDescent="0.3">
      <c r="B8" s="130" t="s">
        <v>12</v>
      </c>
      <c r="C8" s="130"/>
      <c r="D8" s="130" t="s">
        <v>11</v>
      </c>
      <c r="E8" s="191">
        <f>'Relative Valuation'!E7</f>
        <v>131697.9</v>
      </c>
      <c r="F8" s="191">
        <f>'Relative Valuation'!F7</f>
        <v>35000</v>
      </c>
      <c r="G8" s="192">
        <v>0.25</v>
      </c>
      <c r="H8" s="193">
        <f>F8/E8</f>
        <v>0.26575974256233398</v>
      </c>
      <c r="I8" s="193">
        <f>F8/(F8+E8)</f>
        <v>0.20996065337355779</v>
      </c>
      <c r="J8" s="194">
        <v>1.56</v>
      </c>
      <c r="K8" s="195">
        <f>J8/(1+(1-G8)*H8)</f>
        <v>1.3007372937531931</v>
      </c>
    </row>
    <row r="9" spans="2:11" x14ac:dyDescent="0.3">
      <c r="B9" s="130" t="s">
        <v>13</v>
      </c>
      <c r="C9" s="130"/>
      <c r="D9" s="130" t="s">
        <v>11</v>
      </c>
      <c r="E9" s="191">
        <f>'Relative Valuation'!E8</f>
        <v>65721.599999999991</v>
      </c>
      <c r="F9" s="191">
        <f>'Relative Valuation'!F8</f>
        <v>14000</v>
      </c>
      <c r="G9" s="192">
        <v>0.25</v>
      </c>
      <c r="H9" s="193">
        <f>F9/E9</f>
        <v>0.2130197682344922</v>
      </c>
      <c r="I9" s="193">
        <f>F9/(F9+E9)</f>
        <v>0.17561112672098905</v>
      </c>
      <c r="J9" s="194">
        <v>0.9</v>
      </c>
      <c r="K9" s="195">
        <f>J9/(1+(1-G9)*H9)</f>
        <v>0.77601939607670267</v>
      </c>
    </row>
    <row r="10" spans="2:11" x14ac:dyDescent="0.3">
      <c r="B10" s="130" t="s">
        <v>14</v>
      </c>
      <c r="C10" s="130"/>
      <c r="D10" s="130" t="s">
        <v>11</v>
      </c>
      <c r="E10" s="191">
        <f>'Relative Valuation'!E9</f>
        <v>269988.3</v>
      </c>
      <c r="F10" s="191">
        <f>'Relative Valuation'!F9</f>
        <v>95000</v>
      </c>
      <c r="G10" s="192">
        <v>0.25</v>
      </c>
      <c r="H10" s="193">
        <f>F10/E10</f>
        <v>0.35186709942616035</v>
      </c>
      <c r="I10" s="193">
        <f>F10/(F10+E10)</f>
        <v>0.26028231589889322</v>
      </c>
      <c r="J10" s="194">
        <v>0.85</v>
      </c>
      <c r="K10" s="195">
        <f>J10/(1+(1-G10)*H10)</f>
        <v>0.67252138754647406</v>
      </c>
    </row>
    <row r="11" spans="2:11" x14ac:dyDescent="0.3">
      <c r="B11" s="130" t="s">
        <v>15</v>
      </c>
      <c r="C11" s="130"/>
      <c r="D11" s="130" t="s">
        <v>11</v>
      </c>
      <c r="E11" s="191">
        <f>'Relative Valuation'!E10</f>
        <v>24166.35</v>
      </c>
      <c r="F11" s="191">
        <f>'Relative Valuation'!F10</f>
        <v>8000</v>
      </c>
      <c r="G11" s="192">
        <v>0.25</v>
      </c>
      <c r="H11" s="193">
        <f>F11/E11</f>
        <v>0.33103882050868255</v>
      </c>
      <c r="I11" s="193">
        <f>F11/(F11+E11)</f>
        <v>0.24870711162441497</v>
      </c>
      <c r="J11" s="194">
        <v>1.1000000000000001</v>
      </c>
      <c r="K11" s="195">
        <f>J11/(1+(1-G11)*H11)</f>
        <v>0.88121317295595913</v>
      </c>
    </row>
    <row r="13" spans="2:11" x14ac:dyDescent="0.3">
      <c r="F13" s="196" t="s">
        <v>16</v>
      </c>
      <c r="G13" s="134">
        <f>AVERAGE(G7:G11)</f>
        <v>0.25</v>
      </c>
      <c r="H13" s="193">
        <f>AVERAGE(H7:H11)</f>
        <v>0.28679232274568911</v>
      </c>
      <c r="I13" s="193">
        <f>AVERAGE(I7:I11)</f>
        <v>0.22171366886074634</v>
      </c>
      <c r="J13" s="195">
        <f>AVERAGE(J7:J11)</f>
        <v>1.1584869259660959</v>
      </c>
      <c r="K13" s="195">
        <f>AVERAGE(K7:K11)</f>
        <v>0.95569905329542948</v>
      </c>
    </row>
    <row r="14" spans="2:11" x14ac:dyDescent="0.3">
      <c r="F14" s="196" t="s">
        <v>17</v>
      </c>
      <c r="G14" s="134">
        <f>MEDIAN(G7:G11)</f>
        <v>0.25</v>
      </c>
      <c r="H14" s="193">
        <f>MEDIAN(H7:H11)</f>
        <v>0.27227618299677669</v>
      </c>
      <c r="I14" s="193">
        <f>MEDIAN(I7:I11)</f>
        <v>0.2140071366858767</v>
      </c>
      <c r="J14" s="195">
        <f>MEDIAN(J7:J11)</f>
        <v>1.1000000000000001</v>
      </c>
      <c r="K14" s="195">
        <f>MEDIAN(K7:K11)</f>
        <v>0.88121317295595913</v>
      </c>
    </row>
    <row r="17" spans="2:11" ht="14.5" thickBot="1" x14ac:dyDescent="0.35">
      <c r="B17" s="197" t="s">
        <v>18</v>
      </c>
      <c r="C17" s="198"/>
      <c r="D17" s="198"/>
      <c r="E17" s="198"/>
      <c r="G17" s="197" t="s">
        <v>19</v>
      </c>
      <c r="H17" s="198"/>
      <c r="I17" s="198"/>
      <c r="J17" s="198"/>
      <c r="K17" s="198"/>
    </row>
    <row r="19" spans="2:11" x14ac:dyDescent="0.3">
      <c r="B19" s="130" t="s">
        <v>20</v>
      </c>
      <c r="C19" s="304">
        <f>'Consolidated Profit &amp; Loss'!G20/F7</f>
        <v>7.4294788485115587E-2</v>
      </c>
      <c r="D19" s="305"/>
      <c r="E19" s="306"/>
      <c r="G19" s="130" t="s">
        <v>21</v>
      </c>
      <c r="H19" s="130"/>
      <c r="I19" s="130"/>
      <c r="J19" s="130"/>
      <c r="K19" s="199">
        <f>Wacc!C7</f>
        <v>6.8500000000000005E-2</v>
      </c>
    </row>
    <row r="20" spans="2:11" x14ac:dyDescent="0.3">
      <c r="B20" s="130" t="s">
        <v>5</v>
      </c>
      <c r="C20" s="304">
        <f>G14</f>
        <v>0.25</v>
      </c>
      <c r="D20" s="305"/>
      <c r="E20" s="306"/>
      <c r="G20" s="130" t="s">
        <v>22</v>
      </c>
      <c r="H20" s="130"/>
      <c r="I20" s="130"/>
      <c r="J20" s="130"/>
      <c r="K20" s="199">
        <f>Wacc!C11</f>
        <v>7.4999999999999997E-2</v>
      </c>
    </row>
    <row r="21" spans="2:11" x14ac:dyDescent="0.3">
      <c r="B21" s="130" t="s">
        <v>23</v>
      </c>
      <c r="C21" s="307">
        <f>C19*(1-C20)</f>
        <v>5.572109136383669E-2</v>
      </c>
      <c r="D21" s="308"/>
      <c r="E21" s="309"/>
      <c r="G21" s="130" t="s">
        <v>24</v>
      </c>
      <c r="H21" s="130"/>
      <c r="I21" s="130"/>
      <c r="J21" s="130"/>
      <c r="K21" s="195">
        <f>K30</f>
        <v>1.0694893232050193</v>
      </c>
    </row>
    <row r="22" spans="2:11" x14ac:dyDescent="0.3">
      <c r="G22" s="130" t="s">
        <v>19</v>
      </c>
      <c r="H22" s="130"/>
      <c r="I22" s="130"/>
      <c r="J22" s="130"/>
      <c r="K22" s="200">
        <f>K19+(K20*K21)</f>
        <v>0.14871169924037647</v>
      </c>
    </row>
    <row r="25" spans="2:11" ht="14.5" thickBot="1" x14ac:dyDescent="0.35">
      <c r="B25" s="197" t="s">
        <v>25</v>
      </c>
      <c r="C25" s="198"/>
      <c r="D25" s="198"/>
      <c r="E25" s="198"/>
      <c r="G25" s="197" t="s">
        <v>24</v>
      </c>
      <c r="H25" s="198"/>
      <c r="I25" s="198"/>
      <c r="J25" s="198"/>
      <c r="K25" s="198"/>
    </row>
    <row r="27" spans="2:11" x14ac:dyDescent="0.3">
      <c r="D27" s="201" t="s">
        <v>26</v>
      </c>
      <c r="E27" s="201" t="s">
        <v>27</v>
      </c>
      <c r="G27" s="130" t="s">
        <v>28</v>
      </c>
      <c r="H27" s="130"/>
      <c r="I27" s="130"/>
      <c r="J27" s="130"/>
      <c r="K27" s="195">
        <f>K14</f>
        <v>0.88121317295595913</v>
      </c>
    </row>
    <row r="28" spans="2:11" x14ac:dyDescent="0.3">
      <c r="B28" s="130" t="s">
        <v>4</v>
      </c>
      <c r="C28" s="202">
        <f>F7</f>
        <v>48898.45</v>
      </c>
      <c r="D28" s="134">
        <f>C28/$C$30</f>
        <v>0.2140071366858767</v>
      </c>
      <c r="E28" s="134">
        <f>I13</f>
        <v>0.22171366886074634</v>
      </c>
      <c r="G28" s="130" t="s">
        <v>29</v>
      </c>
      <c r="H28" s="130"/>
      <c r="I28" s="130"/>
      <c r="J28" s="130"/>
      <c r="K28" s="193">
        <f>E32</f>
        <v>0.28487416518828285</v>
      </c>
    </row>
    <row r="29" spans="2:11" x14ac:dyDescent="0.3">
      <c r="B29" s="130" t="s">
        <v>30</v>
      </c>
      <c r="C29" s="202">
        <f>E7</f>
        <v>179591.36</v>
      </c>
      <c r="D29" s="134">
        <f>C29/$C$30</f>
        <v>0.78599286331412321</v>
      </c>
      <c r="E29" s="134">
        <f>E30-E28</f>
        <v>0.77828633113925361</v>
      </c>
      <c r="G29" s="130" t="s">
        <v>5</v>
      </c>
      <c r="H29" s="130"/>
      <c r="I29" s="130"/>
      <c r="J29" s="130"/>
      <c r="K29" s="203">
        <v>0.25</v>
      </c>
    </row>
    <row r="30" spans="2:11" x14ac:dyDescent="0.3">
      <c r="B30" s="130" t="s">
        <v>31</v>
      </c>
      <c r="C30" s="202">
        <f>SUM(C28:C29)</f>
        <v>228489.81</v>
      </c>
      <c r="D30" s="134">
        <f>C30/$C$30</f>
        <v>1</v>
      </c>
      <c r="E30" s="134">
        <f>D30</f>
        <v>1</v>
      </c>
      <c r="G30" s="130" t="s">
        <v>24</v>
      </c>
      <c r="H30" s="130"/>
      <c r="I30" s="130"/>
      <c r="J30" s="130"/>
      <c r="K30" s="195">
        <f>K27*(1+(1-K29)*K28)</f>
        <v>1.0694893232050193</v>
      </c>
    </row>
    <row r="32" spans="2:11" ht="14.5" thickBot="1" x14ac:dyDescent="0.35">
      <c r="B32" s="178" t="s">
        <v>6</v>
      </c>
      <c r="C32" s="178"/>
      <c r="D32" s="204">
        <f>D28/D29</f>
        <v>0.27227618299677669</v>
      </c>
      <c r="E32" s="204">
        <f>E28/E29</f>
        <v>0.28487416518828285</v>
      </c>
    </row>
    <row r="33" spans="7:11" ht="14.5" thickBot="1" x14ac:dyDescent="0.35">
      <c r="G33" s="197" t="s">
        <v>32</v>
      </c>
      <c r="H33" s="198"/>
      <c r="I33" s="198"/>
      <c r="J33" s="198"/>
      <c r="K33" s="198"/>
    </row>
    <row r="35" spans="7:11" x14ac:dyDescent="0.3">
      <c r="G35" s="130" t="s">
        <v>19</v>
      </c>
      <c r="H35" s="130"/>
      <c r="I35" s="130"/>
      <c r="J35" s="130"/>
      <c r="K35" s="134">
        <f>K22</f>
        <v>0.14871169924037647</v>
      </c>
    </row>
    <row r="36" spans="7:11" x14ac:dyDescent="0.3">
      <c r="G36" s="130" t="s">
        <v>33</v>
      </c>
      <c r="H36" s="130"/>
      <c r="I36" s="130"/>
      <c r="J36" s="130"/>
      <c r="K36" s="134">
        <f>E29</f>
        <v>0.77828633113925361</v>
      </c>
    </row>
    <row r="38" spans="7:11" x14ac:dyDescent="0.3">
      <c r="G38" s="130" t="s">
        <v>18</v>
      </c>
      <c r="H38" s="130"/>
      <c r="I38" s="130"/>
      <c r="J38" s="130"/>
      <c r="K38" s="134">
        <f>C21</f>
        <v>5.572109136383669E-2</v>
      </c>
    </row>
    <row r="39" spans="7:11" x14ac:dyDescent="0.3">
      <c r="G39" s="130" t="s">
        <v>34</v>
      </c>
      <c r="H39" s="130"/>
      <c r="I39" s="130"/>
      <c r="J39" s="130"/>
      <c r="K39" s="134">
        <f>E28</f>
        <v>0.22171366886074634</v>
      </c>
    </row>
    <row r="41" spans="7:11" ht="16" thickBot="1" x14ac:dyDescent="0.4">
      <c r="G41" s="205" t="s">
        <v>35</v>
      </c>
      <c r="H41" s="206"/>
      <c r="I41" s="206"/>
      <c r="J41" s="206"/>
      <c r="K41" s="207">
        <f>(K35*K36)+(K38*K39)</f>
        <v>0.1280944103984778</v>
      </c>
    </row>
  </sheetData>
  <mergeCells count="4">
    <mergeCell ref="C19:E19"/>
    <mergeCell ref="C20:E20"/>
    <mergeCell ref="C21:E21"/>
    <mergeCell ref="B2:K2"/>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L7"/>
  <sheetViews>
    <sheetView showGridLines="0" zoomScale="64" workbookViewId="0">
      <selection activeCell="M21" sqref="M21"/>
    </sheetView>
  </sheetViews>
  <sheetFormatPr defaultRowHeight="14" x14ac:dyDescent="0.3"/>
  <cols>
    <col min="1" max="1" width="8.7265625" style="15"/>
    <col min="2" max="2" width="5.1796875" style="15" bestFit="1" customWidth="1"/>
    <col min="3" max="3" width="20" style="15" bestFit="1" customWidth="1"/>
    <col min="4" max="4" width="7.6328125" style="15" bestFit="1" customWidth="1"/>
    <col min="5" max="5" width="15.7265625" style="15" bestFit="1" customWidth="1"/>
    <col min="6" max="6" width="10.1796875" style="15" bestFit="1" customWidth="1"/>
    <col min="7" max="7" width="9.81640625" style="15" bestFit="1" customWidth="1"/>
    <col min="8" max="8" width="12.6328125" style="15" bestFit="1" customWidth="1"/>
    <col min="9" max="9" width="10.90625" style="15" bestFit="1" customWidth="1"/>
    <col min="10" max="10" width="10.26953125" style="15" bestFit="1" customWidth="1"/>
    <col min="11" max="11" width="14.90625" style="15" bestFit="1" customWidth="1"/>
    <col min="12" max="12" width="7.81640625" style="15" bestFit="1" customWidth="1"/>
    <col min="13" max="16384" width="8.7265625" style="15"/>
  </cols>
  <sheetData>
    <row r="1" spans="2:12" ht="21" customHeight="1" x14ac:dyDescent="0.4">
      <c r="B1" s="310" t="s">
        <v>562</v>
      </c>
      <c r="C1" s="311"/>
      <c r="D1" s="311"/>
      <c r="E1" s="311"/>
      <c r="F1" s="311"/>
      <c r="G1" s="311"/>
      <c r="H1" s="311"/>
      <c r="I1" s="311"/>
      <c r="J1" s="311"/>
      <c r="K1" s="311"/>
      <c r="L1" s="312"/>
    </row>
    <row r="2" spans="2:12" ht="29" customHeight="1" x14ac:dyDescent="0.3">
      <c r="B2" s="348" t="s">
        <v>563</v>
      </c>
      <c r="C2" s="348" t="s">
        <v>564</v>
      </c>
      <c r="D2" s="348" t="s">
        <v>565</v>
      </c>
      <c r="E2" s="348" t="s">
        <v>566</v>
      </c>
      <c r="F2" s="348" t="s">
        <v>567</v>
      </c>
      <c r="G2" s="348" t="s">
        <v>568</v>
      </c>
      <c r="H2" s="348" t="s">
        <v>569</v>
      </c>
      <c r="I2" s="348" t="s">
        <v>570</v>
      </c>
      <c r="J2" s="348" t="s">
        <v>571</v>
      </c>
      <c r="K2" s="348" t="s">
        <v>572</v>
      </c>
      <c r="L2" s="348" t="s">
        <v>573</v>
      </c>
    </row>
    <row r="3" spans="2:12" x14ac:dyDescent="0.3">
      <c r="B3" s="349">
        <v>1</v>
      </c>
      <c r="C3" s="349" t="s">
        <v>10</v>
      </c>
      <c r="D3" s="349">
        <v>1495</v>
      </c>
      <c r="E3" s="349">
        <v>120.128</v>
      </c>
      <c r="F3" s="349">
        <v>48898.45</v>
      </c>
      <c r="G3" s="349">
        <v>224542.47</v>
      </c>
      <c r="H3" s="349">
        <f>'Historical FS'!G31</f>
        <v>2282.54</v>
      </c>
      <c r="I3" s="349">
        <v>19.010000000000002</v>
      </c>
      <c r="J3" s="349">
        <v>27203</v>
      </c>
      <c r="K3" s="349">
        <v>9821</v>
      </c>
      <c r="L3" s="349">
        <v>3947.34</v>
      </c>
    </row>
    <row r="4" spans="2:12" x14ac:dyDescent="0.3">
      <c r="B4" s="349">
        <v>2</v>
      </c>
      <c r="C4" s="349" t="s">
        <v>12</v>
      </c>
      <c r="D4" s="349">
        <v>412.2</v>
      </c>
      <c r="E4" s="349">
        <v>319.5</v>
      </c>
      <c r="F4" s="349">
        <v>35000</v>
      </c>
      <c r="G4" s="349">
        <v>166712</v>
      </c>
      <c r="H4" s="349">
        <v>4800</v>
      </c>
      <c r="I4" s="349">
        <v>15.02</v>
      </c>
      <c r="J4" s="349">
        <v>60000</v>
      </c>
      <c r="K4" s="349">
        <v>12500</v>
      </c>
      <c r="L4" s="350">
        <v>13644</v>
      </c>
    </row>
    <row r="5" spans="2:12" x14ac:dyDescent="0.3">
      <c r="B5" s="349">
        <v>3</v>
      </c>
      <c r="C5" s="349" t="s">
        <v>13</v>
      </c>
      <c r="D5" s="349">
        <v>1304</v>
      </c>
      <c r="E5" s="349">
        <v>50.4</v>
      </c>
      <c r="F5" s="349">
        <v>14000</v>
      </c>
      <c r="G5" s="349">
        <v>79714</v>
      </c>
      <c r="H5" s="349">
        <v>2800</v>
      </c>
      <c r="I5" s="349">
        <v>55.56</v>
      </c>
      <c r="J5" s="349">
        <v>22000</v>
      </c>
      <c r="K5" s="349">
        <v>6800</v>
      </c>
      <c r="L5" s="349">
        <v>831</v>
      </c>
    </row>
    <row r="6" spans="2:12" x14ac:dyDescent="0.3">
      <c r="B6" s="349">
        <v>4</v>
      </c>
      <c r="C6" s="349" t="s">
        <v>14</v>
      </c>
      <c r="D6" s="349">
        <v>279</v>
      </c>
      <c r="E6" s="349">
        <v>967.7</v>
      </c>
      <c r="F6" s="349">
        <v>95000</v>
      </c>
      <c r="G6" s="349">
        <v>365000</v>
      </c>
      <c r="H6" s="349">
        <v>16000</v>
      </c>
      <c r="I6" s="349">
        <v>16.53</v>
      </c>
      <c r="J6" s="349">
        <v>47000</v>
      </c>
      <c r="K6" s="349">
        <v>35000</v>
      </c>
      <c r="L6" s="351">
        <v>8920</v>
      </c>
    </row>
    <row r="7" spans="2:12" x14ac:dyDescent="0.3">
      <c r="B7" s="349">
        <v>5</v>
      </c>
      <c r="C7" s="349" t="s">
        <v>15</v>
      </c>
      <c r="D7" s="349">
        <v>182.25</v>
      </c>
      <c r="E7" s="349">
        <v>132.6</v>
      </c>
      <c r="F7" s="349">
        <v>8000</v>
      </c>
      <c r="G7" s="349">
        <v>32159</v>
      </c>
      <c r="H7" s="349">
        <v>1600</v>
      </c>
      <c r="I7" s="349">
        <v>12.07</v>
      </c>
      <c r="J7" s="349">
        <v>17500</v>
      </c>
      <c r="K7" s="349">
        <v>4200</v>
      </c>
      <c r="L7" s="349">
        <v>0</v>
      </c>
    </row>
  </sheetData>
  <mergeCells count="1">
    <mergeCell ref="B1:L1"/>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Q19"/>
  <sheetViews>
    <sheetView showGridLines="0" zoomScale="62" workbookViewId="0">
      <selection activeCell="H22" sqref="H22"/>
    </sheetView>
  </sheetViews>
  <sheetFormatPr defaultRowHeight="14" x14ac:dyDescent="0.3"/>
  <cols>
    <col min="1" max="1" width="8.7265625" style="15" customWidth="1"/>
    <col min="2" max="2" width="40.90625" style="15" bestFit="1" customWidth="1"/>
    <col min="3" max="3" width="14.1796875" style="15" bestFit="1" customWidth="1"/>
    <col min="4" max="4" width="12.54296875" style="15" bestFit="1" customWidth="1"/>
    <col min="5" max="5" width="12.08984375" style="15" customWidth="1"/>
    <col min="6" max="6" width="9.08984375" style="15" bestFit="1" customWidth="1"/>
    <col min="7" max="7" width="8" style="15" bestFit="1" customWidth="1"/>
    <col min="8" max="8" width="16.90625" style="15" bestFit="1" customWidth="1"/>
    <col min="9" max="9" width="6.54296875" style="15" customWidth="1"/>
    <col min="10" max="10" width="9.1796875" style="15" bestFit="1" customWidth="1"/>
    <col min="11" max="11" width="14.26953125" style="15" bestFit="1" customWidth="1"/>
    <col min="12" max="12" width="9.90625" style="15" bestFit="1" customWidth="1"/>
    <col min="13" max="14" width="12.08984375" style="15" bestFit="1" customWidth="1"/>
    <col min="15" max="15" width="12.36328125" style="15" bestFit="1" customWidth="1"/>
    <col min="16" max="17" width="12.08984375" style="15" bestFit="1" customWidth="1"/>
    <col min="18" max="16384" width="8.7265625" style="15"/>
  </cols>
  <sheetData>
    <row r="1" spans="2:17" ht="42" customHeight="1" x14ac:dyDescent="0.3">
      <c r="B1" s="352" t="s">
        <v>574</v>
      </c>
      <c r="C1" s="352"/>
      <c r="D1" s="352"/>
      <c r="E1" s="352"/>
      <c r="F1" s="352"/>
      <c r="G1" s="352"/>
      <c r="H1" s="352"/>
      <c r="I1" s="352"/>
      <c r="J1" s="352"/>
      <c r="K1" s="352"/>
      <c r="L1" s="352"/>
      <c r="M1" s="352"/>
      <c r="N1" s="352"/>
      <c r="O1" s="352"/>
      <c r="P1" s="352"/>
      <c r="Q1" s="352"/>
    </row>
    <row r="3" spans="2:17" ht="30.5" customHeight="1" x14ac:dyDescent="0.3">
      <c r="B3" s="244" t="s">
        <v>575</v>
      </c>
      <c r="C3" s="245"/>
      <c r="D3" s="245"/>
      <c r="E3" s="245"/>
      <c r="F3" s="245"/>
      <c r="G3" s="245"/>
      <c r="H3" s="245"/>
      <c r="I3" s="245"/>
      <c r="J3" s="245"/>
      <c r="K3" s="245"/>
      <c r="L3" s="245"/>
      <c r="M3" s="245"/>
      <c r="N3" s="245"/>
      <c r="O3" s="245"/>
      <c r="P3" s="245"/>
      <c r="Q3" s="246"/>
    </row>
    <row r="4" spans="2:17" ht="18" x14ac:dyDescent="0.4">
      <c r="B4" s="208" t="s">
        <v>576</v>
      </c>
      <c r="C4" s="313" t="s">
        <v>577</v>
      </c>
      <c r="D4" s="314"/>
      <c r="E4" s="314"/>
      <c r="F4" s="314"/>
      <c r="G4" s="314"/>
      <c r="H4" s="315"/>
      <c r="I4" s="209"/>
      <c r="J4" s="313" t="s">
        <v>578</v>
      </c>
      <c r="K4" s="314"/>
      <c r="L4" s="314"/>
      <c r="M4" s="315"/>
      <c r="N4" s="209"/>
      <c r="O4" s="313" t="s">
        <v>532</v>
      </c>
      <c r="P4" s="314"/>
      <c r="Q4" s="315"/>
    </row>
    <row r="5" spans="2:17" ht="31" x14ac:dyDescent="0.35">
      <c r="B5" s="210"/>
      <c r="C5" s="211" t="s">
        <v>579</v>
      </c>
      <c r="D5" s="211" t="s">
        <v>580</v>
      </c>
      <c r="E5" s="211" t="s">
        <v>581</v>
      </c>
      <c r="F5" s="211" t="s">
        <v>582</v>
      </c>
      <c r="G5" s="211" t="s">
        <v>583</v>
      </c>
      <c r="H5" s="211" t="s">
        <v>584</v>
      </c>
      <c r="I5" s="210"/>
      <c r="J5" s="211" t="s">
        <v>451</v>
      </c>
      <c r="K5" s="211" t="s">
        <v>285</v>
      </c>
      <c r="L5" s="211" t="s">
        <v>495</v>
      </c>
      <c r="M5" s="211" t="s">
        <v>585</v>
      </c>
      <c r="N5" s="210"/>
      <c r="O5" s="211" t="s">
        <v>586</v>
      </c>
      <c r="P5" s="211" t="s">
        <v>587</v>
      </c>
      <c r="Q5" s="211" t="s">
        <v>588</v>
      </c>
    </row>
    <row r="6" spans="2:17" x14ac:dyDescent="0.3">
      <c r="B6" s="212" t="s">
        <v>10</v>
      </c>
      <c r="C6" s="130">
        <f>'Peer Comp.'!E3</f>
        <v>120.128</v>
      </c>
      <c r="D6" s="130">
        <f>'Peer Comp.'!D3</f>
        <v>1495</v>
      </c>
      <c r="E6" s="130">
        <f>C6*D6</f>
        <v>179591.36</v>
      </c>
      <c r="F6" s="130">
        <f>'Peer Comp.'!F3</f>
        <v>48898.45</v>
      </c>
      <c r="G6" s="130">
        <f>'Peer Comp.'!L3</f>
        <v>3947.34</v>
      </c>
      <c r="H6" s="130">
        <f>E6+F6-G6</f>
        <v>224542.47</v>
      </c>
      <c r="I6" s="169"/>
      <c r="J6" s="130">
        <f>'Peer Comp.'!J3</f>
        <v>27203</v>
      </c>
      <c r="K6" s="130">
        <f>'Peer Comp.'!K3</f>
        <v>9821</v>
      </c>
      <c r="L6" s="130">
        <f>'Peer Comp.'!H3</f>
        <v>2282.54</v>
      </c>
      <c r="M6" s="130">
        <f>'Peer Comp.'!I3</f>
        <v>19.010000000000002</v>
      </c>
      <c r="N6" s="169"/>
      <c r="O6" s="130">
        <f>H6/J6</f>
        <v>8.2543274638826603</v>
      </c>
      <c r="P6" s="130">
        <f>H6/K6</f>
        <v>22.863503716525813</v>
      </c>
      <c r="Q6" s="130">
        <f>D6/M6</f>
        <v>78.642819568648079</v>
      </c>
    </row>
    <row r="7" spans="2:17" x14ac:dyDescent="0.3">
      <c r="B7" s="212" t="s">
        <v>12</v>
      </c>
      <c r="C7" s="130">
        <f>'Peer Comp.'!E4</f>
        <v>319.5</v>
      </c>
      <c r="D7" s="130">
        <f>'Peer Comp.'!D4</f>
        <v>412.2</v>
      </c>
      <c r="E7" s="130">
        <f>C7*D7</f>
        <v>131697.9</v>
      </c>
      <c r="F7" s="130">
        <f>'Peer Comp.'!F4</f>
        <v>35000</v>
      </c>
      <c r="G7" s="130">
        <f>'Peer Comp.'!L4</f>
        <v>13644</v>
      </c>
      <c r="H7" s="130">
        <f>E7+F7-G7</f>
        <v>153053.9</v>
      </c>
      <c r="I7" s="169"/>
      <c r="J7" s="130">
        <f>'Peer Comp.'!J4</f>
        <v>60000</v>
      </c>
      <c r="K7" s="130">
        <f>'Peer Comp.'!K4</f>
        <v>12500</v>
      </c>
      <c r="L7" s="130">
        <f>'Peer Comp.'!H4</f>
        <v>4800</v>
      </c>
      <c r="M7" s="130">
        <f>'Peer Comp.'!I4</f>
        <v>15.02</v>
      </c>
      <c r="N7" s="169"/>
      <c r="O7" s="130">
        <f>H7/J7</f>
        <v>2.550898333333333</v>
      </c>
      <c r="P7" s="130">
        <f>H7/K7</f>
        <v>12.244311999999999</v>
      </c>
      <c r="Q7" s="130">
        <f>D7/M7</f>
        <v>27.443408788282291</v>
      </c>
    </row>
    <row r="8" spans="2:17" x14ac:dyDescent="0.3">
      <c r="B8" s="212" t="s">
        <v>13</v>
      </c>
      <c r="C8" s="130">
        <f>'Peer Comp.'!E5</f>
        <v>50.4</v>
      </c>
      <c r="D8" s="130">
        <f>'Peer Comp.'!D5</f>
        <v>1304</v>
      </c>
      <c r="E8" s="130">
        <f>C8*D8</f>
        <v>65721.599999999991</v>
      </c>
      <c r="F8" s="130">
        <f>'Peer Comp.'!F5</f>
        <v>14000</v>
      </c>
      <c r="G8" s="130">
        <f>'Peer Comp.'!L5</f>
        <v>831</v>
      </c>
      <c r="H8" s="130">
        <f>E8+F8-G8</f>
        <v>78890.599999999991</v>
      </c>
      <c r="I8" s="169"/>
      <c r="J8" s="130">
        <f>'Peer Comp.'!J5</f>
        <v>22000</v>
      </c>
      <c r="K8" s="130">
        <f>'Peer Comp.'!K5</f>
        <v>6800</v>
      </c>
      <c r="L8" s="130">
        <f>'Peer Comp.'!H5</f>
        <v>2800</v>
      </c>
      <c r="M8" s="130">
        <f>'Peer Comp.'!I5</f>
        <v>55.56</v>
      </c>
      <c r="N8" s="169"/>
      <c r="O8" s="130">
        <f>H8/J8</f>
        <v>3.585936363636363</v>
      </c>
      <c r="P8" s="130">
        <f>H8/K8</f>
        <v>11.601558823529411</v>
      </c>
      <c r="Q8" s="130">
        <f>D8/M8</f>
        <v>23.470122390208783</v>
      </c>
    </row>
    <row r="9" spans="2:17" x14ac:dyDescent="0.3">
      <c r="B9" s="212" t="s">
        <v>14</v>
      </c>
      <c r="C9" s="130">
        <f>'Peer Comp.'!E6</f>
        <v>967.7</v>
      </c>
      <c r="D9" s="130">
        <f>'Peer Comp.'!D6</f>
        <v>279</v>
      </c>
      <c r="E9" s="130">
        <f>C9*D9</f>
        <v>269988.3</v>
      </c>
      <c r="F9" s="130">
        <f>'Peer Comp.'!F6</f>
        <v>95000</v>
      </c>
      <c r="G9" s="130">
        <f>'Peer Comp.'!L6</f>
        <v>8920</v>
      </c>
      <c r="H9" s="130">
        <f>E9+F9-G9</f>
        <v>356068.3</v>
      </c>
      <c r="I9" s="169"/>
      <c r="J9" s="130">
        <f>'Peer Comp.'!J6</f>
        <v>47000</v>
      </c>
      <c r="K9" s="130">
        <f>'Peer Comp.'!K6</f>
        <v>35000</v>
      </c>
      <c r="L9" s="130">
        <f>'Peer Comp.'!H6</f>
        <v>16000</v>
      </c>
      <c r="M9" s="130">
        <f>'Peer Comp.'!I6</f>
        <v>16.53</v>
      </c>
      <c r="N9" s="169"/>
      <c r="O9" s="130">
        <f>H9/J9</f>
        <v>7.5759212765957447</v>
      </c>
      <c r="P9" s="130">
        <f>H9/K9</f>
        <v>10.17338</v>
      </c>
      <c r="Q9" s="130">
        <f>D9/M9</f>
        <v>16.878402903811253</v>
      </c>
    </row>
    <row r="10" spans="2:17" x14ac:dyDescent="0.3">
      <c r="B10" s="212" t="s">
        <v>15</v>
      </c>
      <c r="C10" s="130">
        <f>'Peer Comp.'!E7</f>
        <v>132.6</v>
      </c>
      <c r="D10" s="130">
        <f>'Peer Comp.'!D7</f>
        <v>182.25</v>
      </c>
      <c r="E10" s="130">
        <f>C10*D10</f>
        <v>24166.35</v>
      </c>
      <c r="F10" s="130">
        <f>'Peer Comp.'!F7</f>
        <v>8000</v>
      </c>
      <c r="G10" s="130">
        <f>'Peer Comp.'!L7</f>
        <v>0</v>
      </c>
      <c r="H10" s="130">
        <f>E10+F10-G10</f>
        <v>32166.35</v>
      </c>
      <c r="I10" s="169"/>
      <c r="J10" s="130">
        <f>'Peer Comp.'!J7</f>
        <v>17500</v>
      </c>
      <c r="K10" s="130">
        <f>'Peer Comp.'!K7</f>
        <v>4200</v>
      </c>
      <c r="L10" s="130">
        <f>'Peer Comp.'!H7</f>
        <v>1600</v>
      </c>
      <c r="M10" s="130">
        <f>'Peer Comp.'!I7</f>
        <v>12.07</v>
      </c>
      <c r="N10" s="169"/>
      <c r="O10" s="130">
        <f>H10/J10</f>
        <v>1.8380771428571427</v>
      </c>
      <c r="P10" s="130">
        <f>H10/K10</f>
        <v>7.6586547619047618</v>
      </c>
      <c r="Q10" s="130">
        <f>D10/M10</f>
        <v>15.099420049710025</v>
      </c>
    </row>
    <row r="12" spans="2:17" ht="18" x14ac:dyDescent="0.4">
      <c r="B12" s="208" t="s">
        <v>589</v>
      </c>
      <c r="C12" s="209" t="s">
        <v>586</v>
      </c>
      <c r="D12" s="209" t="s">
        <v>587</v>
      </c>
      <c r="E12" s="209" t="s">
        <v>588</v>
      </c>
      <c r="K12" s="213" t="s">
        <v>16</v>
      </c>
      <c r="L12" s="130"/>
      <c r="M12" s="130">
        <f>IFERROR(AVERAGE(O7:O10),0)</f>
        <v>3.8877082791056461</v>
      </c>
      <c r="N12" s="130">
        <f>IFERROR(AVERAGE(P7:P10),0)</f>
        <v>10.419476396358544</v>
      </c>
      <c r="O12" s="130">
        <f>IFERROR(AVERAGE(Q7:Q10),0)</f>
        <v>20.722838533003085</v>
      </c>
    </row>
    <row r="13" spans="2:17" x14ac:dyDescent="0.3">
      <c r="B13" s="130"/>
      <c r="C13" s="130" t="s">
        <v>590</v>
      </c>
      <c r="D13" s="130" t="s">
        <v>590</v>
      </c>
      <c r="E13" s="130" t="s">
        <v>590</v>
      </c>
      <c r="K13" s="213" t="s">
        <v>591</v>
      </c>
      <c r="L13" s="130"/>
      <c r="M13" s="130">
        <f>IFERROR(MEDIAN(O7:O10),0)</f>
        <v>3.0684173484848483</v>
      </c>
      <c r="N13" s="130">
        <f>IFERROR(MEDIAN(P7:P10),0)</f>
        <v>10.887469411764705</v>
      </c>
      <c r="O13" s="130">
        <f>IFERROR(MEDIAN(Q7:Q10),0)</f>
        <v>20.174262647010018</v>
      </c>
    </row>
    <row r="14" spans="2:17" x14ac:dyDescent="0.3">
      <c r="B14" s="212" t="s">
        <v>592</v>
      </c>
      <c r="C14" s="130">
        <f>$M$13*J6</f>
        <v>83470.157130833322</v>
      </c>
      <c r="D14" s="130">
        <f>$N$13*K6</f>
        <v>106925.83709294118</v>
      </c>
      <c r="E14" s="214">
        <f>O13*L6</f>
        <v>46048.561462306243</v>
      </c>
      <c r="K14" s="213"/>
      <c r="L14" s="130"/>
      <c r="M14" s="130"/>
      <c r="N14" s="130"/>
      <c r="O14" s="130"/>
    </row>
    <row r="15" spans="2:17" x14ac:dyDescent="0.3">
      <c r="B15" s="212" t="s">
        <v>302</v>
      </c>
      <c r="C15" s="130">
        <f>F6-G6</f>
        <v>44951.11</v>
      </c>
      <c r="D15" s="130">
        <f>C15</f>
        <v>44951.11</v>
      </c>
      <c r="E15" s="130">
        <v>0</v>
      </c>
      <c r="K15" s="213" t="s">
        <v>593</v>
      </c>
      <c r="L15" s="130"/>
      <c r="M15" s="130">
        <f>IFERROR(MAX(O7:O10),0)</f>
        <v>7.5759212765957447</v>
      </c>
      <c r="N15" s="130">
        <f>IFERROR(MAX(P7:P10),0)</f>
        <v>12.244311999999999</v>
      </c>
      <c r="O15" s="130">
        <f>IFERROR(MAX(Q7:Q10),0)</f>
        <v>27.443408788282291</v>
      </c>
    </row>
    <row r="16" spans="2:17" x14ac:dyDescent="0.3">
      <c r="B16" s="212" t="s">
        <v>594</v>
      </c>
      <c r="C16" s="130">
        <f>C14-C15</f>
        <v>38519.047130833322</v>
      </c>
      <c r="D16" s="130">
        <f>D14-D15</f>
        <v>61974.727092941175</v>
      </c>
      <c r="E16" s="214">
        <f>E14-E15</f>
        <v>46048.561462306243</v>
      </c>
      <c r="K16" s="213" t="s">
        <v>595</v>
      </c>
      <c r="L16" s="130"/>
      <c r="M16" s="130">
        <f>IFERROR(QUARTILE(O7:O10,3),0)</f>
        <v>4.5834325918762087</v>
      </c>
      <c r="N16" s="130">
        <f>IFERROR(QUARTILE(P7:P10,3),0)</f>
        <v>11.762247117647057</v>
      </c>
      <c r="O16" s="130">
        <f>IFERROR(QUARTILE(Q7:Q10,3),0)</f>
        <v>24.46344398972716</v>
      </c>
    </row>
    <row r="17" spans="2:15" x14ac:dyDescent="0.3">
      <c r="B17" s="212" t="s">
        <v>596</v>
      </c>
      <c r="C17" s="130">
        <f>C6</f>
        <v>120.128</v>
      </c>
      <c r="D17" s="130">
        <f>C17</f>
        <v>120.128</v>
      </c>
      <c r="E17" s="130">
        <f>D17</f>
        <v>120.128</v>
      </c>
      <c r="K17" s="213"/>
      <c r="L17" s="130"/>
      <c r="M17" s="130"/>
      <c r="N17" s="130"/>
      <c r="O17" s="130"/>
    </row>
    <row r="18" spans="2:15" x14ac:dyDescent="0.3">
      <c r="B18" s="212" t="s">
        <v>597</v>
      </c>
      <c r="C18" s="130">
        <f>C16/C17</f>
        <v>320.65003272204086</v>
      </c>
      <c r="D18" s="130">
        <f>D16/D17</f>
        <v>515.9057596309035</v>
      </c>
      <c r="E18" s="130">
        <f>E16/E17</f>
        <v>383.32912778291688</v>
      </c>
      <c r="K18" s="213" t="s">
        <v>598</v>
      </c>
      <c r="L18" s="130"/>
      <c r="M18" s="130">
        <f>IFERROR(QUARTILE(O7:O10,1),0)</f>
        <v>2.3726930357142857</v>
      </c>
      <c r="N18" s="130">
        <f>IFERROR(QUARTILE(P7:P10,1),0)</f>
        <v>9.5446986904761904</v>
      </c>
      <c r="O18" s="130">
        <f>IFERROR(QUARTILE(Q7:Q10,1),0)</f>
        <v>16.433657190285945</v>
      </c>
    </row>
    <row r="19" spans="2:15" x14ac:dyDescent="0.3">
      <c r="K19" s="213" t="s">
        <v>599</v>
      </c>
      <c r="L19" s="130"/>
      <c r="M19" s="130">
        <f>IFERROR(MIN(O7:O10),0)</f>
        <v>1.8380771428571427</v>
      </c>
      <c r="N19" s="130">
        <f>IFERROR(MIN(P7:P10),0)</f>
        <v>7.6586547619047618</v>
      </c>
      <c r="O19" s="130">
        <f>IFERROR(MIN(Q7:Q10),0)</f>
        <v>15.099420049710025</v>
      </c>
    </row>
  </sheetData>
  <mergeCells count="5">
    <mergeCell ref="B3:Q3"/>
    <mergeCell ref="C4:H4"/>
    <mergeCell ref="J4:M4"/>
    <mergeCell ref="O4:Q4"/>
    <mergeCell ref="B1:Q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27"/>
  <sheetViews>
    <sheetView showGridLines="0" zoomScale="73" zoomScaleNormal="73" workbookViewId="0">
      <selection activeCell="F21" sqref="F21"/>
    </sheetView>
  </sheetViews>
  <sheetFormatPr defaultRowHeight="14" x14ac:dyDescent="0.3"/>
  <cols>
    <col min="1" max="1" width="3.90625" style="15" customWidth="1"/>
    <col min="2" max="2" width="27.6328125" style="15" bestFit="1" customWidth="1"/>
    <col min="3" max="3" width="10.7265625" style="15" bestFit="1" customWidth="1"/>
    <col min="4" max="16384" width="8.7265625" style="15"/>
  </cols>
  <sheetData>
    <row r="2" spans="2:7" ht="28.5" customHeight="1" x14ac:dyDescent="0.3">
      <c r="B2" s="297" t="s">
        <v>449</v>
      </c>
      <c r="C2" s="297"/>
      <c r="D2" s="297"/>
      <c r="E2" s="297"/>
      <c r="F2" s="297"/>
      <c r="G2" s="297"/>
    </row>
    <row r="4" spans="2:7" ht="14.5" thickBot="1" x14ac:dyDescent="0.35">
      <c r="B4" s="215" t="s">
        <v>450</v>
      </c>
      <c r="C4" s="216" t="s">
        <v>451</v>
      </c>
      <c r="D4" s="216" t="s">
        <v>452</v>
      </c>
      <c r="E4" s="216" t="s">
        <v>453</v>
      </c>
      <c r="F4" s="216" t="s">
        <v>454</v>
      </c>
      <c r="G4" s="216" t="s">
        <v>455</v>
      </c>
    </row>
    <row r="5" spans="2:7" x14ac:dyDescent="0.3">
      <c r="B5" s="217">
        <v>2022</v>
      </c>
      <c r="C5" s="218">
        <f>'Historical FS'!C5</f>
        <v>10960.21</v>
      </c>
      <c r="D5" s="219"/>
      <c r="E5" s="219">
        <v>1</v>
      </c>
      <c r="F5" s="220">
        <f>LN(C5)</f>
        <v>9.3020267209023864</v>
      </c>
      <c r="G5" s="219"/>
    </row>
    <row r="6" spans="2:7" x14ac:dyDescent="0.3">
      <c r="B6" s="221">
        <v>2023</v>
      </c>
      <c r="C6" s="191">
        <f>'Historical FS'!D5</f>
        <v>12995.12</v>
      </c>
      <c r="D6" s="222">
        <f>C6/C5-1</f>
        <v>0.1856634133835029</v>
      </c>
      <c r="E6" s="130">
        <v>2</v>
      </c>
      <c r="F6" s="223">
        <f>LN(C6)</f>
        <v>9.4723291813538477</v>
      </c>
      <c r="G6" s="223">
        <f>C6/C5</f>
        <v>1.1856634133835029</v>
      </c>
    </row>
    <row r="7" spans="2:7" x14ac:dyDescent="0.3">
      <c r="B7" s="221">
        <v>2024</v>
      </c>
      <c r="C7" s="191">
        <f>'Historical FS'!E5</f>
        <v>16355.01</v>
      </c>
      <c r="D7" s="222">
        <f>C7/C6-1</f>
        <v>0.25855013266518512</v>
      </c>
      <c r="E7" s="130">
        <v>3</v>
      </c>
      <c r="F7" s="223">
        <f>LN(C7)</f>
        <v>9.7022895514061105</v>
      </c>
      <c r="G7" s="223">
        <f>C7/C6</f>
        <v>1.2585501326651851</v>
      </c>
    </row>
    <row r="8" spans="2:7" x14ac:dyDescent="0.3">
      <c r="B8" s="221">
        <v>2025</v>
      </c>
      <c r="C8" s="191">
        <f>'Historical FS'!F5</f>
        <v>23546.15</v>
      </c>
      <c r="D8" s="222">
        <f>C8/C7-1</f>
        <v>0.43969034564943721</v>
      </c>
      <c r="E8" s="130">
        <v>4</v>
      </c>
      <c r="F8" s="223">
        <f>LN(C8)</f>
        <v>10.066717604126643</v>
      </c>
      <c r="G8" s="223">
        <f>C8/C7</f>
        <v>1.4396903456494372</v>
      </c>
    </row>
    <row r="9" spans="2:7" x14ac:dyDescent="0.3">
      <c r="B9" s="221">
        <v>2026</v>
      </c>
      <c r="C9" s="191">
        <f>'Historical FS'!G5</f>
        <v>27202.63</v>
      </c>
      <c r="D9" s="222">
        <f>C9/C8-1</f>
        <v>0.15528993062560126</v>
      </c>
      <c r="E9" s="130">
        <v>5</v>
      </c>
      <c r="F9" s="223">
        <f>LN(C9)</f>
        <v>10.211068938786269</v>
      </c>
      <c r="G9" s="223">
        <f>C9/C8</f>
        <v>1.1552899306256013</v>
      </c>
    </row>
    <row r="11" spans="2:7" ht="15.5" x14ac:dyDescent="0.35">
      <c r="B11" s="224" t="s">
        <v>456</v>
      </c>
      <c r="C11" s="224" t="s">
        <v>457</v>
      </c>
    </row>
    <row r="12" spans="2:7" x14ac:dyDescent="0.3">
      <c r="B12" s="130" t="s">
        <v>458</v>
      </c>
      <c r="C12" s="222">
        <f>AVERAGE(D6:D9)</f>
        <v>0.25979845558093162</v>
      </c>
    </row>
    <row r="13" spans="2:7" x14ac:dyDescent="0.3">
      <c r="B13" s="130" t="s">
        <v>459</v>
      </c>
      <c r="C13" s="222">
        <f>(C9/C5)^(1/(E9-E5))-1</f>
        <v>0.25515686207072008</v>
      </c>
    </row>
    <row r="14" spans="2:7" x14ac:dyDescent="0.3">
      <c r="B14" s="130" t="s">
        <v>460</v>
      </c>
      <c r="C14" s="222">
        <f>EXP(SLOPE(F5:F9,E5:E9))-1</f>
        <v>0.27283575066997434</v>
      </c>
    </row>
    <row r="15" spans="2:7" x14ac:dyDescent="0.3">
      <c r="B15" s="130" t="s">
        <v>461</v>
      </c>
      <c r="C15" s="222">
        <f>GEOMEAN(G6:G9)-1</f>
        <v>0.25515686207072008</v>
      </c>
    </row>
    <row r="17" spans="2:7" x14ac:dyDescent="0.3">
      <c r="B17" s="201" t="s">
        <v>462</v>
      </c>
      <c r="C17" s="201"/>
    </row>
    <row r="18" spans="2:7" x14ac:dyDescent="0.3">
      <c r="B18" s="130" t="s">
        <v>463</v>
      </c>
      <c r="C18" s="225" t="s">
        <v>464</v>
      </c>
    </row>
    <row r="19" spans="2:7" x14ac:dyDescent="0.3">
      <c r="B19" s="130" t="s">
        <v>465</v>
      </c>
      <c r="C19" s="225" t="s">
        <v>466</v>
      </c>
    </row>
    <row r="20" spans="2:7" x14ac:dyDescent="0.3">
      <c r="B20" s="130" t="s">
        <v>467</v>
      </c>
      <c r="C20" s="225" t="s">
        <v>600</v>
      </c>
    </row>
    <row r="21" spans="2:7" x14ac:dyDescent="0.3">
      <c r="B21" s="130" t="s">
        <v>296</v>
      </c>
      <c r="C21" s="191">
        <f>'Consolidated Profit &amp; Loss'!G39</f>
        <v>19</v>
      </c>
    </row>
    <row r="22" spans="2:7" x14ac:dyDescent="0.3">
      <c r="B22" s="130" t="s">
        <v>468</v>
      </c>
      <c r="C22" s="203">
        <v>0</v>
      </c>
    </row>
    <row r="23" spans="2:7" x14ac:dyDescent="0.3">
      <c r="B23" s="130" t="s">
        <v>463</v>
      </c>
      <c r="C23" s="222">
        <f>1-C22</f>
        <v>1</v>
      </c>
    </row>
    <row r="24" spans="2:7" x14ac:dyDescent="0.3">
      <c r="B24" s="130" t="s">
        <v>469</v>
      </c>
      <c r="C24" s="199">
        <f>AVERAGE('Ratio Analysis'!C33:G33)</f>
        <v>9.3014643672454267E-2</v>
      </c>
    </row>
    <row r="25" spans="2:7" ht="14.5" thickBot="1" x14ac:dyDescent="0.35">
      <c r="B25" s="226" t="s">
        <v>470</v>
      </c>
      <c r="C25" s="227">
        <f>C23*C24</f>
        <v>9.3014643672454267E-2</v>
      </c>
    </row>
    <row r="27" spans="2:7" ht="45" customHeight="1" x14ac:dyDescent="0.3">
      <c r="B27" s="316"/>
      <c r="C27" s="243"/>
      <c r="D27" s="243"/>
      <c r="E27" s="243"/>
      <c r="F27" s="243"/>
      <c r="G27" s="243"/>
    </row>
  </sheetData>
  <mergeCells count="2">
    <mergeCell ref="B27:G27"/>
    <mergeCell ref="B2:G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O26"/>
  <sheetViews>
    <sheetView showGridLines="0" zoomScale="56" zoomScaleNormal="100" workbookViewId="0">
      <selection activeCell="I30" sqref="I30"/>
    </sheetView>
  </sheetViews>
  <sheetFormatPr defaultColWidth="8.6328125" defaultRowHeight="14" x14ac:dyDescent="0.3"/>
  <cols>
    <col min="1" max="1" width="2.453125" style="15" customWidth="1"/>
    <col min="2" max="2" width="31" style="15" customWidth="1"/>
    <col min="3" max="3" width="11.26953125" style="15" bestFit="1" customWidth="1"/>
    <col min="4" max="13" width="11.08984375" style="15" customWidth="1"/>
    <col min="14" max="14" width="25.90625" style="15" customWidth="1"/>
    <col min="15" max="15" width="26.90625" style="15" customWidth="1"/>
    <col min="16" max="16384" width="8.6328125" style="15"/>
  </cols>
  <sheetData>
    <row r="1" spans="2:15" ht="39.5" customHeight="1" x14ac:dyDescent="0.3">
      <c r="B1" s="353" t="s">
        <v>507</v>
      </c>
      <c r="C1" s="353"/>
      <c r="D1" s="353"/>
      <c r="E1" s="353"/>
      <c r="F1" s="353"/>
      <c r="G1" s="353"/>
      <c r="H1" s="353"/>
      <c r="I1" s="353"/>
      <c r="J1" s="353"/>
      <c r="K1" s="353"/>
      <c r="L1" s="353"/>
      <c r="M1" s="353"/>
    </row>
    <row r="2" spans="2:15" ht="13.5" customHeight="1" x14ac:dyDescent="0.3">
      <c r="B2" s="228"/>
    </row>
    <row r="3" spans="2:15" ht="13.5" customHeight="1" thickBot="1" x14ac:dyDescent="0.35">
      <c r="B3" s="228"/>
    </row>
    <row r="4" spans="2:15" ht="15" customHeight="1" x14ac:dyDescent="0.3">
      <c r="B4" s="73" t="s">
        <v>508</v>
      </c>
    </row>
    <row r="5" spans="2:15" ht="15" customHeight="1" x14ac:dyDescent="0.3">
      <c r="B5" s="74" t="s">
        <v>509</v>
      </c>
      <c r="C5" s="70" t="s">
        <v>510</v>
      </c>
      <c r="D5" s="65" t="s">
        <v>511</v>
      </c>
      <c r="E5" s="65" t="s">
        <v>512</v>
      </c>
      <c r="F5" s="65" t="s">
        <v>513</v>
      </c>
      <c r="G5" s="65" t="s">
        <v>514</v>
      </c>
      <c r="H5" s="65" t="s">
        <v>515</v>
      </c>
      <c r="I5" s="65" t="s">
        <v>516</v>
      </c>
      <c r="J5" s="65" t="s">
        <v>517</v>
      </c>
      <c r="K5" s="65" t="s">
        <v>518</v>
      </c>
      <c r="L5" s="65" t="s">
        <v>519</v>
      </c>
      <c r="M5" s="65" t="s">
        <v>520</v>
      </c>
      <c r="N5" s="63" t="s">
        <v>521</v>
      </c>
      <c r="O5" s="57">
        <f>Assumption!I5</f>
        <v>0.21507168223246764</v>
      </c>
    </row>
    <row r="6" spans="2:15" ht="15" customHeight="1" x14ac:dyDescent="0.3">
      <c r="B6" s="74" t="s">
        <v>522</v>
      </c>
      <c r="C6" s="71">
        <f>'Consolidated Profit &amp; Loss'!G11</f>
        <v>27588.03</v>
      </c>
      <c r="D6" s="66">
        <f t="shared" ref="D6:M6" si="0">C6*(1+D7)</f>
        <v>33521.434021579786</v>
      </c>
      <c r="E6" s="66">
        <f t="shared" si="0"/>
        <v>40185.023785735888</v>
      </c>
      <c r="F6" s="66">
        <f t="shared" si="0"/>
        <v>47518.798554813162</v>
      </c>
      <c r="G6" s="66">
        <f t="shared" si="0"/>
        <v>55417.109750381009</v>
      </c>
      <c r="H6" s="66">
        <f t="shared" si="0"/>
        <v>63725.725657490235</v>
      </c>
      <c r="I6" s="66">
        <f t="shared" si="0"/>
        <v>72242.220892185243</v>
      </c>
      <c r="J6" s="66">
        <f t="shared" si="0"/>
        <v>80720.367638092299</v>
      </c>
      <c r="K6" s="66">
        <f t="shared" si="0"/>
        <v>88878.895060221272</v>
      </c>
      <c r="L6" s="66">
        <f t="shared" si="0"/>
        <v>96414.558167839728</v>
      </c>
      <c r="M6" s="66">
        <f t="shared" si="0"/>
        <v>103018.95540233675</v>
      </c>
      <c r="N6" s="64" t="s">
        <v>21</v>
      </c>
      <c r="O6" s="57">
        <f>Wacc!C7</f>
        <v>6.8500000000000005E-2</v>
      </c>
    </row>
    <row r="7" spans="2:15" ht="15.75" customHeight="1" thickBot="1" x14ac:dyDescent="0.35">
      <c r="B7" s="75" t="s">
        <v>523</v>
      </c>
      <c r="C7" s="112"/>
      <c r="D7" s="67">
        <f>O5</f>
        <v>0.21507168223246764</v>
      </c>
      <c r="E7" s="67">
        <f t="shared" ref="E7:M7" si="1">D7-$O$8</f>
        <v>0.19878593976219347</v>
      </c>
      <c r="F7" s="67">
        <f t="shared" si="1"/>
        <v>0.1825001972919193</v>
      </c>
      <c r="G7" s="67">
        <f t="shared" si="1"/>
        <v>0.16621445482164512</v>
      </c>
      <c r="H7" s="67">
        <f t="shared" si="1"/>
        <v>0.14992871235137095</v>
      </c>
      <c r="I7" s="67">
        <f t="shared" si="1"/>
        <v>0.13364296988109678</v>
      </c>
      <c r="J7" s="67">
        <f t="shared" si="1"/>
        <v>0.11735722741082259</v>
      </c>
      <c r="K7" s="67">
        <f t="shared" si="1"/>
        <v>0.10107148494054841</v>
      </c>
      <c r="L7" s="67">
        <f t="shared" si="1"/>
        <v>8.478574247027422E-2</v>
      </c>
      <c r="M7" s="67">
        <f t="shared" si="1"/>
        <v>6.8500000000000033E-2</v>
      </c>
      <c r="N7" s="229"/>
      <c r="O7" s="58">
        <f>O5-O6</f>
        <v>0.14657168223246764</v>
      </c>
    </row>
    <row r="8" spans="2:15" ht="15.75" customHeight="1" thickBot="1" x14ac:dyDescent="0.35">
      <c r="B8" s="228"/>
      <c r="N8" s="59" t="s">
        <v>524</v>
      </c>
      <c r="O8" s="60">
        <f>O7/9</f>
        <v>1.6285742470274183E-2</v>
      </c>
    </row>
    <row r="9" spans="2:15" ht="15" customHeight="1" x14ac:dyDescent="0.3">
      <c r="B9" s="73" t="s">
        <v>525</v>
      </c>
    </row>
    <row r="10" spans="2:15" ht="15" customHeight="1" x14ac:dyDescent="0.3">
      <c r="B10" s="74" t="s">
        <v>509</v>
      </c>
      <c r="C10" s="70" t="s">
        <v>510</v>
      </c>
      <c r="D10" s="65" t="s">
        <v>511</v>
      </c>
      <c r="E10" s="65" t="s">
        <v>512</v>
      </c>
      <c r="F10" s="65" t="s">
        <v>513</v>
      </c>
      <c r="G10" s="65" t="s">
        <v>514</v>
      </c>
      <c r="H10" s="65" t="s">
        <v>515</v>
      </c>
      <c r="I10" s="65" t="s">
        <v>516</v>
      </c>
      <c r="J10" s="65" t="s">
        <v>517</v>
      </c>
      <c r="K10" s="65" t="s">
        <v>518</v>
      </c>
      <c r="L10" s="65" t="s">
        <v>519</v>
      </c>
      <c r="M10" s="65" t="s">
        <v>520</v>
      </c>
      <c r="N10" s="63" t="s">
        <v>521</v>
      </c>
      <c r="O10" s="57">
        <f>Assumption!C24</f>
        <v>0.25550681368638817</v>
      </c>
    </row>
    <row r="11" spans="2:15" ht="15" customHeight="1" x14ac:dyDescent="0.3">
      <c r="B11" s="74" t="s">
        <v>522</v>
      </c>
      <c r="C11" s="71">
        <f>C6</f>
        <v>27588.03</v>
      </c>
      <c r="D11" s="66">
        <f t="shared" ref="D11:M11" si="2">C11*(1+D12)</f>
        <v>34636.959641184483</v>
      </c>
      <c r="E11" s="66">
        <f t="shared" si="2"/>
        <v>42767.233561745117</v>
      </c>
      <c r="F11" s="66">
        <f t="shared" si="2"/>
        <v>51917.272232940733</v>
      </c>
      <c r="G11" s="66">
        <f t="shared" si="2"/>
        <v>61946.194484611202</v>
      </c>
      <c r="H11" s="66">
        <f t="shared" si="2"/>
        <v>72625.264612676197</v>
      </c>
      <c r="I11" s="66">
        <f t="shared" si="2"/>
        <v>83636.281606798904</v>
      </c>
      <c r="J11" s="66">
        <f t="shared" si="2"/>
        <v>94578.885074152946</v>
      </c>
      <c r="K11" s="66">
        <f t="shared" si="2"/>
        <v>104987.96002167207</v>
      </c>
      <c r="L11" s="66">
        <f t="shared" si="2"/>
        <v>114361.13126972179</v>
      </c>
      <c r="M11" s="66">
        <f t="shared" si="2"/>
        <v>122194.86876169774</v>
      </c>
      <c r="N11" s="64" t="s">
        <v>21</v>
      </c>
      <c r="O11" s="57">
        <f>Wacc!C7</f>
        <v>6.8500000000000005E-2</v>
      </c>
    </row>
    <row r="12" spans="2:15" ht="15.75" customHeight="1" thickBot="1" x14ac:dyDescent="0.35">
      <c r="B12" s="75" t="s">
        <v>523</v>
      </c>
      <c r="C12" s="112"/>
      <c r="D12" s="68">
        <f>O10</f>
        <v>0.25550681368638817</v>
      </c>
      <c r="E12" s="68">
        <f t="shared" ref="E12:M12" si="3">D12-$O$13</f>
        <v>0.23472827883234504</v>
      </c>
      <c r="F12" s="68">
        <f t="shared" si="3"/>
        <v>0.21394974397830191</v>
      </c>
      <c r="G12" s="68">
        <f t="shared" si="3"/>
        <v>0.19317120912425878</v>
      </c>
      <c r="H12" s="68">
        <f t="shared" si="3"/>
        <v>0.17239267427021565</v>
      </c>
      <c r="I12" s="68">
        <f t="shared" si="3"/>
        <v>0.15161413941617252</v>
      </c>
      <c r="J12" s="68">
        <f t="shared" si="3"/>
        <v>0.13083560456212939</v>
      </c>
      <c r="K12" s="68">
        <f t="shared" si="3"/>
        <v>0.11005706970808626</v>
      </c>
      <c r="L12" s="68">
        <f t="shared" si="3"/>
        <v>8.9278534854043134E-2</v>
      </c>
      <c r="M12" s="68">
        <f t="shared" si="3"/>
        <v>6.8500000000000005E-2</v>
      </c>
      <c r="N12" s="229"/>
      <c r="O12" s="57">
        <f>O10-O11</f>
        <v>0.18700681368638816</v>
      </c>
    </row>
    <row r="13" spans="2:15" ht="15.75" customHeight="1" thickBot="1" x14ac:dyDescent="0.35">
      <c r="B13" s="228"/>
      <c r="N13" s="61" t="s">
        <v>524</v>
      </c>
      <c r="O13" s="60">
        <f>O12/9</f>
        <v>2.0778534854043129E-2</v>
      </c>
    </row>
    <row r="14" spans="2:15" ht="15" customHeight="1" x14ac:dyDescent="0.3">
      <c r="B14" s="73" t="s">
        <v>526</v>
      </c>
    </row>
    <row r="15" spans="2:15" ht="15" customHeight="1" x14ac:dyDescent="0.3">
      <c r="B15" s="74" t="s">
        <v>509</v>
      </c>
      <c r="C15" s="70" t="s">
        <v>510</v>
      </c>
      <c r="D15" s="65" t="s">
        <v>511</v>
      </c>
      <c r="E15" s="65" t="s">
        <v>512</v>
      </c>
      <c r="F15" s="65" t="s">
        <v>513</v>
      </c>
      <c r="G15" s="65" t="s">
        <v>514</v>
      </c>
      <c r="H15" s="65" t="s">
        <v>515</v>
      </c>
      <c r="I15" s="65" t="s">
        <v>516</v>
      </c>
      <c r="J15" s="65" t="s">
        <v>517</v>
      </c>
      <c r="K15" s="65" t="s">
        <v>518</v>
      </c>
      <c r="L15" s="65" t="s">
        <v>519</v>
      </c>
      <c r="M15" s="65" t="s">
        <v>520</v>
      </c>
      <c r="N15" s="63" t="s">
        <v>521</v>
      </c>
      <c r="O15" s="57">
        <f>Assumption!C47</f>
        <v>3.0537192911520065E-2</v>
      </c>
    </row>
    <row r="16" spans="2:15" ht="15" customHeight="1" x14ac:dyDescent="0.3">
      <c r="B16" s="74" t="s">
        <v>522</v>
      </c>
      <c r="C16" s="71">
        <f>C11</f>
        <v>27588.03</v>
      </c>
      <c r="D16" s="66">
        <f t="shared" ref="D16:M16" si="4">C16*(1+D17)</f>
        <v>28430.490994158805</v>
      </c>
      <c r="E16" s="66">
        <f t="shared" si="4"/>
        <v>29178.756021656442</v>
      </c>
      <c r="F16" s="66">
        <f t="shared" si="4"/>
        <v>29823.636104111949</v>
      </c>
      <c r="G16" s="66">
        <f t="shared" si="4"/>
        <v>30356.969918447052</v>
      </c>
      <c r="H16" s="66">
        <f t="shared" si="4"/>
        <v>30771.792879364861</v>
      </c>
      <c r="I16" s="66">
        <f t="shared" si="4"/>
        <v>31062.48614539648</v>
      </c>
      <c r="J16" s="66">
        <f t="shared" si="4"/>
        <v>31224.901164312363</v>
      </c>
      <c r="K16" s="66">
        <f t="shared" si="4"/>
        <v>31256.455962054173</v>
      </c>
      <c r="L16" s="66">
        <f t="shared" si="4"/>
        <v>31156.20011375827</v>
      </c>
      <c r="M16" s="66">
        <f t="shared" si="4"/>
        <v>30924.846192493347</v>
      </c>
      <c r="N16" s="64" t="s">
        <v>21</v>
      </c>
      <c r="O16" s="57">
        <f>Wacc!C7</f>
        <v>6.8500000000000005E-2</v>
      </c>
    </row>
    <row r="17" spans="2:15" ht="15.75" customHeight="1" thickBot="1" x14ac:dyDescent="0.35">
      <c r="B17" s="75" t="s">
        <v>523</v>
      </c>
      <c r="C17" s="112"/>
      <c r="D17" s="68">
        <f>O15</f>
        <v>3.0537192911520065E-2</v>
      </c>
      <c r="E17" s="68">
        <f t="shared" ref="E17:M17" si="5">D17-(-$O$18)</f>
        <v>2.6319103235022293E-2</v>
      </c>
      <c r="F17" s="68">
        <f t="shared" si="5"/>
        <v>2.2101013558524521E-2</v>
      </c>
      <c r="G17" s="68">
        <f t="shared" si="5"/>
        <v>1.7882923882026749E-2</v>
      </c>
      <c r="H17" s="68">
        <f t="shared" si="5"/>
        <v>1.3664834205528976E-2</v>
      </c>
      <c r="I17" s="68">
        <f t="shared" si="5"/>
        <v>9.4467445290312042E-3</v>
      </c>
      <c r="J17" s="68">
        <f t="shared" si="5"/>
        <v>5.2286548525334329E-3</v>
      </c>
      <c r="K17" s="68">
        <f t="shared" si="5"/>
        <v>1.0105651760356615E-3</v>
      </c>
      <c r="L17" s="68">
        <f t="shared" si="5"/>
        <v>-3.2075245004621099E-3</v>
      </c>
      <c r="M17" s="68">
        <f t="shared" si="5"/>
        <v>-7.4256141769598813E-3</v>
      </c>
      <c r="N17" s="229"/>
      <c r="O17" s="62">
        <f>O15-O16</f>
        <v>-3.796280708847994E-2</v>
      </c>
    </row>
    <row r="18" spans="2:15" ht="15.75" customHeight="1" thickBot="1" x14ac:dyDescent="0.35">
      <c r="B18" s="228"/>
      <c r="N18" s="59" t="s">
        <v>524</v>
      </c>
      <c r="O18" s="60">
        <f>O17/9</f>
        <v>-4.2180896764977714E-3</v>
      </c>
    </row>
    <row r="19" spans="2:15" ht="15" customHeight="1" thickBot="1" x14ac:dyDescent="0.35">
      <c r="B19" s="76" t="s">
        <v>527</v>
      </c>
      <c r="C19" s="72">
        <v>2</v>
      </c>
    </row>
    <row r="20" spans="2:15" ht="15" customHeight="1" x14ac:dyDescent="0.3">
      <c r="B20" s="38" t="s">
        <v>509</v>
      </c>
      <c r="C20" s="69" t="s">
        <v>510</v>
      </c>
      <c r="D20" s="65" t="s">
        <v>511</v>
      </c>
      <c r="E20" s="65" t="s">
        <v>512</v>
      </c>
      <c r="F20" s="65" t="s">
        <v>513</v>
      </c>
      <c r="G20" s="65" t="s">
        <v>514</v>
      </c>
      <c r="H20" s="65" t="s">
        <v>515</v>
      </c>
      <c r="I20" s="65" t="s">
        <v>516</v>
      </c>
      <c r="J20" s="65" t="s">
        <v>517</v>
      </c>
      <c r="K20" s="65" t="s">
        <v>518</v>
      </c>
      <c r="L20" s="65" t="s">
        <v>519</v>
      </c>
      <c r="M20" s="65" t="s">
        <v>520</v>
      </c>
    </row>
    <row r="21" spans="2:15" ht="15" customHeight="1" x14ac:dyDescent="0.3">
      <c r="B21" s="38" t="s">
        <v>522</v>
      </c>
      <c r="C21" s="66">
        <f>C6</f>
        <v>27588.03</v>
      </c>
      <c r="D21" s="66">
        <f t="shared" ref="D21:M21" si="6">C21*(1+D22)</f>
        <v>34636.959641184483</v>
      </c>
      <c r="E21" s="66">
        <f t="shared" si="6"/>
        <v>42767.233561745117</v>
      </c>
      <c r="F21" s="66">
        <f t="shared" si="6"/>
        <v>51917.272232940733</v>
      </c>
      <c r="G21" s="66">
        <f t="shared" si="6"/>
        <v>61946.194484611202</v>
      </c>
      <c r="H21" s="66">
        <f t="shared" si="6"/>
        <v>72625.264612676197</v>
      </c>
      <c r="I21" s="66">
        <f t="shared" si="6"/>
        <v>83636.281606798904</v>
      </c>
      <c r="J21" s="66">
        <f t="shared" si="6"/>
        <v>94578.885074152946</v>
      </c>
      <c r="K21" s="66">
        <f t="shared" si="6"/>
        <v>104987.96002167207</v>
      </c>
      <c r="L21" s="66">
        <f t="shared" si="6"/>
        <v>114361.13126972179</v>
      </c>
      <c r="M21" s="66">
        <f t="shared" si="6"/>
        <v>122194.86876169774</v>
      </c>
    </row>
    <row r="22" spans="2:15" ht="15" customHeight="1" x14ac:dyDescent="0.3">
      <c r="B22" s="38" t="s">
        <v>523</v>
      </c>
      <c r="C22" s="130"/>
      <c r="D22" s="68">
        <f t="shared" ref="D22:M22" si="7">CHOOSE($C$19,D7,D12,D17)</f>
        <v>0.25550681368638817</v>
      </c>
      <c r="E22" s="68">
        <f t="shared" si="7"/>
        <v>0.23472827883234504</v>
      </c>
      <c r="F22" s="68">
        <f t="shared" si="7"/>
        <v>0.21394974397830191</v>
      </c>
      <c r="G22" s="68">
        <f t="shared" si="7"/>
        <v>0.19317120912425878</v>
      </c>
      <c r="H22" s="68">
        <f t="shared" si="7"/>
        <v>0.17239267427021565</v>
      </c>
      <c r="I22" s="68">
        <f t="shared" si="7"/>
        <v>0.15161413941617252</v>
      </c>
      <c r="J22" s="68">
        <f t="shared" si="7"/>
        <v>0.13083560456212939</v>
      </c>
      <c r="K22" s="68">
        <f t="shared" si="7"/>
        <v>0.11005706970808626</v>
      </c>
      <c r="L22" s="68">
        <f t="shared" si="7"/>
        <v>8.9278534854043134E-2</v>
      </c>
      <c r="M22" s="68">
        <f t="shared" si="7"/>
        <v>6.8500000000000005E-2</v>
      </c>
    </row>
    <row r="23" spans="2:15" ht="13.5" customHeight="1" x14ac:dyDescent="0.3">
      <c r="O23" s="2" t="s">
        <v>528</v>
      </c>
    </row>
    <row r="24" spans="2:15" ht="13.5" customHeight="1" x14ac:dyDescent="0.3">
      <c r="O24" s="2" t="s">
        <v>529</v>
      </c>
    </row>
    <row r="25" spans="2:15" ht="13.5" customHeight="1" x14ac:dyDescent="0.3">
      <c r="O25" s="2" t="s">
        <v>530</v>
      </c>
    </row>
    <row r="26" spans="2:15" ht="13.5" customHeight="1" x14ac:dyDescent="0.3">
      <c r="O26" s="2" t="s">
        <v>531</v>
      </c>
    </row>
  </sheetData>
  <mergeCells count="1">
    <mergeCell ref="B1:M1"/>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R33"/>
  <sheetViews>
    <sheetView showGridLines="0" tabSelected="1" zoomScale="53" zoomScaleNormal="100" workbookViewId="0">
      <selection activeCell="U26" sqref="U26"/>
    </sheetView>
  </sheetViews>
  <sheetFormatPr defaultColWidth="8.6328125" defaultRowHeight="14" x14ac:dyDescent="0.3"/>
  <cols>
    <col min="1" max="1" width="2.54296875" style="15" customWidth="1"/>
    <col min="2" max="2" width="32.36328125" style="15" bestFit="1" customWidth="1"/>
    <col min="3" max="3" width="11.54296875" style="15" bestFit="1" customWidth="1"/>
    <col min="4" max="8" width="12.90625" style="15" bestFit="1" customWidth="1"/>
    <col min="9" max="9" width="15.7265625" style="15" customWidth="1"/>
    <col min="10" max="12" width="12.90625" style="15" bestFit="1" customWidth="1"/>
    <col min="13" max="13" width="13.26953125" style="15" bestFit="1" customWidth="1"/>
    <col min="14" max="14" width="22.6328125" style="15" bestFit="1" customWidth="1"/>
    <col min="15" max="15" width="13.81640625" style="15" bestFit="1" customWidth="1"/>
    <col min="16" max="16" width="8.6328125" style="15"/>
    <col min="17" max="17" width="44.90625" style="15" bestFit="1" customWidth="1"/>
    <col min="18" max="18" width="8.6328125" style="15" bestFit="1" customWidth="1"/>
    <col min="19" max="16384" width="8.6328125" style="15"/>
  </cols>
  <sheetData>
    <row r="1" spans="2:18" ht="44.5" customHeight="1" x14ac:dyDescent="0.3">
      <c r="B1" s="354" t="s">
        <v>647</v>
      </c>
      <c r="C1" s="354"/>
      <c r="D1" s="354"/>
      <c r="E1" s="354"/>
      <c r="F1" s="354"/>
      <c r="G1" s="354"/>
      <c r="H1" s="354"/>
      <c r="I1" s="354"/>
      <c r="J1" s="354"/>
      <c r="K1" s="354"/>
      <c r="L1" s="354"/>
      <c r="M1" s="354"/>
    </row>
    <row r="2" spans="2:18" ht="14.25" customHeight="1" x14ac:dyDescent="0.3"/>
    <row r="3" spans="2:18" ht="14.25" customHeight="1" x14ac:dyDescent="0.35">
      <c r="B3" s="224"/>
      <c r="C3" s="224"/>
      <c r="D3" s="97">
        <v>1</v>
      </c>
      <c r="E3" s="97">
        <v>2</v>
      </c>
      <c r="F3" s="97">
        <v>3</v>
      </c>
      <c r="G3" s="97">
        <v>4</v>
      </c>
      <c r="H3" s="97">
        <v>5</v>
      </c>
      <c r="I3" s="97">
        <v>6</v>
      </c>
      <c r="J3" s="97">
        <v>7</v>
      </c>
      <c r="K3" s="97">
        <v>8</v>
      </c>
      <c r="L3" s="97">
        <v>9</v>
      </c>
      <c r="M3" s="97">
        <v>10</v>
      </c>
    </row>
    <row r="4" spans="2:18" ht="14.25" customHeight="1" x14ac:dyDescent="0.3">
      <c r="B4" s="81" t="s">
        <v>533</v>
      </c>
      <c r="C4" s="98" t="s">
        <v>510</v>
      </c>
      <c r="D4" s="98" t="s">
        <v>511</v>
      </c>
      <c r="E4" s="98" t="s">
        <v>512</v>
      </c>
      <c r="F4" s="98" t="s">
        <v>513</v>
      </c>
      <c r="G4" s="98" t="s">
        <v>514</v>
      </c>
      <c r="H4" s="98" t="s">
        <v>515</v>
      </c>
      <c r="I4" s="98" t="s">
        <v>516</v>
      </c>
      <c r="J4" s="98" t="s">
        <v>517</v>
      </c>
      <c r="K4" s="98" t="s">
        <v>518</v>
      </c>
      <c r="L4" s="98" t="s">
        <v>519</v>
      </c>
      <c r="M4" s="98" t="s">
        <v>520</v>
      </c>
      <c r="O4" s="355" t="s">
        <v>534</v>
      </c>
      <c r="Q4" s="86" t="s">
        <v>535</v>
      </c>
      <c r="R4" s="230">
        <f>'Growth rate analysis'!C25</f>
        <v>9.3014643672454267E-2</v>
      </c>
    </row>
    <row r="5" spans="2:18" ht="14.25" customHeight="1" x14ac:dyDescent="0.3">
      <c r="B5" s="24" t="s">
        <v>536</v>
      </c>
      <c r="C5" s="66">
        <f>'Growth Scenerio'!C21</f>
        <v>27588.03</v>
      </c>
      <c r="D5" s="66">
        <f>'Growth Scenerio'!D21</f>
        <v>34636.959641184483</v>
      </c>
      <c r="E5" s="66">
        <f>'Growth Scenerio'!E21</f>
        <v>42767.233561745117</v>
      </c>
      <c r="F5" s="66">
        <f>'Growth Scenerio'!F21</f>
        <v>51917.272232940733</v>
      </c>
      <c r="G5" s="66">
        <f>'Growth Scenerio'!G21</f>
        <v>61946.194484611202</v>
      </c>
      <c r="H5" s="66">
        <f>'Growth Scenerio'!H21</f>
        <v>72625.264612676197</v>
      </c>
      <c r="I5" s="66">
        <f>'Growth Scenerio'!I21</f>
        <v>83636.281606798904</v>
      </c>
      <c r="J5" s="66">
        <f>'Growth Scenerio'!J21</f>
        <v>94578.885074152946</v>
      </c>
      <c r="K5" s="66">
        <f>'Growth Scenerio'!K21</f>
        <v>104987.96002167207</v>
      </c>
      <c r="L5" s="66">
        <f>'Growth Scenerio'!L21</f>
        <v>114361.13126972179</v>
      </c>
      <c r="M5" s="66">
        <f>'Growth Scenerio'!M21</f>
        <v>122194.86876169774</v>
      </c>
      <c r="N5" s="4" t="s">
        <v>537</v>
      </c>
      <c r="O5" s="88">
        <f>M5*(1+R4)</f>
        <v>133560.78093816937</v>
      </c>
      <c r="Q5" s="86" t="s">
        <v>538</v>
      </c>
      <c r="R5" s="230">
        <f>Wacc!C38</f>
        <v>0.12764635879614511</v>
      </c>
    </row>
    <row r="6" spans="2:18" ht="14.25" customHeight="1" x14ac:dyDescent="0.3">
      <c r="B6" s="24" t="s">
        <v>284</v>
      </c>
      <c r="C6" s="130"/>
      <c r="D6" s="68">
        <f>'Growth Scenerio'!D22</f>
        <v>0.25550681368638817</v>
      </c>
      <c r="E6" s="68">
        <f>'Growth Scenerio'!E22</f>
        <v>0.23472827883234504</v>
      </c>
      <c r="F6" s="68">
        <f>'Growth Scenerio'!F22</f>
        <v>0.21394974397830191</v>
      </c>
      <c r="G6" s="68">
        <f>'Growth Scenerio'!G22</f>
        <v>0.19317120912425878</v>
      </c>
      <c r="H6" s="68">
        <f>'Growth Scenerio'!H22</f>
        <v>0.17239267427021565</v>
      </c>
      <c r="I6" s="68">
        <f>'Growth Scenerio'!I22</f>
        <v>0.15161413941617252</v>
      </c>
      <c r="J6" s="68">
        <f>'Growth Scenerio'!J22</f>
        <v>0.13083560456212939</v>
      </c>
      <c r="K6" s="68">
        <f>'Growth Scenerio'!K22</f>
        <v>0.11005706970808626</v>
      </c>
      <c r="L6" s="68">
        <f>'Growth Scenerio'!L22</f>
        <v>8.9278534854043134E-2</v>
      </c>
      <c r="M6" s="68">
        <f>'Growth Scenerio'!M22</f>
        <v>6.8500000000000005E-2</v>
      </c>
      <c r="N6" s="3" t="s">
        <v>539</v>
      </c>
      <c r="O6" s="89">
        <f>R4</f>
        <v>9.3014643672454267E-2</v>
      </c>
      <c r="Q6" s="86" t="s">
        <v>540</v>
      </c>
      <c r="R6" s="87">
        <f>R4*R5</f>
        <v>1.1872980579509685E-2</v>
      </c>
    </row>
    <row r="7" spans="2:18" ht="14.25" customHeight="1" x14ac:dyDescent="0.3">
      <c r="B7" s="24" t="s">
        <v>287</v>
      </c>
      <c r="C7" s="130"/>
      <c r="D7" s="92">
        <f t="shared" ref="D7:M7" si="0">D8*D5</f>
        <v>10530.879171303535</v>
      </c>
      <c r="E7" s="92">
        <f t="shared" si="0"/>
        <v>13002.774313775008</v>
      </c>
      <c r="F7" s="92">
        <f t="shared" si="0"/>
        <v>15784.714549214814</v>
      </c>
      <c r="G7" s="92">
        <f t="shared" si="0"/>
        <v>18833.866944367917</v>
      </c>
      <c r="H7" s="92">
        <f t="shared" si="0"/>
        <v>22080.687633756916</v>
      </c>
      <c r="I7" s="92">
        <f t="shared" si="0"/>
        <v>25428.432087066292</v>
      </c>
      <c r="J7" s="92">
        <f t="shared" si="0"/>
        <v>28755.37637224466</v>
      </c>
      <c r="K7" s="92">
        <f t="shared" si="0"/>
        <v>31920.108834127044</v>
      </c>
      <c r="L7" s="92">
        <f t="shared" si="0"/>
        <v>34769.889383219503</v>
      </c>
      <c r="M7" s="92">
        <f t="shared" si="0"/>
        <v>37151.626805970038</v>
      </c>
      <c r="N7" s="3" t="s">
        <v>287</v>
      </c>
      <c r="O7" s="90">
        <f>O8*O5</f>
        <v>40607.272135179344</v>
      </c>
    </row>
    <row r="8" spans="2:18" ht="14.25" customHeight="1" x14ac:dyDescent="0.3">
      <c r="B8" s="24" t="s">
        <v>541</v>
      </c>
      <c r="C8" s="130"/>
      <c r="D8" s="68">
        <f>AVERAGE(Assumption!$C$29:$G$29)</f>
        <v>0.30403589923585483</v>
      </c>
      <c r="E8" s="68">
        <f>AVERAGE(Assumption!$C$29:$G$29)</f>
        <v>0.30403589923585483</v>
      </c>
      <c r="F8" s="68">
        <f>AVERAGE(Assumption!$C$29:$G$29)</f>
        <v>0.30403589923585483</v>
      </c>
      <c r="G8" s="68">
        <f>AVERAGE(Assumption!$C$29:$G$29)</f>
        <v>0.30403589923585483</v>
      </c>
      <c r="H8" s="68">
        <f>AVERAGE(Assumption!$C$29:$G$29)</f>
        <v>0.30403589923585483</v>
      </c>
      <c r="I8" s="68">
        <f>AVERAGE(Assumption!$C$29:$G$29)</f>
        <v>0.30403589923585483</v>
      </c>
      <c r="J8" s="68">
        <f>AVERAGE(Assumption!$C$29:$G$29)</f>
        <v>0.30403589923585483</v>
      </c>
      <c r="K8" s="68">
        <f>AVERAGE(Assumption!$C$29:$G$29)</f>
        <v>0.30403589923585483</v>
      </c>
      <c r="L8" s="68">
        <f>AVERAGE(Assumption!$C$29:$G$29)</f>
        <v>0.30403589923585483</v>
      </c>
      <c r="M8" s="68">
        <f>AVERAGE(Assumption!$C$29:$G$29)</f>
        <v>0.30403589923585483</v>
      </c>
      <c r="N8" s="3" t="s">
        <v>288</v>
      </c>
      <c r="O8" s="89">
        <f>M8</f>
        <v>0.30403589923585483</v>
      </c>
      <c r="Q8" s="2" t="s">
        <v>542</v>
      </c>
    </row>
    <row r="9" spans="2:18" ht="14.25" customHeight="1" x14ac:dyDescent="0.3">
      <c r="B9" s="24" t="s">
        <v>384</v>
      </c>
      <c r="C9" s="130"/>
      <c r="D9" s="66">
        <f>D7*Assumption!C35</f>
        <v>2632.7197928258838</v>
      </c>
      <c r="E9" s="66">
        <f>E7*Assumption!D35</f>
        <v>3250.6935784437519</v>
      </c>
      <c r="F9" s="66">
        <f>F7*Assumption!E35</f>
        <v>3946.1786373037035</v>
      </c>
      <c r="G9" s="66">
        <f>G7*Assumption!$G$35</f>
        <v>4708.4667360919793</v>
      </c>
      <c r="H9" s="66">
        <f>H7*Assumption!$G$35</f>
        <v>5520.1719084392289</v>
      </c>
      <c r="I9" s="66">
        <f>I7*Assumption!$G$35</f>
        <v>6357.1080217665731</v>
      </c>
      <c r="J9" s="66">
        <f>J7*Assumption!$G$35</f>
        <v>7188.844093061165</v>
      </c>
      <c r="K9" s="66">
        <f>K7*Assumption!$G$35</f>
        <v>7980.0272085317611</v>
      </c>
      <c r="L9" s="66">
        <f>L7*Assumption!$G$35</f>
        <v>8692.4723458048757</v>
      </c>
      <c r="M9" s="66">
        <f>M7*Assumption!$G$35</f>
        <v>9287.9067014925095</v>
      </c>
      <c r="N9" s="3" t="s">
        <v>543</v>
      </c>
      <c r="O9" s="90">
        <f>25%*O7</f>
        <v>10151.818033794836</v>
      </c>
    </row>
    <row r="10" spans="2:18" ht="14.25" customHeight="1" x14ac:dyDescent="0.3">
      <c r="B10" s="27" t="s">
        <v>544</v>
      </c>
      <c r="C10" s="130"/>
      <c r="D10" s="93">
        <f t="shared" ref="D10:M10" si="1">D7-D9</f>
        <v>7898.1593784776514</v>
      </c>
      <c r="E10" s="93">
        <f t="shared" si="1"/>
        <v>9752.0807353312557</v>
      </c>
      <c r="F10" s="93">
        <f t="shared" si="1"/>
        <v>11838.535911911111</v>
      </c>
      <c r="G10" s="93">
        <f t="shared" si="1"/>
        <v>14125.400208275938</v>
      </c>
      <c r="H10" s="93">
        <f t="shared" si="1"/>
        <v>16560.515725317688</v>
      </c>
      <c r="I10" s="93">
        <f t="shared" si="1"/>
        <v>19071.324065299719</v>
      </c>
      <c r="J10" s="93">
        <f t="shared" si="1"/>
        <v>21566.532279183495</v>
      </c>
      <c r="K10" s="93">
        <f t="shared" si="1"/>
        <v>23940.081625595281</v>
      </c>
      <c r="L10" s="93">
        <f t="shared" si="1"/>
        <v>26077.417037414627</v>
      </c>
      <c r="M10" s="93">
        <f t="shared" si="1"/>
        <v>27863.720104477528</v>
      </c>
      <c r="N10" s="3" t="s">
        <v>544</v>
      </c>
      <c r="O10" s="91">
        <f>O7-O9</f>
        <v>30455.454101384508</v>
      </c>
    </row>
    <row r="11" spans="2:18" ht="14.25" customHeight="1" x14ac:dyDescent="0.3">
      <c r="B11" s="24" t="s">
        <v>387</v>
      </c>
      <c r="C11" s="130"/>
      <c r="D11" s="94">
        <f>D5*'Fixed Assets Schedule'!$C$29</f>
        <v>7751.1310422202969</v>
      </c>
      <c r="E11" s="94">
        <f>E5*'Fixed Assets Schedule'!$C$29</f>
        <v>9570.5406907646284</v>
      </c>
      <c r="F11" s="94">
        <f>F5*'Fixed Assets Schedule'!$C$29</f>
        <v>11618.155421287642</v>
      </c>
      <c r="G11" s="94">
        <f>G5*'Fixed Assets Schedule'!$C$29</f>
        <v>13862.448551811338</v>
      </c>
      <c r="H11" s="94">
        <f>H5*'Fixed Assets Schedule'!$C$29</f>
        <v>16252.23312959137</v>
      </c>
      <c r="I11" s="94">
        <f>I5*'Fixed Assets Schedule'!$C$29</f>
        <v>18716.301469125374</v>
      </c>
      <c r="J11" s="94">
        <f>J5*'Fixed Assets Schedule'!$C$29</f>
        <v>21165.060087005462</v>
      </c>
      <c r="K11" s="94">
        <f>K5*'Fixed Assets Schedule'!$C$29</f>
        <v>23494.424580376857</v>
      </c>
      <c r="L11" s="94">
        <f>L5*'Fixed Assets Schedule'!$C$29</f>
        <v>25591.972384151715</v>
      </c>
      <c r="M11" s="94">
        <f>M5*'Fixed Assets Schedule'!$C$29</f>
        <v>27345.022492466109</v>
      </c>
      <c r="O11" s="231"/>
    </row>
    <row r="12" spans="2:18" ht="14.25" customHeight="1" x14ac:dyDescent="0.3">
      <c r="B12" s="24" t="s">
        <v>545</v>
      </c>
      <c r="C12" s="94">
        <f>'Working Capital Changes'!G14</f>
        <v>1615.5300000000007</v>
      </c>
      <c r="D12" s="66">
        <f>D5*'Working Capital Changes'!$D$17</f>
        <v>1938.5332098821034</v>
      </c>
      <c r="E12" s="66">
        <f>E5*'Working Capital Changes'!$D$17</f>
        <v>2393.5617736970707</v>
      </c>
      <c r="F12" s="66">
        <f>F5*'Working Capital Changes'!$D$17</f>
        <v>2905.6637023758099</v>
      </c>
      <c r="G12" s="66">
        <f>G5*'Working Capital Changes'!$D$17</f>
        <v>3466.9542730722151</v>
      </c>
      <c r="H12" s="66">
        <f>H5*'Working Capital Changes'!$D$17</f>
        <v>4064.631791779685</v>
      </c>
      <c r="I12" s="66">
        <f>I5*'Working Capital Changes'!$D$17</f>
        <v>4680.8874429339776</v>
      </c>
      <c r="J12" s="66">
        <f>J5*'Working Capital Changes'!$D$17</f>
        <v>5293.3141814175242</v>
      </c>
      <c r="K12" s="66">
        <f>K5*'Working Capital Changes'!$D$17</f>
        <v>5875.8808292685944</v>
      </c>
      <c r="L12" s="66">
        <f>L5*'Working Capital Changes'!$D$17</f>
        <v>6400.4708606826534</v>
      </c>
      <c r="M12" s="66">
        <f>M5*'Working Capital Changes'!$D$17</f>
        <v>6838.9031146394154</v>
      </c>
      <c r="O12" s="231"/>
    </row>
    <row r="13" spans="2:18" ht="14.25" customHeight="1" x14ac:dyDescent="0.3">
      <c r="B13" s="24" t="s">
        <v>388</v>
      </c>
      <c r="C13" s="130"/>
      <c r="D13" s="66">
        <f t="shared" ref="D13:M13" si="2">D12-C12</f>
        <v>323.00320988210274</v>
      </c>
      <c r="E13" s="66">
        <f t="shared" si="2"/>
        <v>455.02856381496736</v>
      </c>
      <c r="F13" s="66">
        <f t="shared" si="2"/>
        <v>512.10192867873911</v>
      </c>
      <c r="G13" s="66">
        <f t="shared" si="2"/>
        <v>561.29057069640521</v>
      </c>
      <c r="H13" s="66">
        <f t="shared" si="2"/>
        <v>597.67751870746997</v>
      </c>
      <c r="I13" s="66">
        <f t="shared" si="2"/>
        <v>616.25565115429254</v>
      </c>
      <c r="J13" s="66">
        <f t="shared" si="2"/>
        <v>612.42673848354661</v>
      </c>
      <c r="K13" s="66">
        <f t="shared" si="2"/>
        <v>582.56664785107023</v>
      </c>
      <c r="L13" s="66">
        <f t="shared" si="2"/>
        <v>524.59003141405901</v>
      </c>
      <c r="M13" s="66">
        <f t="shared" si="2"/>
        <v>438.432253956762</v>
      </c>
      <c r="O13" s="231"/>
    </row>
    <row r="14" spans="2:18" ht="14.25" customHeight="1" x14ac:dyDescent="0.3">
      <c r="B14" s="24" t="s">
        <v>546</v>
      </c>
      <c r="C14" s="130"/>
      <c r="D14" s="94">
        <f t="shared" ref="D14:M14" si="3">D11+D13</f>
        <v>8074.1342521023998</v>
      </c>
      <c r="E14" s="94">
        <f t="shared" si="3"/>
        <v>10025.569254579596</v>
      </c>
      <c r="F14" s="94">
        <f t="shared" si="3"/>
        <v>12130.257349966381</v>
      </c>
      <c r="G14" s="94">
        <f t="shared" si="3"/>
        <v>14423.739122507743</v>
      </c>
      <c r="H14" s="94">
        <f t="shared" si="3"/>
        <v>16849.910648298839</v>
      </c>
      <c r="I14" s="94">
        <f t="shared" si="3"/>
        <v>19332.557120279667</v>
      </c>
      <c r="J14" s="94">
        <f t="shared" si="3"/>
        <v>21777.48682548901</v>
      </c>
      <c r="K14" s="94">
        <f t="shared" si="3"/>
        <v>24076.991228227926</v>
      </c>
      <c r="L14" s="94">
        <f t="shared" si="3"/>
        <v>26116.562415565775</v>
      </c>
      <c r="M14" s="94">
        <f t="shared" si="3"/>
        <v>27783.454746422871</v>
      </c>
      <c r="O14" s="90">
        <f>O10*O16</f>
        <v>361.59701508588688</v>
      </c>
    </row>
    <row r="15" spans="2:18" ht="14.25" customHeight="1" x14ac:dyDescent="0.3">
      <c r="B15" s="27" t="s">
        <v>547</v>
      </c>
      <c r="C15" s="130"/>
      <c r="D15" s="93">
        <f t="shared" ref="D15:M15" si="4">D10-D14</f>
        <v>-175.9748736247484</v>
      </c>
      <c r="E15" s="93">
        <f t="shared" si="4"/>
        <v>-273.4885192483398</v>
      </c>
      <c r="F15" s="93">
        <f t="shared" si="4"/>
        <v>-291.72143805527048</v>
      </c>
      <c r="G15" s="93">
        <f t="shared" si="4"/>
        <v>-298.33891423180467</v>
      </c>
      <c r="H15" s="93">
        <f t="shared" si="4"/>
        <v>-289.39492298115147</v>
      </c>
      <c r="I15" s="93">
        <f t="shared" si="4"/>
        <v>-261.23305497994807</v>
      </c>
      <c r="J15" s="93">
        <f t="shared" si="4"/>
        <v>-210.95454630551467</v>
      </c>
      <c r="K15" s="93">
        <f t="shared" si="4"/>
        <v>-136.90960263264424</v>
      </c>
      <c r="L15" s="93">
        <f t="shared" si="4"/>
        <v>-39.145378151148179</v>
      </c>
      <c r="M15" s="93">
        <f t="shared" si="4"/>
        <v>80.265358054657554</v>
      </c>
      <c r="O15" s="90">
        <f>O10-O14</f>
        <v>30093.85708629862</v>
      </c>
    </row>
    <row r="16" spans="2:18" ht="14.25" customHeight="1" x14ac:dyDescent="0.3">
      <c r="B16" s="24" t="s">
        <v>548</v>
      </c>
      <c r="C16" s="130"/>
      <c r="D16" s="95">
        <f t="shared" ref="D16:M16" si="5">D14/D10</f>
        <v>1.022280491592038</v>
      </c>
      <c r="E16" s="95">
        <f t="shared" si="5"/>
        <v>1.0280441196777121</v>
      </c>
      <c r="F16" s="95">
        <f t="shared" si="5"/>
        <v>1.0246416820649047</v>
      </c>
      <c r="G16" s="95">
        <f t="shared" si="5"/>
        <v>1.0211207406397598</v>
      </c>
      <c r="H16" s="95">
        <f t="shared" si="5"/>
        <v>1.017474994606522</v>
      </c>
      <c r="I16" s="95">
        <f t="shared" si="5"/>
        <v>1.0136976884292612</v>
      </c>
      <c r="J16" s="95">
        <f t="shared" si="5"/>
        <v>1.0097815700537602</v>
      </c>
      <c r="K16" s="95">
        <f t="shared" si="5"/>
        <v>1.0057188444372833</v>
      </c>
      <c r="L16" s="95">
        <f t="shared" si="5"/>
        <v>1.0015011217596814</v>
      </c>
      <c r="M16" s="95">
        <f t="shared" si="5"/>
        <v>0.99711935959183862</v>
      </c>
      <c r="O16" s="89">
        <f>R6</f>
        <v>1.1872980579509685E-2</v>
      </c>
    </row>
    <row r="18" spans="2:13" ht="14.25" customHeight="1" thickBot="1" x14ac:dyDescent="0.35">
      <c r="B18" s="84" t="s">
        <v>549</v>
      </c>
      <c r="C18" s="83">
        <f>O15/(R5-R4)</f>
        <v>868968.14029611927</v>
      </c>
    </row>
    <row r="20" spans="2:13" ht="14.25" customHeight="1" x14ac:dyDescent="0.3">
      <c r="B20" s="2" t="s">
        <v>550</v>
      </c>
      <c r="D20" s="6">
        <f>1/(1+$R$5)^1</f>
        <v>0.8868028457676943</v>
      </c>
      <c r="E20" s="6">
        <f>1/(1+$R$5)^2</f>
        <v>0.78641928726168098</v>
      </c>
      <c r="F20" s="6">
        <f>1/(1+$R$5)^3</f>
        <v>0.69739886191026057</v>
      </c>
      <c r="G20" s="6">
        <f>1/(1+$R$5)^4</f>
        <v>0.61845529537717026</v>
      </c>
      <c r="H20" s="6">
        <f>1/(1+$R$5)^5</f>
        <v>0.54844791592057451</v>
      </c>
      <c r="I20" s="6">
        <f>1/(1+$R$5)^6</f>
        <v>0.48636517259372664</v>
      </c>
      <c r="J20" s="6">
        <f>1/(1+$R$5)^7</f>
        <v>0.43131001913841255</v>
      </c>
      <c r="K20" s="6">
        <f>1/(1+$R$5)^8</f>
        <v>0.38248695238006292</v>
      </c>
      <c r="L20" s="6">
        <f>1/(1+$R$5)^9</f>
        <v>0.33919051783965237</v>
      </c>
      <c r="M20" s="6">
        <f>1/(1+$R$5)^10</f>
        <v>0.30079511647762158</v>
      </c>
    </row>
    <row r="22" spans="2:13" ht="14.25" customHeight="1" x14ac:dyDescent="0.3">
      <c r="B22" s="99" t="s">
        <v>551</v>
      </c>
      <c r="C22" s="100">
        <f>SUM(D22:M22)</f>
        <v>-1177.3471070012313</v>
      </c>
      <c r="D22" s="5">
        <f t="shared" ref="D22:M22" si="6">D15*D20</f>
        <v>-156.05501871403726</v>
      </c>
      <c r="E22" s="5">
        <f t="shared" si="6"/>
        <v>-215.0766463815319</v>
      </c>
      <c r="F22" s="5">
        <f t="shared" si="6"/>
        <v>-203.44619889457022</v>
      </c>
      <c r="G22" s="5">
        <f t="shared" si="6"/>
        <v>-184.50928132373502</v>
      </c>
      <c r="H22" s="5">
        <f t="shared" si="6"/>
        <v>-158.7180423870077</v>
      </c>
      <c r="I22" s="5">
        <f t="shared" si="6"/>
        <v>-127.05465987250892</v>
      </c>
      <c r="J22" s="5">
        <f t="shared" si="6"/>
        <v>-90.986809404366667</v>
      </c>
      <c r="K22" s="5">
        <f t="shared" si="6"/>
        <v>-52.366136662525534</v>
      </c>
      <c r="L22" s="5">
        <f t="shared" si="6"/>
        <v>-13.277741086116965</v>
      </c>
      <c r="M22" s="5">
        <f t="shared" si="6"/>
        <v>24.143427725168721</v>
      </c>
    </row>
    <row r="23" spans="2:13" ht="14.25" customHeight="1" thickBot="1" x14ac:dyDescent="0.35">
      <c r="B23" s="101" t="s">
        <v>552</v>
      </c>
      <c r="C23" s="102">
        <f>C18*M20</f>
        <v>261381.3729757134</v>
      </c>
    </row>
    <row r="24" spans="2:13" ht="14.25" customHeight="1" x14ac:dyDescent="0.3">
      <c r="B24" s="177"/>
      <c r="C24" s="177"/>
      <c r="I24" s="85" t="s">
        <v>553</v>
      </c>
      <c r="J24" s="232"/>
      <c r="K24" s="232"/>
      <c r="L24" s="232"/>
      <c r="M24" s="232"/>
    </row>
    <row r="25" spans="2:13" ht="14.25" customHeight="1" x14ac:dyDescent="0.3">
      <c r="B25" s="103" t="s">
        <v>554</v>
      </c>
      <c r="C25" s="100">
        <f>C22+C23</f>
        <v>260204.02586871217</v>
      </c>
      <c r="I25" s="233">
        <f>C32</f>
        <v>1782.7218955506808</v>
      </c>
      <c r="J25" s="234">
        <v>0.1076</v>
      </c>
      <c r="K25" s="234">
        <v>0.1176</v>
      </c>
      <c r="L25" s="234">
        <v>0.12759999999999999</v>
      </c>
      <c r="M25" s="234">
        <v>0.1376</v>
      </c>
    </row>
    <row r="26" spans="2:13" ht="14.25" customHeight="1" x14ac:dyDescent="0.3">
      <c r="B26" s="104" t="s">
        <v>555</v>
      </c>
      <c r="C26" s="105">
        <f>'Consolidated Balance Sheet'!G45</f>
        <v>3947.34</v>
      </c>
      <c r="I26" s="235">
        <v>0.03</v>
      </c>
      <c r="J26" s="236">
        <v>1050</v>
      </c>
      <c r="K26" s="237">
        <v>880</v>
      </c>
      <c r="L26" s="237">
        <v>740</v>
      </c>
      <c r="M26" s="237">
        <v>630</v>
      </c>
    </row>
    <row r="27" spans="2:13" ht="14.25" customHeight="1" x14ac:dyDescent="0.3">
      <c r="B27" s="104" t="s">
        <v>556</v>
      </c>
      <c r="C27" s="105">
        <f>'Consolidated Balance Sheet'!G17+'Consolidated Balance Sheet'!G23</f>
        <v>48898.45</v>
      </c>
      <c r="I27" s="235">
        <v>0.04</v>
      </c>
      <c r="J27" s="236">
        <v>1340</v>
      </c>
      <c r="K27" s="236">
        <v>1100</v>
      </c>
      <c r="L27" s="237">
        <v>920</v>
      </c>
      <c r="M27" s="237">
        <v>770</v>
      </c>
    </row>
    <row r="28" spans="2:13" ht="14.25" customHeight="1" x14ac:dyDescent="0.3">
      <c r="B28" s="104" t="s">
        <v>487</v>
      </c>
      <c r="C28" s="105">
        <f>'Consolidated Balance Sheet'!G15</f>
        <v>1098.0999999999999</v>
      </c>
      <c r="I28" s="235">
        <v>0.05</v>
      </c>
      <c r="J28" s="236">
        <v>1780</v>
      </c>
      <c r="K28" s="236">
        <v>1500</v>
      </c>
      <c r="L28" s="238">
        <v>1783</v>
      </c>
      <c r="M28" s="237">
        <v>960</v>
      </c>
    </row>
    <row r="29" spans="2:13" ht="15" customHeight="1" thickBot="1" x14ac:dyDescent="0.35">
      <c r="B29" s="106" t="s">
        <v>557</v>
      </c>
      <c r="C29" s="107">
        <f>C25+C26-C27-C28</f>
        <v>214154.81586871218</v>
      </c>
      <c r="I29" s="235">
        <v>0.06</v>
      </c>
      <c r="J29" s="236">
        <v>2500</v>
      </c>
      <c r="K29" s="236">
        <v>2000</v>
      </c>
      <c r="L29" s="236">
        <v>1600</v>
      </c>
      <c r="M29" s="236">
        <v>1250</v>
      </c>
    </row>
    <row r="30" spans="2:13" ht="15" customHeight="1" x14ac:dyDescent="0.3">
      <c r="B30" s="177"/>
      <c r="C30" s="177"/>
      <c r="I30" s="235">
        <v>7.0000000000000007E-2</v>
      </c>
      <c r="J30" s="236">
        <v>3900</v>
      </c>
      <c r="K30" s="236">
        <v>2900</v>
      </c>
      <c r="L30" s="236">
        <v>2200</v>
      </c>
      <c r="M30" s="236">
        <v>1650</v>
      </c>
    </row>
    <row r="31" spans="2:13" ht="14.25" customHeight="1" x14ac:dyDescent="0.3">
      <c r="B31" s="99" t="s">
        <v>558</v>
      </c>
      <c r="C31" s="239">
        <f>Wacc!C26</f>
        <v>120.128</v>
      </c>
    </row>
    <row r="32" spans="2:13" ht="15" customHeight="1" thickBot="1" x14ac:dyDescent="0.35">
      <c r="B32" s="108" t="s">
        <v>559</v>
      </c>
      <c r="C32" s="109">
        <f>C29/C31</f>
        <v>1782.7218955506808</v>
      </c>
      <c r="E32" s="15" t="s">
        <v>560</v>
      </c>
      <c r="F32" s="240">
        <f>Wacc!C29</f>
        <v>1490</v>
      </c>
    </row>
    <row r="33" spans="5:6" ht="15" customHeight="1" x14ac:dyDescent="0.3">
      <c r="E33" s="15" t="s">
        <v>561</v>
      </c>
      <c r="F33" s="241">
        <f>C32/F32-1</f>
        <v>0.19645764802059107</v>
      </c>
    </row>
  </sheetData>
  <mergeCells count="1">
    <mergeCell ref="B1:M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Company Cover</vt:lpstr>
      <vt:lpstr>Promoters</vt:lpstr>
      <vt:lpstr>Public</vt:lpstr>
      <vt:lpstr>Consolidated Balance Sheet</vt:lpstr>
      <vt:lpstr>Consolidated Profit &amp; Loss</vt:lpstr>
      <vt:lpstr>Consolidated Cash Flow</vt:lpstr>
      <vt:lpstr>Peer Comps</vt:lpstr>
      <vt:lpstr>Stock Analysis</vt:lpstr>
      <vt:lpstr>Ratio Analysis</vt:lpstr>
      <vt:lpstr>Assumption</vt:lpstr>
      <vt:lpstr>Historical FS</vt:lpstr>
      <vt:lpstr>Fixed Assets Schedule</vt:lpstr>
      <vt:lpstr>Working Capital Changes</vt:lpstr>
      <vt:lpstr>FCFF</vt:lpstr>
      <vt:lpstr>Beta Calculation</vt:lpstr>
      <vt:lpstr>Wacc</vt:lpstr>
      <vt:lpstr>Cost of Capital</vt:lpstr>
      <vt:lpstr>Peer Comp.</vt:lpstr>
      <vt:lpstr>Relative Valuation</vt:lpstr>
      <vt:lpstr>Growth rate analysis</vt:lpstr>
      <vt:lpstr>Growth Scenerio</vt:lpstr>
      <vt:lpstr>DCF 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Naina Sinsinwar</dc:creator>
  <cp:lastModifiedBy>Naina Sinsinwar</cp:lastModifiedBy>
  <cp:revision>0</cp:revision>
  <dcterms:created xsi:type="dcterms:W3CDTF">2026-06-11T04:46:51Z</dcterms:created>
  <dcterms:modified xsi:type="dcterms:W3CDTF">2026-06-29T09:22:44Z</dcterms:modified>
  <dc:language>en-US</dc:language>
</cp:coreProperties>
</file>