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7C4399D4-4E1F-4E67-B5D7-4579468BFBC5}" xr6:coauthVersionLast="47" xr6:coauthVersionMax="47" xr10:uidLastSave="{00000000-0000-0000-0000-000000000000}"/>
  <bookViews>
    <workbookView xWindow="-110" yWindow="-110" windowWidth="19420" windowHeight="11500" tabRatio="500" xr2:uid="{00000000-000D-0000-FFFF-FFFF00000000}"/>
  </bookViews>
  <sheets>
    <sheet name="About " sheetId="1" r:id="rId1"/>
    <sheet name="Shareholding " sheetId="2" r:id="rId2"/>
    <sheet name="Consolidated FS" sheetId="6" r:id="rId3"/>
    <sheet name="Stock Analysis" sheetId="4" r:id="rId4"/>
    <sheet name="Assumptions " sheetId="7" r:id="rId5"/>
    <sheet name="Equity Schedule " sheetId="8" r:id="rId6"/>
    <sheet name="Residual Income Schedule " sheetId="9" r:id="rId7"/>
    <sheet name="BETA " sheetId="10" r:id="rId8"/>
    <sheet name="WACC" sheetId="11" r:id="rId9"/>
    <sheet name="Peer Comparison" sheetId="12" r:id="rId10"/>
    <sheet name="Relative Valuation " sheetId="13" r:id="rId11"/>
  </sheets>
  <definedNames>
    <definedName name="ExternalData_1" localSheetId="6" hidden="1">'Residual Income Schedule '!$J$2:$K$29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4" i="12" l="1"/>
  <c r="D3" i="7"/>
  <c r="F50" i="13" l="1"/>
  <c r="E50" i="13"/>
  <c r="C38" i="13"/>
  <c r="C37" i="13"/>
  <c r="C36" i="13"/>
  <c r="C35" i="13"/>
  <c r="C34" i="13"/>
  <c r="C25" i="13"/>
  <c r="C24" i="13"/>
  <c r="C23" i="13"/>
  <c r="C22" i="13"/>
  <c r="C21" i="13"/>
  <c r="P15" i="13"/>
  <c r="O15" i="13"/>
  <c r="N15" i="13"/>
  <c r="M15" i="13"/>
  <c r="L15" i="13"/>
  <c r="K15" i="13"/>
  <c r="J15" i="13"/>
  <c r="I15" i="13"/>
  <c r="H15" i="13"/>
  <c r="G15" i="13"/>
  <c r="F15" i="13"/>
  <c r="E15" i="13"/>
  <c r="D15" i="13"/>
  <c r="C15" i="13"/>
  <c r="P14" i="13"/>
  <c r="O14" i="13"/>
  <c r="N14" i="13"/>
  <c r="M14" i="13"/>
  <c r="L14" i="13"/>
  <c r="K14" i="13"/>
  <c r="J14" i="13"/>
  <c r="I14" i="13"/>
  <c r="H14" i="13"/>
  <c r="G14" i="13"/>
  <c r="F14" i="13"/>
  <c r="E14" i="13"/>
  <c r="D14" i="13"/>
  <c r="C14" i="13"/>
  <c r="P13" i="13"/>
  <c r="O13" i="13"/>
  <c r="N13" i="13"/>
  <c r="M13" i="13"/>
  <c r="L13" i="13"/>
  <c r="K13" i="13"/>
  <c r="J13" i="13"/>
  <c r="I13" i="13"/>
  <c r="H13" i="13"/>
  <c r="G13" i="13"/>
  <c r="F13" i="13"/>
  <c r="E13" i="13"/>
  <c r="D13" i="13"/>
  <c r="C13" i="13"/>
  <c r="P12" i="13"/>
  <c r="O12" i="13"/>
  <c r="N12" i="13"/>
  <c r="M12" i="13"/>
  <c r="L12" i="13"/>
  <c r="K12" i="13"/>
  <c r="J12" i="13"/>
  <c r="I12" i="13"/>
  <c r="H12" i="13"/>
  <c r="G12" i="13"/>
  <c r="F12" i="13"/>
  <c r="E12" i="13"/>
  <c r="D12" i="13"/>
  <c r="C12" i="13"/>
  <c r="P11" i="13"/>
  <c r="O11" i="13"/>
  <c r="N11" i="13"/>
  <c r="M11" i="13"/>
  <c r="L11" i="13"/>
  <c r="K11" i="13"/>
  <c r="J11" i="13"/>
  <c r="I11" i="13"/>
  <c r="H11" i="13"/>
  <c r="G11" i="13"/>
  <c r="F11" i="13"/>
  <c r="E11" i="13"/>
  <c r="D11" i="13"/>
  <c r="C11" i="13"/>
  <c r="O4" i="13"/>
  <c r="F4" i="13" s="1"/>
  <c r="H4" i="13"/>
  <c r="L21" i="12"/>
  <c r="K21" i="12"/>
  <c r="J21" i="12"/>
  <c r="G25" i="12"/>
  <c r="F25" i="12"/>
  <c r="E25" i="12"/>
  <c r="D25" i="12"/>
  <c r="C25" i="12"/>
  <c r="L20" i="12"/>
  <c r="K20" i="12"/>
  <c r="J20" i="12"/>
  <c r="G24" i="12"/>
  <c r="F24" i="12"/>
  <c r="E24" i="12"/>
  <c r="D24" i="12"/>
  <c r="F15" i="11"/>
  <c r="F17" i="11" s="1"/>
  <c r="D22" i="11" s="1"/>
  <c r="C5" i="11"/>
  <c r="C4" i="11"/>
  <c r="I1237" i="10"/>
  <c r="E1237" i="10"/>
  <c r="I1236" i="10"/>
  <c r="E1236" i="10"/>
  <c r="I1235" i="10"/>
  <c r="E1235" i="10"/>
  <c r="I1234" i="10"/>
  <c r="E1234" i="10"/>
  <c r="I1233" i="10"/>
  <c r="E1233" i="10"/>
  <c r="I1232" i="10"/>
  <c r="E1232" i="10"/>
  <c r="I1231" i="10"/>
  <c r="E1231" i="10"/>
  <c r="I1230" i="10"/>
  <c r="E1230" i="10"/>
  <c r="I1229" i="10"/>
  <c r="E1229" i="10"/>
  <c r="I1228" i="10"/>
  <c r="E1228" i="10"/>
  <c r="I1227" i="10"/>
  <c r="E1227" i="10"/>
  <c r="I1226" i="10"/>
  <c r="E1226" i="10"/>
  <c r="I1225" i="10"/>
  <c r="E1225" i="10"/>
  <c r="I1224" i="10"/>
  <c r="E1224" i="10"/>
  <c r="I1223" i="10"/>
  <c r="E1223" i="10"/>
  <c r="I1222" i="10"/>
  <c r="E1222" i="10"/>
  <c r="I1221" i="10"/>
  <c r="E1221" i="10"/>
  <c r="I1220" i="10"/>
  <c r="E1220" i="10"/>
  <c r="I1219" i="10"/>
  <c r="E1219" i="10"/>
  <c r="I1218" i="10"/>
  <c r="E1218" i="10"/>
  <c r="I1217" i="10"/>
  <c r="E1217" i="10"/>
  <c r="I1216" i="10"/>
  <c r="E1216" i="10"/>
  <c r="I1215" i="10"/>
  <c r="E1215" i="10"/>
  <c r="I1214" i="10"/>
  <c r="E1214" i="10"/>
  <c r="I1213" i="10"/>
  <c r="E1213" i="10"/>
  <c r="I1212" i="10"/>
  <c r="E1212" i="10"/>
  <c r="I1211" i="10"/>
  <c r="E1211" i="10"/>
  <c r="I1210" i="10"/>
  <c r="E1210" i="10"/>
  <c r="I1209" i="10"/>
  <c r="E1209" i="10"/>
  <c r="I1208" i="10"/>
  <c r="E1208" i="10"/>
  <c r="I1207" i="10"/>
  <c r="E1207" i="10"/>
  <c r="I1206" i="10"/>
  <c r="E1206" i="10"/>
  <c r="I1205" i="10"/>
  <c r="E1205" i="10"/>
  <c r="I1204" i="10"/>
  <c r="E1204" i="10"/>
  <c r="I1203" i="10"/>
  <c r="E1203" i="10"/>
  <c r="I1202" i="10"/>
  <c r="E1202" i="10"/>
  <c r="I1201" i="10"/>
  <c r="E1201" i="10"/>
  <c r="I1200" i="10"/>
  <c r="E1200" i="10"/>
  <c r="I1199" i="10"/>
  <c r="E1199" i="10"/>
  <c r="I1198" i="10"/>
  <c r="E1198" i="10"/>
  <c r="I1197" i="10"/>
  <c r="E1197" i="10"/>
  <c r="I1196" i="10"/>
  <c r="E1196" i="10"/>
  <c r="I1195" i="10"/>
  <c r="E1195" i="10"/>
  <c r="I1194" i="10"/>
  <c r="E1194" i="10"/>
  <c r="I1193" i="10"/>
  <c r="E1193" i="10"/>
  <c r="I1192" i="10"/>
  <c r="E1192" i="10"/>
  <c r="I1191" i="10"/>
  <c r="E1191" i="10"/>
  <c r="I1190" i="10"/>
  <c r="E1190" i="10"/>
  <c r="I1189" i="10"/>
  <c r="E1189" i="10"/>
  <c r="I1188" i="10"/>
  <c r="E1188" i="10"/>
  <c r="I1187" i="10"/>
  <c r="E1187" i="10"/>
  <c r="I1186" i="10"/>
  <c r="E1186" i="10"/>
  <c r="I1185" i="10"/>
  <c r="E1185" i="10"/>
  <c r="I1184" i="10"/>
  <c r="E1184" i="10"/>
  <c r="I1183" i="10"/>
  <c r="E1183" i="10"/>
  <c r="I1182" i="10"/>
  <c r="E1182" i="10"/>
  <c r="I1181" i="10"/>
  <c r="E1181" i="10"/>
  <c r="I1180" i="10"/>
  <c r="E1180" i="10"/>
  <c r="I1179" i="10"/>
  <c r="E1179" i="10"/>
  <c r="I1178" i="10"/>
  <c r="E1178" i="10"/>
  <c r="I1177" i="10"/>
  <c r="E1177" i="10"/>
  <c r="I1176" i="10"/>
  <c r="E1176" i="10"/>
  <c r="I1175" i="10"/>
  <c r="E1175" i="10"/>
  <c r="I1174" i="10"/>
  <c r="E1174" i="10"/>
  <c r="I1173" i="10"/>
  <c r="E1173" i="10"/>
  <c r="I1172" i="10"/>
  <c r="E1172" i="10"/>
  <c r="I1171" i="10"/>
  <c r="E1171" i="10"/>
  <c r="I1170" i="10"/>
  <c r="E1170" i="10"/>
  <c r="I1169" i="10"/>
  <c r="E1169" i="10"/>
  <c r="I1168" i="10"/>
  <c r="E1168" i="10"/>
  <c r="I1167" i="10"/>
  <c r="E1167" i="10"/>
  <c r="I1166" i="10"/>
  <c r="E1166" i="10"/>
  <c r="I1165" i="10"/>
  <c r="E1165" i="10"/>
  <c r="I1164" i="10"/>
  <c r="E1164" i="10"/>
  <c r="I1163" i="10"/>
  <c r="E1163" i="10"/>
  <c r="I1162" i="10"/>
  <c r="E1162" i="10"/>
  <c r="I1161" i="10"/>
  <c r="E1161" i="10"/>
  <c r="I1160" i="10"/>
  <c r="E1160" i="10"/>
  <c r="I1159" i="10"/>
  <c r="E1159" i="10"/>
  <c r="I1158" i="10"/>
  <c r="E1158" i="10"/>
  <c r="I1157" i="10"/>
  <c r="E1157" i="10"/>
  <c r="I1156" i="10"/>
  <c r="E1156" i="10"/>
  <c r="I1155" i="10"/>
  <c r="E1155" i="10"/>
  <c r="I1154" i="10"/>
  <c r="E1154" i="10"/>
  <c r="I1153" i="10"/>
  <c r="E1153" i="10"/>
  <c r="I1152" i="10"/>
  <c r="E1152" i="10"/>
  <c r="I1151" i="10"/>
  <c r="E1151" i="10"/>
  <c r="I1150" i="10"/>
  <c r="E1150" i="10"/>
  <c r="I1149" i="10"/>
  <c r="E1149" i="10"/>
  <c r="I1148" i="10"/>
  <c r="E1148" i="10"/>
  <c r="I1147" i="10"/>
  <c r="E1147" i="10"/>
  <c r="I1146" i="10"/>
  <c r="E1146" i="10"/>
  <c r="I1145" i="10"/>
  <c r="E1145" i="10"/>
  <c r="I1144" i="10"/>
  <c r="E1144" i="10"/>
  <c r="I1143" i="10"/>
  <c r="E1143" i="10"/>
  <c r="I1142" i="10"/>
  <c r="E1142" i="10"/>
  <c r="I1141" i="10"/>
  <c r="E1141" i="10"/>
  <c r="I1140" i="10"/>
  <c r="E1140" i="10"/>
  <c r="I1139" i="10"/>
  <c r="E1139" i="10"/>
  <c r="I1138" i="10"/>
  <c r="E1138" i="10"/>
  <c r="I1137" i="10"/>
  <c r="E1137" i="10"/>
  <c r="I1136" i="10"/>
  <c r="E1136" i="10"/>
  <c r="I1135" i="10"/>
  <c r="E1135" i="10"/>
  <c r="I1134" i="10"/>
  <c r="E1134" i="10"/>
  <c r="I1133" i="10"/>
  <c r="E1133" i="10"/>
  <c r="I1132" i="10"/>
  <c r="E1132" i="10"/>
  <c r="I1131" i="10"/>
  <c r="E1131" i="10"/>
  <c r="I1130" i="10"/>
  <c r="E1130" i="10"/>
  <c r="I1129" i="10"/>
  <c r="E1129" i="10"/>
  <c r="I1128" i="10"/>
  <c r="E1128" i="10"/>
  <c r="I1127" i="10"/>
  <c r="E1127" i="10"/>
  <c r="I1126" i="10"/>
  <c r="E1126" i="10"/>
  <c r="I1125" i="10"/>
  <c r="E1125" i="10"/>
  <c r="I1124" i="10"/>
  <c r="E1124" i="10"/>
  <c r="I1123" i="10"/>
  <c r="E1123" i="10"/>
  <c r="I1122" i="10"/>
  <c r="E1122" i="10"/>
  <c r="I1121" i="10"/>
  <c r="E1121" i="10"/>
  <c r="I1120" i="10"/>
  <c r="E1120" i="10"/>
  <c r="I1119" i="10"/>
  <c r="E1119" i="10"/>
  <c r="I1118" i="10"/>
  <c r="E1118" i="10"/>
  <c r="I1117" i="10"/>
  <c r="E1117" i="10"/>
  <c r="I1116" i="10"/>
  <c r="E1116" i="10"/>
  <c r="I1115" i="10"/>
  <c r="E1115" i="10"/>
  <c r="I1114" i="10"/>
  <c r="E1114" i="10"/>
  <c r="I1113" i="10"/>
  <c r="E1113" i="10"/>
  <c r="I1112" i="10"/>
  <c r="E1112" i="10"/>
  <c r="I1111" i="10"/>
  <c r="E1111" i="10"/>
  <c r="I1110" i="10"/>
  <c r="E1110" i="10"/>
  <c r="I1109" i="10"/>
  <c r="E1109" i="10"/>
  <c r="I1108" i="10"/>
  <c r="E1108" i="10"/>
  <c r="I1107" i="10"/>
  <c r="E1107" i="10"/>
  <c r="I1106" i="10"/>
  <c r="E1106" i="10"/>
  <c r="I1105" i="10"/>
  <c r="E1105" i="10"/>
  <c r="I1104" i="10"/>
  <c r="E1104" i="10"/>
  <c r="I1103" i="10"/>
  <c r="E1103" i="10"/>
  <c r="I1102" i="10"/>
  <c r="E1102" i="10"/>
  <c r="I1101" i="10"/>
  <c r="E1101" i="10"/>
  <c r="I1100" i="10"/>
  <c r="E1100" i="10"/>
  <c r="I1099" i="10"/>
  <c r="E1099" i="10"/>
  <c r="I1098" i="10"/>
  <c r="E1098" i="10"/>
  <c r="I1097" i="10"/>
  <c r="E1097" i="10"/>
  <c r="I1096" i="10"/>
  <c r="E1096" i="10"/>
  <c r="I1095" i="10"/>
  <c r="E1095" i="10"/>
  <c r="I1094" i="10"/>
  <c r="E1094" i="10"/>
  <c r="I1093" i="10"/>
  <c r="E1093" i="10"/>
  <c r="I1092" i="10"/>
  <c r="E1092" i="10"/>
  <c r="I1091" i="10"/>
  <c r="E1091" i="10"/>
  <c r="I1090" i="10"/>
  <c r="E1090" i="10"/>
  <c r="I1089" i="10"/>
  <c r="E1089" i="10"/>
  <c r="I1088" i="10"/>
  <c r="E1088" i="10"/>
  <c r="I1087" i="10"/>
  <c r="E1087" i="10"/>
  <c r="I1086" i="10"/>
  <c r="E1086" i="10"/>
  <c r="I1085" i="10"/>
  <c r="E1085" i="10"/>
  <c r="I1084" i="10"/>
  <c r="E1084" i="10"/>
  <c r="I1083" i="10"/>
  <c r="E1083" i="10"/>
  <c r="I1082" i="10"/>
  <c r="E1082" i="10"/>
  <c r="I1081" i="10"/>
  <c r="E1081" i="10"/>
  <c r="I1080" i="10"/>
  <c r="E1080" i="10"/>
  <c r="I1079" i="10"/>
  <c r="E1079" i="10"/>
  <c r="I1078" i="10"/>
  <c r="E1078" i="10"/>
  <c r="I1077" i="10"/>
  <c r="E1077" i="10"/>
  <c r="I1076" i="10"/>
  <c r="E1076" i="10"/>
  <c r="I1075" i="10"/>
  <c r="E1075" i="10"/>
  <c r="I1074" i="10"/>
  <c r="E1074" i="10"/>
  <c r="I1073" i="10"/>
  <c r="E1073" i="10"/>
  <c r="I1072" i="10"/>
  <c r="E1072" i="10"/>
  <c r="I1071" i="10"/>
  <c r="E1071" i="10"/>
  <c r="I1070" i="10"/>
  <c r="E1070" i="10"/>
  <c r="I1069" i="10"/>
  <c r="E1069" i="10"/>
  <c r="I1068" i="10"/>
  <c r="E1068" i="10"/>
  <c r="I1067" i="10"/>
  <c r="E1067" i="10"/>
  <c r="I1066" i="10"/>
  <c r="E1066" i="10"/>
  <c r="I1065" i="10"/>
  <c r="E1065" i="10"/>
  <c r="I1064" i="10"/>
  <c r="E1064" i="10"/>
  <c r="I1063" i="10"/>
  <c r="E1063" i="10"/>
  <c r="I1062" i="10"/>
  <c r="E1062" i="10"/>
  <c r="I1061" i="10"/>
  <c r="E1061" i="10"/>
  <c r="I1060" i="10"/>
  <c r="E1060" i="10"/>
  <c r="I1059" i="10"/>
  <c r="E1059" i="10"/>
  <c r="I1058" i="10"/>
  <c r="E1058" i="10"/>
  <c r="I1057" i="10"/>
  <c r="E1057" i="10"/>
  <c r="I1056" i="10"/>
  <c r="E1056" i="10"/>
  <c r="I1055" i="10"/>
  <c r="E1055" i="10"/>
  <c r="I1054" i="10"/>
  <c r="E1054" i="10"/>
  <c r="I1053" i="10"/>
  <c r="E1053" i="10"/>
  <c r="I1052" i="10"/>
  <c r="E1052" i="10"/>
  <c r="I1051" i="10"/>
  <c r="E1051" i="10"/>
  <c r="I1050" i="10"/>
  <c r="E1050" i="10"/>
  <c r="I1049" i="10"/>
  <c r="E1049" i="10"/>
  <c r="I1048" i="10"/>
  <c r="E1048" i="10"/>
  <c r="I1047" i="10"/>
  <c r="E1047" i="10"/>
  <c r="I1046" i="10"/>
  <c r="E1046" i="10"/>
  <c r="I1045" i="10"/>
  <c r="E1045" i="10"/>
  <c r="I1044" i="10"/>
  <c r="E1044" i="10"/>
  <c r="I1043" i="10"/>
  <c r="E1043" i="10"/>
  <c r="I1042" i="10"/>
  <c r="E1042" i="10"/>
  <c r="I1041" i="10"/>
  <c r="E1041" i="10"/>
  <c r="I1040" i="10"/>
  <c r="E1040" i="10"/>
  <c r="I1039" i="10"/>
  <c r="E1039" i="10"/>
  <c r="I1038" i="10"/>
  <c r="E1038" i="10"/>
  <c r="I1037" i="10"/>
  <c r="E1037" i="10"/>
  <c r="I1036" i="10"/>
  <c r="E1036" i="10"/>
  <c r="I1035" i="10"/>
  <c r="E1035" i="10"/>
  <c r="I1034" i="10"/>
  <c r="E1034" i="10"/>
  <c r="I1033" i="10"/>
  <c r="E1033" i="10"/>
  <c r="I1032" i="10"/>
  <c r="E1032" i="10"/>
  <c r="I1031" i="10"/>
  <c r="E1031" i="10"/>
  <c r="I1030" i="10"/>
  <c r="E1030" i="10"/>
  <c r="I1029" i="10"/>
  <c r="E1029" i="10"/>
  <c r="I1028" i="10"/>
  <c r="E1028" i="10"/>
  <c r="I1027" i="10"/>
  <c r="E1027" i="10"/>
  <c r="I1026" i="10"/>
  <c r="E1026" i="10"/>
  <c r="I1025" i="10"/>
  <c r="E1025" i="10"/>
  <c r="I1024" i="10"/>
  <c r="E1024" i="10"/>
  <c r="I1023" i="10"/>
  <c r="E1023" i="10"/>
  <c r="I1022" i="10"/>
  <c r="E1022" i="10"/>
  <c r="I1021" i="10"/>
  <c r="E1021" i="10"/>
  <c r="I1020" i="10"/>
  <c r="E1020" i="10"/>
  <c r="I1019" i="10"/>
  <c r="E1019" i="10"/>
  <c r="I1018" i="10"/>
  <c r="E1018" i="10"/>
  <c r="I1017" i="10"/>
  <c r="E1017" i="10"/>
  <c r="I1016" i="10"/>
  <c r="E1016" i="10"/>
  <c r="I1015" i="10"/>
  <c r="E1015" i="10"/>
  <c r="I1014" i="10"/>
  <c r="E1014" i="10"/>
  <c r="I1013" i="10"/>
  <c r="E1013" i="10"/>
  <c r="I1012" i="10"/>
  <c r="E1012" i="10"/>
  <c r="I1011" i="10"/>
  <c r="E1011" i="10"/>
  <c r="I1010" i="10"/>
  <c r="E1010" i="10"/>
  <c r="I1009" i="10"/>
  <c r="E1009" i="10"/>
  <c r="I1008" i="10"/>
  <c r="E1008" i="10"/>
  <c r="I1007" i="10"/>
  <c r="E1007" i="10"/>
  <c r="I1006" i="10"/>
  <c r="E1006" i="10"/>
  <c r="I1005" i="10"/>
  <c r="E1005" i="10"/>
  <c r="I1004" i="10"/>
  <c r="E1004" i="10"/>
  <c r="I1003" i="10"/>
  <c r="E1003" i="10"/>
  <c r="I1002" i="10"/>
  <c r="E1002" i="10"/>
  <c r="I1001" i="10"/>
  <c r="E1001" i="10"/>
  <c r="I1000" i="10"/>
  <c r="E1000" i="10"/>
  <c r="I999" i="10"/>
  <c r="E999" i="10"/>
  <c r="I998" i="10"/>
  <c r="E998" i="10"/>
  <c r="I997" i="10"/>
  <c r="E997" i="10"/>
  <c r="I996" i="10"/>
  <c r="E996" i="10"/>
  <c r="I995" i="10"/>
  <c r="E995" i="10"/>
  <c r="I994" i="10"/>
  <c r="E994" i="10"/>
  <c r="I993" i="10"/>
  <c r="E993" i="10"/>
  <c r="I992" i="10"/>
  <c r="E992" i="10"/>
  <c r="I991" i="10"/>
  <c r="E991" i="10"/>
  <c r="I990" i="10"/>
  <c r="E990" i="10"/>
  <c r="I989" i="10"/>
  <c r="E989" i="10"/>
  <c r="I988" i="10"/>
  <c r="E988" i="10"/>
  <c r="I987" i="10"/>
  <c r="E987" i="10"/>
  <c r="I986" i="10"/>
  <c r="E986" i="10"/>
  <c r="I985" i="10"/>
  <c r="E985" i="10"/>
  <c r="I984" i="10"/>
  <c r="E984" i="10"/>
  <c r="I983" i="10"/>
  <c r="E983" i="10"/>
  <c r="I982" i="10"/>
  <c r="E982" i="10"/>
  <c r="I981" i="10"/>
  <c r="E981" i="10"/>
  <c r="I980" i="10"/>
  <c r="E980" i="10"/>
  <c r="I979" i="10"/>
  <c r="E979" i="10"/>
  <c r="I978" i="10"/>
  <c r="E978" i="10"/>
  <c r="I977" i="10"/>
  <c r="E977" i="10"/>
  <c r="I976" i="10"/>
  <c r="E976" i="10"/>
  <c r="I975" i="10"/>
  <c r="E975" i="10"/>
  <c r="I974" i="10"/>
  <c r="E974" i="10"/>
  <c r="I973" i="10"/>
  <c r="E973" i="10"/>
  <c r="I972" i="10"/>
  <c r="E972" i="10"/>
  <c r="I971" i="10"/>
  <c r="E971" i="10"/>
  <c r="I970" i="10"/>
  <c r="E970" i="10"/>
  <c r="I969" i="10"/>
  <c r="E969" i="10"/>
  <c r="I968" i="10"/>
  <c r="E968" i="10"/>
  <c r="I967" i="10"/>
  <c r="E967" i="10"/>
  <c r="I966" i="10"/>
  <c r="E966" i="10"/>
  <c r="I965" i="10"/>
  <c r="E965" i="10"/>
  <c r="I964" i="10"/>
  <c r="E964" i="10"/>
  <c r="I963" i="10"/>
  <c r="E963" i="10"/>
  <c r="I962" i="10"/>
  <c r="E962" i="10"/>
  <c r="I961" i="10"/>
  <c r="E961" i="10"/>
  <c r="I960" i="10"/>
  <c r="E960" i="10"/>
  <c r="I959" i="10"/>
  <c r="E959" i="10"/>
  <c r="I958" i="10"/>
  <c r="E958" i="10"/>
  <c r="I957" i="10"/>
  <c r="E957" i="10"/>
  <c r="I956" i="10"/>
  <c r="E956" i="10"/>
  <c r="I955" i="10"/>
  <c r="E955" i="10"/>
  <c r="I954" i="10"/>
  <c r="E954" i="10"/>
  <c r="I953" i="10"/>
  <c r="E953" i="10"/>
  <c r="I952" i="10"/>
  <c r="E952" i="10"/>
  <c r="I951" i="10"/>
  <c r="E951" i="10"/>
  <c r="I950" i="10"/>
  <c r="E950" i="10"/>
  <c r="I949" i="10"/>
  <c r="E949" i="10"/>
  <c r="I948" i="10"/>
  <c r="E948" i="10"/>
  <c r="I947" i="10"/>
  <c r="E947" i="10"/>
  <c r="I946" i="10"/>
  <c r="E946" i="10"/>
  <c r="I945" i="10"/>
  <c r="E945" i="10"/>
  <c r="I944" i="10"/>
  <c r="E944" i="10"/>
  <c r="I943" i="10"/>
  <c r="E943" i="10"/>
  <c r="I942" i="10"/>
  <c r="E942" i="10"/>
  <c r="I941" i="10"/>
  <c r="E941" i="10"/>
  <c r="I940" i="10"/>
  <c r="E940" i="10"/>
  <c r="I939" i="10"/>
  <c r="E939" i="10"/>
  <c r="I938" i="10"/>
  <c r="E938" i="10"/>
  <c r="I937" i="10"/>
  <c r="E937" i="10"/>
  <c r="I936" i="10"/>
  <c r="E936" i="10"/>
  <c r="I935" i="10"/>
  <c r="E935" i="10"/>
  <c r="I934" i="10"/>
  <c r="E934" i="10"/>
  <c r="I933" i="10"/>
  <c r="E933" i="10"/>
  <c r="I932" i="10"/>
  <c r="E932" i="10"/>
  <c r="I931" i="10"/>
  <c r="E931" i="10"/>
  <c r="I930" i="10"/>
  <c r="E930" i="10"/>
  <c r="I929" i="10"/>
  <c r="E929" i="10"/>
  <c r="I928" i="10"/>
  <c r="E928" i="10"/>
  <c r="I927" i="10"/>
  <c r="E927" i="10"/>
  <c r="I926" i="10"/>
  <c r="E926" i="10"/>
  <c r="I925" i="10"/>
  <c r="E925" i="10"/>
  <c r="I924" i="10"/>
  <c r="E924" i="10"/>
  <c r="I923" i="10"/>
  <c r="E923" i="10"/>
  <c r="I922" i="10"/>
  <c r="E922" i="10"/>
  <c r="I921" i="10"/>
  <c r="E921" i="10"/>
  <c r="I920" i="10"/>
  <c r="E920" i="10"/>
  <c r="I919" i="10"/>
  <c r="E919" i="10"/>
  <c r="I918" i="10"/>
  <c r="E918" i="10"/>
  <c r="I917" i="10"/>
  <c r="E917" i="10"/>
  <c r="I916" i="10"/>
  <c r="E916" i="10"/>
  <c r="I915" i="10"/>
  <c r="E915" i="10"/>
  <c r="I914" i="10"/>
  <c r="E914" i="10"/>
  <c r="I913" i="10"/>
  <c r="E913" i="10"/>
  <c r="I912" i="10"/>
  <c r="E912" i="10"/>
  <c r="I911" i="10"/>
  <c r="E911" i="10"/>
  <c r="I910" i="10"/>
  <c r="E910" i="10"/>
  <c r="I909" i="10"/>
  <c r="E909" i="10"/>
  <c r="I908" i="10"/>
  <c r="E908" i="10"/>
  <c r="I907" i="10"/>
  <c r="E907" i="10"/>
  <c r="I906" i="10"/>
  <c r="E906" i="10"/>
  <c r="I905" i="10"/>
  <c r="E905" i="10"/>
  <c r="I904" i="10"/>
  <c r="E904" i="10"/>
  <c r="I903" i="10"/>
  <c r="E903" i="10"/>
  <c r="I902" i="10"/>
  <c r="E902" i="10"/>
  <c r="I901" i="10"/>
  <c r="E901" i="10"/>
  <c r="I900" i="10"/>
  <c r="E900" i="10"/>
  <c r="I899" i="10"/>
  <c r="E899" i="10"/>
  <c r="I898" i="10"/>
  <c r="E898" i="10"/>
  <c r="I897" i="10"/>
  <c r="E897" i="10"/>
  <c r="I896" i="10"/>
  <c r="E896" i="10"/>
  <c r="I895" i="10"/>
  <c r="E895" i="10"/>
  <c r="I894" i="10"/>
  <c r="E894" i="10"/>
  <c r="I893" i="10"/>
  <c r="E893" i="10"/>
  <c r="I892" i="10"/>
  <c r="E892" i="10"/>
  <c r="I891" i="10"/>
  <c r="E891" i="10"/>
  <c r="I890" i="10"/>
  <c r="E890" i="10"/>
  <c r="I889" i="10"/>
  <c r="E889" i="10"/>
  <c r="I888" i="10"/>
  <c r="E888" i="10"/>
  <c r="I887" i="10"/>
  <c r="E887" i="10"/>
  <c r="I886" i="10"/>
  <c r="E886" i="10"/>
  <c r="I885" i="10"/>
  <c r="E885" i="10"/>
  <c r="I884" i="10"/>
  <c r="E884" i="10"/>
  <c r="I883" i="10"/>
  <c r="E883" i="10"/>
  <c r="I882" i="10"/>
  <c r="E882" i="10"/>
  <c r="I881" i="10"/>
  <c r="E881" i="10"/>
  <c r="I880" i="10"/>
  <c r="E880" i="10"/>
  <c r="I879" i="10"/>
  <c r="E879" i="10"/>
  <c r="I878" i="10"/>
  <c r="E878" i="10"/>
  <c r="I877" i="10"/>
  <c r="E877" i="10"/>
  <c r="I876" i="10"/>
  <c r="E876" i="10"/>
  <c r="I875" i="10"/>
  <c r="E875" i="10"/>
  <c r="I874" i="10"/>
  <c r="E874" i="10"/>
  <c r="I873" i="10"/>
  <c r="E873" i="10"/>
  <c r="I872" i="10"/>
  <c r="E872" i="10"/>
  <c r="I871" i="10"/>
  <c r="E871" i="10"/>
  <c r="I870" i="10"/>
  <c r="E870" i="10"/>
  <c r="I869" i="10"/>
  <c r="E869" i="10"/>
  <c r="I868" i="10"/>
  <c r="E868" i="10"/>
  <c r="I867" i="10"/>
  <c r="E867" i="10"/>
  <c r="I866" i="10"/>
  <c r="E866" i="10"/>
  <c r="I865" i="10"/>
  <c r="E865" i="10"/>
  <c r="I864" i="10"/>
  <c r="E864" i="10"/>
  <c r="I863" i="10"/>
  <c r="E863" i="10"/>
  <c r="I862" i="10"/>
  <c r="E862" i="10"/>
  <c r="I861" i="10"/>
  <c r="E861" i="10"/>
  <c r="I860" i="10"/>
  <c r="E860" i="10"/>
  <c r="I859" i="10"/>
  <c r="E859" i="10"/>
  <c r="I858" i="10"/>
  <c r="E858" i="10"/>
  <c r="I857" i="10"/>
  <c r="E857" i="10"/>
  <c r="I856" i="10"/>
  <c r="E856" i="10"/>
  <c r="I855" i="10"/>
  <c r="E855" i="10"/>
  <c r="I854" i="10"/>
  <c r="E854" i="10"/>
  <c r="I853" i="10"/>
  <c r="E853" i="10"/>
  <c r="I852" i="10"/>
  <c r="E852" i="10"/>
  <c r="I851" i="10"/>
  <c r="E851" i="10"/>
  <c r="I850" i="10"/>
  <c r="E850" i="10"/>
  <c r="I849" i="10"/>
  <c r="E849" i="10"/>
  <c r="I848" i="10"/>
  <c r="E848" i="10"/>
  <c r="I847" i="10"/>
  <c r="E847" i="10"/>
  <c r="I846" i="10"/>
  <c r="E846" i="10"/>
  <c r="I845" i="10"/>
  <c r="E845" i="10"/>
  <c r="I844" i="10"/>
  <c r="E844" i="10"/>
  <c r="I843" i="10"/>
  <c r="E843" i="10"/>
  <c r="I842" i="10"/>
  <c r="E842" i="10"/>
  <c r="I841" i="10"/>
  <c r="E841" i="10"/>
  <c r="I840" i="10"/>
  <c r="E840" i="10"/>
  <c r="I839" i="10"/>
  <c r="E839" i="10"/>
  <c r="I838" i="10"/>
  <c r="E838" i="10"/>
  <c r="I837" i="10"/>
  <c r="E837" i="10"/>
  <c r="I836" i="10"/>
  <c r="E836" i="10"/>
  <c r="I835" i="10"/>
  <c r="E835" i="10"/>
  <c r="I834" i="10"/>
  <c r="E834" i="10"/>
  <c r="I833" i="10"/>
  <c r="E833" i="10"/>
  <c r="I832" i="10"/>
  <c r="E832" i="10"/>
  <c r="I831" i="10"/>
  <c r="E831" i="10"/>
  <c r="I830" i="10"/>
  <c r="E830" i="10"/>
  <c r="I829" i="10"/>
  <c r="E829" i="10"/>
  <c r="I828" i="10"/>
  <c r="E828" i="10"/>
  <c r="I827" i="10"/>
  <c r="E827" i="10"/>
  <c r="I826" i="10"/>
  <c r="E826" i="10"/>
  <c r="I825" i="10"/>
  <c r="E825" i="10"/>
  <c r="I824" i="10"/>
  <c r="E824" i="10"/>
  <c r="I823" i="10"/>
  <c r="E823" i="10"/>
  <c r="I822" i="10"/>
  <c r="E822" i="10"/>
  <c r="I821" i="10"/>
  <c r="E821" i="10"/>
  <c r="I820" i="10"/>
  <c r="E820" i="10"/>
  <c r="I819" i="10"/>
  <c r="E819" i="10"/>
  <c r="I818" i="10"/>
  <c r="E818" i="10"/>
  <c r="I817" i="10"/>
  <c r="E817" i="10"/>
  <c r="I816" i="10"/>
  <c r="E816" i="10"/>
  <c r="I815" i="10"/>
  <c r="E815" i="10"/>
  <c r="I814" i="10"/>
  <c r="E814" i="10"/>
  <c r="I813" i="10"/>
  <c r="E813" i="10"/>
  <c r="I812" i="10"/>
  <c r="E812" i="10"/>
  <c r="I811" i="10"/>
  <c r="E811" i="10"/>
  <c r="I810" i="10"/>
  <c r="E810" i="10"/>
  <c r="I809" i="10"/>
  <c r="E809" i="10"/>
  <c r="I808" i="10"/>
  <c r="E808" i="10"/>
  <c r="I807" i="10"/>
  <c r="E807" i="10"/>
  <c r="I806" i="10"/>
  <c r="E806" i="10"/>
  <c r="I805" i="10"/>
  <c r="E805" i="10"/>
  <c r="I804" i="10"/>
  <c r="E804" i="10"/>
  <c r="I803" i="10"/>
  <c r="E803" i="10"/>
  <c r="I802" i="10"/>
  <c r="E802" i="10"/>
  <c r="I801" i="10"/>
  <c r="E801" i="10"/>
  <c r="I800" i="10"/>
  <c r="E800" i="10"/>
  <c r="I799" i="10"/>
  <c r="E799" i="10"/>
  <c r="I798" i="10"/>
  <c r="E798" i="10"/>
  <c r="I797" i="10"/>
  <c r="E797" i="10"/>
  <c r="I796" i="10"/>
  <c r="E796" i="10"/>
  <c r="I795" i="10"/>
  <c r="E795" i="10"/>
  <c r="I794" i="10"/>
  <c r="E794" i="10"/>
  <c r="I793" i="10"/>
  <c r="E793" i="10"/>
  <c r="I792" i="10"/>
  <c r="E792" i="10"/>
  <c r="I791" i="10"/>
  <c r="E791" i="10"/>
  <c r="I790" i="10"/>
  <c r="E790" i="10"/>
  <c r="I789" i="10"/>
  <c r="E789" i="10"/>
  <c r="I788" i="10"/>
  <c r="E788" i="10"/>
  <c r="I787" i="10"/>
  <c r="E787" i="10"/>
  <c r="I786" i="10"/>
  <c r="E786" i="10"/>
  <c r="I785" i="10"/>
  <c r="E785" i="10"/>
  <c r="I784" i="10"/>
  <c r="E784" i="10"/>
  <c r="I783" i="10"/>
  <c r="E783" i="10"/>
  <c r="I782" i="10"/>
  <c r="E782" i="10"/>
  <c r="I781" i="10"/>
  <c r="E781" i="10"/>
  <c r="I780" i="10"/>
  <c r="E780" i="10"/>
  <c r="I779" i="10"/>
  <c r="E779" i="10"/>
  <c r="I778" i="10"/>
  <c r="E778" i="10"/>
  <c r="I777" i="10"/>
  <c r="E777" i="10"/>
  <c r="I776" i="10"/>
  <c r="E776" i="10"/>
  <c r="I775" i="10"/>
  <c r="E775" i="10"/>
  <c r="I774" i="10"/>
  <c r="E774" i="10"/>
  <c r="I773" i="10"/>
  <c r="E773" i="10"/>
  <c r="I772" i="10"/>
  <c r="E772" i="10"/>
  <c r="I771" i="10"/>
  <c r="E771" i="10"/>
  <c r="I770" i="10"/>
  <c r="E770" i="10"/>
  <c r="I769" i="10"/>
  <c r="E769" i="10"/>
  <c r="I768" i="10"/>
  <c r="E768" i="10"/>
  <c r="I767" i="10"/>
  <c r="E767" i="10"/>
  <c r="I766" i="10"/>
  <c r="E766" i="10"/>
  <c r="I765" i="10"/>
  <c r="E765" i="10"/>
  <c r="I764" i="10"/>
  <c r="E764" i="10"/>
  <c r="I763" i="10"/>
  <c r="E763" i="10"/>
  <c r="I762" i="10"/>
  <c r="E762" i="10"/>
  <c r="I761" i="10"/>
  <c r="E761" i="10"/>
  <c r="I760" i="10"/>
  <c r="E760" i="10"/>
  <c r="I759" i="10"/>
  <c r="E759" i="10"/>
  <c r="I758" i="10"/>
  <c r="E758" i="10"/>
  <c r="I757" i="10"/>
  <c r="E757" i="10"/>
  <c r="I756" i="10"/>
  <c r="E756" i="10"/>
  <c r="I755" i="10"/>
  <c r="E755" i="10"/>
  <c r="I754" i="10"/>
  <c r="E754" i="10"/>
  <c r="I753" i="10"/>
  <c r="E753" i="10"/>
  <c r="I752" i="10"/>
  <c r="E752" i="10"/>
  <c r="I751" i="10"/>
  <c r="E751" i="10"/>
  <c r="I750" i="10"/>
  <c r="E750" i="10"/>
  <c r="I749" i="10"/>
  <c r="E749" i="10"/>
  <c r="I748" i="10"/>
  <c r="E748" i="10"/>
  <c r="I747" i="10"/>
  <c r="E747" i="10"/>
  <c r="I746" i="10"/>
  <c r="E746" i="10"/>
  <c r="I745" i="10"/>
  <c r="E745" i="10"/>
  <c r="I744" i="10"/>
  <c r="E744" i="10"/>
  <c r="I743" i="10"/>
  <c r="E743" i="10"/>
  <c r="I742" i="10"/>
  <c r="E742" i="10"/>
  <c r="I741" i="10"/>
  <c r="E741" i="10"/>
  <c r="I740" i="10"/>
  <c r="E740" i="10"/>
  <c r="I739" i="10"/>
  <c r="E739" i="10"/>
  <c r="I738" i="10"/>
  <c r="E738" i="10"/>
  <c r="I737" i="10"/>
  <c r="E737" i="10"/>
  <c r="I736" i="10"/>
  <c r="E736" i="10"/>
  <c r="I735" i="10"/>
  <c r="E735" i="10"/>
  <c r="I734" i="10"/>
  <c r="E734" i="10"/>
  <c r="I733" i="10"/>
  <c r="E733" i="10"/>
  <c r="I732" i="10"/>
  <c r="E732" i="10"/>
  <c r="I731" i="10"/>
  <c r="E731" i="10"/>
  <c r="I730" i="10"/>
  <c r="E730" i="10"/>
  <c r="I729" i="10"/>
  <c r="E729" i="10"/>
  <c r="I728" i="10"/>
  <c r="E728" i="10"/>
  <c r="I727" i="10"/>
  <c r="E727" i="10"/>
  <c r="I726" i="10"/>
  <c r="E726" i="10"/>
  <c r="I725" i="10"/>
  <c r="E725" i="10"/>
  <c r="I724" i="10"/>
  <c r="E724" i="10"/>
  <c r="I723" i="10"/>
  <c r="E723" i="10"/>
  <c r="I722" i="10"/>
  <c r="E722" i="10"/>
  <c r="I721" i="10"/>
  <c r="E721" i="10"/>
  <c r="I720" i="10"/>
  <c r="E720" i="10"/>
  <c r="I719" i="10"/>
  <c r="E719" i="10"/>
  <c r="I718" i="10"/>
  <c r="E718" i="10"/>
  <c r="I717" i="10"/>
  <c r="E717" i="10"/>
  <c r="I716" i="10"/>
  <c r="E716" i="10"/>
  <c r="I715" i="10"/>
  <c r="E715" i="10"/>
  <c r="I714" i="10"/>
  <c r="E714" i="10"/>
  <c r="I713" i="10"/>
  <c r="E713" i="10"/>
  <c r="I712" i="10"/>
  <c r="E712" i="10"/>
  <c r="I711" i="10"/>
  <c r="E711" i="10"/>
  <c r="I710" i="10"/>
  <c r="E710" i="10"/>
  <c r="I709" i="10"/>
  <c r="E709" i="10"/>
  <c r="I708" i="10"/>
  <c r="E708" i="10"/>
  <c r="I707" i="10"/>
  <c r="E707" i="10"/>
  <c r="I706" i="10"/>
  <c r="E706" i="10"/>
  <c r="I705" i="10"/>
  <c r="E705" i="10"/>
  <c r="I704" i="10"/>
  <c r="E704" i="10"/>
  <c r="I703" i="10"/>
  <c r="E703" i="10"/>
  <c r="I702" i="10"/>
  <c r="E702" i="10"/>
  <c r="I701" i="10"/>
  <c r="E701" i="10"/>
  <c r="I700" i="10"/>
  <c r="E700" i="10"/>
  <c r="I699" i="10"/>
  <c r="E699" i="10"/>
  <c r="I698" i="10"/>
  <c r="E698" i="10"/>
  <c r="I697" i="10"/>
  <c r="E697" i="10"/>
  <c r="I696" i="10"/>
  <c r="E696" i="10"/>
  <c r="I695" i="10"/>
  <c r="E695" i="10"/>
  <c r="I694" i="10"/>
  <c r="E694" i="10"/>
  <c r="I693" i="10"/>
  <c r="E693" i="10"/>
  <c r="I692" i="10"/>
  <c r="E692" i="10"/>
  <c r="I691" i="10"/>
  <c r="E691" i="10"/>
  <c r="I690" i="10"/>
  <c r="E690" i="10"/>
  <c r="I689" i="10"/>
  <c r="E689" i="10"/>
  <c r="I688" i="10"/>
  <c r="E688" i="10"/>
  <c r="I687" i="10"/>
  <c r="E687" i="10"/>
  <c r="I686" i="10"/>
  <c r="E686" i="10"/>
  <c r="I685" i="10"/>
  <c r="E685" i="10"/>
  <c r="I684" i="10"/>
  <c r="E684" i="10"/>
  <c r="I683" i="10"/>
  <c r="E683" i="10"/>
  <c r="I682" i="10"/>
  <c r="E682" i="10"/>
  <c r="I681" i="10"/>
  <c r="E681" i="10"/>
  <c r="I680" i="10"/>
  <c r="E680" i="10"/>
  <c r="I679" i="10"/>
  <c r="E679" i="10"/>
  <c r="I678" i="10"/>
  <c r="E678" i="10"/>
  <c r="I677" i="10"/>
  <c r="E677" i="10"/>
  <c r="I676" i="10"/>
  <c r="E676" i="10"/>
  <c r="I675" i="10"/>
  <c r="E675" i="10"/>
  <c r="I674" i="10"/>
  <c r="E674" i="10"/>
  <c r="I673" i="10"/>
  <c r="E673" i="10"/>
  <c r="I672" i="10"/>
  <c r="E672" i="10"/>
  <c r="I671" i="10"/>
  <c r="E671" i="10"/>
  <c r="I670" i="10"/>
  <c r="E670" i="10"/>
  <c r="I669" i="10"/>
  <c r="E669" i="10"/>
  <c r="I668" i="10"/>
  <c r="E668" i="10"/>
  <c r="I667" i="10"/>
  <c r="E667" i="10"/>
  <c r="I666" i="10"/>
  <c r="E666" i="10"/>
  <c r="I665" i="10"/>
  <c r="E665" i="10"/>
  <c r="I664" i="10"/>
  <c r="E664" i="10"/>
  <c r="I663" i="10"/>
  <c r="E663" i="10"/>
  <c r="I662" i="10"/>
  <c r="E662" i="10"/>
  <c r="I661" i="10"/>
  <c r="E661" i="10"/>
  <c r="I660" i="10"/>
  <c r="E660" i="10"/>
  <c r="I659" i="10"/>
  <c r="E659" i="10"/>
  <c r="I658" i="10"/>
  <c r="E658" i="10"/>
  <c r="I657" i="10"/>
  <c r="E657" i="10"/>
  <c r="I656" i="10"/>
  <c r="E656" i="10"/>
  <c r="I655" i="10"/>
  <c r="E655" i="10"/>
  <c r="I654" i="10"/>
  <c r="E654" i="10"/>
  <c r="I653" i="10"/>
  <c r="E653" i="10"/>
  <c r="I652" i="10"/>
  <c r="E652" i="10"/>
  <c r="I651" i="10"/>
  <c r="E651" i="10"/>
  <c r="I650" i="10"/>
  <c r="E650" i="10"/>
  <c r="I649" i="10"/>
  <c r="E649" i="10"/>
  <c r="I648" i="10"/>
  <c r="E648" i="10"/>
  <c r="I647" i="10"/>
  <c r="E647" i="10"/>
  <c r="I646" i="10"/>
  <c r="E646" i="10"/>
  <c r="I645" i="10"/>
  <c r="E645" i="10"/>
  <c r="I644" i="10"/>
  <c r="E644" i="10"/>
  <c r="I643" i="10"/>
  <c r="E643" i="10"/>
  <c r="I642" i="10"/>
  <c r="E642" i="10"/>
  <c r="I641" i="10"/>
  <c r="E641" i="10"/>
  <c r="I640" i="10"/>
  <c r="E640" i="10"/>
  <c r="I639" i="10"/>
  <c r="E639" i="10"/>
  <c r="I638" i="10"/>
  <c r="E638" i="10"/>
  <c r="I637" i="10"/>
  <c r="E637" i="10"/>
  <c r="I636" i="10"/>
  <c r="E636" i="10"/>
  <c r="I635" i="10"/>
  <c r="E635" i="10"/>
  <c r="I634" i="10"/>
  <c r="E634" i="10"/>
  <c r="I633" i="10"/>
  <c r="E633" i="10"/>
  <c r="I632" i="10"/>
  <c r="E632" i="10"/>
  <c r="I631" i="10"/>
  <c r="E631" i="10"/>
  <c r="I630" i="10"/>
  <c r="E630" i="10"/>
  <c r="I629" i="10"/>
  <c r="E629" i="10"/>
  <c r="I628" i="10"/>
  <c r="E628" i="10"/>
  <c r="I627" i="10"/>
  <c r="E627" i="10"/>
  <c r="I626" i="10"/>
  <c r="E626" i="10"/>
  <c r="I625" i="10"/>
  <c r="E625" i="10"/>
  <c r="I624" i="10"/>
  <c r="E624" i="10"/>
  <c r="I623" i="10"/>
  <c r="E623" i="10"/>
  <c r="I622" i="10"/>
  <c r="E622" i="10"/>
  <c r="I621" i="10"/>
  <c r="E621" i="10"/>
  <c r="I620" i="10"/>
  <c r="E620" i="10"/>
  <c r="I619" i="10"/>
  <c r="E619" i="10"/>
  <c r="I618" i="10"/>
  <c r="E618" i="10"/>
  <c r="I617" i="10"/>
  <c r="E617" i="10"/>
  <c r="I616" i="10"/>
  <c r="E616" i="10"/>
  <c r="I615" i="10"/>
  <c r="E615" i="10"/>
  <c r="I614" i="10"/>
  <c r="E614" i="10"/>
  <c r="I613" i="10"/>
  <c r="E613" i="10"/>
  <c r="I612" i="10"/>
  <c r="E612" i="10"/>
  <c r="I611" i="10"/>
  <c r="E611" i="10"/>
  <c r="I610" i="10"/>
  <c r="E610" i="10"/>
  <c r="I609" i="10"/>
  <c r="E609" i="10"/>
  <c r="I608" i="10"/>
  <c r="E608" i="10"/>
  <c r="I607" i="10"/>
  <c r="E607" i="10"/>
  <c r="I606" i="10"/>
  <c r="E606" i="10"/>
  <c r="I605" i="10"/>
  <c r="E605" i="10"/>
  <c r="I604" i="10"/>
  <c r="E604" i="10"/>
  <c r="I603" i="10"/>
  <c r="E603" i="10"/>
  <c r="I602" i="10"/>
  <c r="E602" i="10"/>
  <c r="I601" i="10"/>
  <c r="E601" i="10"/>
  <c r="I600" i="10"/>
  <c r="E600" i="10"/>
  <c r="I599" i="10"/>
  <c r="E599" i="10"/>
  <c r="I598" i="10"/>
  <c r="E598" i="10"/>
  <c r="I597" i="10"/>
  <c r="E597" i="10"/>
  <c r="I596" i="10"/>
  <c r="E596" i="10"/>
  <c r="I595" i="10"/>
  <c r="E595" i="10"/>
  <c r="I594" i="10"/>
  <c r="E594" i="10"/>
  <c r="I593" i="10"/>
  <c r="E593" i="10"/>
  <c r="I592" i="10"/>
  <c r="E592" i="10"/>
  <c r="I591" i="10"/>
  <c r="E591" i="10"/>
  <c r="I590" i="10"/>
  <c r="E590" i="10"/>
  <c r="I589" i="10"/>
  <c r="E589" i="10"/>
  <c r="I588" i="10"/>
  <c r="E588" i="10"/>
  <c r="I587" i="10"/>
  <c r="E587" i="10"/>
  <c r="I586" i="10"/>
  <c r="E586" i="10"/>
  <c r="I585" i="10"/>
  <c r="E585" i="10"/>
  <c r="I584" i="10"/>
  <c r="E584" i="10"/>
  <c r="I583" i="10"/>
  <c r="E583" i="10"/>
  <c r="I582" i="10"/>
  <c r="E582" i="10"/>
  <c r="I581" i="10"/>
  <c r="E581" i="10"/>
  <c r="I580" i="10"/>
  <c r="E580" i="10"/>
  <c r="I579" i="10"/>
  <c r="E579" i="10"/>
  <c r="I578" i="10"/>
  <c r="E578" i="10"/>
  <c r="I577" i="10"/>
  <c r="E577" i="10"/>
  <c r="I576" i="10"/>
  <c r="E576" i="10"/>
  <c r="I575" i="10"/>
  <c r="E575" i="10"/>
  <c r="I574" i="10"/>
  <c r="E574" i="10"/>
  <c r="I573" i="10"/>
  <c r="E573" i="10"/>
  <c r="I572" i="10"/>
  <c r="E572" i="10"/>
  <c r="I571" i="10"/>
  <c r="E571" i="10"/>
  <c r="I570" i="10"/>
  <c r="E570" i="10"/>
  <c r="I569" i="10"/>
  <c r="E569" i="10"/>
  <c r="I568" i="10"/>
  <c r="E568" i="10"/>
  <c r="I567" i="10"/>
  <c r="E567" i="10"/>
  <c r="I566" i="10"/>
  <c r="E566" i="10"/>
  <c r="I565" i="10"/>
  <c r="E565" i="10"/>
  <c r="I564" i="10"/>
  <c r="E564" i="10"/>
  <c r="I563" i="10"/>
  <c r="E563" i="10"/>
  <c r="I562" i="10"/>
  <c r="E562" i="10"/>
  <c r="I561" i="10"/>
  <c r="E561" i="10"/>
  <c r="I560" i="10"/>
  <c r="E560" i="10"/>
  <c r="I559" i="10"/>
  <c r="E559" i="10"/>
  <c r="I558" i="10"/>
  <c r="E558" i="10"/>
  <c r="I557" i="10"/>
  <c r="E557" i="10"/>
  <c r="I556" i="10"/>
  <c r="E556" i="10"/>
  <c r="I555" i="10"/>
  <c r="E555" i="10"/>
  <c r="I554" i="10"/>
  <c r="E554" i="10"/>
  <c r="I553" i="10"/>
  <c r="E553" i="10"/>
  <c r="I552" i="10"/>
  <c r="E552" i="10"/>
  <c r="I551" i="10"/>
  <c r="E551" i="10"/>
  <c r="I550" i="10"/>
  <c r="E550" i="10"/>
  <c r="I549" i="10"/>
  <c r="E549" i="10"/>
  <c r="I548" i="10"/>
  <c r="E548" i="10"/>
  <c r="I547" i="10"/>
  <c r="E547" i="10"/>
  <c r="I546" i="10"/>
  <c r="E546" i="10"/>
  <c r="I545" i="10"/>
  <c r="E545" i="10"/>
  <c r="I544" i="10"/>
  <c r="E544" i="10"/>
  <c r="I543" i="10"/>
  <c r="E543" i="10"/>
  <c r="I542" i="10"/>
  <c r="E542" i="10"/>
  <c r="I541" i="10"/>
  <c r="E541" i="10"/>
  <c r="I540" i="10"/>
  <c r="E540" i="10"/>
  <c r="I539" i="10"/>
  <c r="E539" i="10"/>
  <c r="I538" i="10"/>
  <c r="E538" i="10"/>
  <c r="I537" i="10"/>
  <c r="E537" i="10"/>
  <c r="I536" i="10"/>
  <c r="E536" i="10"/>
  <c r="I535" i="10"/>
  <c r="E535" i="10"/>
  <c r="I534" i="10"/>
  <c r="E534" i="10"/>
  <c r="I533" i="10"/>
  <c r="E533" i="10"/>
  <c r="I532" i="10"/>
  <c r="E532" i="10"/>
  <c r="I531" i="10"/>
  <c r="E531" i="10"/>
  <c r="I530" i="10"/>
  <c r="E530" i="10"/>
  <c r="I529" i="10"/>
  <c r="E529" i="10"/>
  <c r="I528" i="10"/>
  <c r="E528" i="10"/>
  <c r="I527" i="10"/>
  <c r="E527" i="10"/>
  <c r="I526" i="10"/>
  <c r="E526" i="10"/>
  <c r="I525" i="10"/>
  <c r="E525" i="10"/>
  <c r="I524" i="10"/>
  <c r="E524" i="10"/>
  <c r="I523" i="10"/>
  <c r="E523" i="10"/>
  <c r="I522" i="10"/>
  <c r="E522" i="10"/>
  <c r="I521" i="10"/>
  <c r="E521" i="10"/>
  <c r="I520" i="10"/>
  <c r="E520" i="10"/>
  <c r="I519" i="10"/>
  <c r="E519" i="10"/>
  <c r="I518" i="10"/>
  <c r="E518" i="10"/>
  <c r="I517" i="10"/>
  <c r="E517" i="10"/>
  <c r="I516" i="10"/>
  <c r="E516" i="10"/>
  <c r="I515" i="10"/>
  <c r="E515" i="10"/>
  <c r="I514" i="10"/>
  <c r="E514" i="10"/>
  <c r="I513" i="10"/>
  <c r="E513" i="10"/>
  <c r="I512" i="10"/>
  <c r="E512" i="10"/>
  <c r="I511" i="10"/>
  <c r="E511" i="10"/>
  <c r="I510" i="10"/>
  <c r="E510" i="10"/>
  <c r="I509" i="10"/>
  <c r="E509" i="10"/>
  <c r="I508" i="10"/>
  <c r="E508" i="10"/>
  <c r="I507" i="10"/>
  <c r="E507" i="10"/>
  <c r="I506" i="10"/>
  <c r="E506" i="10"/>
  <c r="I505" i="10"/>
  <c r="E505" i="10"/>
  <c r="I504" i="10"/>
  <c r="E504" i="10"/>
  <c r="I503" i="10"/>
  <c r="E503" i="10"/>
  <c r="I502" i="10"/>
  <c r="E502" i="10"/>
  <c r="I501" i="10"/>
  <c r="E501" i="10"/>
  <c r="I500" i="10"/>
  <c r="E500" i="10"/>
  <c r="I499" i="10"/>
  <c r="E499" i="10"/>
  <c r="I498" i="10"/>
  <c r="E498" i="10"/>
  <c r="I497" i="10"/>
  <c r="E497" i="10"/>
  <c r="I496" i="10"/>
  <c r="E496" i="10"/>
  <c r="I495" i="10"/>
  <c r="E495" i="10"/>
  <c r="I494" i="10"/>
  <c r="E494" i="10"/>
  <c r="I493" i="10"/>
  <c r="E493" i="10"/>
  <c r="I492" i="10"/>
  <c r="E492" i="10"/>
  <c r="I491" i="10"/>
  <c r="E491" i="10"/>
  <c r="I490" i="10"/>
  <c r="E490" i="10"/>
  <c r="I489" i="10"/>
  <c r="E489" i="10"/>
  <c r="I488" i="10"/>
  <c r="E488" i="10"/>
  <c r="I487" i="10"/>
  <c r="E487" i="10"/>
  <c r="I486" i="10"/>
  <c r="E486" i="10"/>
  <c r="I485" i="10"/>
  <c r="E485" i="10"/>
  <c r="I484" i="10"/>
  <c r="E484" i="10"/>
  <c r="I483" i="10"/>
  <c r="E483" i="10"/>
  <c r="I482" i="10"/>
  <c r="E482" i="10"/>
  <c r="I481" i="10"/>
  <c r="E481" i="10"/>
  <c r="I480" i="10"/>
  <c r="E480" i="10"/>
  <c r="I479" i="10"/>
  <c r="E479" i="10"/>
  <c r="I478" i="10"/>
  <c r="E478" i="10"/>
  <c r="I477" i="10"/>
  <c r="E477" i="10"/>
  <c r="I476" i="10"/>
  <c r="E476" i="10"/>
  <c r="I475" i="10"/>
  <c r="E475" i="10"/>
  <c r="I474" i="10"/>
  <c r="E474" i="10"/>
  <c r="I473" i="10"/>
  <c r="E473" i="10"/>
  <c r="I472" i="10"/>
  <c r="E472" i="10"/>
  <c r="I471" i="10"/>
  <c r="E471" i="10"/>
  <c r="I470" i="10"/>
  <c r="E470" i="10"/>
  <c r="I469" i="10"/>
  <c r="E469" i="10"/>
  <c r="I468" i="10"/>
  <c r="E468" i="10"/>
  <c r="I467" i="10"/>
  <c r="E467" i="10"/>
  <c r="I466" i="10"/>
  <c r="E466" i="10"/>
  <c r="I465" i="10"/>
  <c r="E465" i="10"/>
  <c r="I464" i="10"/>
  <c r="E464" i="10"/>
  <c r="I463" i="10"/>
  <c r="E463" i="10"/>
  <c r="I462" i="10"/>
  <c r="E462" i="10"/>
  <c r="I461" i="10"/>
  <c r="E461" i="10"/>
  <c r="I460" i="10"/>
  <c r="E460" i="10"/>
  <c r="I459" i="10"/>
  <c r="E459" i="10"/>
  <c r="I458" i="10"/>
  <c r="E458" i="10"/>
  <c r="I457" i="10"/>
  <c r="E457" i="10"/>
  <c r="I456" i="10"/>
  <c r="E456" i="10"/>
  <c r="I455" i="10"/>
  <c r="E455" i="10"/>
  <c r="I454" i="10"/>
  <c r="E454" i="10"/>
  <c r="I453" i="10"/>
  <c r="E453" i="10"/>
  <c r="I452" i="10"/>
  <c r="E452" i="10"/>
  <c r="I451" i="10"/>
  <c r="E451" i="10"/>
  <c r="I450" i="10"/>
  <c r="E450" i="10"/>
  <c r="I449" i="10"/>
  <c r="E449" i="10"/>
  <c r="I448" i="10"/>
  <c r="E448" i="10"/>
  <c r="I447" i="10"/>
  <c r="E447" i="10"/>
  <c r="I446" i="10"/>
  <c r="E446" i="10"/>
  <c r="I445" i="10"/>
  <c r="E445" i="10"/>
  <c r="I444" i="10"/>
  <c r="E444" i="10"/>
  <c r="I443" i="10"/>
  <c r="E443" i="10"/>
  <c r="I442" i="10"/>
  <c r="E442" i="10"/>
  <c r="I441" i="10"/>
  <c r="E441" i="10"/>
  <c r="I440" i="10"/>
  <c r="E440" i="10"/>
  <c r="I439" i="10"/>
  <c r="E439" i="10"/>
  <c r="I438" i="10"/>
  <c r="E438" i="10"/>
  <c r="I437" i="10"/>
  <c r="E437" i="10"/>
  <c r="I436" i="10"/>
  <c r="E436" i="10"/>
  <c r="I435" i="10"/>
  <c r="E435" i="10"/>
  <c r="I434" i="10"/>
  <c r="E434" i="10"/>
  <c r="I433" i="10"/>
  <c r="E433" i="10"/>
  <c r="I432" i="10"/>
  <c r="E432" i="10"/>
  <c r="I431" i="10"/>
  <c r="E431" i="10"/>
  <c r="I430" i="10"/>
  <c r="E430" i="10"/>
  <c r="I429" i="10"/>
  <c r="E429" i="10"/>
  <c r="I428" i="10"/>
  <c r="E428" i="10"/>
  <c r="I427" i="10"/>
  <c r="E427" i="10"/>
  <c r="I426" i="10"/>
  <c r="E426" i="10"/>
  <c r="I425" i="10"/>
  <c r="E425" i="10"/>
  <c r="I424" i="10"/>
  <c r="E424" i="10"/>
  <c r="I423" i="10"/>
  <c r="E423" i="10"/>
  <c r="I422" i="10"/>
  <c r="E422" i="10"/>
  <c r="I421" i="10"/>
  <c r="E421" i="10"/>
  <c r="I420" i="10"/>
  <c r="E420" i="10"/>
  <c r="I419" i="10"/>
  <c r="E419" i="10"/>
  <c r="I418" i="10"/>
  <c r="E418" i="10"/>
  <c r="I417" i="10"/>
  <c r="E417" i="10"/>
  <c r="I416" i="10"/>
  <c r="E416" i="10"/>
  <c r="I415" i="10"/>
  <c r="E415" i="10"/>
  <c r="I414" i="10"/>
  <c r="E414" i="10"/>
  <c r="I413" i="10"/>
  <c r="E413" i="10"/>
  <c r="I412" i="10"/>
  <c r="E412" i="10"/>
  <c r="I411" i="10"/>
  <c r="E411" i="10"/>
  <c r="I410" i="10"/>
  <c r="E410" i="10"/>
  <c r="I409" i="10"/>
  <c r="E409" i="10"/>
  <c r="I408" i="10"/>
  <c r="E408" i="10"/>
  <c r="I407" i="10"/>
  <c r="E407" i="10"/>
  <c r="I406" i="10"/>
  <c r="E406" i="10"/>
  <c r="I405" i="10"/>
  <c r="E405" i="10"/>
  <c r="I404" i="10"/>
  <c r="E404" i="10"/>
  <c r="I403" i="10"/>
  <c r="E403" i="10"/>
  <c r="I402" i="10"/>
  <c r="E402" i="10"/>
  <c r="I401" i="10"/>
  <c r="E401" i="10"/>
  <c r="I400" i="10"/>
  <c r="E400" i="10"/>
  <c r="I399" i="10"/>
  <c r="E399" i="10"/>
  <c r="I398" i="10"/>
  <c r="E398" i="10"/>
  <c r="I397" i="10"/>
  <c r="E397" i="10"/>
  <c r="I396" i="10"/>
  <c r="E396" i="10"/>
  <c r="I395" i="10"/>
  <c r="E395" i="10"/>
  <c r="I394" i="10"/>
  <c r="E394" i="10"/>
  <c r="I393" i="10"/>
  <c r="E393" i="10"/>
  <c r="I392" i="10"/>
  <c r="E392" i="10"/>
  <c r="I391" i="10"/>
  <c r="E391" i="10"/>
  <c r="I390" i="10"/>
  <c r="E390" i="10"/>
  <c r="I389" i="10"/>
  <c r="E389" i="10"/>
  <c r="I388" i="10"/>
  <c r="E388" i="10"/>
  <c r="I387" i="10"/>
  <c r="E387" i="10"/>
  <c r="I386" i="10"/>
  <c r="E386" i="10"/>
  <c r="I385" i="10"/>
  <c r="E385" i="10"/>
  <c r="I384" i="10"/>
  <c r="E384" i="10"/>
  <c r="I383" i="10"/>
  <c r="E383" i="10"/>
  <c r="I382" i="10"/>
  <c r="E382" i="10"/>
  <c r="I381" i="10"/>
  <c r="E381" i="10"/>
  <c r="I380" i="10"/>
  <c r="E380" i="10"/>
  <c r="I379" i="10"/>
  <c r="E379" i="10"/>
  <c r="I378" i="10"/>
  <c r="E378" i="10"/>
  <c r="I377" i="10"/>
  <c r="E377" i="10"/>
  <c r="I376" i="10"/>
  <c r="E376" i="10"/>
  <c r="I375" i="10"/>
  <c r="E375" i="10"/>
  <c r="I374" i="10"/>
  <c r="E374" i="10"/>
  <c r="I373" i="10"/>
  <c r="E373" i="10"/>
  <c r="I372" i="10"/>
  <c r="E372" i="10"/>
  <c r="I371" i="10"/>
  <c r="E371" i="10"/>
  <c r="I370" i="10"/>
  <c r="E370" i="10"/>
  <c r="I369" i="10"/>
  <c r="E369" i="10"/>
  <c r="I368" i="10"/>
  <c r="E368" i="10"/>
  <c r="I367" i="10"/>
  <c r="E367" i="10"/>
  <c r="I366" i="10"/>
  <c r="E366" i="10"/>
  <c r="I365" i="10"/>
  <c r="E365" i="10"/>
  <c r="I364" i="10"/>
  <c r="E364" i="10"/>
  <c r="I363" i="10"/>
  <c r="E363" i="10"/>
  <c r="I362" i="10"/>
  <c r="E362" i="10"/>
  <c r="I361" i="10"/>
  <c r="E361" i="10"/>
  <c r="I360" i="10"/>
  <c r="E360" i="10"/>
  <c r="I359" i="10"/>
  <c r="E359" i="10"/>
  <c r="I358" i="10"/>
  <c r="E358" i="10"/>
  <c r="I357" i="10"/>
  <c r="E357" i="10"/>
  <c r="I356" i="10"/>
  <c r="E356" i="10"/>
  <c r="I355" i="10"/>
  <c r="E355" i="10"/>
  <c r="I354" i="10"/>
  <c r="E354" i="10"/>
  <c r="I353" i="10"/>
  <c r="E353" i="10"/>
  <c r="I352" i="10"/>
  <c r="E352" i="10"/>
  <c r="I351" i="10"/>
  <c r="E351" i="10"/>
  <c r="I350" i="10"/>
  <c r="E350" i="10"/>
  <c r="I349" i="10"/>
  <c r="E349" i="10"/>
  <c r="I348" i="10"/>
  <c r="E348" i="10"/>
  <c r="I347" i="10"/>
  <c r="E347" i="10"/>
  <c r="I346" i="10"/>
  <c r="E346" i="10"/>
  <c r="I345" i="10"/>
  <c r="E345" i="10"/>
  <c r="I344" i="10"/>
  <c r="E344" i="10"/>
  <c r="I343" i="10"/>
  <c r="E343" i="10"/>
  <c r="I342" i="10"/>
  <c r="E342" i="10"/>
  <c r="I341" i="10"/>
  <c r="E341" i="10"/>
  <c r="I340" i="10"/>
  <c r="E340" i="10"/>
  <c r="I339" i="10"/>
  <c r="E339" i="10"/>
  <c r="I338" i="10"/>
  <c r="E338" i="10"/>
  <c r="I337" i="10"/>
  <c r="E337" i="10"/>
  <c r="I336" i="10"/>
  <c r="E336" i="10"/>
  <c r="I335" i="10"/>
  <c r="E335" i="10"/>
  <c r="I334" i="10"/>
  <c r="E334" i="10"/>
  <c r="I333" i="10"/>
  <c r="E333" i="10"/>
  <c r="I332" i="10"/>
  <c r="E332" i="10"/>
  <c r="I331" i="10"/>
  <c r="E331" i="10"/>
  <c r="I330" i="10"/>
  <c r="E330" i="10"/>
  <c r="I329" i="10"/>
  <c r="E329" i="10"/>
  <c r="I328" i="10"/>
  <c r="E328" i="10"/>
  <c r="I327" i="10"/>
  <c r="E327" i="10"/>
  <c r="I326" i="10"/>
  <c r="E326" i="10"/>
  <c r="I325" i="10"/>
  <c r="E325" i="10"/>
  <c r="I324" i="10"/>
  <c r="E324" i="10"/>
  <c r="I323" i="10"/>
  <c r="E323" i="10"/>
  <c r="I322" i="10"/>
  <c r="E322" i="10"/>
  <c r="I321" i="10"/>
  <c r="E321" i="10"/>
  <c r="I320" i="10"/>
  <c r="E320" i="10"/>
  <c r="I319" i="10"/>
  <c r="E319" i="10"/>
  <c r="I318" i="10"/>
  <c r="E318" i="10"/>
  <c r="I317" i="10"/>
  <c r="E317" i="10"/>
  <c r="I316" i="10"/>
  <c r="E316" i="10"/>
  <c r="I315" i="10"/>
  <c r="E315" i="10"/>
  <c r="I314" i="10"/>
  <c r="E314" i="10"/>
  <c r="I313" i="10"/>
  <c r="E313" i="10"/>
  <c r="I312" i="10"/>
  <c r="E312" i="10"/>
  <c r="I311" i="10"/>
  <c r="E311" i="10"/>
  <c r="I310" i="10"/>
  <c r="E310" i="10"/>
  <c r="I309" i="10"/>
  <c r="E309" i="10"/>
  <c r="I308" i="10"/>
  <c r="E308" i="10"/>
  <c r="I307" i="10"/>
  <c r="E307" i="10"/>
  <c r="I306" i="10"/>
  <c r="E306" i="10"/>
  <c r="I305" i="10"/>
  <c r="E305" i="10"/>
  <c r="I304" i="10"/>
  <c r="E304" i="10"/>
  <c r="I303" i="10"/>
  <c r="E303" i="10"/>
  <c r="I302" i="10"/>
  <c r="E302" i="10"/>
  <c r="I301" i="10"/>
  <c r="E301" i="10"/>
  <c r="I300" i="10"/>
  <c r="E300" i="10"/>
  <c r="I299" i="10"/>
  <c r="E299" i="10"/>
  <c r="I298" i="10"/>
  <c r="E298" i="10"/>
  <c r="I297" i="10"/>
  <c r="E297" i="10"/>
  <c r="I296" i="10"/>
  <c r="E296" i="10"/>
  <c r="I295" i="10"/>
  <c r="E295" i="10"/>
  <c r="I294" i="10"/>
  <c r="E294" i="10"/>
  <c r="I293" i="10"/>
  <c r="E293" i="10"/>
  <c r="I292" i="10"/>
  <c r="E292" i="10"/>
  <c r="I291" i="10"/>
  <c r="E291" i="10"/>
  <c r="I290" i="10"/>
  <c r="E290" i="10"/>
  <c r="I289" i="10"/>
  <c r="E289" i="10"/>
  <c r="I288" i="10"/>
  <c r="E288" i="10"/>
  <c r="I287" i="10"/>
  <c r="E287" i="10"/>
  <c r="I286" i="10"/>
  <c r="E286" i="10"/>
  <c r="I285" i="10"/>
  <c r="E285" i="10"/>
  <c r="I284" i="10"/>
  <c r="E284" i="10"/>
  <c r="I283" i="10"/>
  <c r="E283" i="10"/>
  <c r="I282" i="10"/>
  <c r="E282" i="10"/>
  <c r="I281" i="10"/>
  <c r="E281" i="10"/>
  <c r="I280" i="10"/>
  <c r="E280" i="10"/>
  <c r="I279" i="10"/>
  <c r="E279" i="10"/>
  <c r="I278" i="10"/>
  <c r="E278" i="10"/>
  <c r="I277" i="10"/>
  <c r="E277" i="10"/>
  <c r="I276" i="10"/>
  <c r="E276" i="10"/>
  <c r="I275" i="10"/>
  <c r="E275" i="10"/>
  <c r="I274" i="10"/>
  <c r="E274" i="10"/>
  <c r="I273" i="10"/>
  <c r="E273" i="10"/>
  <c r="I272" i="10"/>
  <c r="E272" i="10"/>
  <c r="I271" i="10"/>
  <c r="E271" i="10"/>
  <c r="I270" i="10"/>
  <c r="E270" i="10"/>
  <c r="I269" i="10"/>
  <c r="E269" i="10"/>
  <c r="I268" i="10"/>
  <c r="E268" i="10"/>
  <c r="I267" i="10"/>
  <c r="E267" i="10"/>
  <c r="I266" i="10"/>
  <c r="E266" i="10"/>
  <c r="I265" i="10"/>
  <c r="E265" i="10"/>
  <c r="I264" i="10"/>
  <c r="E264" i="10"/>
  <c r="I263" i="10"/>
  <c r="E263" i="10"/>
  <c r="I262" i="10"/>
  <c r="E262" i="10"/>
  <c r="I261" i="10"/>
  <c r="E261" i="10"/>
  <c r="I260" i="10"/>
  <c r="E260" i="10"/>
  <c r="I259" i="10"/>
  <c r="E259" i="10"/>
  <c r="I258" i="10"/>
  <c r="E258" i="10"/>
  <c r="I257" i="10"/>
  <c r="E257" i="10"/>
  <c r="I256" i="10"/>
  <c r="E256" i="10"/>
  <c r="I255" i="10"/>
  <c r="E255" i="10"/>
  <c r="I254" i="10"/>
  <c r="E254" i="10"/>
  <c r="I253" i="10"/>
  <c r="E253" i="10"/>
  <c r="I252" i="10"/>
  <c r="E252" i="10"/>
  <c r="I251" i="10"/>
  <c r="E251" i="10"/>
  <c r="I250" i="10"/>
  <c r="E250" i="10"/>
  <c r="I249" i="10"/>
  <c r="E249" i="10"/>
  <c r="I248" i="10"/>
  <c r="E248" i="10"/>
  <c r="I247" i="10"/>
  <c r="E247" i="10"/>
  <c r="I246" i="10"/>
  <c r="E246" i="10"/>
  <c r="I245" i="10"/>
  <c r="E245" i="10"/>
  <c r="I244" i="10"/>
  <c r="E244" i="10"/>
  <c r="I243" i="10"/>
  <c r="E243" i="10"/>
  <c r="I242" i="10"/>
  <c r="E242" i="10"/>
  <c r="I241" i="10"/>
  <c r="E241" i="10"/>
  <c r="I240" i="10"/>
  <c r="E240" i="10"/>
  <c r="I239" i="10"/>
  <c r="E239" i="10"/>
  <c r="I238" i="10"/>
  <c r="E238" i="10"/>
  <c r="I237" i="10"/>
  <c r="E237" i="10"/>
  <c r="I236" i="10"/>
  <c r="E236" i="10"/>
  <c r="I235" i="10"/>
  <c r="E235" i="10"/>
  <c r="I234" i="10"/>
  <c r="E234" i="10"/>
  <c r="I233" i="10"/>
  <c r="E233" i="10"/>
  <c r="I232" i="10"/>
  <c r="E232" i="10"/>
  <c r="I231" i="10"/>
  <c r="E231" i="10"/>
  <c r="I230" i="10"/>
  <c r="E230" i="10"/>
  <c r="I229" i="10"/>
  <c r="E229" i="10"/>
  <c r="I228" i="10"/>
  <c r="E228" i="10"/>
  <c r="I227" i="10"/>
  <c r="E227" i="10"/>
  <c r="I226" i="10"/>
  <c r="E226" i="10"/>
  <c r="I225" i="10"/>
  <c r="E225" i="10"/>
  <c r="I224" i="10"/>
  <c r="E224" i="10"/>
  <c r="I223" i="10"/>
  <c r="E223" i="10"/>
  <c r="I222" i="10"/>
  <c r="E222" i="10"/>
  <c r="I221" i="10"/>
  <c r="E221" i="10"/>
  <c r="I220" i="10"/>
  <c r="E220" i="10"/>
  <c r="I219" i="10"/>
  <c r="E219" i="10"/>
  <c r="I218" i="10"/>
  <c r="E218" i="10"/>
  <c r="I217" i="10"/>
  <c r="E217" i="10"/>
  <c r="I216" i="10"/>
  <c r="E216" i="10"/>
  <c r="I215" i="10"/>
  <c r="E215" i="10"/>
  <c r="I214" i="10"/>
  <c r="E214" i="10"/>
  <c r="I213" i="10"/>
  <c r="E213" i="10"/>
  <c r="I212" i="10"/>
  <c r="E212" i="10"/>
  <c r="I211" i="10"/>
  <c r="E211" i="10"/>
  <c r="I210" i="10"/>
  <c r="E210" i="10"/>
  <c r="I209" i="10"/>
  <c r="E209" i="10"/>
  <c r="I208" i="10"/>
  <c r="E208" i="10"/>
  <c r="I207" i="10"/>
  <c r="E207" i="10"/>
  <c r="I206" i="10"/>
  <c r="E206" i="10"/>
  <c r="I205" i="10"/>
  <c r="E205" i="10"/>
  <c r="I204" i="10"/>
  <c r="E204" i="10"/>
  <c r="I203" i="10"/>
  <c r="E203" i="10"/>
  <c r="I202" i="10"/>
  <c r="E202" i="10"/>
  <c r="I201" i="10"/>
  <c r="E201" i="10"/>
  <c r="I200" i="10"/>
  <c r="E200" i="10"/>
  <c r="I199" i="10"/>
  <c r="E199" i="10"/>
  <c r="I198" i="10"/>
  <c r="E198" i="10"/>
  <c r="I197" i="10"/>
  <c r="E197" i="10"/>
  <c r="I196" i="10"/>
  <c r="E196" i="10"/>
  <c r="I195" i="10"/>
  <c r="E195" i="10"/>
  <c r="I194" i="10"/>
  <c r="E194" i="10"/>
  <c r="I193" i="10"/>
  <c r="E193" i="10"/>
  <c r="I192" i="10"/>
  <c r="E192" i="10"/>
  <c r="I191" i="10"/>
  <c r="E191" i="10"/>
  <c r="I190" i="10"/>
  <c r="E190" i="10"/>
  <c r="I189" i="10"/>
  <c r="E189" i="10"/>
  <c r="I188" i="10"/>
  <c r="E188" i="10"/>
  <c r="I187" i="10"/>
  <c r="E187" i="10"/>
  <c r="I186" i="10"/>
  <c r="E186" i="10"/>
  <c r="I185" i="10"/>
  <c r="E185" i="10"/>
  <c r="I184" i="10"/>
  <c r="E184" i="10"/>
  <c r="I183" i="10"/>
  <c r="E183" i="10"/>
  <c r="I182" i="10"/>
  <c r="E182" i="10"/>
  <c r="I181" i="10"/>
  <c r="E181" i="10"/>
  <c r="I180" i="10"/>
  <c r="E180" i="10"/>
  <c r="I179" i="10"/>
  <c r="E179" i="10"/>
  <c r="I178" i="10"/>
  <c r="E178" i="10"/>
  <c r="I177" i="10"/>
  <c r="E177" i="10"/>
  <c r="I176" i="10"/>
  <c r="E176" i="10"/>
  <c r="I175" i="10"/>
  <c r="E175" i="10"/>
  <c r="I174" i="10"/>
  <c r="E174" i="10"/>
  <c r="I173" i="10"/>
  <c r="E173" i="10"/>
  <c r="I172" i="10"/>
  <c r="E172" i="10"/>
  <c r="I171" i="10"/>
  <c r="E171" i="10"/>
  <c r="I170" i="10"/>
  <c r="E170" i="10"/>
  <c r="I169" i="10"/>
  <c r="E169" i="10"/>
  <c r="I168" i="10"/>
  <c r="E168" i="10"/>
  <c r="I167" i="10"/>
  <c r="E167" i="10"/>
  <c r="I166" i="10"/>
  <c r="E166" i="10"/>
  <c r="I165" i="10"/>
  <c r="E165" i="10"/>
  <c r="I164" i="10"/>
  <c r="E164" i="10"/>
  <c r="I163" i="10"/>
  <c r="E163" i="10"/>
  <c r="I162" i="10"/>
  <c r="E162" i="10"/>
  <c r="I161" i="10"/>
  <c r="E161" i="10"/>
  <c r="I160" i="10"/>
  <c r="E160" i="10"/>
  <c r="I159" i="10"/>
  <c r="E159" i="10"/>
  <c r="I158" i="10"/>
  <c r="E158" i="10"/>
  <c r="I157" i="10"/>
  <c r="E157" i="10"/>
  <c r="I156" i="10"/>
  <c r="E156" i="10"/>
  <c r="I155" i="10"/>
  <c r="E155" i="10"/>
  <c r="I154" i="10"/>
  <c r="E154" i="10"/>
  <c r="I153" i="10"/>
  <c r="E153" i="10"/>
  <c r="I152" i="10"/>
  <c r="E152" i="10"/>
  <c r="I151" i="10"/>
  <c r="E151" i="10"/>
  <c r="I150" i="10"/>
  <c r="E150" i="10"/>
  <c r="I149" i="10"/>
  <c r="E149" i="10"/>
  <c r="I148" i="10"/>
  <c r="E148" i="10"/>
  <c r="I147" i="10"/>
  <c r="E147" i="10"/>
  <c r="I146" i="10"/>
  <c r="E146" i="10"/>
  <c r="I145" i="10"/>
  <c r="E145" i="10"/>
  <c r="I144" i="10"/>
  <c r="E144" i="10"/>
  <c r="I143" i="10"/>
  <c r="E143" i="10"/>
  <c r="I142" i="10"/>
  <c r="E142" i="10"/>
  <c r="I141" i="10"/>
  <c r="E141" i="10"/>
  <c r="I140" i="10"/>
  <c r="E140" i="10"/>
  <c r="I139" i="10"/>
  <c r="E139" i="10"/>
  <c r="I138" i="10"/>
  <c r="E138" i="10"/>
  <c r="I137" i="10"/>
  <c r="E137" i="10"/>
  <c r="I136" i="10"/>
  <c r="E136" i="10"/>
  <c r="I135" i="10"/>
  <c r="E135" i="10"/>
  <c r="I134" i="10"/>
  <c r="E134" i="10"/>
  <c r="I133" i="10"/>
  <c r="E133" i="10"/>
  <c r="I132" i="10"/>
  <c r="E132" i="10"/>
  <c r="I131" i="10"/>
  <c r="E131" i="10"/>
  <c r="I130" i="10"/>
  <c r="E130" i="10"/>
  <c r="I129" i="10"/>
  <c r="E129" i="10"/>
  <c r="I128" i="10"/>
  <c r="E128" i="10"/>
  <c r="I127" i="10"/>
  <c r="E127" i="10"/>
  <c r="I126" i="10"/>
  <c r="E126" i="10"/>
  <c r="I125" i="10"/>
  <c r="E125" i="10"/>
  <c r="I124" i="10"/>
  <c r="E124" i="10"/>
  <c r="I123" i="10"/>
  <c r="E123" i="10"/>
  <c r="I122" i="10"/>
  <c r="E122" i="10"/>
  <c r="I121" i="10"/>
  <c r="E121" i="10"/>
  <c r="I120" i="10"/>
  <c r="E120" i="10"/>
  <c r="I119" i="10"/>
  <c r="E119" i="10"/>
  <c r="I118" i="10"/>
  <c r="E118" i="10"/>
  <c r="I117" i="10"/>
  <c r="E117" i="10"/>
  <c r="I116" i="10"/>
  <c r="E116" i="10"/>
  <c r="I115" i="10"/>
  <c r="E115" i="10"/>
  <c r="I114" i="10"/>
  <c r="E114" i="10"/>
  <c r="I113" i="10"/>
  <c r="E113" i="10"/>
  <c r="I112" i="10"/>
  <c r="E112" i="10"/>
  <c r="I111" i="10"/>
  <c r="E111" i="10"/>
  <c r="I110" i="10"/>
  <c r="E110" i="10"/>
  <c r="I109" i="10"/>
  <c r="E109" i="10"/>
  <c r="I108" i="10"/>
  <c r="E108" i="10"/>
  <c r="I107" i="10"/>
  <c r="E107" i="10"/>
  <c r="I106" i="10"/>
  <c r="E106" i="10"/>
  <c r="I105" i="10"/>
  <c r="E105" i="10"/>
  <c r="I104" i="10"/>
  <c r="E104" i="10"/>
  <c r="I103" i="10"/>
  <c r="E103" i="10"/>
  <c r="I102" i="10"/>
  <c r="E102" i="10"/>
  <c r="I101" i="10"/>
  <c r="E101" i="10"/>
  <c r="I100" i="10"/>
  <c r="E100" i="10"/>
  <c r="I99" i="10"/>
  <c r="E99" i="10"/>
  <c r="I98" i="10"/>
  <c r="E98" i="10"/>
  <c r="I97" i="10"/>
  <c r="E97" i="10"/>
  <c r="I96" i="10"/>
  <c r="E96" i="10"/>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57" i="10"/>
  <c r="E57" i="10"/>
  <c r="I56" i="10"/>
  <c r="E56" i="10"/>
  <c r="I55" i="10"/>
  <c r="E55" i="10"/>
  <c r="I54" i="10"/>
  <c r="E54" i="10"/>
  <c r="I53" i="10"/>
  <c r="E53" i="10"/>
  <c r="I52" i="10"/>
  <c r="E52" i="10"/>
  <c r="I51" i="10"/>
  <c r="E51" i="10"/>
  <c r="I50" i="10"/>
  <c r="E50" i="10"/>
  <c r="I49" i="10"/>
  <c r="E49"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10" i="10"/>
  <c r="E10" i="10"/>
  <c r="I9" i="10"/>
  <c r="E9" i="10"/>
  <c r="I8" i="10"/>
  <c r="E8" i="10"/>
  <c r="I7" i="10"/>
  <c r="E7" i="10"/>
  <c r="I6" i="10"/>
  <c r="E6" i="10"/>
  <c r="I5" i="10"/>
  <c r="E5" i="10"/>
  <c r="C15" i="9"/>
  <c r="C11" i="9"/>
  <c r="D6" i="8"/>
  <c r="D5" i="8"/>
  <c r="F4" i="8"/>
  <c r="C3" i="8"/>
  <c r="E2" i="8"/>
  <c r="F2" i="8" s="1"/>
  <c r="G2" i="8" s="1"/>
  <c r="H2" i="8" s="1"/>
  <c r="I2" i="8" s="1"/>
  <c r="J2" i="8" s="1"/>
  <c r="K2" i="8" s="1"/>
  <c r="L2" i="8" s="1"/>
  <c r="D2" i="8"/>
  <c r="G29" i="7"/>
  <c r="G4" i="8" s="1"/>
  <c r="F29" i="7"/>
  <c r="F5" i="8" s="1"/>
  <c r="F6" i="8" s="1"/>
  <c r="E29" i="7"/>
  <c r="D29" i="7"/>
  <c r="D4" i="8" s="1"/>
  <c r="C29" i="7"/>
  <c r="G27" i="7"/>
  <c r="F27" i="7"/>
  <c r="E27" i="7"/>
  <c r="D27" i="7"/>
  <c r="C27" i="7"/>
  <c r="G26" i="7"/>
  <c r="F26" i="7"/>
  <c r="E26" i="7"/>
  <c r="D26" i="7"/>
  <c r="C26" i="7"/>
  <c r="G25" i="7"/>
  <c r="F25" i="7"/>
  <c r="E25" i="7"/>
  <c r="D25" i="7"/>
  <c r="C25" i="7"/>
  <c r="G24" i="7"/>
  <c r="F24" i="7"/>
  <c r="E24" i="7"/>
  <c r="D24" i="7"/>
  <c r="C24" i="7"/>
  <c r="G22" i="7"/>
  <c r="F22" i="7"/>
  <c r="E22" i="7"/>
  <c r="D22" i="7"/>
  <c r="C22" i="7"/>
  <c r="G21" i="7"/>
  <c r="F21" i="7"/>
  <c r="E21" i="7"/>
  <c r="D21" i="7"/>
  <c r="C21" i="7"/>
  <c r="G20" i="7"/>
  <c r="F20" i="7"/>
  <c r="E20" i="7"/>
  <c r="G19" i="7"/>
  <c r="F19" i="7"/>
  <c r="E19" i="7"/>
  <c r="D19" i="7"/>
  <c r="D20" i="7" s="1"/>
  <c r="C19" i="7"/>
  <c r="C20" i="7" s="1"/>
  <c r="G18" i="7"/>
  <c r="F18" i="7"/>
  <c r="E18" i="7"/>
  <c r="D18" i="7"/>
  <c r="C18" i="7"/>
  <c r="G16" i="7"/>
  <c r="F16" i="7"/>
  <c r="E16" i="7"/>
  <c r="D16" i="7"/>
  <c r="C16" i="7"/>
  <c r="G15" i="7"/>
  <c r="F15" i="7"/>
  <c r="E15" i="7"/>
  <c r="D15" i="7"/>
  <c r="C15" i="7"/>
  <c r="G14" i="7"/>
  <c r="F14" i="7"/>
  <c r="E14" i="7"/>
  <c r="D14" i="7"/>
  <c r="C14" i="7"/>
  <c r="G12" i="7"/>
  <c r="F12" i="7"/>
  <c r="E12" i="7"/>
  <c r="D12" i="7"/>
  <c r="G11" i="7"/>
  <c r="H11" i="7" s="1"/>
  <c r="V11" i="7" s="1"/>
  <c r="F11" i="7"/>
  <c r="E11" i="7"/>
  <c r="D11" i="7"/>
  <c r="C11" i="7"/>
  <c r="J10" i="7"/>
  <c r="H10" i="7"/>
  <c r="G10" i="7"/>
  <c r="F10" i="7"/>
  <c r="E10" i="7"/>
  <c r="D10" i="7"/>
  <c r="C10" i="7"/>
  <c r="G9" i="7"/>
  <c r="F9" i="7"/>
  <c r="H9" i="7" s="1"/>
  <c r="E9" i="7"/>
  <c r="D9" i="7"/>
  <c r="G8" i="7"/>
  <c r="F8" i="7"/>
  <c r="E8" i="7"/>
  <c r="D8" i="7"/>
  <c r="C8" i="7"/>
  <c r="G7" i="7"/>
  <c r="F7" i="7"/>
  <c r="H7" i="7" s="1"/>
  <c r="E7" i="7"/>
  <c r="D7" i="7"/>
  <c r="H6" i="7"/>
  <c r="G6" i="7"/>
  <c r="F6" i="7"/>
  <c r="E6" i="7"/>
  <c r="D6" i="7"/>
  <c r="G5" i="7"/>
  <c r="F5" i="7"/>
  <c r="E5" i="7"/>
  <c r="D5" i="7"/>
  <c r="H5" i="7" s="1"/>
  <c r="K3" i="7"/>
  <c r="L3" i="7" s="1"/>
  <c r="M3" i="7" s="1"/>
  <c r="J3" i="7"/>
  <c r="I3" i="7"/>
  <c r="F3" i="7"/>
  <c r="E3" i="7"/>
  <c r="K15" i="4"/>
  <c r="J15" i="4"/>
  <c r="K14" i="4"/>
  <c r="J14" i="4"/>
  <c r="L14" i="4" s="1"/>
  <c r="K13" i="4"/>
  <c r="J13" i="4"/>
  <c r="L13" i="4" s="1"/>
  <c r="K12" i="4"/>
  <c r="M12" i="4" s="1"/>
  <c r="J12" i="4"/>
  <c r="L12" i="4" s="1"/>
  <c r="K11" i="4"/>
  <c r="J11" i="4"/>
  <c r="C4" i="13" l="1"/>
  <c r="E4" i="13"/>
  <c r="C6" i="11"/>
  <c r="C8" i="11" s="1"/>
  <c r="C23" i="11" s="1"/>
  <c r="C9" i="11"/>
  <c r="L11" i="4"/>
  <c r="M13" i="4"/>
  <c r="V9" i="7"/>
  <c r="I9" i="7" s="1"/>
  <c r="J9" i="7" s="1"/>
  <c r="K9" i="7" s="1"/>
  <c r="L9" i="7" s="1"/>
  <c r="M9" i="7" s="1"/>
  <c r="E48" i="13"/>
  <c r="C41" i="13"/>
  <c r="C33" i="13"/>
  <c r="C42" i="13"/>
  <c r="C40" i="13"/>
  <c r="C43" i="13" s="1"/>
  <c r="F48" i="13" s="1"/>
  <c r="C39" i="13"/>
  <c r="M4" i="13"/>
  <c r="R7" i="7"/>
  <c r="V7" i="7" s="1"/>
  <c r="I7" i="7"/>
  <c r="I4" i="13"/>
  <c r="M14" i="4"/>
  <c r="C4" i="8"/>
  <c r="C5" i="8"/>
  <c r="L5" i="10"/>
  <c r="C15" i="11" s="1"/>
  <c r="C17" i="11" s="1"/>
  <c r="R21" i="7"/>
  <c r="V21" i="7" s="1"/>
  <c r="H8" i="7"/>
  <c r="I21" i="7"/>
  <c r="E4" i="8"/>
  <c r="E5" i="8"/>
  <c r="V5" i="7"/>
  <c r="I5" i="7" s="1"/>
  <c r="M11" i="4"/>
  <c r="G6" i="8"/>
  <c r="L10" i="7"/>
  <c r="M10" i="7"/>
  <c r="K10" i="7"/>
  <c r="I10" i="7"/>
  <c r="C7" i="11"/>
  <c r="C22" i="11" s="1"/>
  <c r="E22" i="11" s="1"/>
  <c r="G5" i="8"/>
  <c r="C27" i="13" l="1"/>
  <c r="C30" i="13" s="1"/>
  <c r="F47" i="13" s="1"/>
  <c r="C28" i="13"/>
  <c r="E47" i="13"/>
  <c r="C26" i="13"/>
  <c r="C29" i="13"/>
  <c r="C20" i="13"/>
  <c r="N4" i="13"/>
  <c r="J5" i="7"/>
  <c r="I6" i="7"/>
  <c r="I15" i="7" s="1"/>
  <c r="I14" i="7"/>
  <c r="C6" i="8"/>
  <c r="C7" i="8" s="1"/>
  <c r="V8" i="7"/>
  <c r="I8" i="7"/>
  <c r="J8" i="7" s="1"/>
  <c r="K8" i="7" s="1"/>
  <c r="L8" i="7" s="1"/>
  <c r="M8" i="7" s="1"/>
  <c r="C8" i="9"/>
  <c r="G10" i="8"/>
  <c r="F10" i="8"/>
  <c r="L10" i="8"/>
  <c r="E10" i="8"/>
  <c r="D10" i="8"/>
  <c r="C10" i="8"/>
  <c r="G8" i="9"/>
  <c r="K10" i="8"/>
  <c r="D23" i="11"/>
  <c r="E23" i="11" s="1"/>
  <c r="E24" i="11" s="1"/>
  <c r="F8" i="9"/>
  <c r="H10" i="8"/>
  <c r="J10" i="8"/>
  <c r="I10" i="8"/>
  <c r="E8" i="9"/>
  <c r="D8" i="9"/>
  <c r="J21" i="7"/>
  <c r="E6" i="8"/>
  <c r="J7" i="7"/>
  <c r="K7" i="7" s="1"/>
  <c r="L7" i="7" s="1"/>
  <c r="M7" i="7" s="1"/>
  <c r="E49" i="13" l="1"/>
  <c r="F49" i="13"/>
  <c r="C8" i="8"/>
  <c r="C9" i="8" s="1"/>
  <c r="C11" i="8" s="1"/>
  <c r="D3" i="8"/>
  <c r="K21" i="7"/>
  <c r="J14" i="7"/>
  <c r="I16" i="7"/>
  <c r="I25" i="7"/>
  <c r="I19" i="7"/>
  <c r="I18" i="7" s="1"/>
  <c r="I20" i="7" s="1"/>
  <c r="I22" i="7" s="1"/>
  <c r="K5" i="7"/>
  <c r="J6" i="7"/>
  <c r="J15" i="7" s="1"/>
  <c r="E51" i="13" l="1"/>
  <c r="F51" i="13"/>
  <c r="I24" i="7"/>
  <c r="I26" i="7" s="1"/>
  <c r="J19" i="7"/>
  <c r="J18" i="7" s="1"/>
  <c r="J20" i="7" s="1"/>
  <c r="J22" i="7" s="1"/>
  <c r="K14" i="7"/>
  <c r="J16" i="7"/>
  <c r="J25" i="7"/>
  <c r="L21" i="7"/>
  <c r="D7" i="8"/>
  <c r="E3" i="8" s="1"/>
  <c r="L5" i="7"/>
  <c r="K6" i="7"/>
  <c r="K15" i="7" s="1"/>
  <c r="J24" i="7" l="1"/>
  <c r="J26" i="7" s="1"/>
  <c r="I27" i="7"/>
  <c r="I29" i="7" s="1"/>
  <c r="M21" i="7"/>
  <c r="L14" i="7"/>
  <c r="K25" i="7"/>
  <c r="K16" i="7"/>
  <c r="K19" i="7" s="1"/>
  <c r="K18" i="7" s="1"/>
  <c r="K20" i="7" s="1"/>
  <c r="K22" i="7" s="1"/>
  <c r="M5" i="7"/>
  <c r="M6" i="7" s="1"/>
  <c r="L6" i="7"/>
  <c r="L15" i="7" s="1"/>
  <c r="E7" i="8"/>
  <c r="F3" i="8" s="1"/>
  <c r="D8" i="8"/>
  <c r="D9" i="8" s="1"/>
  <c r="D11" i="8" s="1"/>
  <c r="J27" i="7" l="1"/>
  <c r="J29" i="7"/>
  <c r="M15" i="7"/>
  <c r="L19" i="7"/>
  <c r="L18" i="7" s="1"/>
  <c r="L20" i="7" s="1"/>
  <c r="L22" i="7" s="1"/>
  <c r="K24" i="7"/>
  <c r="K26" i="7"/>
  <c r="H4" i="8"/>
  <c r="I11" i="7"/>
  <c r="H5" i="8" s="1"/>
  <c r="M14" i="7"/>
  <c r="L16" i="7"/>
  <c r="L25" i="7"/>
  <c r="F7" i="8"/>
  <c r="G3" i="8" s="1"/>
  <c r="F8" i="8"/>
  <c r="F9" i="8" s="1"/>
  <c r="F11" i="8" s="1"/>
  <c r="E8" i="8"/>
  <c r="E9" i="8" s="1"/>
  <c r="E11" i="8" s="1"/>
  <c r="L24" i="7" l="1"/>
  <c r="L26" i="7" s="1"/>
  <c r="M19" i="7"/>
  <c r="M18" i="7" s="1"/>
  <c r="M20" i="7" s="1"/>
  <c r="M22" i="7" s="1"/>
  <c r="I5" i="8"/>
  <c r="J11" i="7"/>
  <c r="I4" i="8"/>
  <c r="G7" i="8"/>
  <c r="H3" i="8" s="1"/>
  <c r="G8" i="8"/>
  <c r="G9" i="8" s="1"/>
  <c r="M25" i="7"/>
  <c r="M16" i="7"/>
  <c r="C5" i="9"/>
  <c r="H6" i="8"/>
  <c r="K27" i="7"/>
  <c r="K29" i="7" s="1"/>
  <c r="M24" i="7" l="1"/>
  <c r="M26" i="7" s="1"/>
  <c r="L27" i="7"/>
  <c r="L29" i="7" s="1"/>
  <c r="G4" i="13"/>
  <c r="G11" i="8"/>
  <c r="H7" i="8"/>
  <c r="I3" i="8" s="1"/>
  <c r="C4" i="9"/>
  <c r="C6" i="9"/>
  <c r="C7" i="9" s="1"/>
  <c r="C9" i="9" s="1"/>
  <c r="D5" i="9"/>
  <c r="I6" i="8"/>
  <c r="J4" i="8"/>
  <c r="K11" i="7"/>
  <c r="J5" i="8" s="1"/>
  <c r="M27" i="7" l="1"/>
  <c r="M29" i="7" s="1"/>
  <c r="L11" i="7"/>
  <c r="K5" i="8" s="1"/>
  <c r="K4" i="8"/>
  <c r="I7" i="8"/>
  <c r="J3" i="8" s="1"/>
  <c r="D4" i="9"/>
  <c r="I8" i="8"/>
  <c r="I9" i="8" s="1"/>
  <c r="I11" i="8" s="1"/>
  <c r="D6" i="9"/>
  <c r="D7" i="9" s="1"/>
  <c r="D9" i="9" s="1"/>
  <c r="E5" i="9"/>
  <c r="J6" i="8"/>
  <c r="H8" i="8"/>
  <c r="H9" i="8" s="1"/>
  <c r="H11" i="8" s="1"/>
  <c r="M11" i="7" l="1"/>
  <c r="L4" i="8"/>
  <c r="L5" i="8"/>
  <c r="J7" i="8"/>
  <c r="K3" i="8" s="1"/>
  <c r="J8" i="8"/>
  <c r="J9" i="8" s="1"/>
  <c r="J11" i="8" s="1"/>
  <c r="E4" i="9"/>
  <c r="E6" i="9"/>
  <c r="E7" i="9" s="1"/>
  <c r="E9" i="9" s="1"/>
  <c r="F5" i="9"/>
  <c r="K6" i="8"/>
  <c r="G5" i="9" l="1"/>
  <c r="L6" i="8"/>
  <c r="F4" i="9"/>
  <c r="K7" i="8"/>
  <c r="L3" i="8" s="1"/>
  <c r="K8" i="8"/>
  <c r="K9" i="8" s="1"/>
  <c r="K11" i="8" s="1"/>
  <c r="F6" i="9"/>
  <c r="F7" i="9" s="1"/>
  <c r="F9" i="9" s="1"/>
  <c r="L7" i="8" l="1"/>
  <c r="L8" i="8"/>
  <c r="L9" i="8" s="1"/>
  <c r="L11" i="8" s="1"/>
  <c r="G4" i="9"/>
  <c r="G6" i="9"/>
  <c r="G7" i="9" s="1"/>
  <c r="C12" i="9" l="1"/>
  <c r="C13" i="9" s="1"/>
  <c r="G9" i="9"/>
  <c r="C16" i="9" l="1"/>
  <c r="C18" i="9" s="1"/>
  <c r="D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Naina Kumari</author>
  </authors>
  <commentList>
    <comment ref="C47" authorId="0" shapeId="0" xr:uid="{35A7EF1D-C920-40D5-8B96-0D7B590A3941}">
      <text>
        <r>
          <rPr>
            <b/>
            <sz val="9"/>
            <color indexed="81"/>
            <rFont val="Tahoma"/>
            <family val="2"/>
          </rPr>
          <t>Naina Kumari:</t>
        </r>
        <r>
          <rPr>
            <sz val="9"/>
            <color indexed="81"/>
            <rFont val="Tahoma"/>
            <family val="2"/>
          </rPr>
          <t xml:space="preserve">
Methodology: 70% P/B Valuation + 30% P/E Valuation  |  Primary Multiple: Median P/B &amp; Median P/E of PSU Banking Peers</t>
        </r>
      </text>
    </comment>
    <comment ref="F49" authorId="0" shapeId="0" xr:uid="{02B27D44-5D75-4E51-95B2-8D77805FED5A}">
      <text>
        <r>
          <rPr>
            <b/>
            <sz val="9"/>
            <color indexed="81"/>
            <rFont val="Tahoma"/>
            <family val="2"/>
          </rPr>
          <t>Naina Kumari:</t>
        </r>
        <r>
          <rPr>
            <sz val="9"/>
            <color indexed="81"/>
            <rFont val="Tahoma"/>
            <family val="2"/>
          </rPr>
          <t xml:space="preserve">
(0.70 × P/B Median Target) + (0.30 × P/E Median Target) </t>
        </r>
      </text>
    </comment>
    <comment ref="F51" authorId="0" shapeId="0" xr:uid="{BE421AB5-F315-42E6-B06E-15FA5788E6AC}">
      <text>
        <r>
          <rPr>
            <b/>
            <sz val="9"/>
            <color indexed="81"/>
            <rFont val="Tahoma"/>
            <family val="2"/>
          </rPr>
          <t>Naina Kumari:</t>
        </r>
        <r>
          <rPr>
            <sz val="9"/>
            <color indexed="81"/>
            <rFont val="Tahoma"/>
            <family val="2"/>
          </rPr>
          <t xml:space="preserve">
Upside potential 
</t>
        </r>
      </text>
    </comment>
  </commentList>
</comments>
</file>

<file path=xl/sharedStrings.xml><?xml version="1.0" encoding="utf-8"?>
<sst xmlns="http://schemas.openxmlformats.org/spreadsheetml/2006/main" count="406" uniqueCount="355">
  <si>
    <t xml:space="preserve">About </t>
  </si>
  <si>
    <t>Canara Bank is one of India's largest public sector banks, headquartered in Bengaluru, Karnataka. Established in 1906, the bank was nationalised in 1969 and operates under the ownership of the Government of India. It serves over 100 million customers through a network of 10,000+ branches and 12,000+ ATMs across India and select international locations.
Canara Bank offers a comprehensive suite of banking products and services spanning retail banking, corporate banking, MSME lending, agricultural finance, and treasury operations. The bank is listed on both NSE (CANBK) and BSE and forms part of the Nifty PSU Bank index. It is well regarded for its strong government banking franchise, improving asset quality metrics, and expanding digital banking initiatives. FY25 marked continued improvement in Gross NPA ratios and consistent profitability growth.</t>
  </si>
  <si>
    <t>Metric</t>
  </si>
  <si>
    <t>Total Income (₹ Cr)</t>
  </si>
  <si>
    <t>EPS (₹)</t>
  </si>
  <si>
    <t>Financial Year</t>
  </si>
  <si>
    <t>PAT (₹ Cr)</t>
  </si>
  <si>
    <t>Total Income Change (%)</t>
  </si>
  <si>
    <t>PAT Change (%)</t>
  </si>
  <si>
    <t>FY 2024-25</t>
  </si>
  <si>
    <t>FY 2023-24</t>
  </si>
  <si>
    <t>FY 2022-23</t>
  </si>
  <si>
    <t>FY 2021-22</t>
  </si>
  <si>
    <t>FY 2020-21</t>
  </si>
  <si>
    <t>Value</t>
  </si>
  <si>
    <t>CMP (₹)</t>
  </si>
  <si>
    <t>P/E (x)</t>
  </si>
  <si>
    <t>P/B (x)</t>
  </si>
  <si>
    <t>Promoter</t>
  </si>
  <si>
    <t>Insurance Companies</t>
  </si>
  <si>
    <t>Bodies Corporate</t>
  </si>
  <si>
    <t>Audited Consolidated Profit and Loss Account (For the year ended)</t>
  </si>
  <si>
    <t>Audited Consolidated Balance Sheet (As of March 31st)</t>
  </si>
  <si>
    <t>Audited Consolidated Cash Flow Statement</t>
  </si>
  <si>
    <t>Particulars (₹ in crore)</t>
  </si>
  <si>
    <t>Capital and Liabilities (₹ in crore)</t>
  </si>
  <si>
    <t>I. INCOME</t>
  </si>
  <si>
    <t>Capital</t>
  </si>
  <si>
    <t>Net Profit Before Taxes</t>
  </si>
  <si>
    <t>Interest Earned</t>
  </si>
  <si>
    <t>Employees' Stock Options Outstanding</t>
  </si>
  <si>
    <t>Adjustments for:</t>
  </si>
  <si>
    <t>Other Income</t>
  </si>
  <si>
    <t>Reserves and Surplus</t>
  </si>
  <si>
    <t>Depreciation</t>
  </si>
  <si>
    <t>Total Income</t>
  </si>
  <si>
    <t>Deposits</t>
  </si>
  <si>
    <t>(Profit) / Loss on sale of Investments</t>
  </si>
  <si>
    <t>II. EXPENDITURE</t>
  </si>
  <si>
    <t>Borrowings</t>
  </si>
  <si>
    <t>Provision for NPAs &amp; Others</t>
  </si>
  <si>
    <t>Interest Expended</t>
  </si>
  <si>
    <t>Policyholders' Funds</t>
  </si>
  <si>
    <t>Operating Profit before WC Changes</t>
  </si>
  <si>
    <t>Operating Expenses</t>
  </si>
  <si>
    <t>Other Liabilities and Provisions</t>
  </si>
  <si>
    <t>Changes in Working Capital:</t>
  </si>
  <si>
    <t>Provisions &amp; Contingencies</t>
  </si>
  <si>
    <t>Total Liabilities</t>
  </si>
  <si>
    <t>(Increase) / Decrease in Investments</t>
  </si>
  <si>
    <t>Total Expenditure</t>
  </si>
  <si>
    <t>(Increase) / Decrease in Advances</t>
  </si>
  <si>
    <t>III. PROFIT / LOSS</t>
  </si>
  <si>
    <t>Assets</t>
  </si>
  <si>
    <t>Increase / (Decrease) in Deposits</t>
  </si>
  <si>
    <t>Profit before Tax</t>
  </si>
  <si>
    <t>Cash and Balances with RBI</t>
  </si>
  <si>
    <t>Net Cash from Operating Activities</t>
  </si>
  <si>
    <t>Less: Provision for Taxes</t>
  </si>
  <si>
    <t>Balances with Banks &amp; Money at Call</t>
  </si>
  <si>
    <t>Net Cash from Investing Activities</t>
  </si>
  <si>
    <t>NET PROFIT AFTER TAX</t>
  </si>
  <si>
    <t>Investments</t>
  </si>
  <si>
    <t>Net Cash from Financing Activities</t>
  </si>
  <si>
    <t>Advances</t>
  </si>
  <si>
    <t>Net Change in Cash &amp; Equivalents</t>
  </si>
  <si>
    <t>Fixed Assets</t>
  </si>
  <si>
    <t>Opening Cash &amp; Equivalents</t>
  </si>
  <si>
    <t>Other Assets</t>
  </si>
  <si>
    <t>Closing Cash &amp; Equivalents</t>
  </si>
  <si>
    <t>Goodwill on Consolidation</t>
  </si>
  <si>
    <t>Total Assets</t>
  </si>
  <si>
    <t>Contingent Liabilities</t>
  </si>
  <si>
    <t>Bills for Collection</t>
  </si>
  <si>
    <t xml:space="preserve">Actual </t>
  </si>
  <si>
    <t xml:space="preserve">Average </t>
  </si>
  <si>
    <t xml:space="preserve">Estimated </t>
  </si>
  <si>
    <t>Assumptions</t>
  </si>
  <si>
    <t>Loan Growth %</t>
  </si>
  <si>
    <t>Terminal Growth</t>
  </si>
  <si>
    <t>Annual Step Down</t>
  </si>
  <si>
    <t>Deposit Growth %</t>
  </si>
  <si>
    <t>Spread to Loan Growth</t>
  </si>
  <si>
    <t>NIM %</t>
  </si>
  <si>
    <t>Terminal NIM</t>
  </si>
  <si>
    <t>Cost to Income %</t>
  </si>
  <si>
    <t>Terminal CTI</t>
  </si>
  <si>
    <t>Credit Cost %</t>
  </si>
  <si>
    <t xml:space="preserve">Terminal Cost </t>
  </si>
  <si>
    <t>Tax Rate %</t>
  </si>
  <si>
    <t>Dividend Payout %</t>
  </si>
  <si>
    <t>Terminal Payout</t>
  </si>
  <si>
    <t xml:space="preserve">Annual Step Down </t>
  </si>
  <si>
    <t>Yield on Earning Assets %</t>
  </si>
  <si>
    <t>Advances (Loans)</t>
  </si>
  <si>
    <t>Interest Income</t>
  </si>
  <si>
    <t>Interest Expense</t>
  </si>
  <si>
    <t>NII</t>
  </si>
  <si>
    <t xml:space="preserve">Other Income growth </t>
  </si>
  <si>
    <t>Operating Expense</t>
  </si>
  <si>
    <t>Provisions</t>
  </si>
  <si>
    <t>PBT</t>
  </si>
  <si>
    <t>Tax</t>
  </si>
  <si>
    <t>PAT</t>
  </si>
  <si>
    <t>Opening Equity</t>
  </si>
  <si>
    <t xml:space="preserve">Dividend Paid </t>
  </si>
  <si>
    <t xml:space="preserve">Retained Earnings </t>
  </si>
  <si>
    <t xml:space="preserve">Closing Equity </t>
  </si>
  <si>
    <t>Average Equity</t>
  </si>
  <si>
    <t>RoE</t>
  </si>
  <si>
    <t>Ke</t>
  </si>
  <si>
    <t>Excess Returns</t>
  </si>
  <si>
    <t>B</t>
  </si>
  <si>
    <t>C</t>
  </si>
  <si>
    <t>D</t>
  </si>
  <si>
    <t>E</t>
  </si>
  <si>
    <t>F</t>
  </si>
  <si>
    <t>G</t>
  </si>
  <si>
    <t>Item</t>
  </si>
  <si>
    <t>fullExchangeName</t>
  </si>
  <si>
    <t>NSE</t>
  </si>
  <si>
    <t>instrumentType</t>
  </si>
  <si>
    <t>EQUITY</t>
  </si>
  <si>
    <t>Capital Charge</t>
  </si>
  <si>
    <t>firstTradeDate</t>
  </si>
  <si>
    <t>Residual Income</t>
  </si>
  <si>
    <t>regularMarketTime</t>
  </si>
  <si>
    <t>Discount Factor</t>
  </si>
  <si>
    <t>PV of RI</t>
  </si>
  <si>
    <t>gmtoffset</t>
  </si>
  <si>
    <t>timezone</t>
  </si>
  <si>
    <t>IST</t>
  </si>
  <si>
    <t>exchangeTimezoneName</t>
  </si>
  <si>
    <t>Asia/Kolkata</t>
  </si>
  <si>
    <t>Terminal RI</t>
  </si>
  <si>
    <t>regularMarketPrice</t>
  </si>
  <si>
    <t>PV Terminal RI</t>
  </si>
  <si>
    <t>fiftyTwoWeekHigh</t>
  </si>
  <si>
    <t>fiftyTwoWeekLow</t>
  </si>
  <si>
    <t>Current Book Value</t>
  </si>
  <si>
    <t>shortName</t>
  </si>
  <si>
    <t>Equity Value</t>
  </si>
  <si>
    <t>Shares Outstanding</t>
  </si>
  <si>
    <t>Value Per Share</t>
  </si>
  <si>
    <t xml:space="preserve">Current Value </t>
  </si>
  <si>
    <t xml:space="preserve">Upside/Downside  </t>
  </si>
  <si>
    <t>NIFTY50</t>
  </si>
  <si>
    <t xml:space="preserve"> </t>
  </si>
  <si>
    <t>Date</t>
  </si>
  <si>
    <t>Close</t>
  </si>
  <si>
    <t>Closing Price</t>
  </si>
  <si>
    <t>BETA</t>
  </si>
  <si>
    <t>SUMMARY OUTPUT</t>
  </si>
  <si>
    <t>Regression Statistics</t>
  </si>
  <si>
    <t>Multiple R</t>
  </si>
  <si>
    <t>R Square</t>
  </si>
  <si>
    <t>Adjusted R Square</t>
  </si>
  <si>
    <t>Standard Error</t>
  </si>
  <si>
    <t>Observations</t>
  </si>
  <si>
    <t>ANOVA</t>
  </si>
  <si>
    <t>df</t>
  </si>
  <si>
    <t>SS</t>
  </si>
  <si>
    <t>MS</t>
  </si>
  <si>
    <t>Significance F</t>
  </si>
  <si>
    <t>Regression</t>
  </si>
  <si>
    <t>Residual</t>
  </si>
  <si>
    <t>Total</t>
  </si>
  <si>
    <t>Coefficients</t>
  </si>
  <si>
    <t>t Stat</t>
  </si>
  <si>
    <t>P-value</t>
  </si>
  <si>
    <t>Lower 95%</t>
  </si>
  <si>
    <t>Upper 95%</t>
  </si>
  <si>
    <t>Lower 95.0%</t>
  </si>
  <si>
    <t>Upper 95.0%</t>
  </si>
  <si>
    <t>Intercept</t>
  </si>
  <si>
    <t>X Variable 1</t>
  </si>
  <si>
    <t>Weighted Average Cost of Capital</t>
  </si>
  <si>
    <t>Capital Structure</t>
  </si>
  <si>
    <t>Total Debt</t>
  </si>
  <si>
    <t>Total Equity</t>
  </si>
  <si>
    <t>Total Mix</t>
  </si>
  <si>
    <t>% of Debt</t>
  </si>
  <si>
    <t>% of Equity</t>
  </si>
  <si>
    <t>Debt to Equity</t>
  </si>
  <si>
    <t>Cost of Equity</t>
  </si>
  <si>
    <t>Cost of Debt</t>
  </si>
  <si>
    <t>Risk free rate(Rf)</t>
  </si>
  <si>
    <t>Beta</t>
  </si>
  <si>
    <t>Cost of debt*</t>
  </si>
  <si>
    <t>Market risk premium</t>
  </si>
  <si>
    <t>Tax rate</t>
  </si>
  <si>
    <t>Cost of equity</t>
  </si>
  <si>
    <t>Cost of Debt after tax</t>
  </si>
  <si>
    <t>WACC</t>
  </si>
  <si>
    <t>Source</t>
  </si>
  <si>
    <t>Weight</t>
  </si>
  <si>
    <t>Cost</t>
  </si>
  <si>
    <t>Weighted Cost</t>
  </si>
  <si>
    <t xml:space="preserve">Debt </t>
  </si>
  <si>
    <t>Equity</t>
  </si>
  <si>
    <t>Company</t>
  </si>
  <si>
    <t>Business Overview</t>
  </si>
  <si>
    <t>Canara Bank</t>
  </si>
  <si>
    <t>Canara Bank is one of India's largest PSU banks with 10,000+ branches. It offers retail, corporate, agriculture, and MSME banking. GoI holds ~62.9% stake. Known for strong rural &amp; priority sector lending exposure.</t>
  </si>
  <si>
    <t>State Bank of India</t>
  </si>
  <si>
    <t>SBI is India's largest commercial bank by assets, deposits, and branch network (~22,000+ branches). Operates across retail, corporate, treasury, and international banking. Majority owned by GoI.</t>
  </si>
  <si>
    <t>Bank of Baroda</t>
  </si>
  <si>
    <t>Bank of Baroda is a leading PSU bank with a significant international presence across 17 countries, offering retail, SME, and corporate banking. Merged with Vijaya Bank and Dena Bank in 2019.</t>
  </si>
  <si>
    <t>Punjab National Bank</t>
  </si>
  <si>
    <t>Punjab National Bank (PNB) is one of India's oldest PSU banks. Focuses on retail, MSME, and corporate banking with digital transformation post-merger with OBC and United Bank of India.</t>
  </si>
  <si>
    <t>Union Bank of India</t>
  </si>
  <si>
    <t>Union Bank of India (formed after merger with Andhra Bank and Corporation Bank in 2020) serves retail, MSME, agriculture, and corporate customers with improving margin and asset quality profile.</t>
  </si>
  <si>
    <t>Attribute</t>
  </si>
  <si>
    <t>SBI</t>
  </si>
  <si>
    <t>PNB</t>
  </si>
  <si>
    <t>Union Bank</t>
  </si>
  <si>
    <t>Metric (FY25)</t>
  </si>
  <si>
    <t>CASA Ratio</t>
  </si>
  <si>
    <t>Mkt Cap (₹ Cr.)</t>
  </si>
  <si>
    <t>Credit-Deposit Ratio</t>
  </si>
  <si>
    <t>Total Advances (₹ Cr.)</t>
  </si>
  <si>
    <t>Cost-Income Ratio</t>
  </si>
  <si>
    <t>NII (₹ Cr.)</t>
  </si>
  <si>
    <t>Slippage Ratio</t>
  </si>
  <si>
    <t>Net Profit (₹ Cr.)</t>
  </si>
  <si>
    <t>PCR %</t>
  </si>
  <si>
    <t>Gross NPA %</t>
  </si>
  <si>
    <t>Tier-1 CAR %</t>
  </si>
  <si>
    <t>Net NPA %</t>
  </si>
  <si>
    <t>ROCE %</t>
  </si>
  <si>
    <t>Advances Growth %</t>
  </si>
  <si>
    <t>Deposits Growth %</t>
  </si>
  <si>
    <t>Debt-Equity (x)</t>
  </si>
  <si>
    <t>CASA %</t>
  </si>
  <si>
    <t>BVPS (₹)</t>
  </si>
  <si>
    <t>Div Yield %</t>
  </si>
  <si>
    <t>Mean</t>
  </si>
  <si>
    <t>Median</t>
  </si>
  <si>
    <t>Bank</t>
  </si>
  <si>
    <t>No. of Shares
(Cr)</t>
  </si>
  <si>
    <t>Div Yield
(%)</t>
  </si>
  <si>
    <t>Punjab Natl Bank</t>
  </si>
  <si>
    <t>Indian Bank</t>
  </si>
  <si>
    <t>Maximum</t>
  </si>
  <si>
    <t>Minimum</t>
  </si>
  <si>
    <t>Std Deviation</t>
  </si>
  <si>
    <t>P/B Valuation (70% weight, ₹)</t>
  </si>
  <si>
    <t>Canara EPS (FY25, ₹)</t>
  </si>
  <si>
    <t>Peer Mean P/E (x)</t>
  </si>
  <si>
    <t>Peer Median P/E (x)</t>
  </si>
  <si>
    <t>Peer Max P/E (x)</t>
  </si>
  <si>
    <t>Peer Min P/E (x)</t>
  </si>
  <si>
    <t>Peer Std Dev P/E (x)</t>
  </si>
  <si>
    <t>Component</t>
  </si>
  <si>
    <t>Multiple Used</t>
  </si>
  <si>
    <t>Notes</t>
  </si>
  <si>
    <t>P/B Valuation</t>
  </si>
  <si>
    <t>Median P/B (Peers)</t>
  </si>
  <si>
    <t>P/E Valuation</t>
  </si>
  <si>
    <t>Median P/E (Peers)</t>
  </si>
  <si>
    <t>Current Market Price (CMP)</t>
  </si>
  <si>
    <t>Upside / (Downside) %</t>
  </si>
  <si>
    <t>Investment Conclusion</t>
  </si>
  <si>
    <t>Subsidiaries (as on 31 March 2026)</t>
  </si>
  <si>
    <t>Subsidiary</t>
  </si>
  <si>
    <t>Ownership</t>
  </si>
  <si>
    <t>Canbank Venture Capital Fund Ltd.</t>
  </si>
  <si>
    <t>Canbank Financial Services Ltd.</t>
  </si>
  <si>
    <t>Canbank Factors Ltd.</t>
  </si>
  <si>
    <t>Canbank Computer Services Ltd.</t>
  </si>
  <si>
    <t>Canara Tanzania Ltd. (In Liquidation)</t>
  </si>
  <si>
    <t>CRMF Trustee Private Ltd.</t>
  </si>
  <si>
    <t>Canara Bank Securities Ltd.</t>
  </si>
  <si>
    <t>Associate Companies / Units</t>
  </si>
  <si>
    <t>Associate</t>
  </si>
  <si>
    <t>Can Fin Homes Ltd.</t>
  </si>
  <si>
    <t>Kerala Gramin Bank</t>
  </si>
  <si>
    <t>Karnataka Grameena Bank</t>
  </si>
  <si>
    <t>Canara Robeco Asset Management Company Ltd.</t>
  </si>
  <si>
    <t>Canara HSBC Life Insurance Company Ltd.</t>
  </si>
  <si>
    <t>Joint Venture</t>
  </si>
  <si>
    <t>Higher Education Financing Agency (HEFA)</t>
  </si>
  <si>
    <t>Category</t>
  </si>
  <si>
    <t>CANARA BANK</t>
  </si>
  <si>
    <t>Shareholding Pattern – Promoter &amp; Public Shareholding</t>
  </si>
  <si>
    <t>As at March 31, 2026</t>
  </si>
  <si>
    <t>KEY NOTE — GOVERNMENT CONTROLLED PSU BANK</t>
  </si>
  <si>
    <t>(A) PROMOTER SHAREHOLDING</t>
  </si>
  <si>
    <t>Sr. No.</t>
  </si>
  <si>
    <t>% Holding</t>
  </si>
  <si>
    <t>Government of India</t>
  </si>
  <si>
    <t>TOTAL PROMOTER SHAREHOLDING</t>
  </si>
  <si>
    <t>(B) PUBLIC SHAREHOLDING</t>
  </si>
  <si>
    <t>Public Shareholders</t>
  </si>
  <si>
    <t>Mutual Funds</t>
  </si>
  <si>
    <t>Foreign Portfolio Investors (FPIs)</t>
  </si>
  <si>
    <t>Retail Investors</t>
  </si>
  <si>
    <t>HUFs</t>
  </si>
  <si>
    <t>NRIs</t>
  </si>
  <si>
    <t>Canara Bank is a Public Sector Bank under the Banking Companies (Acquisition and Transfer of Undertakings) Act, 1970. The Government of India is the Promoter and majority shareholder, holding 62.93% of the Bank's equity share capital as on March 31, 2026. The remaining 37.07% is held by public shareholders including domestic institutions, mutual funds, insurance companies, FPIs, corporates and retail investors.</t>
  </si>
  <si>
    <t>No. of Shares Held</t>
  </si>
  <si>
    <t>PUBLIC SHAREHOLDERS INCLUDE</t>
  </si>
  <si>
    <t>Domestic Financial Institutions</t>
  </si>
  <si>
    <t>Banks &amp; Financial Institutions</t>
  </si>
  <si>
    <t>Trusts &amp; Others</t>
  </si>
  <si>
    <t>SUMMARY OF SHARE CAPITAL</t>
  </si>
  <si>
    <t>Particulars</t>
  </si>
  <si>
    <t>No. of Shares</t>
  </si>
  <si>
    <t>Government of India (Promoter)</t>
  </si>
  <si>
    <t>Total Equity Share Capital</t>
  </si>
  <si>
    <t>DEMAT HOLDING STRUCTURE</t>
  </si>
  <si>
    <t>% of Issued Capital</t>
  </si>
  <si>
    <t>NSDL</t>
  </si>
  <si>
    <t>CDSL</t>
  </si>
  <si>
    <t>Physical</t>
  </si>
  <si>
    <t>Stock Analysis</t>
  </si>
  <si>
    <t xml:space="preserve"> Recommendation: </t>
  </si>
  <si>
    <r>
      <rPr>
        <b/>
        <i/>
        <sz val="10"/>
        <color rgb="FF000000"/>
        <rFont val="Arial"/>
        <family val="2"/>
      </rPr>
      <t>BUY</t>
    </r>
    <r>
      <rPr>
        <sz val="10"/>
        <color rgb="FF000000"/>
        <rFont val="Arial"/>
        <family val="2"/>
      </rPr>
      <t xml:space="preserve"> - Canara Bank is one of India's largest public sector banks, delivering consistent improvement in profitability, asset quality, and return ratios over FY2021–25. The bank reported FY25 Net Profit of ₹18,951 Cr (up 9.3% YoY) on Total Income of ₹1,53,083 Cr, with ROE of 15.9% and ROA of 1.0%. Gross NPA improved to 4.23% (from ~8.4% in FY21) reflecting strong credit discipline. CASA ratio stands at 33.5% and NIM at 2.17%. The bank's capital adequacy remains comfortable with Tier-1 CAR at 14.6%. At CMP ₹135, Canara trades at 1.04x FY25 P/B vs peer median of ~1.01x fairly valued with upside potential as ROE improves toward 17%+ in FY27E. Key risks: NPA re-emergence, deposit repricing pressure, and slower-than-expected credit growth in the agriculture/MSME book.</t>
    </r>
  </si>
  <si>
    <t>CANBK.NS</t>
  </si>
  <si>
    <t>CANARA.NS</t>
  </si>
  <si>
    <t>Peer Comparison</t>
  </si>
  <si>
    <t xml:space="preserve"> RELATIVE VALUATION ANALYSIS </t>
  </si>
  <si>
    <t xml:space="preserve">Mkt Cap
</t>
  </si>
  <si>
    <t xml:space="preserve">CMP
</t>
  </si>
  <si>
    <t xml:space="preserve">BVPS
</t>
  </si>
  <si>
    <t xml:space="preserve">EPS
</t>
  </si>
  <si>
    <t xml:space="preserve">ROE
</t>
  </si>
  <si>
    <t xml:space="preserve">ROA
</t>
  </si>
  <si>
    <t xml:space="preserve">NIM
</t>
  </si>
  <si>
    <t xml:space="preserve">Gross NPA
</t>
  </si>
  <si>
    <t xml:space="preserve">Net NPA
</t>
  </si>
  <si>
    <t xml:space="preserve">CASA
</t>
  </si>
  <si>
    <t xml:space="preserve">P/E
</t>
  </si>
  <si>
    <t xml:space="preserve">P/B
</t>
  </si>
  <si>
    <t xml:space="preserve"> P/B MULTIPLE VALUATION -70%W</t>
  </si>
  <si>
    <t xml:space="preserve">Peer Mean P/B </t>
  </si>
  <si>
    <t>Peer Median P/B</t>
  </si>
  <si>
    <t>Peer Max P/B</t>
  </si>
  <si>
    <t>Canara BVPS (FY25)</t>
  </si>
  <si>
    <t xml:space="preserve">Peer Min P/B </t>
  </si>
  <si>
    <t xml:space="preserve">Peer Std Dev P/B </t>
  </si>
  <si>
    <t>Target Price - Mean P/B (₹)</t>
  </si>
  <si>
    <t>Target Price - Median P/B (₹)</t>
  </si>
  <si>
    <t>Target Price - Max P/B (₹)</t>
  </si>
  <si>
    <t>Target Price - Min P/B (₹)</t>
  </si>
  <si>
    <t xml:space="preserve"> P/E MULTIPLE VALUATION - 30% W</t>
  </si>
  <si>
    <t xml:space="preserve">WEIGHTED VALUATION </t>
  </si>
  <si>
    <t>Target Price - Mean P/E (₹)</t>
  </si>
  <si>
    <t>Target Price - Median P/E (₹)</t>
  </si>
  <si>
    <t>Target Price - Max P/E (₹)</t>
  </si>
  <si>
    <t>Target Price - Min P/E (₹)</t>
  </si>
  <si>
    <t>P/E Valuation (30% w)</t>
  </si>
  <si>
    <t xml:space="preserve">Canara Metric </t>
  </si>
  <si>
    <t xml:space="preserve"> WEIGHTED TARGET PRICE</t>
  </si>
  <si>
    <t>FAIRLY VALUED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</si>
</sst>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164" formatCode="0.0%"/>
    <numFmt numFmtId="165" formatCode="#,##0.0"/>
    <numFmt numFmtId="166" formatCode="mmm\-yy"/>
    <numFmt numFmtId="167" formatCode="0.0"/>
    <numFmt numFmtId="168" formatCode="m/d/yyyy"/>
    <numFmt numFmtId="169" formatCode="yyyy\-mm\-dd\ hh:mm:ss"/>
    <numFmt numFmtId="170" formatCode="#,##0.0;\(#,##0.0\);\-"/>
    <numFmt numFmtId="171" formatCode="_ * #,##0.00_ ;_ * \-#,##0.00_ ;_ * \-??_ ;_ @_ "/>
    <numFmt numFmtId="172" formatCode="0.0%;\(0.0%\);\-"/>
    <numFmt numFmtId="173" formatCode="0.0\x"/>
    <numFmt numFmtId="174" formatCode="0.00\x"/>
    <numFmt numFmtId="175" formatCode="\₹#,##0.00"/>
  </numFmts>
  <fonts count="72" x14ac:knownFonts="1">
    <font>
      <sz val="11"/>
      <color theme="1"/>
      <name val="Calibri"/>
      <family val="2"/>
      <charset val="1"/>
    </font>
    <font>
      <sz val="10"/>
      <name val="Arial"/>
      <family val="2"/>
    </font>
    <font>
      <sz val="10"/>
      <color rgb="FF0000FF"/>
      <name val="Arial"/>
      <family val="2"/>
    </font>
    <font>
      <b/>
      <sz val="10"/>
      <color rgb="FFFFFFFF"/>
      <name val="Arial"/>
      <family val="2"/>
    </font>
    <font>
      <b/>
      <sz val="11"/>
      <color theme="1"/>
      <name val="Calibri"/>
      <family val="2"/>
      <charset val="1"/>
    </font>
    <font>
      <sz val="11"/>
      <color theme="0"/>
      <name val="Calibri"/>
      <family val="2"/>
      <charset val="1"/>
    </font>
    <font>
      <sz val="10"/>
      <color rgb="FF000000"/>
      <name val="Arial"/>
      <family val="2"/>
    </font>
    <font>
      <b/>
      <sz val="11"/>
      <name val="Calibri"/>
      <family val="2"/>
    </font>
    <font>
      <b/>
      <sz val="11"/>
      <name val="Calibri"/>
      <family val="2"/>
      <charset val="1"/>
    </font>
    <font>
      <b/>
      <sz val="9"/>
      <color rgb="FF2E4D7B"/>
      <name val="Arial"/>
      <family val="2"/>
      <charset val="1"/>
    </font>
    <font>
      <sz val="8"/>
      <color rgb="FF3A4F6A"/>
      <name val="Arial"/>
      <family val="2"/>
      <charset val="1"/>
    </font>
    <font>
      <i/>
      <sz val="11"/>
      <color theme="1"/>
      <name val="Calibri"/>
      <family val="2"/>
      <charset val="1"/>
    </font>
    <font>
      <b/>
      <sz val="13"/>
      <color rgb="FFFFFFFF"/>
      <name val="Calibri"/>
      <family val="2"/>
      <charset val="1"/>
    </font>
    <font>
      <b/>
      <sz val="10"/>
      <color rgb="FFFFFFFF"/>
      <name val="Calibri"/>
      <family val="2"/>
      <charset val="1"/>
    </font>
    <font>
      <sz val="9"/>
      <color rgb="FF000000"/>
      <name val="Calibri"/>
      <family val="2"/>
      <charset val="1"/>
    </font>
    <font>
      <sz val="10"/>
      <color rgb="FF000000"/>
      <name val="Arial"/>
      <family val="2"/>
      <charset val="1"/>
    </font>
    <font>
      <b/>
      <sz val="10"/>
      <color rgb="FF000000"/>
      <name val="Arial"/>
      <family val="2"/>
      <charset val="1"/>
    </font>
    <font>
      <b/>
      <sz val="11"/>
      <color rgb="FF003366"/>
      <name val="Calibri"/>
      <family val="2"/>
      <charset val="1"/>
    </font>
    <font>
      <b/>
      <sz val="11"/>
      <name val="Arial"/>
      <family val="2"/>
    </font>
    <font>
      <sz val="11"/>
      <color theme="1"/>
      <name val="Arial"/>
      <family val="2"/>
    </font>
    <font>
      <sz val="10"/>
      <name val="Arial"/>
      <family val="2"/>
    </font>
    <font>
      <b/>
      <sz val="16"/>
      <color theme="1"/>
      <name val="Arial"/>
      <family val="2"/>
    </font>
    <font>
      <b/>
      <sz val="11"/>
      <color theme="1"/>
      <name val="Arial"/>
      <family val="2"/>
    </font>
    <font>
      <i/>
      <sz val="10"/>
      <color theme="1"/>
      <name val="Calibri"/>
      <family val="2"/>
    </font>
    <font>
      <b/>
      <sz val="10"/>
      <color theme="1"/>
      <name val="Calibri"/>
      <family val="2"/>
    </font>
    <font>
      <b/>
      <sz val="9"/>
      <color theme="1"/>
      <name val="Calibri"/>
      <family val="2"/>
    </font>
    <font>
      <b/>
      <sz val="20"/>
      <color rgb="FF00ADEF"/>
      <name val="Arial"/>
      <family val="2"/>
    </font>
    <font>
      <b/>
      <sz val="14"/>
      <color rgb="FFFFFFFF"/>
      <name val="Arial"/>
      <family val="2"/>
    </font>
    <font>
      <b/>
      <sz val="11"/>
      <color rgb="FF000000"/>
      <name val="Arial"/>
      <family val="2"/>
    </font>
    <font>
      <sz val="11"/>
      <color rgb="FF000000"/>
      <name val="Arial"/>
      <family val="2"/>
    </font>
    <font>
      <sz val="10"/>
      <color rgb="FF000000"/>
      <name val="Arial"/>
      <family val="2"/>
    </font>
    <font>
      <b/>
      <i/>
      <sz val="10"/>
      <color rgb="FF000000"/>
      <name val="Arial"/>
      <family val="2"/>
    </font>
    <font>
      <sz val="10"/>
      <color theme="0"/>
      <name val="Arial"/>
      <family val="2"/>
    </font>
    <font>
      <b/>
      <sz val="10"/>
      <color theme="0"/>
      <name val="Arial"/>
      <family val="2"/>
    </font>
    <font>
      <b/>
      <sz val="11"/>
      <color theme="0"/>
      <name val="Arial"/>
      <family val="2"/>
    </font>
    <font>
      <b/>
      <sz val="12"/>
      <color theme="0"/>
      <name val="Arial"/>
      <family val="2"/>
    </font>
    <font>
      <b/>
      <sz val="12"/>
      <name val="Arial"/>
      <family val="2"/>
    </font>
    <font>
      <b/>
      <sz val="14"/>
      <name val="Arial"/>
      <family val="2"/>
    </font>
    <font>
      <b/>
      <sz val="11"/>
      <color rgb="FFFFFFFF"/>
      <name val="Arial"/>
      <family val="2"/>
    </font>
    <font>
      <b/>
      <sz val="12"/>
      <color rgb="FFFFFFFF"/>
      <name val="Arial"/>
      <family val="2"/>
    </font>
    <font>
      <b/>
      <sz val="10"/>
      <color theme="1"/>
      <name val="Arial"/>
      <family val="2"/>
    </font>
    <font>
      <b/>
      <sz val="9"/>
      <color theme="0"/>
      <name val="Calibri"/>
      <family val="2"/>
      <charset val="1"/>
    </font>
    <font>
      <sz val="10"/>
      <color theme="1"/>
      <name val="Arial"/>
      <family val="2"/>
    </font>
    <font>
      <b/>
      <sz val="11"/>
      <color theme="0"/>
      <name val="Calibri"/>
      <family val="2"/>
      <charset val="1"/>
    </font>
    <font>
      <b/>
      <sz val="11"/>
      <color rgb="FF0000CC"/>
      <name val="Arial"/>
      <family val="2"/>
    </font>
    <font>
      <b/>
      <sz val="11"/>
      <color rgb="FF1F1F1F"/>
      <name val="Arial"/>
      <family val="2"/>
    </font>
    <font>
      <i/>
      <sz val="9"/>
      <color rgb="FF555555"/>
      <name val="Arial"/>
      <family val="2"/>
    </font>
    <font>
      <sz val="9"/>
      <color rgb="FF555555"/>
      <name val="Arial"/>
      <family val="2"/>
    </font>
    <font>
      <b/>
      <sz val="9"/>
      <color theme="1"/>
      <name val="Arial"/>
      <family val="2"/>
    </font>
    <font>
      <b/>
      <sz val="10"/>
      <color rgb="FF00347A"/>
      <name val="Arial"/>
      <family val="2"/>
    </font>
    <font>
      <b/>
      <sz val="10"/>
      <color rgb="FF000000"/>
      <name val="Arial"/>
      <family val="2"/>
    </font>
    <font>
      <sz val="9"/>
      <color indexed="81"/>
      <name val="Tahoma"/>
      <family val="2"/>
    </font>
    <font>
      <b/>
      <sz val="9"/>
      <color indexed="81"/>
      <name val="Tahoma"/>
      <family val="2"/>
    </font>
    <font>
      <b/>
      <sz val="9"/>
      <color rgb="FFFFFFFF"/>
      <name val="Arial"/>
      <family val="2"/>
    </font>
    <font>
      <i/>
      <sz val="9"/>
      <color rgb="FF595959"/>
      <name val="Arial"/>
      <family val="2"/>
    </font>
    <font>
      <sz val="12"/>
      <color theme="1"/>
      <name val="Arial"/>
      <family val="2"/>
    </font>
    <font>
      <b/>
      <i/>
      <sz val="10"/>
      <color rgb="FF00347A"/>
      <name val="Arial"/>
      <family val="2"/>
    </font>
    <font>
      <i/>
      <sz val="10"/>
      <color rgb="FF595959"/>
      <name val="Arial"/>
      <family val="2"/>
    </font>
    <font>
      <i/>
      <sz val="8"/>
      <color rgb="FF595959"/>
      <name val="Arial"/>
      <family val="2"/>
    </font>
    <font>
      <sz val="10"/>
      <color rgb="FF1F6B2E"/>
      <name val="Arial"/>
      <family val="2"/>
    </font>
    <font>
      <b/>
      <sz val="10"/>
      <color rgb="FF1F6B2E"/>
      <name val="Arial"/>
      <family val="2"/>
    </font>
    <font>
      <sz val="10"/>
      <color rgb="FF0000FF"/>
      <name val="Arial"/>
      <family val="2"/>
    </font>
    <font>
      <sz val="10"/>
      <color rgb="FF595959"/>
      <name val="Arial"/>
      <family val="2"/>
    </font>
    <font>
      <b/>
      <sz val="11"/>
      <color rgb="FF1F6B2E"/>
      <name val="Arial"/>
      <family val="2"/>
    </font>
    <font>
      <i/>
      <sz val="9"/>
      <color rgb="FFE05C00"/>
      <name val="Arial"/>
      <family val="2"/>
    </font>
    <font>
      <b/>
      <sz val="14"/>
      <color theme="0"/>
      <name val="Calibri"/>
      <family val="2"/>
    </font>
    <font>
      <b/>
      <sz val="16"/>
      <color rgb="FFFFFFFF"/>
      <name val="Arial"/>
      <family val="2"/>
    </font>
    <font>
      <b/>
      <u/>
      <sz val="16"/>
      <color theme="3"/>
      <name val="Arial"/>
      <family val="2"/>
    </font>
    <font>
      <b/>
      <sz val="10"/>
      <name val="Arial"/>
      <family val="2"/>
    </font>
    <font>
      <b/>
      <sz val="20"/>
      <color theme="0"/>
      <name val="Arial"/>
      <family val="2"/>
    </font>
    <font>
      <b/>
      <sz val="14"/>
      <color theme="0"/>
      <name val="Arial"/>
      <family val="2"/>
    </font>
    <font>
      <sz val="12"/>
      <color theme="1"/>
      <name val="Calibri"/>
      <family val="2"/>
      <charset val="1"/>
    </font>
  </fonts>
  <fills count="29">
    <fill>
      <patternFill patternType="none"/>
    </fill>
    <fill>
      <patternFill patternType="gray125"/>
    </fill>
    <fill>
      <patternFill patternType="solid">
        <fgColor rgb="FFF2F2F2"/>
        <bgColor rgb="FFF5F5F5"/>
      </patternFill>
    </fill>
    <fill>
      <patternFill patternType="solid">
        <fgColor rgb="FFFFFFFF"/>
        <bgColor rgb="FFFFF9E6"/>
      </patternFill>
    </fill>
    <fill>
      <patternFill patternType="solid">
        <fgColor rgb="FF000080"/>
        <bgColor rgb="FF0E2841"/>
      </patternFill>
    </fill>
    <fill>
      <patternFill patternType="solid">
        <fgColor rgb="FFE8EEF6"/>
        <bgColor rgb="FFECEFF1"/>
      </patternFill>
    </fill>
    <fill>
      <patternFill patternType="solid">
        <fgColor rgb="FF00347A"/>
        <bgColor rgb="FF003366"/>
      </patternFill>
    </fill>
    <fill>
      <patternFill patternType="solid">
        <fgColor rgb="FFFFF9E6"/>
        <bgColor rgb="FFF5F5F5"/>
      </patternFill>
    </fill>
    <fill>
      <patternFill patternType="solid">
        <fgColor theme="3" tint="0.89999084444715716"/>
        <bgColor indexed="64"/>
      </patternFill>
    </fill>
    <fill>
      <patternFill patternType="solid">
        <fgColor theme="3" tint="0.89999084444715716"/>
        <bgColor rgb="FF0E2841"/>
      </patternFill>
    </fill>
    <fill>
      <patternFill patternType="solid">
        <fgColor theme="3" tint="0.749992370372631"/>
        <bgColor rgb="FF0E2841"/>
      </patternFill>
    </fill>
    <fill>
      <patternFill patternType="solid">
        <fgColor theme="3" tint="0.249977111117893"/>
        <bgColor rgb="FF003366"/>
      </patternFill>
    </fill>
    <fill>
      <patternFill patternType="solid">
        <fgColor theme="3" tint="0.89999084444715716"/>
        <bgColor rgb="FFE8F6FD"/>
      </patternFill>
    </fill>
    <fill>
      <patternFill patternType="solid">
        <fgColor theme="3" tint="0.89999084444715716"/>
        <bgColor rgb="FFDBE1F2"/>
      </patternFill>
    </fill>
    <fill>
      <patternFill patternType="solid">
        <fgColor rgb="FFFFFF00"/>
        <bgColor rgb="FFFD9600"/>
      </patternFill>
    </fill>
    <fill>
      <patternFill patternType="solid">
        <fgColor theme="2"/>
        <bgColor rgb="FFE8EEF6"/>
      </patternFill>
    </fill>
    <fill>
      <patternFill patternType="solid">
        <fgColor rgb="FFFFFF00"/>
        <bgColor rgb="FFFFFACD"/>
      </patternFill>
    </fill>
    <fill>
      <patternFill patternType="solid">
        <fgColor theme="3" tint="0.89999084444715716"/>
        <bgColor rgb="FF244E69"/>
      </patternFill>
    </fill>
    <fill>
      <patternFill patternType="solid">
        <fgColor theme="3" tint="0.249977111117893"/>
        <bgColor rgb="FF2D6A4F"/>
      </patternFill>
    </fill>
    <fill>
      <patternFill patternType="solid">
        <fgColor theme="3" tint="0.249977111117893"/>
        <bgColor rgb="FF5E2D7A"/>
      </patternFill>
    </fill>
    <fill>
      <patternFill patternType="solid">
        <fgColor theme="3" tint="0.89999084444715716"/>
        <bgColor rgb="FF1A6FA8"/>
      </patternFill>
    </fill>
    <fill>
      <patternFill patternType="solid">
        <fgColor theme="3" tint="0.89999084444715716"/>
        <bgColor rgb="FFF5F5F5"/>
      </patternFill>
    </fill>
    <fill>
      <patternFill patternType="solid">
        <fgColor theme="3" tint="0.249977111117893"/>
        <bgColor indexed="64"/>
      </patternFill>
    </fill>
    <fill>
      <patternFill patternType="solid">
        <fgColor theme="7" tint="-0.249977111117893"/>
        <bgColor rgb="FF1A6FA8"/>
      </patternFill>
    </fill>
    <fill>
      <patternFill patternType="solid">
        <fgColor theme="3" tint="0.249977111117893"/>
        <bgColor rgb="FF1A6FA8"/>
      </patternFill>
    </fill>
    <fill>
      <patternFill patternType="solid">
        <fgColor theme="3" tint="0.249977111117893"/>
        <bgColor rgb="FF00347A"/>
      </patternFill>
    </fill>
    <fill>
      <patternFill patternType="solid">
        <fgColor theme="3" tint="0.249977111117893"/>
        <bgColor rgb="FF243166"/>
      </patternFill>
    </fill>
    <fill>
      <patternFill patternType="solid">
        <fgColor theme="3" tint="0.249977111117893"/>
        <bgColor rgb="FF0E2841"/>
      </patternFill>
    </fill>
    <fill>
      <patternFill patternType="solid">
        <fgColor theme="3" tint="0.249977111117893"/>
        <bgColor rgb="FF17375E"/>
      </patternFill>
    </fill>
  </fills>
  <borders count="48">
    <border>
      <left/>
      <right/>
      <top/>
      <bottom/>
      <diagonal/>
    </border>
    <border>
      <left style="thin">
        <color rgb="FFB0B0B0"/>
      </left>
      <right style="thin">
        <color rgb="FFB0B0B0"/>
      </right>
      <top style="thin">
        <color rgb="FFB0B0B0"/>
      </top>
      <bottom style="thin">
        <color rgb="FFB0B0B0"/>
      </bottom>
      <diagonal/>
    </border>
    <border>
      <left/>
      <right/>
      <top/>
      <bottom style="medium">
        <color rgb="FF808182"/>
      </bottom>
      <diagonal/>
    </border>
    <border>
      <left/>
      <right/>
      <top/>
      <bottom style="medium">
        <color rgb="FFDBE1F2"/>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theme="9" tint="0.39979247413556324"/>
      </left>
      <right style="thin">
        <color theme="9" tint="0.39979247413556324"/>
      </right>
      <top style="thin">
        <color theme="9" tint="0.39979247413556324"/>
      </top>
      <bottom style="thin">
        <color theme="9" tint="0.3997924741355632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medium">
        <color auto="1"/>
      </bottom>
      <diagonal/>
    </border>
    <border>
      <left/>
      <right/>
      <top/>
      <bottom style="thin">
        <color auto="1"/>
      </bottom>
      <diagonal/>
    </border>
    <border>
      <left/>
      <right/>
      <top style="thin">
        <color rgb="FFFD9600"/>
      </top>
      <bottom style="thin">
        <color rgb="FFBDD7EE"/>
      </bottom>
      <diagonal/>
    </border>
    <border>
      <left/>
      <right/>
      <top style="medium">
        <color auto="1"/>
      </top>
      <bottom style="thin">
        <color auto="1"/>
      </bottom>
      <diagonal/>
    </border>
    <border>
      <left/>
      <right/>
      <top/>
      <bottom style="medium">
        <color auto="1"/>
      </bottom>
      <diagonal/>
    </border>
    <border>
      <left style="thin">
        <color auto="1"/>
      </left>
      <right style="thin">
        <color theme="0"/>
      </right>
      <top style="thin">
        <color auto="1"/>
      </top>
      <bottom style="thin">
        <color theme="0"/>
      </bottom>
      <diagonal/>
    </border>
    <border>
      <left/>
      <right/>
      <top/>
      <bottom style="thin">
        <color rgb="FF595959"/>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auto="1"/>
      </left>
      <right/>
      <top style="thin">
        <color auto="1"/>
      </top>
      <bottom style="thin">
        <color auto="1"/>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right/>
      <top style="medium">
        <color rgb="FF003366"/>
      </top>
      <bottom style="medium">
        <color rgb="FF003366"/>
      </bottom>
      <diagonal/>
    </border>
    <border>
      <left/>
      <right style="thin">
        <color indexed="64"/>
      </right>
      <top style="thin">
        <color indexed="64"/>
      </top>
      <bottom/>
      <diagonal/>
    </border>
    <border>
      <left/>
      <right style="thin">
        <color indexed="64"/>
      </right>
      <top/>
      <bottom style="thin">
        <color indexed="64"/>
      </bottom>
      <diagonal/>
    </border>
    <border>
      <left/>
      <right/>
      <top style="thin">
        <color auto="1"/>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theme="9" tint="0.39979247413556324"/>
      </bottom>
      <diagonal/>
    </border>
    <border>
      <left/>
      <right style="thin">
        <color indexed="64"/>
      </right>
      <top style="thin">
        <color indexed="64"/>
      </top>
      <bottom style="thin">
        <color theme="9" tint="0.39979247413556324"/>
      </bottom>
      <diagonal/>
    </border>
    <border>
      <left style="thin">
        <color indexed="64"/>
      </left>
      <right/>
      <top style="thin">
        <color theme="9" tint="0.39979247413556324"/>
      </top>
      <bottom style="thin">
        <color theme="9" tint="0.39979247413556324"/>
      </bottom>
      <diagonal/>
    </border>
    <border>
      <left/>
      <right style="thin">
        <color indexed="64"/>
      </right>
      <top style="thin">
        <color theme="9" tint="0.39979247413556324"/>
      </top>
      <bottom style="thin">
        <color theme="9" tint="0.39979247413556324"/>
      </bottom>
      <diagonal/>
    </border>
    <border>
      <left style="thin">
        <color indexed="64"/>
      </left>
      <right/>
      <top style="thin">
        <color theme="9" tint="0.39979247413556324"/>
      </top>
      <bottom style="thin">
        <color indexed="64"/>
      </bottom>
      <diagonal/>
    </border>
    <border>
      <left style="thin">
        <color auto="1"/>
      </left>
      <right/>
      <top style="thin">
        <color auto="1"/>
      </top>
      <bottom style="thin">
        <color theme="0"/>
      </bottom>
      <diagonal/>
    </border>
    <border>
      <left style="thin">
        <color theme="0"/>
      </left>
      <right/>
      <top style="thin">
        <color theme="0"/>
      </top>
      <bottom style="thin">
        <color theme="0"/>
      </bottom>
      <diagonal/>
    </border>
    <border>
      <left/>
      <right/>
      <top style="thin">
        <color rgb="FF595959"/>
      </top>
      <bottom/>
      <diagonal/>
    </border>
    <border>
      <left style="thin">
        <color auto="1"/>
      </left>
      <right style="thin">
        <color theme="0"/>
      </right>
      <top style="thin">
        <color auto="1"/>
      </top>
      <bottom/>
      <diagonal/>
    </border>
    <border>
      <left style="thin">
        <color indexed="64"/>
      </left>
      <right style="thin">
        <color rgb="FFB0B0B0"/>
      </right>
      <top style="thin">
        <color indexed="64"/>
      </top>
      <bottom style="thin">
        <color rgb="FFB0B0B0"/>
      </bottom>
      <diagonal/>
    </border>
    <border>
      <left style="thin">
        <color rgb="FFB0B0B0"/>
      </left>
      <right style="thin">
        <color rgb="FFB0B0B0"/>
      </right>
      <top style="thin">
        <color indexed="64"/>
      </top>
      <bottom style="thin">
        <color rgb="FFB0B0B0"/>
      </bottom>
      <diagonal/>
    </border>
    <border>
      <left style="thin">
        <color rgb="FFB0B0B0"/>
      </left>
      <right style="thin">
        <color indexed="64"/>
      </right>
      <top style="thin">
        <color indexed="64"/>
      </top>
      <bottom style="thin">
        <color rgb="FFB0B0B0"/>
      </bottom>
      <diagonal/>
    </border>
    <border>
      <left style="thin">
        <color indexed="64"/>
      </left>
      <right style="thin">
        <color rgb="FFB0B0B0"/>
      </right>
      <top style="thin">
        <color rgb="FFB0B0B0"/>
      </top>
      <bottom style="thin">
        <color rgb="FFB0B0B0"/>
      </bottom>
      <diagonal/>
    </border>
    <border>
      <left style="thin">
        <color rgb="FFB0B0B0"/>
      </left>
      <right style="thin">
        <color indexed="64"/>
      </right>
      <top style="thin">
        <color rgb="FFB0B0B0"/>
      </top>
      <bottom style="thin">
        <color rgb="FFB0B0B0"/>
      </bottom>
      <diagonal/>
    </border>
    <border>
      <left style="thin">
        <color indexed="64"/>
      </left>
      <right style="thin">
        <color rgb="FFB0B0B0"/>
      </right>
      <top style="thin">
        <color rgb="FFB0B0B0"/>
      </top>
      <bottom style="thin">
        <color indexed="64"/>
      </bottom>
      <diagonal/>
    </border>
    <border>
      <left style="thin">
        <color rgb="FFB0B0B0"/>
      </left>
      <right style="thin">
        <color rgb="FFB0B0B0"/>
      </right>
      <top style="thin">
        <color rgb="FFB0B0B0"/>
      </top>
      <bottom style="thin">
        <color indexed="64"/>
      </bottom>
      <diagonal/>
    </border>
    <border>
      <left style="thin">
        <color rgb="FFB0B0B0"/>
      </left>
      <right style="thin">
        <color indexed="64"/>
      </right>
      <top style="thin">
        <color rgb="FFB0B0B0"/>
      </top>
      <bottom style="thin">
        <color indexed="64"/>
      </bottom>
      <diagonal/>
    </border>
    <border>
      <left style="thin">
        <color rgb="FFB0B0B0"/>
      </left>
      <right style="thin">
        <color rgb="FFB0B0B0"/>
      </right>
      <top/>
      <bottom/>
      <diagonal/>
    </border>
  </borders>
  <cellStyleXfs count="1">
    <xf numFmtId="0" fontId="0" fillId="0" borderId="0"/>
  </cellStyleXfs>
  <cellXfs count="362">
    <xf numFmtId="0" fontId="0" fillId="0" borderId="0" xfId="0"/>
    <xf numFmtId="0" fontId="1" fillId="0" borderId="0" xfId="0" applyFont="1" applyAlignment="1">
      <alignment vertical="center"/>
    </xf>
    <xf numFmtId="0" fontId="1" fillId="0" borderId="2" xfId="0" applyFont="1" applyBorder="1" applyAlignment="1">
      <alignment horizontal="center" vertical="center"/>
    </xf>
    <xf numFmtId="165" fontId="2" fillId="0" borderId="2" xfId="0" applyNumberFormat="1" applyFont="1" applyBorder="1" applyAlignment="1">
      <alignment horizontal="center" vertical="center"/>
    </xf>
    <xf numFmtId="0" fontId="3" fillId="4" borderId="3" xfId="0" applyFont="1" applyFill="1" applyBorder="1" applyAlignment="1">
      <alignment horizontal="center" vertical="center"/>
    </xf>
    <xf numFmtId="0" fontId="0" fillId="0" borderId="3" xfId="0" applyBorder="1" applyAlignment="1">
      <alignment vertical="top"/>
    </xf>
    <xf numFmtId="0" fontId="1" fillId="0" borderId="3" xfId="0" applyFont="1" applyBorder="1" applyAlignment="1">
      <alignment vertical="center"/>
    </xf>
    <xf numFmtId="3" fontId="0" fillId="0" borderId="0" xfId="0" applyNumberFormat="1" applyAlignment="1">
      <alignment horizontal="right" vertical="center" wrapText="1"/>
    </xf>
    <xf numFmtId="4" fontId="0" fillId="0" borderId="0" xfId="0" applyNumberFormat="1" applyAlignment="1">
      <alignment horizontal="right" vertical="center" wrapText="1"/>
    </xf>
    <xf numFmtId="2" fontId="2" fillId="0" borderId="3" xfId="0" applyNumberFormat="1" applyFont="1" applyBorder="1" applyAlignment="1">
      <alignment vertical="center"/>
    </xf>
    <xf numFmtId="0" fontId="0" fillId="0" borderId="0" xfId="0" applyAlignment="1">
      <alignment horizontal="right" vertical="center" wrapText="1"/>
    </xf>
    <xf numFmtId="2" fontId="0" fillId="0" borderId="3" xfId="0" applyNumberFormat="1" applyBorder="1" applyAlignment="1">
      <alignment vertical="top"/>
    </xf>
    <xf numFmtId="0" fontId="1" fillId="0" borderId="0" xfId="0" applyFont="1"/>
    <xf numFmtId="0" fontId="3" fillId="4" borderId="0" xfId="0" applyFont="1" applyFill="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right" vertical="center" wrapText="1"/>
    </xf>
    <xf numFmtId="166" fontId="4" fillId="0" borderId="0" xfId="0" applyNumberFormat="1" applyFont="1" applyAlignment="1">
      <alignment horizontal="right" vertical="center" wrapText="1"/>
    </xf>
    <xf numFmtId="0" fontId="0" fillId="0" borderId="0" xfId="0" applyAlignment="1">
      <alignment vertical="center" wrapText="1"/>
    </xf>
    <xf numFmtId="0" fontId="0" fillId="0" borderId="0" xfId="0" applyAlignment="1">
      <alignment vertical="center"/>
    </xf>
    <xf numFmtId="10" fontId="0" fillId="0" borderId="0" xfId="0" applyNumberFormat="1"/>
    <xf numFmtId="10" fontId="3" fillId="4" borderId="0" xfId="0" applyNumberFormat="1" applyFont="1" applyFill="1" applyAlignment="1">
      <alignment horizontal="center" vertical="center"/>
    </xf>
    <xf numFmtId="0" fontId="0" fillId="0" borderId="0" xfId="0" applyAlignment="1">
      <alignment horizontal="center"/>
    </xf>
    <xf numFmtId="165" fontId="2" fillId="0" borderId="0" xfId="0" applyNumberFormat="1" applyFont="1"/>
    <xf numFmtId="167" fontId="0" fillId="0" borderId="0" xfId="0" applyNumberFormat="1" applyAlignment="1">
      <alignment vertical="center"/>
    </xf>
    <xf numFmtId="167" fontId="3" fillId="4" borderId="8" xfId="0" applyNumberFormat="1" applyFont="1" applyFill="1" applyBorder="1" applyAlignment="1">
      <alignment horizontal="center" vertical="center"/>
    </xf>
    <xf numFmtId="0" fontId="1" fillId="0" borderId="5" xfId="0" applyFont="1" applyBorder="1" applyAlignment="1">
      <alignment horizontal="center" vertical="top"/>
    </xf>
    <xf numFmtId="0" fontId="7" fillId="0" borderId="5" xfId="0" applyFont="1" applyBorder="1" applyAlignment="1">
      <alignment horizontal="center" vertical="top"/>
    </xf>
    <xf numFmtId="0" fontId="8" fillId="0" borderId="0" xfId="0" applyFont="1" applyAlignment="1">
      <alignment horizontal="center" vertical="top"/>
    </xf>
    <xf numFmtId="0" fontId="9" fillId="5" borderId="11" xfId="0" applyFont="1" applyFill="1" applyBorder="1" applyAlignment="1">
      <alignment horizontal="right"/>
    </xf>
    <xf numFmtId="168" fontId="1" fillId="0" borderId="0" xfId="0" applyNumberFormat="1" applyFont="1"/>
    <xf numFmtId="169" fontId="0" fillId="0" borderId="0" xfId="0" applyNumberFormat="1"/>
    <xf numFmtId="167" fontId="2" fillId="0" borderId="0" xfId="0" applyNumberFormat="1" applyFont="1"/>
    <xf numFmtId="10" fontId="10" fillId="0" borderId="0" xfId="0" applyNumberFormat="1" applyFont="1" applyAlignment="1">
      <alignment horizontal="right"/>
    </xf>
    <xf numFmtId="0" fontId="1" fillId="0" borderId="12" xfId="0" applyFont="1" applyBorder="1" applyAlignment="1">
      <alignment horizontal="center"/>
    </xf>
    <xf numFmtId="0" fontId="1" fillId="0" borderId="13" xfId="0" applyFont="1" applyBorder="1"/>
    <xf numFmtId="165" fontId="2" fillId="0" borderId="13" xfId="0" applyNumberFormat="1" applyFont="1" applyBorder="1"/>
    <xf numFmtId="0" fontId="11" fillId="0" borderId="12" xfId="0" applyFont="1" applyBorder="1" applyAlignment="1">
      <alignment horizontal="center"/>
    </xf>
    <xf numFmtId="0" fontId="0" fillId="0" borderId="13" xfId="0" applyBorder="1"/>
    <xf numFmtId="172" fontId="3" fillId="4" borderId="15" xfId="0" applyNumberFormat="1" applyFont="1" applyFill="1" applyBorder="1" applyAlignment="1">
      <alignment horizontal="center" vertical="center"/>
    </xf>
    <xf numFmtId="0" fontId="14" fillId="0" borderId="0" xfId="0" applyFont="1" applyAlignment="1">
      <alignment horizontal="left" vertical="center" indent="1"/>
    </xf>
    <xf numFmtId="172" fontId="0" fillId="0" borderId="15" xfId="0" applyNumberFormat="1" applyBorder="1" applyAlignment="1">
      <alignment horizontal="right" vertical="center"/>
    </xf>
    <xf numFmtId="164" fontId="2" fillId="3" borderId="15" xfId="0" applyNumberFormat="1" applyFont="1" applyFill="1" applyBorder="1" applyAlignment="1">
      <alignment horizontal="right" vertical="center"/>
    </xf>
    <xf numFmtId="172" fontId="16" fillId="3" borderId="15" xfId="0" applyNumberFormat="1" applyFont="1" applyFill="1" applyBorder="1" applyAlignment="1">
      <alignment horizontal="right" vertical="center"/>
    </xf>
    <xf numFmtId="2" fontId="3" fillId="4" borderId="15" xfId="0" applyNumberFormat="1" applyFont="1" applyFill="1" applyBorder="1" applyAlignment="1">
      <alignment horizontal="center" vertical="center"/>
    </xf>
    <xf numFmtId="172" fontId="6" fillId="3" borderId="15" xfId="0" applyNumberFormat="1" applyFont="1" applyFill="1" applyBorder="1" applyAlignment="1">
      <alignment horizontal="right" vertical="center"/>
    </xf>
    <xf numFmtId="0" fontId="0" fillId="0" borderId="17" xfId="0" applyBorder="1"/>
    <xf numFmtId="0" fontId="0" fillId="0" borderId="4" xfId="0" applyBorder="1"/>
    <xf numFmtId="0" fontId="19" fillId="0" borderId="0" xfId="0" applyFont="1"/>
    <xf numFmtId="0" fontId="19" fillId="0" borderId="17" xfId="0" applyFont="1" applyBorder="1"/>
    <xf numFmtId="0" fontId="19" fillId="0" borderId="4" xfId="0" applyFont="1" applyBorder="1"/>
    <xf numFmtId="0" fontId="22" fillId="0" borderId="17" xfId="0" applyFont="1" applyBorder="1" applyAlignment="1">
      <alignment horizontal="left" vertical="center" wrapText="1"/>
    </xf>
    <xf numFmtId="0" fontId="22" fillId="0" borderId="4" xfId="0" applyFont="1" applyBorder="1" applyAlignment="1">
      <alignment horizontal="right" vertical="center" wrapText="1"/>
    </xf>
    <xf numFmtId="0" fontId="19" fillId="0" borderId="17" xfId="0" applyFont="1" applyBorder="1" applyAlignment="1">
      <alignment vertical="center" wrapText="1"/>
    </xf>
    <xf numFmtId="9" fontId="19" fillId="0" borderId="4" xfId="0" applyNumberFormat="1" applyFont="1" applyBorder="1" applyAlignment="1">
      <alignment vertical="center" wrapText="1"/>
    </xf>
    <xf numFmtId="10" fontId="19" fillId="0" borderId="4" xfId="0" applyNumberFormat="1" applyFont="1" applyBorder="1" applyAlignment="1">
      <alignment vertical="center" wrapText="1"/>
    </xf>
    <xf numFmtId="0" fontId="19" fillId="0" borderId="18" xfId="0" applyFont="1" applyBorder="1" applyAlignment="1">
      <alignment vertical="center" wrapText="1"/>
    </xf>
    <xf numFmtId="10" fontId="19" fillId="0" borderId="26" xfId="0" applyNumberFormat="1" applyFont="1" applyBorder="1" applyAlignment="1">
      <alignment vertical="center" wrapText="1"/>
    </xf>
    <xf numFmtId="0" fontId="22" fillId="0" borderId="28" xfId="0" applyFont="1" applyBorder="1" applyAlignment="1">
      <alignment horizontal="left" vertical="center" wrapText="1"/>
    </xf>
    <xf numFmtId="0" fontId="22" fillId="0" borderId="28" xfId="0" applyFont="1" applyBorder="1" applyAlignment="1">
      <alignment horizontal="center" vertical="center" wrapText="1"/>
    </xf>
    <xf numFmtId="9" fontId="19" fillId="0" borderId="26" xfId="0" applyNumberFormat="1" applyFont="1" applyBorder="1" applyAlignment="1">
      <alignment vertical="center" wrapText="1"/>
    </xf>
    <xf numFmtId="0" fontId="19" fillId="0" borderId="10" xfId="0" applyFont="1" applyBorder="1" applyAlignment="1">
      <alignment vertical="center" wrapText="1"/>
    </xf>
    <xf numFmtId="10" fontId="19" fillId="0" borderId="10" xfId="0" applyNumberFormat="1" applyFont="1" applyBorder="1" applyAlignment="1">
      <alignment vertical="center" wrapText="1"/>
    </xf>
    <xf numFmtId="0" fontId="24" fillId="0" borderId="0" xfId="0" applyFont="1"/>
    <xf numFmtId="0" fontId="24" fillId="0" borderId="0" xfId="0" applyFont="1" applyAlignment="1">
      <alignment horizontal="center"/>
    </xf>
    <xf numFmtId="0" fontId="24" fillId="0" borderId="28" xfId="0" applyFont="1" applyBorder="1" applyAlignment="1">
      <alignment horizontal="center"/>
    </xf>
    <xf numFmtId="0" fontId="0" fillId="0" borderId="28" xfId="0" applyBorder="1"/>
    <xf numFmtId="0" fontId="24" fillId="0" borderId="28" xfId="0" applyFont="1" applyBorder="1"/>
    <xf numFmtId="0" fontId="25" fillId="0" borderId="0" xfId="0" applyFont="1"/>
    <xf numFmtId="0" fontId="0" fillId="0" borderId="10" xfId="0" applyBorder="1"/>
    <xf numFmtId="0" fontId="26" fillId="0" borderId="0" xfId="0" applyFont="1" applyAlignment="1">
      <alignment horizontal="left" vertical="center"/>
    </xf>
    <xf numFmtId="0" fontId="26" fillId="0" borderId="0" xfId="0" applyFont="1" applyAlignment="1">
      <alignment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3" fontId="29" fillId="0" borderId="1" xfId="0" applyNumberFormat="1" applyFont="1" applyBorder="1" applyAlignment="1">
      <alignment horizontal="right" vertical="center" wrapText="1"/>
    </xf>
    <xf numFmtId="164" fontId="29" fillId="0" borderId="1" xfId="0" applyNumberFormat="1" applyFont="1" applyBorder="1" applyAlignment="1">
      <alignment horizontal="right" vertical="center" wrapText="1"/>
    </xf>
    <xf numFmtId="0" fontId="0" fillId="0" borderId="0" xfId="0" applyAlignment="1">
      <alignment horizontal="left"/>
    </xf>
    <xf numFmtId="0" fontId="1" fillId="0" borderId="16" xfId="0" applyFont="1" applyBorder="1"/>
    <xf numFmtId="10" fontId="0" fillId="0" borderId="28" xfId="0" applyNumberFormat="1" applyBorder="1"/>
    <xf numFmtId="164" fontId="2" fillId="0" borderId="28" xfId="0" applyNumberFormat="1" applyFont="1" applyBorder="1"/>
    <xf numFmtId="0" fontId="1" fillId="0" borderId="28" xfId="0" applyFont="1" applyBorder="1"/>
    <xf numFmtId="10" fontId="3" fillId="4" borderId="25" xfId="0" applyNumberFormat="1" applyFont="1" applyFill="1" applyBorder="1" applyAlignment="1">
      <alignment horizontal="center" vertical="center"/>
    </xf>
    <xf numFmtId="0" fontId="1" fillId="0" borderId="17" xfId="0" applyFont="1" applyBorder="1"/>
    <xf numFmtId="164" fontId="2" fillId="0" borderId="0" xfId="0" applyNumberFormat="1" applyFont="1"/>
    <xf numFmtId="164" fontId="3" fillId="4" borderId="0" xfId="0" applyNumberFormat="1" applyFont="1" applyFill="1" applyAlignment="1">
      <alignment horizontal="center" vertical="center"/>
    </xf>
    <xf numFmtId="10" fontId="3" fillId="4" borderId="4" xfId="0" applyNumberFormat="1" applyFont="1" applyFill="1" applyBorder="1" applyAlignment="1">
      <alignment horizontal="center" vertical="center"/>
    </xf>
    <xf numFmtId="0" fontId="1" fillId="0" borderId="18" xfId="0" applyFont="1" applyBorder="1"/>
    <xf numFmtId="164" fontId="2" fillId="0" borderId="10" xfId="0" applyNumberFormat="1" applyFont="1" applyBorder="1"/>
    <xf numFmtId="0" fontId="1" fillId="0" borderId="10" xfId="0" applyFont="1" applyBorder="1"/>
    <xf numFmtId="0" fontId="3" fillId="4" borderId="26" xfId="0" applyFont="1" applyFill="1" applyBorder="1" applyAlignment="1">
      <alignment horizontal="center" vertical="center"/>
    </xf>
    <xf numFmtId="0" fontId="1" fillId="0" borderId="21" xfId="0" applyFont="1" applyBorder="1"/>
    <xf numFmtId="0" fontId="0" fillId="0" borderId="27" xfId="0" applyBorder="1"/>
    <xf numFmtId="10" fontId="3" fillId="4" borderId="27" xfId="0" applyNumberFormat="1" applyFont="1" applyFill="1" applyBorder="1" applyAlignment="1">
      <alignment horizontal="center" vertical="center"/>
    </xf>
    <xf numFmtId="0" fontId="1" fillId="0" borderId="27" xfId="0" applyFont="1" applyBorder="1"/>
    <xf numFmtId="10" fontId="3" fillId="4" borderId="29" xfId="0" applyNumberFormat="1" applyFont="1" applyFill="1" applyBorder="1" applyAlignment="1">
      <alignment horizontal="center" vertical="center"/>
    </xf>
    <xf numFmtId="165" fontId="2" fillId="0" borderId="17" xfId="0" applyNumberFormat="1" applyFont="1" applyBorder="1" applyAlignment="1">
      <alignment horizontal="center" vertical="center"/>
    </xf>
    <xf numFmtId="165" fontId="3" fillId="4" borderId="0" xfId="0" applyNumberFormat="1" applyFont="1" applyFill="1" applyAlignment="1">
      <alignment horizontal="center" vertical="center"/>
    </xf>
    <xf numFmtId="165" fontId="2" fillId="0" borderId="0" xfId="0" applyNumberFormat="1" applyFont="1" applyAlignment="1">
      <alignment horizontal="center" vertical="center"/>
    </xf>
    <xf numFmtId="0" fontId="5" fillId="3" borderId="0" xfId="0" applyFont="1" applyFill="1" applyAlignment="1">
      <alignment horizontal="left" vertical="center"/>
    </xf>
    <xf numFmtId="0" fontId="3" fillId="4" borderId="4" xfId="0" applyFont="1" applyFill="1" applyBorder="1" applyAlignment="1">
      <alignment horizontal="center" vertical="center"/>
    </xf>
    <xf numFmtId="0" fontId="0" fillId="0" borderId="28" xfId="0" applyBorder="1" applyAlignment="1">
      <alignment vertical="center"/>
    </xf>
    <xf numFmtId="0" fontId="5" fillId="3" borderId="28" xfId="0" applyFont="1" applyFill="1" applyBorder="1" applyAlignment="1">
      <alignment horizontal="left" vertical="center"/>
    </xf>
    <xf numFmtId="0" fontId="0" fillId="0" borderId="25" xfId="0" applyBorder="1"/>
    <xf numFmtId="0" fontId="1" fillId="0" borderId="17" xfId="0" applyFont="1" applyBorder="1" applyAlignment="1">
      <alignment horizontal="left" vertical="center"/>
    </xf>
    <xf numFmtId="164" fontId="0" fillId="0" borderId="0" xfId="0" applyNumberFormat="1" applyAlignment="1">
      <alignment vertical="center"/>
    </xf>
    <xf numFmtId="164" fontId="6" fillId="0" borderId="0" xfId="0" applyNumberFormat="1" applyFont="1" applyAlignment="1">
      <alignment vertical="center"/>
    </xf>
    <xf numFmtId="164" fontId="3" fillId="4" borderId="4" xfId="0" applyNumberFormat="1" applyFont="1" applyFill="1" applyBorder="1" applyAlignment="1">
      <alignment horizontal="center" vertical="center"/>
    </xf>
    <xf numFmtId="10" fontId="6" fillId="0" borderId="0" xfId="0" applyNumberFormat="1" applyFont="1"/>
    <xf numFmtId="0" fontId="6" fillId="0" borderId="0" xfId="0" applyFont="1"/>
    <xf numFmtId="0" fontId="1" fillId="0" borderId="17" xfId="0" applyFont="1" applyBorder="1" applyAlignment="1">
      <alignment horizontal="left"/>
    </xf>
    <xf numFmtId="10" fontId="0" fillId="0" borderId="4" xfId="0" applyNumberFormat="1" applyBorder="1"/>
    <xf numFmtId="0" fontId="0" fillId="0" borderId="17" xfId="0" applyBorder="1" applyAlignment="1">
      <alignment horizontal="left"/>
    </xf>
    <xf numFmtId="2" fontId="6" fillId="0" borderId="0" xfId="0" applyNumberFormat="1" applyFont="1"/>
    <xf numFmtId="4" fontId="6" fillId="0" borderId="0" xfId="0" applyNumberFormat="1" applyFont="1"/>
    <xf numFmtId="0" fontId="6" fillId="0" borderId="4" xfId="0" applyFont="1" applyBorder="1"/>
    <xf numFmtId="4" fontId="3" fillId="4" borderId="0" xfId="0" applyNumberFormat="1" applyFont="1" applyFill="1" applyAlignment="1">
      <alignment horizontal="center" vertical="center"/>
    </xf>
    <xf numFmtId="4" fontId="3" fillId="4" borderId="4" xfId="0" applyNumberFormat="1" applyFont="1" applyFill="1" applyBorder="1" applyAlignment="1">
      <alignment horizontal="center" vertical="center"/>
    </xf>
    <xf numFmtId="4" fontId="6" fillId="0" borderId="10" xfId="0" applyNumberFormat="1" applyFont="1" applyBorder="1"/>
    <xf numFmtId="4" fontId="3" fillId="4" borderId="10" xfId="0" applyNumberFormat="1" applyFont="1" applyFill="1" applyBorder="1" applyAlignment="1">
      <alignment horizontal="center" vertical="center"/>
    </xf>
    <xf numFmtId="4" fontId="3" fillId="4" borderId="26" xfId="0" applyNumberFormat="1" applyFont="1" applyFill="1" applyBorder="1" applyAlignment="1">
      <alignment horizontal="center" vertical="center"/>
    </xf>
    <xf numFmtId="0" fontId="37" fillId="0" borderId="16" xfId="0" applyFont="1" applyBorder="1" applyAlignment="1">
      <alignment horizontal="left" vertical="center"/>
    </xf>
    <xf numFmtId="0" fontId="39" fillId="4" borderId="17" xfId="0" applyFont="1" applyFill="1" applyBorder="1" applyAlignment="1">
      <alignment horizontal="left" vertical="center"/>
    </xf>
    <xf numFmtId="0" fontId="39" fillId="4" borderId="18" xfId="0" applyFont="1" applyFill="1" applyBorder="1" applyAlignment="1">
      <alignment horizontal="left" vertical="center"/>
    </xf>
    <xf numFmtId="0" fontId="0" fillId="0" borderId="16" xfId="0" applyBorder="1"/>
    <xf numFmtId="165" fontId="2" fillId="0" borderId="28" xfId="0" applyNumberFormat="1" applyFont="1" applyBorder="1"/>
    <xf numFmtId="0" fontId="3" fillId="4" borderId="28" xfId="0" applyFont="1" applyFill="1" applyBorder="1" applyAlignment="1">
      <alignment horizontal="center" vertical="center"/>
    </xf>
    <xf numFmtId="0" fontId="3" fillId="4" borderId="25" xfId="0" applyFont="1" applyFill="1" applyBorder="1" applyAlignment="1">
      <alignment horizontal="center" vertical="center"/>
    </xf>
    <xf numFmtId="2" fontId="3" fillId="4" borderId="0" xfId="0" applyNumberFormat="1" applyFont="1" applyFill="1" applyAlignment="1">
      <alignment horizontal="center" vertical="center"/>
    </xf>
    <xf numFmtId="2" fontId="3" fillId="4" borderId="4" xfId="0" applyNumberFormat="1" applyFont="1" applyFill="1" applyBorder="1" applyAlignment="1">
      <alignment horizontal="center" vertical="center"/>
    </xf>
    <xf numFmtId="0" fontId="3" fillId="4" borderId="17" xfId="0" applyFont="1" applyFill="1" applyBorder="1" applyAlignment="1">
      <alignment horizontal="center" vertical="center"/>
    </xf>
    <xf numFmtId="2" fontId="6" fillId="0" borderId="4" xfId="0" applyNumberFormat="1" applyFont="1" applyBorder="1"/>
    <xf numFmtId="10" fontId="3" fillId="4" borderId="10" xfId="0" applyNumberFormat="1" applyFont="1" applyFill="1" applyBorder="1" applyAlignment="1">
      <alignment horizontal="center" vertical="center"/>
    </xf>
    <xf numFmtId="10" fontId="3" fillId="4" borderId="26" xfId="0" applyNumberFormat="1" applyFont="1" applyFill="1" applyBorder="1" applyAlignment="1">
      <alignment horizontal="center" vertical="center"/>
    </xf>
    <xf numFmtId="0" fontId="18" fillId="0" borderId="18" xfId="0" applyFont="1" applyBorder="1"/>
    <xf numFmtId="2" fontId="6" fillId="0" borderId="10" xfId="0" applyNumberFormat="1" applyFont="1" applyBorder="1"/>
    <xf numFmtId="2" fontId="3" fillId="4" borderId="10" xfId="0" applyNumberFormat="1" applyFont="1" applyFill="1" applyBorder="1" applyAlignment="1">
      <alignment horizontal="center" vertical="center"/>
    </xf>
    <xf numFmtId="2" fontId="3" fillId="4" borderId="26" xfId="0" applyNumberFormat="1" applyFont="1" applyFill="1" applyBorder="1" applyAlignment="1">
      <alignment horizontal="center" vertical="center"/>
    </xf>
    <xf numFmtId="0" fontId="1" fillId="0" borderId="30" xfId="0" applyFont="1" applyBorder="1"/>
    <xf numFmtId="0" fontId="1" fillId="0" borderId="32" xfId="0" applyFont="1" applyBorder="1"/>
    <xf numFmtId="0" fontId="1" fillId="0" borderId="34" xfId="0" applyFont="1" applyBorder="1"/>
    <xf numFmtId="0" fontId="1" fillId="0" borderId="33" xfId="0" applyFont="1" applyBorder="1" applyAlignment="1">
      <alignment horizontal="right"/>
    </xf>
    <xf numFmtId="0" fontId="0" fillId="0" borderId="0" xfId="0" applyAlignment="1">
      <alignment horizontal="right"/>
    </xf>
    <xf numFmtId="0" fontId="3" fillId="4" borderId="31" xfId="0" applyFont="1" applyFill="1" applyBorder="1" applyAlignment="1">
      <alignment horizontal="right" vertical="center"/>
    </xf>
    <xf numFmtId="0" fontId="3" fillId="4" borderId="33" xfId="0" applyFont="1" applyFill="1" applyBorder="1" applyAlignment="1">
      <alignment horizontal="right" vertical="center"/>
    </xf>
    <xf numFmtId="0" fontId="0" fillId="0" borderId="4" xfId="0" applyBorder="1" applyAlignment="1">
      <alignment horizontal="right"/>
    </xf>
    <xf numFmtId="0" fontId="0" fillId="0" borderId="26" xfId="0" applyBorder="1" applyAlignment="1">
      <alignment horizontal="right"/>
    </xf>
    <xf numFmtId="165" fontId="2" fillId="0" borderId="31" xfId="0" applyNumberFormat="1" applyFont="1" applyBorder="1" applyAlignment="1">
      <alignment horizontal="right"/>
    </xf>
    <xf numFmtId="165" fontId="2" fillId="0" borderId="33" xfId="0" applyNumberFormat="1" applyFont="1" applyBorder="1" applyAlignment="1">
      <alignment horizontal="right"/>
    </xf>
    <xf numFmtId="10" fontId="0" fillId="0" borderId="0" xfId="0" applyNumberFormat="1" applyAlignment="1">
      <alignment horizontal="right"/>
    </xf>
    <xf numFmtId="6" fontId="0" fillId="0" borderId="0" xfId="0" applyNumberFormat="1" applyAlignment="1">
      <alignment horizontal="right"/>
    </xf>
    <xf numFmtId="3" fontId="0" fillId="0" borderId="0" xfId="0" applyNumberFormat="1" applyAlignment="1">
      <alignment horizontal="right"/>
    </xf>
    <xf numFmtId="0" fontId="1" fillId="0" borderId="21" xfId="0" applyFont="1" applyBorder="1" applyAlignment="1">
      <alignment vertical="center"/>
    </xf>
    <xf numFmtId="165" fontId="2" fillId="0" borderId="27" xfId="0" applyNumberFormat="1" applyFont="1" applyBorder="1" applyAlignment="1">
      <alignment vertical="center"/>
    </xf>
    <xf numFmtId="165" fontId="2" fillId="0" borderId="29" xfId="0" applyNumberFormat="1" applyFont="1" applyBorder="1" applyAlignment="1">
      <alignment vertical="center"/>
    </xf>
    <xf numFmtId="167" fontId="40" fillId="10" borderId="0" xfId="0" applyNumberFormat="1" applyFont="1" applyFill="1" applyAlignment="1">
      <alignment horizontal="center" vertical="center"/>
    </xf>
    <xf numFmtId="0" fontId="1" fillId="0" borderId="5" xfId="0" applyFont="1" applyBorder="1" applyAlignment="1">
      <alignment vertical="center"/>
    </xf>
    <xf numFmtId="167" fontId="40" fillId="10" borderId="5" xfId="0" applyNumberFormat="1" applyFont="1" applyFill="1" applyBorder="1" applyAlignment="1">
      <alignment horizontal="center" vertical="center"/>
    </xf>
    <xf numFmtId="167" fontId="6" fillId="0" borderId="5" xfId="0" applyNumberFormat="1" applyFont="1" applyBorder="1" applyAlignment="1">
      <alignment vertical="center"/>
    </xf>
    <xf numFmtId="167" fontId="2" fillId="0" borderId="5" xfId="0" applyNumberFormat="1" applyFont="1" applyBorder="1" applyAlignment="1">
      <alignment vertical="center"/>
    </xf>
    <xf numFmtId="0" fontId="40" fillId="9" borderId="5" xfId="0" applyFont="1" applyFill="1" applyBorder="1" applyAlignment="1">
      <alignment horizontal="center" vertical="center"/>
    </xf>
    <xf numFmtId="167" fontId="40" fillId="9" borderId="5" xfId="0" applyNumberFormat="1" applyFont="1" applyFill="1" applyBorder="1" applyAlignment="1">
      <alignment horizontal="center" vertical="center"/>
    </xf>
    <xf numFmtId="167" fontId="20" fillId="0" borderId="7" xfId="0" applyNumberFormat="1" applyFont="1" applyBorder="1" applyAlignment="1">
      <alignment vertical="center"/>
    </xf>
    <xf numFmtId="0" fontId="13" fillId="0" borderId="0" xfId="0" applyFont="1"/>
    <xf numFmtId="172" fontId="0" fillId="0" borderId="0" xfId="0" applyNumberFormat="1" applyAlignment="1">
      <alignment horizontal="right" vertical="center"/>
    </xf>
    <xf numFmtId="172" fontId="13" fillId="0" borderId="0" xfId="0" applyNumberFormat="1" applyFont="1" applyAlignment="1">
      <alignment horizontal="center" vertical="center" wrapText="1"/>
    </xf>
    <xf numFmtId="0" fontId="41" fillId="0" borderId="0" xfId="0" applyFont="1" applyAlignment="1">
      <alignment horizontal="center" vertical="center" wrapText="1"/>
    </xf>
    <xf numFmtId="0" fontId="17" fillId="0" borderId="0" xfId="0" applyFont="1"/>
    <xf numFmtId="172" fontId="3" fillId="4" borderId="37" xfId="0" applyNumberFormat="1" applyFont="1" applyFill="1" applyBorder="1" applyAlignment="1">
      <alignment horizontal="center" vertical="center"/>
    </xf>
    <xf numFmtId="0" fontId="12" fillId="0" borderId="0" xfId="0" applyFont="1"/>
    <xf numFmtId="10" fontId="42" fillId="0" borderId="17" xfId="0" applyNumberFormat="1" applyFont="1" applyBorder="1" applyAlignment="1">
      <alignment horizontal="left" vertical="center" indent="1"/>
    </xf>
    <xf numFmtId="172" fontId="40" fillId="0" borderId="15" xfId="0" applyNumberFormat="1" applyFont="1" applyBorder="1" applyAlignment="1">
      <alignment horizontal="center" vertical="center"/>
    </xf>
    <xf numFmtId="0" fontId="18" fillId="0" borderId="5" xfId="0" applyFont="1" applyBorder="1" applyAlignment="1">
      <alignment horizontal="left" vertical="center" wrapText="1"/>
    </xf>
    <xf numFmtId="0" fontId="18" fillId="0" borderId="47" xfId="0" applyFont="1" applyBorder="1" applyAlignment="1">
      <alignment horizontal="left" vertical="center" wrapText="1"/>
    </xf>
    <xf numFmtId="0" fontId="29" fillId="0" borderId="0" xfId="0" applyFont="1" applyAlignment="1">
      <alignment horizontal="left" vertical="center" wrapText="1"/>
    </xf>
    <xf numFmtId="0" fontId="28" fillId="0" borderId="42" xfId="0" applyFont="1" applyBorder="1" applyAlignment="1">
      <alignment horizontal="left" vertical="center"/>
    </xf>
    <xf numFmtId="4" fontId="44" fillId="0" borderId="1" xfId="0" applyNumberFormat="1" applyFont="1" applyBorder="1" applyAlignment="1">
      <alignment horizontal="center" vertical="center" wrapText="1"/>
    </xf>
    <xf numFmtId="4" fontId="29" fillId="0" borderId="1" xfId="0" applyNumberFormat="1" applyFont="1" applyBorder="1" applyAlignment="1">
      <alignment horizontal="center" vertical="center" wrapText="1"/>
    </xf>
    <xf numFmtId="4" fontId="29" fillId="0" borderId="43" xfId="0" applyNumberFormat="1" applyFont="1" applyBorder="1" applyAlignment="1">
      <alignment horizontal="center" vertical="center" wrapText="1"/>
    </xf>
    <xf numFmtId="3" fontId="44" fillId="0" borderId="1" xfId="0" applyNumberFormat="1" applyFont="1" applyBorder="1" applyAlignment="1">
      <alignment horizontal="center" vertical="center" wrapText="1"/>
    </xf>
    <xf numFmtId="3" fontId="29" fillId="0" borderId="1" xfId="0" applyNumberFormat="1" applyFont="1" applyBorder="1" applyAlignment="1">
      <alignment horizontal="center" vertical="center" wrapText="1"/>
    </xf>
    <xf numFmtId="3" fontId="29" fillId="0" borderId="43" xfId="0" applyNumberFormat="1" applyFont="1" applyBorder="1" applyAlignment="1">
      <alignment horizontal="center" vertical="center" wrapText="1"/>
    </xf>
    <xf numFmtId="10" fontId="44" fillId="0" borderId="1" xfId="0" applyNumberFormat="1" applyFont="1" applyBorder="1" applyAlignment="1">
      <alignment horizontal="center" vertical="center" wrapText="1"/>
    </xf>
    <xf numFmtId="10" fontId="29" fillId="0" borderId="1" xfId="0" applyNumberFormat="1" applyFont="1" applyBorder="1" applyAlignment="1">
      <alignment horizontal="center" vertical="center" wrapText="1"/>
    </xf>
    <xf numFmtId="10" fontId="29" fillId="0" borderId="43" xfId="0" applyNumberFormat="1" applyFont="1" applyBorder="1" applyAlignment="1">
      <alignment horizontal="center" vertical="center" wrapText="1"/>
    </xf>
    <xf numFmtId="174" fontId="44" fillId="0" borderId="1" xfId="0" applyNumberFormat="1" applyFont="1" applyBorder="1" applyAlignment="1">
      <alignment horizontal="center" vertical="center" wrapText="1"/>
    </xf>
    <xf numFmtId="174" fontId="29" fillId="0" borderId="1" xfId="0" applyNumberFormat="1" applyFont="1" applyBorder="1" applyAlignment="1">
      <alignment horizontal="center" vertical="center" wrapText="1"/>
    </xf>
    <xf numFmtId="174" fontId="29" fillId="0" borderId="43" xfId="0" applyNumberFormat="1" applyFont="1" applyBorder="1" applyAlignment="1">
      <alignment horizontal="center" vertical="center" wrapText="1"/>
    </xf>
    <xf numFmtId="0" fontId="18" fillId="8" borderId="1" xfId="0" applyFont="1" applyFill="1" applyBorder="1" applyAlignment="1">
      <alignment horizontal="center" vertical="center" wrapText="1"/>
    </xf>
    <xf numFmtId="10" fontId="18" fillId="8" borderId="1" xfId="0" applyNumberFormat="1" applyFont="1" applyFill="1" applyBorder="1" applyAlignment="1">
      <alignment horizontal="center" vertical="center" wrapText="1"/>
    </xf>
    <xf numFmtId="0" fontId="45" fillId="8" borderId="42" xfId="0" applyFont="1" applyFill="1" applyBorder="1" applyAlignment="1">
      <alignment horizontal="center" vertical="center" wrapText="1"/>
    </xf>
    <xf numFmtId="4" fontId="18" fillId="8" borderId="1" xfId="0" applyNumberFormat="1" applyFont="1" applyFill="1" applyBorder="1" applyAlignment="1">
      <alignment horizontal="center" vertical="center" wrapText="1"/>
    </xf>
    <xf numFmtId="0" fontId="18" fillId="8" borderId="43" xfId="0" applyFont="1" applyFill="1" applyBorder="1" applyAlignment="1">
      <alignment horizontal="center" vertical="center" wrapText="1"/>
    </xf>
    <xf numFmtId="0" fontId="45" fillId="8" borderId="44" xfId="0" applyFont="1" applyFill="1" applyBorder="1" applyAlignment="1">
      <alignment horizontal="center" vertical="center" wrapText="1"/>
    </xf>
    <xf numFmtId="0" fontId="18" fillId="8" borderId="45" xfId="0" applyFont="1" applyFill="1" applyBorder="1" applyAlignment="1">
      <alignment horizontal="center" vertical="center" wrapText="1"/>
    </xf>
    <xf numFmtId="0" fontId="18" fillId="8" borderId="46" xfId="0" applyFont="1" applyFill="1" applyBorder="1" applyAlignment="1">
      <alignment horizontal="center" vertical="center" wrapText="1"/>
    </xf>
    <xf numFmtId="0" fontId="46" fillId="0" borderId="0" xfId="0" applyFont="1" applyAlignment="1">
      <alignment horizontal="left" vertical="center" wrapText="1"/>
    </xf>
    <xf numFmtId="0" fontId="47" fillId="0" borderId="0" xfId="0" applyFont="1" applyAlignment="1">
      <alignment horizontal="left" vertical="center" wrapText="1"/>
    </xf>
    <xf numFmtId="3" fontId="42" fillId="0" borderId="5" xfId="0" applyNumberFormat="1" applyFont="1" applyBorder="1" applyAlignment="1">
      <alignment horizontal="center" vertical="center"/>
    </xf>
    <xf numFmtId="4" fontId="42" fillId="0" borderId="5" xfId="0" applyNumberFormat="1" applyFont="1" applyBorder="1" applyAlignment="1">
      <alignment horizontal="center" vertical="center"/>
    </xf>
    <xf numFmtId="2" fontId="42" fillId="0" borderId="5" xfId="0" applyNumberFormat="1" applyFont="1" applyBorder="1" applyAlignment="1">
      <alignment horizontal="center" vertical="center"/>
    </xf>
    <xf numFmtId="174" fontId="42" fillId="0" borderId="5" xfId="0" applyNumberFormat="1" applyFont="1" applyBorder="1" applyAlignment="1">
      <alignment horizontal="center" vertical="center"/>
    </xf>
    <xf numFmtId="165" fontId="42" fillId="0" borderId="5" xfId="0" applyNumberFormat="1" applyFont="1" applyBorder="1" applyAlignment="1">
      <alignment horizontal="center" vertical="center"/>
    </xf>
    <xf numFmtId="0" fontId="35" fillId="11" borderId="5" xfId="0" applyFont="1" applyFill="1" applyBorder="1" applyAlignment="1">
      <alignment horizontal="center" vertical="center" wrapText="1"/>
    </xf>
    <xf numFmtId="3" fontId="40" fillId="14" borderId="5" xfId="0" applyNumberFormat="1" applyFont="1" applyFill="1" applyBorder="1" applyAlignment="1">
      <alignment horizontal="center" vertical="center"/>
    </xf>
    <xf numFmtId="4" fontId="40" fillId="14" borderId="5" xfId="0" applyNumberFormat="1" applyFont="1" applyFill="1" applyBorder="1" applyAlignment="1">
      <alignment horizontal="center" vertical="center"/>
    </xf>
    <xf numFmtId="2" fontId="40" fillId="14" borderId="5" xfId="0" applyNumberFormat="1" applyFont="1" applyFill="1" applyBorder="1" applyAlignment="1">
      <alignment horizontal="center" vertical="center"/>
    </xf>
    <xf numFmtId="174" fontId="40" fillId="14" borderId="5" xfId="0" applyNumberFormat="1" applyFont="1" applyFill="1" applyBorder="1" applyAlignment="1">
      <alignment horizontal="center" vertical="center"/>
    </xf>
    <xf numFmtId="165" fontId="40" fillId="14" borderId="5" xfId="0" applyNumberFormat="1" applyFont="1" applyFill="1" applyBorder="1" applyAlignment="1">
      <alignment horizontal="center" vertical="center"/>
    </xf>
    <xf numFmtId="0" fontId="35" fillId="11" borderId="5" xfId="0" applyFont="1" applyFill="1" applyBorder="1" applyAlignment="1">
      <alignment vertical="center" wrapText="1"/>
    </xf>
    <xf numFmtId="0" fontId="40" fillId="14" borderId="5" xfId="0" applyFont="1" applyFill="1" applyBorder="1" applyAlignment="1">
      <alignment vertical="center"/>
    </xf>
    <xf numFmtId="0" fontId="42" fillId="0" borderId="5" xfId="0" applyFont="1" applyBorder="1" applyAlignment="1">
      <alignment vertical="center"/>
    </xf>
    <xf numFmtId="0" fontId="30" fillId="3" borderId="5" xfId="0" applyFont="1" applyFill="1" applyBorder="1" applyAlignment="1">
      <alignment vertical="center"/>
    </xf>
    <xf numFmtId="0" fontId="39" fillId="0" borderId="0" xfId="0" applyFont="1" applyAlignment="1">
      <alignment vertical="center" wrapText="1"/>
    </xf>
    <xf numFmtId="0" fontId="48" fillId="17" borderId="5" xfId="0" applyFont="1" applyFill="1" applyBorder="1" applyAlignment="1">
      <alignment vertical="center"/>
    </xf>
    <xf numFmtId="0" fontId="48" fillId="17" borderId="21" xfId="0" applyFont="1" applyFill="1" applyBorder="1" applyAlignment="1">
      <alignment horizontal="center" vertical="center"/>
    </xf>
    <xf numFmtId="0" fontId="42" fillId="3" borderId="5" xfId="0" applyFont="1" applyFill="1" applyBorder="1" applyAlignment="1">
      <alignment vertical="center"/>
    </xf>
    <xf numFmtId="4" fontId="42" fillId="3" borderId="21" xfId="0" applyNumberFormat="1" applyFont="1" applyFill="1" applyBorder="1" applyAlignment="1">
      <alignment horizontal="center" vertical="center"/>
    </xf>
    <xf numFmtId="0" fontId="40" fillId="15" borderId="5" xfId="0" applyFont="1" applyFill="1" applyBorder="1" applyAlignment="1">
      <alignment vertical="center"/>
    </xf>
    <xf numFmtId="4" fontId="40" fillId="15" borderId="21" xfId="0" applyNumberFormat="1" applyFont="1" applyFill="1" applyBorder="1" applyAlignment="1">
      <alignment horizontal="center" vertical="center"/>
    </xf>
    <xf numFmtId="4" fontId="42" fillId="0" borderId="21" xfId="0" applyNumberFormat="1" applyFont="1" applyBorder="1" applyAlignment="1">
      <alignment horizontal="center" vertical="center"/>
    </xf>
    <xf numFmtId="0" fontId="38" fillId="19" borderId="21" xfId="0" applyFont="1" applyFill="1" applyBorder="1" applyAlignment="1">
      <alignment vertical="center" wrapText="1"/>
    </xf>
    <xf numFmtId="0" fontId="50" fillId="0" borderId="5" xfId="0" applyFont="1" applyBorder="1" applyAlignment="1">
      <alignment vertical="center"/>
    </xf>
    <xf numFmtId="0" fontId="50" fillId="16" borderId="5" xfId="0" applyFont="1" applyFill="1" applyBorder="1" applyAlignment="1">
      <alignment vertical="center"/>
    </xf>
    <xf numFmtId="0" fontId="40" fillId="0" borderId="5" xfId="0" applyFont="1" applyBorder="1" applyAlignment="1">
      <alignment vertical="center"/>
    </xf>
    <xf numFmtId="4" fontId="40" fillId="0" borderId="21" xfId="0" applyNumberFormat="1" applyFont="1" applyBorder="1" applyAlignment="1">
      <alignment horizontal="center" vertical="center"/>
    </xf>
    <xf numFmtId="0" fontId="40" fillId="16" borderId="5" xfId="0" applyFont="1" applyFill="1" applyBorder="1" applyAlignment="1">
      <alignment vertical="center"/>
    </xf>
    <xf numFmtId="4" fontId="40" fillId="16" borderId="21" xfId="0" applyNumberFormat="1" applyFont="1" applyFill="1" applyBorder="1" applyAlignment="1">
      <alignment horizontal="center" vertical="center"/>
    </xf>
    <xf numFmtId="0" fontId="48" fillId="20" borderId="5" xfId="0" applyFont="1" applyFill="1" applyBorder="1" applyAlignment="1">
      <alignment vertical="center"/>
    </xf>
    <xf numFmtId="0" fontId="48" fillId="20" borderId="5" xfId="0" applyFont="1" applyFill="1" applyBorder="1" applyAlignment="1">
      <alignment horizontal="center" vertical="center"/>
    </xf>
    <xf numFmtId="0" fontId="48" fillId="20" borderId="21" xfId="0" applyFont="1" applyFill="1" applyBorder="1" applyAlignment="1">
      <alignment vertical="center"/>
    </xf>
    <xf numFmtId="0" fontId="55" fillId="0" borderId="0" xfId="0" applyFont="1"/>
    <xf numFmtId="0" fontId="49" fillId="12" borderId="5" xfId="0" applyFont="1" applyFill="1" applyBorder="1" applyAlignment="1">
      <alignment vertical="center"/>
    </xf>
    <xf numFmtId="3" fontId="30" fillId="12" borderId="5" xfId="0" applyNumberFormat="1" applyFont="1" applyFill="1" applyBorder="1" applyAlignment="1">
      <alignment horizontal="center" vertical="center"/>
    </xf>
    <xf numFmtId="4" fontId="30" fillId="12" borderId="5" xfId="0" applyNumberFormat="1" applyFont="1" applyFill="1" applyBorder="1" applyAlignment="1">
      <alignment horizontal="center" vertical="center"/>
    </xf>
    <xf numFmtId="2" fontId="30" fillId="12" borderId="5" xfId="0" applyNumberFormat="1" applyFont="1" applyFill="1" applyBorder="1" applyAlignment="1">
      <alignment horizontal="center" vertical="center"/>
    </xf>
    <xf numFmtId="174" fontId="30" fillId="12" borderId="5" xfId="0" applyNumberFormat="1" applyFont="1" applyFill="1" applyBorder="1" applyAlignment="1">
      <alignment horizontal="center" vertical="center"/>
    </xf>
    <xf numFmtId="165" fontId="30" fillId="12" borderId="5" xfId="0" applyNumberFormat="1" applyFont="1" applyFill="1" applyBorder="1" applyAlignment="1">
      <alignment horizontal="center" vertical="center"/>
    </xf>
    <xf numFmtId="0" fontId="56" fillId="12" borderId="5" xfId="0" applyFont="1" applyFill="1" applyBorder="1" applyAlignment="1">
      <alignment vertical="center"/>
    </xf>
    <xf numFmtId="3" fontId="50" fillId="13" borderId="5" xfId="0" applyNumberFormat="1" applyFont="1" applyFill="1" applyBorder="1" applyAlignment="1">
      <alignment horizontal="center" vertical="center"/>
    </xf>
    <xf numFmtId="4" fontId="50" fillId="13" borderId="5" xfId="0" applyNumberFormat="1" applyFont="1" applyFill="1" applyBorder="1" applyAlignment="1">
      <alignment horizontal="center" vertical="center"/>
    </xf>
    <xf numFmtId="2" fontId="50" fillId="13" borderId="5" xfId="0" applyNumberFormat="1" applyFont="1" applyFill="1" applyBorder="1" applyAlignment="1">
      <alignment horizontal="center" vertical="center"/>
    </xf>
    <xf numFmtId="174" fontId="50" fillId="13" borderId="5" xfId="0" applyNumberFormat="1" applyFont="1" applyFill="1" applyBorder="1" applyAlignment="1">
      <alignment horizontal="center" vertical="center"/>
    </xf>
    <xf numFmtId="165" fontId="50" fillId="13" borderId="5" xfId="0" applyNumberFormat="1" applyFont="1" applyFill="1" applyBorder="1" applyAlignment="1">
      <alignment horizontal="center" vertical="center"/>
    </xf>
    <xf numFmtId="0" fontId="57" fillId="12" borderId="5" xfId="0" applyFont="1" applyFill="1" applyBorder="1" applyAlignment="1">
      <alignment vertical="center"/>
    </xf>
    <xf numFmtId="3" fontId="57" fillId="12" borderId="5" xfId="0" applyNumberFormat="1" applyFont="1" applyFill="1" applyBorder="1" applyAlignment="1">
      <alignment horizontal="center" vertical="center"/>
    </xf>
    <xf numFmtId="4" fontId="57" fillId="12" borderId="5" xfId="0" applyNumberFormat="1" applyFont="1" applyFill="1" applyBorder="1" applyAlignment="1">
      <alignment horizontal="center" vertical="center"/>
    </xf>
    <xf numFmtId="2" fontId="57" fillId="12" borderId="5" xfId="0" applyNumberFormat="1" applyFont="1" applyFill="1" applyBorder="1" applyAlignment="1">
      <alignment horizontal="center" vertical="center"/>
    </xf>
    <xf numFmtId="174" fontId="57" fillId="12" borderId="5" xfId="0" applyNumberFormat="1" applyFont="1" applyFill="1" applyBorder="1" applyAlignment="1">
      <alignment horizontal="center" vertical="center"/>
    </xf>
    <xf numFmtId="165" fontId="57" fillId="12" borderId="5" xfId="0" applyNumberFormat="1" applyFont="1" applyFill="1" applyBorder="1" applyAlignment="1">
      <alignment horizontal="center" vertical="center"/>
    </xf>
    <xf numFmtId="4" fontId="59" fillId="3" borderId="21" xfId="0" applyNumberFormat="1" applyFont="1" applyFill="1" applyBorder="1" applyAlignment="1">
      <alignment horizontal="center" vertical="center"/>
    </xf>
    <xf numFmtId="4" fontId="60" fillId="16" borderId="21" xfId="0" applyNumberFormat="1" applyFont="1" applyFill="1" applyBorder="1" applyAlignment="1">
      <alignment horizontal="center" vertical="center"/>
    </xf>
    <xf numFmtId="0" fontId="38" fillId="0" borderId="0" xfId="0" applyFont="1" applyAlignment="1">
      <alignment vertical="center" wrapText="1"/>
    </xf>
    <xf numFmtId="0" fontId="53" fillId="0" borderId="0" xfId="0" applyFont="1" applyAlignment="1">
      <alignment vertical="center"/>
    </xf>
    <xf numFmtId="175" fontId="39" fillId="6" borderId="5" xfId="0" applyNumberFormat="1" applyFont="1" applyFill="1" applyBorder="1" applyAlignment="1">
      <alignment horizontal="center" vertical="center"/>
    </xf>
    <xf numFmtId="175" fontId="39" fillId="6" borderId="21" xfId="0" applyNumberFormat="1" applyFont="1" applyFill="1" applyBorder="1" applyAlignment="1">
      <alignment horizontal="center" vertical="center"/>
    </xf>
    <xf numFmtId="9" fontId="61" fillId="0" borderId="5" xfId="0" applyNumberFormat="1" applyFont="1" applyBorder="1" applyAlignment="1">
      <alignment horizontal="center" vertical="center"/>
    </xf>
    <xf numFmtId="0" fontId="62" fillId="0" borderId="5" xfId="0" applyFont="1" applyBorder="1" applyAlignment="1">
      <alignment horizontal="center" vertical="center"/>
    </xf>
    <xf numFmtId="4" fontId="59" fillId="0" borderId="5" xfId="0" applyNumberFormat="1" applyFont="1" applyBorder="1" applyAlignment="1">
      <alignment horizontal="center" vertical="center"/>
    </xf>
    <xf numFmtId="4" fontId="59" fillId="0" borderId="21" xfId="0" applyNumberFormat="1" applyFont="1" applyBorder="1" applyAlignment="1">
      <alignment horizontal="center" vertical="center"/>
    </xf>
    <xf numFmtId="175" fontId="63" fillId="0" borderId="5" xfId="0" applyNumberFormat="1" applyFont="1" applyBorder="1" applyAlignment="1">
      <alignment horizontal="center" vertical="center"/>
    </xf>
    <xf numFmtId="175" fontId="63" fillId="0" borderId="21" xfId="0" applyNumberFormat="1" applyFont="1" applyBorder="1" applyAlignment="1">
      <alignment horizontal="center" vertical="center"/>
    </xf>
    <xf numFmtId="164" fontId="36" fillId="0" borderId="5" xfId="0" applyNumberFormat="1" applyFont="1" applyBorder="1" applyAlignment="1">
      <alignment horizontal="center" vertical="center"/>
    </xf>
    <xf numFmtId="164" fontId="36" fillId="0" borderId="21" xfId="0" applyNumberFormat="1" applyFont="1" applyBorder="1" applyAlignment="1">
      <alignment horizontal="center" vertical="center"/>
    </xf>
    <xf numFmtId="0" fontId="0" fillId="0" borderId="28" xfId="0" applyBorder="1" applyAlignment="1">
      <alignment horizontal="center"/>
    </xf>
    <xf numFmtId="3" fontId="0" fillId="0" borderId="0" xfId="0" applyNumberFormat="1" applyAlignment="1">
      <alignment horizontal="center"/>
    </xf>
    <xf numFmtId="0" fontId="24" fillId="0" borderId="28" xfId="0" applyFont="1" applyBorder="1" applyAlignment="1">
      <alignment horizontal="left"/>
    </xf>
    <xf numFmtId="3" fontId="0" fillId="0" borderId="0" xfId="0" applyNumberFormat="1" applyAlignment="1">
      <alignment horizontal="left"/>
    </xf>
    <xf numFmtId="0" fontId="0" fillId="0" borderId="28" xfId="0" applyBorder="1" applyAlignment="1">
      <alignment horizontal="left"/>
    </xf>
    <xf numFmtId="0" fontId="24" fillId="0" borderId="0" xfId="0" applyFont="1" applyAlignment="1">
      <alignment horizontal="left"/>
    </xf>
    <xf numFmtId="3" fontId="0" fillId="0" borderId="10" xfId="0" applyNumberFormat="1" applyBorder="1" applyAlignment="1">
      <alignment horizontal="left"/>
    </xf>
    <xf numFmtId="0" fontId="0" fillId="0" borderId="10" xfId="0" applyBorder="1" applyAlignment="1">
      <alignment horizontal="center"/>
    </xf>
    <xf numFmtId="10" fontId="0" fillId="0" borderId="0" xfId="0" applyNumberFormat="1" applyAlignment="1">
      <alignment horizontal="center"/>
    </xf>
    <xf numFmtId="10" fontId="0" fillId="0" borderId="10" xfId="0" applyNumberFormat="1" applyBorder="1" applyAlignment="1">
      <alignment horizontal="center"/>
    </xf>
    <xf numFmtId="0" fontId="27" fillId="11" borderId="0" xfId="0" applyFont="1" applyFill="1" applyAlignment="1">
      <alignment horizontal="left" vertical="center"/>
    </xf>
    <xf numFmtId="0" fontId="58" fillId="7" borderId="0" xfId="0" applyFont="1" applyFill="1" applyAlignment="1">
      <alignment horizontal="left" vertical="center" wrapText="1"/>
    </xf>
    <xf numFmtId="0" fontId="42" fillId="0" borderId="21" xfId="0" applyFont="1" applyBorder="1" applyAlignment="1">
      <alignment horizontal="center" vertical="center"/>
    </xf>
    <xf numFmtId="0" fontId="42" fillId="0" borderId="27" xfId="0" applyFont="1" applyBorder="1" applyAlignment="1">
      <alignment horizontal="center" vertical="center"/>
    </xf>
    <xf numFmtId="0" fontId="42" fillId="0" borderId="29" xfId="0" applyFont="1" applyBorder="1" applyAlignment="1">
      <alignment horizontal="center" vertical="center"/>
    </xf>
    <xf numFmtId="0" fontId="39" fillId="18" borderId="21" xfId="0" applyFont="1" applyFill="1" applyBorder="1" applyAlignment="1">
      <alignment horizontal="left" vertical="center" wrapText="1"/>
    </xf>
    <xf numFmtId="0" fontId="39" fillId="18" borderId="27" xfId="0" applyFont="1" applyFill="1" applyBorder="1" applyAlignment="1">
      <alignment horizontal="left" vertical="center" wrapText="1"/>
    </xf>
    <xf numFmtId="0" fontId="53" fillId="0" borderId="0" xfId="0" applyFont="1" applyAlignment="1">
      <alignment horizontal="left" vertical="center"/>
    </xf>
    <xf numFmtId="0" fontId="54" fillId="0" borderId="0" xfId="0" applyFont="1" applyAlignment="1">
      <alignment horizontal="left" vertical="center" wrapText="1"/>
    </xf>
    <xf numFmtId="0" fontId="54" fillId="0" borderId="0" xfId="0" applyFont="1" applyAlignment="1">
      <alignment horizontal="left" vertical="center"/>
    </xf>
    <xf numFmtId="0" fontId="54" fillId="0" borderId="17" xfId="0" applyFont="1" applyBorder="1" applyAlignment="1">
      <alignment horizontal="left" vertical="center"/>
    </xf>
    <xf numFmtId="0" fontId="39" fillId="6" borderId="21" xfId="0" applyFont="1" applyFill="1" applyBorder="1" applyAlignment="1">
      <alignment horizontal="left" vertical="center" wrapText="1"/>
    </xf>
    <xf numFmtId="0" fontId="39" fillId="6" borderId="27" xfId="0" applyFont="1" applyFill="1" applyBorder="1" applyAlignment="1">
      <alignment horizontal="left" vertical="center" wrapText="1"/>
    </xf>
    <xf numFmtId="0" fontId="50" fillId="21" borderId="21" xfId="0" applyFont="1" applyFill="1" applyBorder="1" applyAlignment="1">
      <alignment horizontal="left" vertical="center"/>
    </xf>
    <xf numFmtId="0" fontId="36" fillId="21" borderId="21" xfId="0" applyFont="1" applyFill="1" applyBorder="1" applyAlignment="1">
      <alignment horizontal="center" vertical="center"/>
    </xf>
    <xf numFmtId="0" fontId="38" fillId="6" borderId="21" xfId="0" applyFont="1" applyFill="1" applyBorder="1" applyAlignment="1">
      <alignment horizontal="center" vertical="center"/>
    </xf>
    <xf numFmtId="0" fontId="50" fillId="0" borderId="21" xfId="0" applyFont="1" applyBorder="1" applyAlignment="1">
      <alignment horizontal="left" vertical="center"/>
    </xf>
    <xf numFmtId="0" fontId="64" fillId="0" borderId="0" xfId="0" applyFont="1" applyAlignment="1">
      <alignment horizontal="left" vertical="center"/>
    </xf>
    <xf numFmtId="0" fontId="20" fillId="0" borderId="0" xfId="0" applyFont="1" applyAlignment="1">
      <alignment horizontal="center" vertical="center" wrapText="1"/>
    </xf>
    <xf numFmtId="0" fontId="18" fillId="0" borderId="0" xfId="0" applyFont="1" applyAlignment="1">
      <alignment horizontal="center"/>
    </xf>
    <xf numFmtId="0" fontId="21" fillId="0" borderId="16" xfId="0" applyFont="1" applyBorder="1" applyAlignment="1">
      <alignment horizontal="center" vertical="center"/>
    </xf>
    <xf numFmtId="0" fontId="21" fillId="0" borderId="25" xfId="0" applyFont="1" applyBorder="1" applyAlignment="1">
      <alignment horizontal="center" vertical="center"/>
    </xf>
    <xf numFmtId="0" fontId="0" fillId="0" borderId="0" xfId="0" applyAlignment="1">
      <alignment horizontal="center" wrapText="1"/>
    </xf>
    <xf numFmtId="0" fontId="0" fillId="0" borderId="10" xfId="0" applyBorder="1" applyAlignment="1">
      <alignment horizontal="center" wrapText="1"/>
    </xf>
    <xf numFmtId="0" fontId="24" fillId="0" borderId="28" xfId="0" applyFont="1" applyBorder="1" applyAlignment="1">
      <alignment horizontal="center"/>
    </xf>
    <xf numFmtId="0" fontId="65" fillId="22" borderId="0" xfId="0" applyFont="1" applyFill="1" applyAlignment="1">
      <alignment horizontal="center"/>
    </xf>
    <xf numFmtId="0" fontId="23" fillId="0" borderId="0" xfId="0" applyFont="1" applyAlignment="1">
      <alignment horizontal="right"/>
    </xf>
    <xf numFmtId="0" fontId="23" fillId="0" borderId="0" xfId="0" applyFont="1" applyAlignment="1">
      <alignment horizontal="center"/>
    </xf>
    <xf numFmtId="0" fontId="30" fillId="2" borderId="0" xfId="0" applyFont="1" applyFill="1" applyAlignment="1">
      <alignment horizontal="left" vertical="center" wrapText="1"/>
    </xf>
    <xf numFmtId="0" fontId="3" fillId="4" borderId="6" xfId="0" applyFont="1" applyFill="1" applyBorder="1" applyAlignment="1">
      <alignment horizontal="center" vertical="center"/>
    </xf>
    <xf numFmtId="0" fontId="1" fillId="0" borderId="9" xfId="0" applyFont="1" applyBorder="1" applyAlignment="1">
      <alignment horizontal="center"/>
    </xf>
    <xf numFmtId="0" fontId="1" fillId="0" borderId="12" xfId="0" applyFont="1" applyBorder="1" applyAlignment="1">
      <alignment horizontal="center"/>
    </xf>
    <xf numFmtId="0" fontId="29" fillId="0" borderId="5" xfId="0" applyFont="1" applyBorder="1" applyAlignment="1">
      <alignment horizontal="left" vertical="center" wrapText="1"/>
    </xf>
    <xf numFmtId="0" fontId="66" fillId="23" borderId="0" xfId="0" applyFont="1" applyFill="1" applyAlignment="1">
      <alignment horizontal="left" vertical="center" wrapText="1"/>
    </xf>
    <xf numFmtId="0" fontId="67" fillId="0" borderId="0" xfId="0" applyFont="1" applyAlignment="1">
      <alignment vertical="center"/>
    </xf>
    <xf numFmtId="0" fontId="34" fillId="22" borderId="21" xfId="0" applyFont="1" applyFill="1" applyBorder="1" applyAlignment="1">
      <alignment horizontal="left" vertical="center"/>
    </xf>
    <xf numFmtId="0" fontId="34" fillId="22" borderId="27" xfId="0" applyFont="1" applyFill="1" applyBorder="1" applyAlignment="1">
      <alignment horizontal="left" vertical="center"/>
    </xf>
    <xf numFmtId="0" fontId="34" fillId="22" borderId="29" xfId="0" applyFont="1" applyFill="1" applyBorder="1" applyAlignment="1">
      <alignment horizontal="left" vertical="center"/>
    </xf>
    <xf numFmtId="10" fontId="68" fillId="4" borderId="9" xfId="0" applyNumberFormat="1" applyFont="1" applyFill="1" applyBorder="1" applyAlignment="1">
      <alignment horizontal="center" vertical="center"/>
    </xf>
    <xf numFmtId="0" fontId="69" fillId="22" borderId="5" xfId="0" applyFont="1" applyFill="1" applyBorder="1" applyAlignment="1">
      <alignment horizontal="center" vertical="center"/>
    </xf>
    <xf numFmtId="0" fontId="27" fillId="24" borderId="5" xfId="0" applyFont="1" applyFill="1" applyBorder="1" applyAlignment="1">
      <alignment horizontal="center" vertical="center" wrapText="1"/>
    </xf>
    <xf numFmtId="0" fontId="27" fillId="24" borderId="5" xfId="0" applyFont="1" applyFill="1" applyBorder="1" applyAlignment="1">
      <alignment horizontal="center" vertical="center" wrapText="1"/>
    </xf>
    <xf numFmtId="0" fontId="18" fillId="8" borderId="5" xfId="0" applyFont="1" applyFill="1" applyBorder="1" applyAlignment="1">
      <alignment horizontal="left" vertical="center" wrapText="1"/>
    </xf>
    <xf numFmtId="0" fontId="29" fillId="8" borderId="5" xfId="0" applyFont="1" applyFill="1" applyBorder="1" applyAlignment="1">
      <alignment horizontal="left" vertical="center" wrapText="1"/>
    </xf>
    <xf numFmtId="0" fontId="36" fillId="20" borderId="39" xfId="0" applyFont="1" applyFill="1" applyBorder="1" applyAlignment="1">
      <alignment horizontal="center" vertical="center" wrapText="1"/>
    </xf>
    <xf numFmtId="0" fontId="36" fillId="20" borderId="40" xfId="0" applyFont="1" applyFill="1" applyBorder="1" applyAlignment="1">
      <alignment horizontal="center" vertical="center" wrapText="1"/>
    </xf>
    <xf numFmtId="0" fontId="36" fillId="20" borderId="41" xfId="0" applyFont="1" applyFill="1" applyBorder="1" applyAlignment="1">
      <alignment horizontal="center" vertical="center" wrapText="1"/>
    </xf>
    <xf numFmtId="0" fontId="22" fillId="0" borderId="42" xfId="0" applyFont="1" applyFill="1" applyBorder="1" applyAlignment="1">
      <alignment horizontal="left" vertical="center"/>
    </xf>
    <xf numFmtId="10" fontId="22" fillId="0" borderId="1" xfId="0" applyNumberFormat="1" applyFont="1" applyFill="1" applyBorder="1" applyAlignment="1">
      <alignment horizontal="center" vertical="center" wrapText="1"/>
    </xf>
    <xf numFmtId="10" fontId="19" fillId="0" borderId="1" xfId="0" applyNumberFormat="1" applyFont="1" applyFill="1" applyBorder="1" applyAlignment="1">
      <alignment horizontal="center" vertical="center" wrapText="1"/>
    </xf>
    <xf numFmtId="10" fontId="19" fillId="0" borderId="43" xfId="0" applyNumberFormat="1" applyFont="1" applyFill="1" applyBorder="1" applyAlignment="1">
      <alignment horizontal="center" vertical="center" wrapText="1"/>
    </xf>
    <xf numFmtId="0" fontId="19" fillId="0" borderId="0" xfId="0" applyFont="1" applyFill="1"/>
    <xf numFmtId="0" fontId="22" fillId="0" borderId="44" xfId="0" applyFont="1" applyFill="1" applyBorder="1" applyAlignment="1">
      <alignment horizontal="left" vertical="center"/>
    </xf>
    <xf numFmtId="173" fontId="22" fillId="0" borderId="45" xfId="0" applyNumberFormat="1" applyFont="1" applyFill="1" applyBorder="1" applyAlignment="1">
      <alignment horizontal="center" vertical="center" wrapText="1"/>
    </xf>
    <xf numFmtId="173" fontId="19" fillId="0" borderId="45" xfId="0" applyNumberFormat="1" applyFont="1" applyFill="1" applyBorder="1" applyAlignment="1">
      <alignment horizontal="center" vertical="center" wrapText="1"/>
    </xf>
    <xf numFmtId="173" fontId="19" fillId="0" borderId="46" xfId="0" applyNumberFormat="1" applyFont="1" applyFill="1" applyBorder="1" applyAlignment="1">
      <alignment horizontal="center" vertical="center" wrapText="1"/>
    </xf>
    <xf numFmtId="0" fontId="70" fillId="25" borderId="0" xfId="0" applyFont="1" applyFill="1" applyAlignment="1">
      <alignment horizontal="center" vertical="center"/>
    </xf>
    <xf numFmtId="0" fontId="34" fillId="26" borderId="38" xfId="0" applyFont="1" applyFill="1" applyBorder="1" applyAlignment="1">
      <alignment horizontal="center"/>
    </xf>
    <xf numFmtId="171" fontId="33" fillId="22" borderId="5" xfId="0" applyNumberFormat="1" applyFont="1" applyFill="1" applyBorder="1" applyAlignment="1">
      <alignment horizontal="left" vertical="center" indent="1"/>
    </xf>
    <xf numFmtId="172" fontId="33" fillId="22" borderId="5" xfId="0" applyNumberFormat="1" applyFont="1" applyFill="1" applyBorder="1" applyAlignment="1">
      <alignment horizontal="right" vertical="center"/>
    </xf>
    <xf numFmtId="0" fontId="33" fillId="26" borderId="14" xfId="0" applyFont="1" applyFill="1" applyBorder="1" applyAlignment="1">
      <alignment horizontal="center"/>
    </xf>
    <xf numFmtId="0" fontId="3" fillId="27" borderId="19" xfId="0" applyFont="1" applyFill="1" applyBorder="1" applyAlignment="1">
      <alignment horizontal="center" vertical="center"/>
    </xf>
    <xf numFmtId="0" fontId="3" fillId="27" borderId="35" xfId="0" applyFont="1" applyFill="1" applyBorder="1" applyAlignment="1">
      <alignment horizontal="center" vertical="center"/>
    </xf>
    <xf numFmtId="10" fontId="32" fillId="26" borderId="22" xfId="0" applyNumberFormat="1" applyFont="1" applyFill="1" applyBorder="1" applyAlignment="1">
      <alignment horizontal="center" vertical="center" wrapText="1"/>
    </xf>
    <xf numFmtId="10" fontId="32" fillId="26" borderId="23" xfId="0" applyNumberFormat="1" applyFont="1" applyFill="1" applyBorder="1" applyAlignment="1">
      <alignment horizontal="center" vertical="center" wrapText="1"/>
    </xf>
    <xf numFmtId="10" fontId="32" fillId="26" borderId="36" xfId="0" applyNumberFormat="1" applyFont="1" applyFill="1" applyBorder="1" applyAlignment="1">
      <alignment horizontal="center" vertical="center" wrapText="1"/>
    </xf>
    <xf numFmtId="10" fontId="33" fillId="22" borderId="24" xfId="0" applyNumberFormat="1" applyFont="1" applyFill="1" applyBorder="1" applyAlignment="1">
      <alignment horizontal="center" vertical="center"/>
    </xf>
    <xf numFmtId="10" fontId="43" fillId="22" borderId="24" xfId="0" applyNumberFormat="1" applyFont="1" applyFill="1" applyBorder="1"/>
    <xf numFmtId="171" fontId="43" fillId="22" borderId="24" xfId="0" applyNumberFormat="1" applyFont="1" applyFill="1" applyBorder="1"/>
    <xf numFmtId="172" fontId="33" fillId="22" borderId="24" xfId="0" applyNumberFormat="1" applyFont="1" applyFill="1" applyBorder="1" applyAlignment="1">
      <alignment horizontal="center" vertical="center"/>
    </xf>
    <xf numFmtId="0" fontId="33" fillId="26" borderId="19" xfId="0" applyFont="1" applyFill="1" applyBorder="1" applyAlignment="1">
      <alignment horizontal="center"/>
    </xf>
    <xf numFmtId="0" fontId="20" fillId="0" borderId="5" xfId="0" applyFont="1" applyFill="1" applyBorder="1" applyAlignment="1">
      <alignment horizontal="left" vertical="center" indent="1"/>
    </xf>
    <xf numFmtId="170" fontId="42" fillId="0" borderId="5" xfId="0" applyNumberFormat="1" applyFont="1" applyFill="1" applyBorder="1" applyAlignment="1">
      <alignment horizontal="right" vertical="center"/>
    </xf>
    <xf numFmtId="171" fontId="20" fillId="0" borderId="5" xfId="0" applyNumberFormat="1" applyFont="1" applyFill="1" applyBorder="1" applyAlignment="1">
      <alignment horizontal="left" vertical="center" indent="1"/>
    </xf>
    <xf numFmtId="170" fontId="40" fillId="0" borderId="5" xfId="0" applyNumberFormat="1" applyFont="1" applyFill="1" applyBorder="1" applyAlignment="1">
      <alignment horizontal="right" vertical="center"/>
    </xf>
    <xf numFmtId="172" fontId="40" fillId="0" borderId="5" xfId="0" applyNumberFormat="1" applyFont="1" applyFill="1" applyBorder="1" applyAlignment="1">
      <alignment horizontal="right" vertical="center"/>
    </xf>
    <xf numFmtId="0" fontId="1" fillId="0" borderId="17" xfId="0" applyFont="1" applyFill="1" applyBorder="1" applyAlignment="1">
      <alignment horizontal="left" vertical="center" indent="1"/>
    </xf>
    <xf numFmtId="0" fontId="1" fillId="0" borderId="20" xfId="0" applyFont="1" applyFill="1" applyBorder="1" applyAlignment="1">
      <alignment horizontal="left" vertical="center" indent="1"/>
    </xf>
    <xf numFmtId="10" fontId="1" fillId="0" borderId="21" xfId="0" applyNumberFormat="1" applyFont="1" applyFill="1" applyBorder="1" applyAlignment="1">
      <alignment horizontal="left" vertical="center" indent="1"/>
    </xf>
    <xf numFmtId="10" fontId="15" fillId="0" borderId="17" xfId="0" applyNumberFormat="1" applyFont="1" applyFill="1" applyBorder="1" applyAlignment="1">
      <alignment horizontal="left" vertical="center" indent="1"/>
    </xf>
    <xf numFmtId="171" fontId="1" fillId="0" borderId="21" xfId="0" applyNumberFormat="1" applyFont="1" applyFill="1" applyBorder="1" applyAlignment="1">
      <alignment horizontal="left" vertical="center" indent="1"/>
    </xf>
    <xf numFmtId="0" fontId="39" fillId="27" borderId="10" xfId="0" applyFont="1" applyFill="1" applyBorder="1" applyAlignment="1">
      <alignment horizontal="center" vertical="center"/>
    </xf>
    <xf numFmtId="0" fontId="71" fillId="0" borderId="0" xfId="0" applyFont="1" applyAlignment="1">
      <alignment horizontal="center"/>
    </xf>
    <xf numFmtId="0" fontId="71" fillId="0" borderId="0" xfId="0" applyFont="1"/>
    <xf numFmtId="0" fontId="39" fillId="27" borderId="0" xfId="0" applyFont="1" applyFill="1" applyAlignment="1">
      <alignment horizontal="center" vertical="center"/>
    </xf>
    <xf numFmtId="0" fontId="3" fillId="27" borderId="0" xfId="0" applyFont="1" applyFill="1" applyAlignment="1">
      <alignment horizontal="center" vertical="center"/>
    </xf>
    <xf numFmtId="0" fontId="35" fillId="28" borderId="16" xfId="0" applyFont="1" applyFill="1" applyBorder="1" applyAlignment="1">
      <alignment horizontal="center"/>
    </xf>
    <xf numFmtId="0" fontId="35" fillId="28" borderId="28" xfId="0" applyFont="1" applyFill="1" applyBorder="1" applyAlignment="1">
      <alignment horizontal="center"/>
    </xf>
    <xf numFmtId="0" fontId="35" fillId="28" borderId="28" xfId="0" applyFont="1" applyFill="1" applyBorder="1" applyAlignment="1">
      <alignment horizontal="left" vertical="center"/>
    </xf>
    <xf numFmtId="0" fontId="35" fillId="28" borderId="25" xfId="0" applyFont="1" applyFill="1" applyBorder="1" applyAlignment="1">
      <alignment horizontal="center"/>
    </xf>
  </cellXfs>
  <cellStyles count="1">
    <cellStyle name="Normal" xfId="0" builtinId="0"/>
  </cellStyles>
  <dxfs count="2">
    <dxf>
      <font>
        <color rgb="FF47D45A"/>
      </font>
    </dxf>
    <dxf>
      <font>
        <color rgb="FFFF0000"/>
      </font>
    </dxf>
  </dxfs>
  <tableStyles count="0" defaultTableStyle="TableStyleMedium2" defaultPivotStyle="PivotStyleLight16"/>
  <colors>
    <indexedColors>
      <rgbColor rgb="FF000000"/>
      <rgbColor rgb="FFFFFFFF"/>
      <rgbColor rgb="FFFF0000"/>
      <rgbColor rgb="FFF2F2F2"/>
      <rgbColor rgb="FF0000FF"/>
      <rgbColor rgb="FFFFB600"/>
      <rgbColor rgb="FFFFF0F3"/>
      <rgbColor rgb="FFE8F4FD"/>
      <rgbColor rgb="FF990000"/>
      <rgbColor rgb="FF027902"/>
      <rgbColor rgb="FF000080"/>
      <rgbColor rgb="FF555555"/>
      <rgbColor rgb="FF5E2D7A"/>
      <rgbColor rgb="FF2D6A4F"/>
      <rgbColor rgb="FFBFBFBF"/>
      <rgbColor rgb="FF808182"/>
      <rgbColor rgb="FFC6EFCE"/>
      <rgbColor rgb="FF9B2335"/>
      <rgbColor rgb="FFFFFACD"/>
      <rgbColor rgb="FFDCF0FA"/>
      <rgbColor rgb="FF3E1F47"/>
      <rgbColor rgb="FFFDE8E8"/>
      <rgbColor rgb="FF1A6FA8"/>
      <rgbColor rgb="FFBDD7EE"/>
      <rgbColor rgb="FF00347A"/>
      <rgbColor rgb="FFF5F5F5"/>
      <rgbColor rgb="FFD6EFD8"/>
      <rgbColor rgb="FFE8F6E8"/>
      <rgbColor rgb="FFF0F8FF"/>
      <rgbColor rgb="FFFFF9E6"/>
      <rgbColor rgb="FF1F6B2E"/>
      <rgbColor rgb="FF17375E"/>
      <rgbColor rgb="FF00ADEF"/>
      <rgbColor rgb="FFE8F6FD"/>
      <rgbColor rgb="FFD9F2D0"/>
      <rgbColor rgb="FFFFEB9C"/>
      <rgbColor rgb="FFDBE1F2"/>
      <rgbColor rgb="FFE0E0E0"/>
      <rgbColor rgb="FFDDDDDD"/>
      <rgbColor rgb="FFFFE4E8"/>
      <rgbColor rgb="FF244E69"/>
      <rgbColor rgb="FFE8EEF6"/>
      <rgbColor rgb="FF81D86E"/>
      <rgbColor rgb="FFFFD700"/>
      <rgbColor rgb="FFFD9600"/>
      <rgbColor rgb="FFECEFF1"/>
      <rgbColor rgb="FF595959"/>
      <rgbColor rgb="FFB0B0B0"/>
      <rgbColor rgb="FF003366"/>
      <rgbColor rgb="FF40916C"/>
      <rgbColor rgb="FF0E2841"/>
      <rgbColor rgb="FF1B4332"/>
      <rgbColor rgb="FF264653"/>
      <rgbColor rgb="FF6D2E46"/>
      <rgbColor rgb="FF243166"/>
      <rgbColor rgb="FF2D1D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pieChart>
        <c:varyColors val="1"/>
        <c:ser>
          <c:idx val="0"/>
          <c:order val="0"/>
          <c:spPr>
            <a:solidFill>
              <a:srgbClr val="156082"/>
            </a:solidFill>
            <a:ln w="0">
              <a:noFill/>
            </a:ln>
          </c:spPr>
          <c:dPt>
            <c:idx val="0"/>
            <c:bubble3D val="0"/>
            <c:spPr>
              <a:solidFill>
                <a:srgbClr val="8799A9"/>
              </a:solidFill>
              <a:ln w="19080">
                <a:solidFill>
                  <a:srgbClr val="FFFFFF"/>
                </a:solidFill>
                <a:round/>
              </a:ln>
            </c:spPr>
            <c:extLst>
              <c:ext xmlns:c16="http://schemas.microsoft.com/office/drawing/2014/chart" uri="{C3380CC4-5D6E-409C-BE32-E72D297353CC}">
                <c16:uniqueId val="{00000001-FF8C-45B8-9367-F7260B7A3798}"/>
              </c:ext>
            </c:extLst>
          </c:dPt>
          <c:dPt>
            <c:idx val="1"/>
            <c:bubble3D val="0"/>
            <c:spPr>
              <a:solidFill>
                <a:srgbClr val="125573"/>
              </a:solidFill>
              <a:ln w="19080">
                <a:solidFill>
                  <a:srgbClr val="FFFFFF"/>
                </a:solidFill>
                <a:round/>
              </a:ln>
            </c:spPr>
            <c:extLst>
              <c:ext xmlns:c16="http://schemas.microsoft.com/office/drawing/2014/chart" uri="{C3380CC4-5D6E-409C-BE32-E72D297353CC}">
                <c16:uniqueId val="{00000003-FF8C-45B8-9367-F7260B7A3798}"/>
              </c:ext>
            </c:extLst>
          </c:dPt>
          <c:dLbls>
            <c:dLbl>
              <c:idx val="0"/>
              <c:spPr/>
              <c:txPr>
                <a:bodyPr wrap="square"/>
                <a:lstStyle/>
                <a:p>
                  <a:pPr>
                    <a:defRPr sz="1000" b="0" strike="noStrike" spc="-1">
                      <a:solidFill>
                        <a:srgbClr val="000000"/>
                      </a:solidFill>
                      <a:latin typeface="Aptos Narrow"/>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F8C-45B8-9367-F7260B7A3798}"/>
                </c:ext>
              </c:extLst>
            </c:dLbl>
            <c:dLbl>
              <c:idx val="1"/>
              <c:spPr/>
              <c:txPr>
                <a:bodyPr wrap="square"/>
                <a:lstStyle/>
                <a:p>
                  <a:pPr>
                    <a:defRPr sz="1000" b="0" strike="noStrike" spc="-1">
                      <a:solidFill>
                        <a:srgbClr val="000000"/>
                      </a:solidFill>
                      <a:latin typeface="Aptos Narrow"/>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F8C-45B8-9367-F7260B7A3798}"/>
                </c:ext>
              </c:extLst>
            </c:dLbl>
            <c:spPr>
              <a:noFill/>
              <a:ln>
                <a:noFill/>
              </a:ln>
              <a:effectLst/>
            </c:spPr>
            <c:txPr>
              <a:bodyPr wrap="square"/>
              <a:lstStyle/>
              <a:p>
                <a:pPr>
                  <a:defRPr sz="1000" b="0" strike="noStrike" spc="-1">
                    <a:solidFill>
                      <a:srgbClr val="000000"/>
                    </a:solidFill>
                    <a:latin typeface="Aptos Narrow"/>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WACC!$B$7:$B$8</c:f>
              <c:strCache>
                <c:ptCount val="2"/>
                <c:pt idx="0">
                  <c:v>% of Debt</c:v>
                </c:pt>
                <c:pt idx="1">
                  <c:v>% of Equity</c:v>
                </c:pt>
              </c:strCache>
            </c:strRef>
          </c:cat>
          <c:val>
            <c:numRef>
              <c:f>WACC!$C$7:$C$8</c:f>
              <c:numCache>
                <c:formatCode>0.0%;\(0.0%\);\-</c:formatCode>
                <c:ptCount val="2"/>
                <c:pt idx="0">
                  <c:v>0.56883509833585477</c:v>
                </c:pt>
                <c:pt idx="1">
                  <c:v>0.43116490166414523</c:v>
                </c:pt>
              </c:numCache>
            </c:numRef>
          </c:val>
          <c:extLst>
            <c:ext xmlns:c16="http://schemas.microsoft.com/office/drawing/2014/chart" uri="{C3380CC4-5D6E-409C-BE32-E72D297353CC}">
              <c16:uniqueId val="{00000004-FF8C-45B8-9367-F7260B7A3798}"/>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739563</xdr:colOff>
      <xdr:row>2</xdr:row>
      <xdr:rowOff>8676</xdr:rowOff>
    </xdr:from>
    <xdr:to>
      <xdr:col>8</xdr:col>
      <xdr:colOff>108302</xdr:colOff>
      <xdr:row>16</xdr:row>
      <xdr:rowOff>111553</xdr:rowOff>
    </xdr:to>
    <xdr:pic>
      <xdr:nvPicPr>
        <xdr:cNvPr id="2" name="Picture 1">
          <a:extLst>
            <a:ext uri="{FF2B5EF4-FFF2-40B4-BE49-F238E27FC236}">
              <a16:creationId xmlns:a16="http://schemas.microsoft.com/office/drawing/2014/main" id="{D8215668-C12B-F93B-1AE9-7A9B2F9312FD}"/>
            </a:ext>
          </a:extLst>
        </xdr:cNvPr>
        <xdr:cNvPicPr>
          <a:picLocks noChangeAspect="1"/>
        </xdr:cNvPicPr>
      </xdr:nvPicPr>
      <xdr:blipFill>
        <a:blip xmlns:r="http://schemas.openxmlformats.org/officeDocument/2006/relationships" r:embed="rId1"/>
        <a:stretch>
          <a:fillRect/>
        </a:stretch>
      </xdr:blipFill>
      <xdr:spPr>
        <a:xfrm>
          <a:off x="1151455" y="369081"/>
          <a:ext cx="6208508" cy="2625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61080</xdr:colOff>
      <xdr:row>1</xdr:row>
      <xdr:rowOff>133363</xdr:rowOff>
    </xdr:from>
    <xdr:to>
      <xdr:col>8</xdr:col>
      <xdr:colOff>828736</xdr:colOff>
      <xdr:row>8</xdr:row>
      <xdr:rowOff>50501</xdr:rowOff>
    </xdr:to>
    <xdr:pic>
      <xdr:nvPicPr>
        <xdr:cNvPr id="2" name="Picture 1">
          <a:extLst>
            <a:ext uri="{FF2B5EF4-FFF2-40B4-BE49-F238E27FC236}">
              <a16:creationId xmlns:a16="http://schemas.microsoft.com/office/drawing/2014/main" id="{371B882C-06A8-85F4-1B79-4CF77D0E79D1}"/>
            </a:ext>
          </a:extLst>
        </xdr:cNvPr>
        <xdr:cNvPicPr>
          <a:picLocks noChangeAspect="1"/>
        </xdr:cNvPicPr>
      </xdr:nvPicPr>
      <xdr:blipFill>
        <a:blip xmlns:r="http://schemas.openxmlformats.org/officeDocument/2006/relationships" r:embed="rId1"/>
        <a:stretch>
          <a:fillRect/>
        </a:stretch>
      </xdr:blipFill>
      <xdr:spPr>
        <a:xfrm>
          <a:off x="341661" y="450863"/>
          <a:ext cx="7612366" cy="29666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718698</xdr:colOff>
      <xdr:row>1</xdr:row>
      <xdr:rowOff>17881</xdr:rowOff>
    </xdr:from>
    <xdr:to>
      <xdr:col>5</xdr:col>
      <xdr:colOff>2745078</xdr:colOff>
      <xdr:row>9</xdr:row>
      <xdr:rowOff>190340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D19:O43"/>
  <sheetViews>
    <sheetView showGridLines="0" tabSelected="1" zoomScale="53" zoomScaleNormal="81" workbookViewId="0">
      <selection activeCell="T20" sqref="T20"/>
    </sheetView>
  </sheetViews>
  <sheetFormatPr defaultColWidth="8.6328125" defaultRowHeight="14" x14ac:dyDescent="0.3"/>
  <cols>
    <col min="1" max="3" width="2" style="47" customWidth="1"/>
    <col min="4" max="4" width="32" style="47" customWidth="1"/>
    <col min="5" max="5" width="17.1796875" style="47" customWidth="1"/>
    <col min="6" max="6" width="8" style="47" customWidth="1"/>
    <col min="7" max="7" width="2" style="47" customWidth="1"/>
    <col min="8" max="8" width="38.81640625" style="47" bestFit="1" customWidth="1"/>
    <col min="9" max="9" width="11.26953125" style="47" bestFit="1" customWidth="1"/>
    <col min="10" max="15" width="2" style="47" customWidth="1"/>
    <col min="16" max="16384" width="8.6328125" style="47"/>
  </cols>
  <sheetData>
    <row r="19" spans="4:15" x14ac:dyDescent="0.3">
      <c r="D19" s="291" t="s">
        <v>0</v>
      </c>
      <c r="E19" s="291"/>
      <c r="F19" s="291"/>
      <c r="G19" s="291"/>
      <c r="H19" s="291"/>
      <c r="I19" s="291"/>
      <c r="J19" s="291"/>
      <c r="K19" s="291"/>
      <c r="L19" s="291"/>
      <c r="M19" s="291"/>
    </row>
    <row r="21" spans="4:15" x14ac:dyDescent="0.3">
      <c r="D21" s="290" t="s">
        <v>1</v>
      </c>
      <c r="E21" s="290"/>
      <c r="F21" s="290"/>
      <c r="G21" s="290"/>
      <c r="H21" s="290"/>
      <c r="I21" s="290"/>
      <c r="J21" s="290"/>
      <c r="K21" s="290"/>
      <c r="L21" s="290"/>
      <c r="M21" s="290"/>
      <c r="N21" s="290"/>
      <c r="O21" s="290"/>
    </row>
    <row r="22" spans="4:15" x14ac:dyDescent="0.3">
      <c r="D22" s="290"/>
      <c r="E22" s="290"/>
      <c r="F22" s="290"/>
      <c r="G22" s="290"/>
      <c r="H22" s="290"/>
      <c r="I22" s="290"/>
      <c r="J22" s="290"/>
      <c r="K22" s="290"/>
      <c r="L22" s="290"/>
      <c r="M22" s="290"/>
      <c r="N22" s="290"/>
      <c r="O22" s="290"/>
    </row>
    <row r="23" spans="4:15" x14ac:dyDescent="0.3">
      <c r="D23" s="290"/>
      <c r="E23" s="290"/>
      <c r="F23" s="290"/>
      <c r="G23" s="290"/>
      <c r="H23" s="290"/>
      <c r="I23" s="290"/>
      <c r="J23" s="290"/>
      <c r="K23" s="290"/>
      <c r="L23" s="290"/>
      <c r="M23" s="290"/>
      <c r="N23" s="290"/>
      <c r="O23" s="290"/>
    </row>
    <row r="24" spans="4:15" x14ac:dyDescent="0.3">
      <c r="D24" s="290"/>
      <c r="E24" s="290"/>
      <c r="F24" s="290"/>
      <c r="G24" s="290"/>
      <c r="H24" s="290"/>
      <c r="I24" s="290"/>
      <c r="J24" s="290"/>
      <c r="K24" s="290"/>
      <c r="L24" s="290"/>
      <c r="M24" s="290"/>
      <c r="N24" s="290"/>
      <c r="O24" s="290"/>
    </row>
    <row r="25" spans="4:15" x14ac:dyDescent="0.3">
      <c r="D25" s="290"/>
      <c r="E25" s="290"/>
      <c r="F25" s="290"/>
      <c r="G25" s="290"/>
      <c r="H25" s="290"/>
      <c r="I25" s="290"/>
      <c r="J25" s="290"/>
      <c r="K25" s="290"/>
      <c r="L25" s="290"/>
      <c r="M25" s="290"/>
      <c r="N25" s="290"/>
      <c r="O25" s="290"/>
    </row>
    <row r="26" spans="4:15" x14ac:dyDescent="0.3">
      <c r="D26" s="290"/>
      <c r="E26" s="290"/>
      <c r="F26" s="290"/>
      <c r="G26" s="290"/>
      <c r="H26" s="290"/>
      <c r="I26" s="290"/>
      <c r="J26" s="290"/>
      <c r="K26" s="290"/>
      <c r="L26" s="290"/>
      <c r="M26" s="290"/>
      <c r="N26" s="290"/>
      <c r="O26" s="290"/>
    </row>
    <row r="27" spans="4:15" x14ac:dyDescent="0.3">
      <c r="D27" s="290"/>
      <c r="E27" s="290"/>
      <c r="F27" s="290"/>
      <c r="G27" s="290"/>
      <c r="H27" s="290"/>
      <c r="I27" s="290"/>
      <c r="J27" s="290"/>
      <c r="K27" s="290"/>
      <c r="L27" s="290"/>
      <c r="M27" s="290"/>
      <c r="N27" s="290"/>
      <c r="O27" s="290"/>
    </row>
    <row r="28" spans="4:15" x14ac:dyDescent="0.3">
      <c r="D28" s="290"/>
      <c r="E28" s="290"/>
      <c r="F28" s="290"/>
      <c r="G28" s="290"/>
      <c r="H28" s="290"/>
      <c r="I28" s="290"/>
      <c r="J28" s="290"/>
      <c r="K28" s="290"/>
      <c r="L28" s="290"/>
      <c r="M28" s="290"/>
      <c r="N28" s="290"/>
      <c r="O28" s="290"/>
    </row>
    <row r="29" spans="4:15" x14ac:dyDescent="0.3">
      <c r="D29" s="290"/>
      <c r="E29" s="290"/>
      <c r="F29" s="290"/>
      <c r="G29" s="290"/>
      <c r="H29" s="290"/>
      <c r="I29" s="290"/>
      <c r="J29" s="290"/>
      <c r="K29" s="290"/>
      <c r="L29" s="290"/>
      <c r="M29" s="290"/>
      <c r="N29" s="290"/>
      <c r="O29" s="290"/>
    </row>
    <row r="34" spans="4:9" ht="20" x14ac:dyDescent="0.3">
      <c r="D34" s="292" t="s">
        <v>263</v>
      </c>
      <c r="E34" s="293"/>
      <c r="H34" s="292" t="s">
        <v>273</v>
      </c>
      <c r="I34" s="293"/>
    </row>
    <row r="35" spans="4:9" x14ac:dyDescent="0.3">
      <c r="D35" s="48"/>
      <c r="E35" s="49"/>
      <c r="H35" s="48"/>
      <c r="I35" s="49"/>
    </row>
    <row r="36" spans="4:9" x14ac:dyDescent="0.3">
      <c r="D36" s="50" t="s">
        <v>264</v>
      </c>
      <c r="E36" s="51" t="s">
        <v>265</v>
      </c>
      <c r="H36" s="50" t="s">
        <v>274</v>
      </c>
      <c r="I36" s="51" t="s">
        <v>265</v>
      </c>
    </row>
    <row r="37" spans="4:9" x14ac:dyDescent="0.3">
      <c r="D37" s="52" t="s">
        <v>266</v>
      </c>
      <c r="E37" s="53">
        <v>1</v>
      </c>
      <c r="H37" s="52" t="s">
        <v>275</v>
      </c>
      <c r="I37" s="54">
        <v>0.2999</v>
      </c>
    </row>
    <row r="38" spans="4:9" x14ac:dyDescent="0.3">
      <c r="D38" s="52" t="s">
        <v>267</v>
      </c>
      <c r="E38" s="53">
        <v>1</v>
      </c>
      <c r="H38" s="52" t="s">
        <v>276</v>
      </c>
      <c r="I38" s="54">
        <v>0.35</v>
      </c>
    </row>
    <row r="39" spans="4:9" x14ac:dyDescent="0.3">
      <c r="D39" s="52" t="s">
        <v>272</v>
      </c>
      <c r="E39" s="53">
        <v>1</v>
      </c>
      <c r="H39" s="52" t="s">
        <v>277</v>
      </c>
      <c r="I39" s="54">
        <v>0.35</v>
      </c>
    </row>
    <row r="40" spans="4:9" ht="28" x14ac:dyDescent="0.3">
      <c r="D40" s="52" t="s">
        <v>268</v>
      </c>
      <c r="E40" s="53">
        <v>0.7</v>
      </c>
      <c r="H40" s="52" t="s">
        <v>278</v>
      </c>
      <c r="I40" s="54">
        <v>0.38</v>
      </c>
    </row>
    <row r="41" spans="4:9" ht="28" x14ac:dyDescent="0.3">
      <c r="D41" s="52" t="s">
        <v>269</v>
      </c>
      <c r="E41" s="54">
        <v>0.69140000000000001</v>
      </c>
      <c r="H41" s="55" t="s">
        <v>279</v>
      </c>
      <c r="I41" s="56">
        <v>0.36499999999999999</v>
      </c>
    </row>
    <row r="42" spans="4:9" ht="28" x14ac:dyDescent="0.3">
      <c r="D42" s="52" t="s">
        <v>270</v>
      </c>
      <c r="E42" s="53">
        <v>1</v>
      </c>
      <c r="H42" s="57" t="s">
        <v>280</v>
      </c>
      <c r="I42" s="58" t="s">
        <v>265</v>
      </c>
    </row>
    <row r="43" spans="4:9" ht="28" x14ac:dyDescent="0.3">
      <c r="D43" s="55" t="s">
        <v>271</v>
      </c>
      <c r="E43" s="59">
        <v>0.51</v>
      </c>
      <c r="H43" s="60" t="s">
        <v>281</v>
      </c>
      <c r="I43" s="61">
        <v>9.0899999999999995E-2</v>
      </c>
    </row>
  </sheetData>
  <mergeCells count="4">
    <mergeCell ref="D21:O29"/>
    <mergeCell ref="D19:M19"/>
    <mergeCell ref="D34:E34"/>
    <mergeCell ref="H34:I34"/>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56"/>
  <sheetViews>
    <sheetView showGridLines="0" topLeftCell="B1" zoomScale="72" zoomScaleNormal="100" workbookViewId="0">
      <selection activeCell="I4" sqref="I4"/>
    </sheetView>
  </sheetViews>
  <sheetFormatPr defaultColWidth="8.6328125" defaultRowHeight="14.5" x14ac:dyDescent="0.35"/>
  <cols>
    <col min="1" max="1" width="1.36328125" customWidth="1"/>
    <col min="2" max="2" width="43.26953125" bestFit="1" customWidth="1"/>
    <col min="3" max="3" width="18.453125" style="75" customWidth="1"/>
    <col min="4" max="4" width="10.453125" style="21" customWidth="1"/>
    <col min="5" max="5" width="17.81640625" style="21" customWidth="1"/>
    <col min="6" max="6" width="10.36328125" style="21" customWidth="1"/>
    <col min="7" max="7" width="3.6328125" customWidth="1"/>
  </cols>
  <sheetData>
    <row r="1" spans="2:12" ht="18.5" x14ac:dyDescent="0.45">
      <c r="B1" s="297" t="s">
        <v>283</v>
      </c>
      <c r="C1" s="297"/>
      <c r="D1" s="297"/>
      <c r="E1" s="297"/>
      <c r="F1" s="297"/>
      <c r="G1" s="297"/>
      <c r="H1" s="297"/>
    </row>
    <row r="2" spans="2:12" x14ac:dyDescent="0.35">
      <c r="B2" s="299" t="s">
        <v>284</v>
      </c>
      <c r="C2" s="299"/>
      <c r="D2" s="299"/>
      <c r="E2" s="299"/>
      <c r="F2" s="299"/>
      <c r="G2" s="299"/>
      <c r="H2" s="299"/>
    </row>
    <row r="3" spans="2:12" x14ac:dyDescent="0.35">
      <c r="B3" s="298" t="s">
        <v>285</v>
      </c>
      <c r="C3" s="298"/>
      <c r="D3" s="298"/>
      <c r="E3" s="298"/>
      <c r="F3" s="298"/>
      <c r="G3" s="298"/>
      <c r="H3" s="298"/>
    </row>
    <row r="5" spans="2:12" x14ac:dyDescent="0.35">
      <c r="B5" s="296" t="s">
        <v>286</v>
      </c>
      <c r="C5" s="296"/>
      <c r="D5" s="296"/>
      <c r="E5" s="296"/>
      <c r="F5" s="296"/>
      <c r="G5" s="296"/>
      <c r="H5" s="65"/>
    </row>
    <row r="6" spans="2:12" x14ac:dyDescent="0.35">
      <c r="B6" s="294" t="s">
        <v>299</v>
      </c>
      <c r="C6" s="294"/>
      <c r="D6" s="294"/>
      <c r="E6" s="294"/>
      <c r="F6" s="294"/>
      <c r="G6" s="294"/>
      <c r="H6" s="294"/>
    </row>
    <row r="7" spans="2:12" hidden="1" x14ac:dyDescent="0.35">
      <c r="B7" s="294"/>
      <c r="C7" s="294"/>
      <c r="D7" s="294"/>
      <c r="E7" s="294"/>
      <c r="F7" s="294"/>
      <c r="G7" s="294"/>
      <c r="H7" s="294"/>
    </row>
    <row r="8" spans="2:12" hidden="1" x14ac:dyDescent="0.35">
      <c r="B8" s="294"/>
      <c r="C8" s="294"/>
      <c r="D8" s="294"/>
      <c r="E8" s="294"/>
      <c r="F8" s="294"/>
      <c r="G8" s="294"/>
      <c r="H8" s="294"/>
    </row>
    <row r="9" spans="2:12" x14ac:dyDescent="0.35">
      <c r="B9" s="294"/>
      <c r="C9" s="294"/>
      <c r="D9" s="294"/>
      <c r="E9" s="294"/>
      <c r="F9" s="294"/>
      <c r="G9" s="294"/>
      <c r="H9" s="294"/>
    </row>
    <row r="10" spans="2:12" x14ac:dyDescent="0.35">
      <c r="B10" s="294"/>
      <c r="C10" s="294"/>
      <c r="D10" s="294"/>
      <c r="E10" s="294"/>
      <c r="F10" s="294"/>
      <c r="G10" s="294"/>
      <c r="H10" s="294"/>
      <c r="L10" s="21"/>
    </row>
    <row r="11" spans="2:12" x14ac:dyDescent="0.35">
      <c r="B11" s="294"/>
      <c r="C11" s="294"/>
      <c r="D11" s="294"/>
      <c r="E11" s="294"/>
      <c r="F11" s="294"/>
      <c r="G11" s="294"/>
      <c r="H11" s="294"/>
    </row>
    <row r="12" spans="2:12" x14ac:dyDescent="0.35">
      <c r="B12" s="295"/>
      <c r="C12" s="295"/>
      <c r="D12" s="295"/>
      <c r="E12" s="295"/>
      <c r="F12" s="295"/>
      <c r="G12" s="295"/>
      <c r="H12" s="295"/>
    </row>
    <row r="14" spans="2:12" x14ac:dyDescent="0.35">
      <c r="B14" s="66" t="s">
        <v>287</v>
      </c>
      <c r="C14" s="264"/>
      <c r="D14" s="262"/>
      <c r="E14" s="262"/>
      <c r="F14" s="262"/>
      <c r="G14" s="65"/>
      <c r="H14" s="65"/>
    </row>
    <row r="16" spans="2:12" x14ac:dyDescent="0.35">
      <c r="B16" t="s">
        <v>288</v>
      </c>
      <c r="C16" s="75" t="s">
        <v>18</v>
      </c>
      <c r="D16" s="21" t="s">
        <v>282</v>
      </c>
      <c r="E16" s="21" t="s">
        <v>300</v>
      </c>
      <c r="F16" s="21" t="s">
        <v>289</v>
      </c>
    </row>
    <row r="17" spans="2:8" x14ac:dyDescent="0.35">
      <c r="B17">
        <v>1</v>
      </c>
      <c r="C17" s="75" t="s">
        <v>290</v>
      </c>
      <c r="D17" s="21" t="s">
        <v>18</v>
      </c>
      <c r="E17" s="263">
        <v>5707355738</v>
      </c>
      <c r="F17" s="270">
        <v>0.62929999999999997</v>
      </c>
    </row>
    <row r="19" spans="2:8" x14ac:dyDescent="0.35">
      <c r="B19" s="62" t="s">
        <v>291</v>
      </c>
    </row>
    <row r="21" spans="2:8" x14ac:dyDescent="0.35">
      <c r="B21" t="s">
        <v>282</v>
      </c>
      <c r="C21" s="75" t="s">
        <v>300</v>
      </c>
      <c r="D21" s="21" t="s">
        <v>289</v>
      </c>
    </row>
    <row r="22" spans="2:8" x14ac:dyDescent="0.35">
      <c r="B22" t="s">
        <v>290</v>
      </c>
      <c r="C22" s="265">
        <v>5707355738</v>
      </c>
      <c r="D22" s="270">
        <v>0.62929999999999997</v>
      </c>
    </row>
    <row r="24" spans="2:8" x14ac:dyDescent="0.35">
      <c r="B24" s="66" t="s">
        <v>292</v>
      </c>
      <c r="C24" s="266"/>
      <c r="D24" s="262"/>
      <c r="E24" s="262"/>
      <c r="F24" s="262"/>
      <c r="G24" s="65"/>
      <c r="H24" s="65"/>
    </row>
    <row r="26" spans="2:8" x14ac:dyDescent="0.35">
      <c r="B26" t="s">
        <v>282</v>
      </c>
      <c r="C26" s="75" t="s">
        <v>300</v>
      </c>
      <c r="D26" s="21" t="s">
        <v>289</v>
      </c>
    </row>
    <row r="27" spans="2:8" x14ac:dyDescent="0.35">
      <c r="B27" t="s">
        <v>293</v>
      </c>
      <c r="C27" s="265">
        <v>3363295522</v>
      </c>
      <c r="D27" s="270">
        <v>0.37069999999999997</v>
      </c>
    </row>
    <row r="29" spans="2:8" x14ac:dyDescent="0.35">
      <c r="B29" s="62" t="s">
        <v>301</v>
      </c>
    </row>
    <row r="31" spans="2:8" x14ac:dyDescent="0.35">
      <c r="B31" t="s">
        <v>288</v>
      </c>
      <c r="C31" s="75" t="s">
        <v>282</v>
      </c>
    </row>
    <row r="32" spans="2:8" x14ac:dyDescent="0.35">
      <c r="B32">
        <v>1</v>
      </c>
      <c r="C32" s="75" t="s">
        <v>294</v>
      </c>
    </row>
    <row r="33" spans="2:8" x14ac:dyDescent="0.35">
      <c r="B33">
        <v>2</v>
      </c>
      <c r="C33" s="75" t="s">
        <v>19</v>
      </c>
    </row>
    <row r="34" spans="2:8" x14ac:dyDescent="0.35">
      <c r="B34">
        <v>3</v>
      </c>
      <c r="C34" s="75" t="s">
        <v>295</v>
      </c>
    </row>
    <row r="35" spans="2:8" x14ac:dyDescent="0.35">
      <c r="B35">
        <v>4</v>
      </c>
      <c r="C35" s="75" t="s">
        <v>302</v>
      </c>
    </row>
    <row r="36" spans="2:8" x14ac:dyDescent="0.35">
      <c r="B36">
        <v>5</v>
      </c>
      <c r="C36" s="75" t="s">
        <v>303</v>
      </c>
    </row>
    <row r="37" spans="2:8" x14ac:dyDescent="0.35">
      <c r="B37">
        <v>6</v>
      </c>
      <c r="C37" s="75" t="s">
        <v>20</v>
      </c>
    </row>
    <row r="38" spans="2:8" x14ac:dyDescent="0.35">
      <c r="B38">
        <v>7</v>
      </c>
      <c r="C38" s="75" t="s">
        <v>296</v>
      </c>
    </row>
    <row r="39" spans="2:8" x14ac:dyDescent="0.35">
      <c r="B39">
        <v>8</v>
      </c>
      <c r="C39" s="75" t="s">
        <v>297</v>
      </c>
    </row>
    <row r="40" spans="2:8" x14ac:dyDescent="0.35">
      <c r="B40">
        <v>9</v>
      </c>
      <c r="C40" s="75" t="s">
        <v>298</v>
      </c>
    </row>
    <row r="41" spans="2:8" x14ac:dyDescent="0.35">
      <c r="B41">
        <v>10</v>
      </c>
      <c r="C41" s="75" t="s">
        <v>304</v>
      </c>
    </row>
    <row r="43" spans="2:8" x14ac:dyDescent="0.35">
      <c r="B43" s="66" t="s">
        <v>305</v>
      </c>
      <c r="C43" s="264"/>
      <c r="D43" s="64"/>
      <c r="E43" s="64"/>
      <c r="F43" s="64"/>
      <c r="G43" s="66"/>
      <c r="H43" s="66"/>
    </row>
    <row r="45" spans="2:8" x14ac:dyDescent="0.35">
      <c r="B45" t="s">
        <v>306</v>
      </c>
      <c r="C45" s="75" t="s">
        <v>307</v>
      </c>
      <c r="D45" s="21" t="s">
        <v>289</v>
      </c>
    </row>
    <row r="46" spans="2:8" x14ac:dyDescent="0.35">
      <c r="B46" t="s">
        <v>308</v>
      </c>
      <c r="C46" s="265">
        <v>5707355738</v>
      </c>
      <c r="D46" s="270">
        <v>0.62929999999999997</v>
      </c>
    </row>
    <row r="47" spans="2:8" x14ac:dyDescent="0.35">
      <c r="B47" t="s">
        <v>293</v>
      </c>
      <c r="C47" s="265">
        <v>3363295522</v>
      </c>
      <c r="D47" s="270">
        <v>0.37069999999999997</v>
      </c>
    </row>
    <row r="48" spans="2:8" x14ac:dyDescent="0.35">
      <c r="B48" t="s">
        <v>309</v>
      </c>
      <c r="C48" s="265">
        <v>9070651260</v>
      </c>
      <c r="D48" s="270">
        <v>1</v>
      </c>
    </row>
    <row r="50" spans="2:8" x14ac:dyDescent="0.35">
      <c r="B50" s="67" t="s">
        <v>310</v>
      </c>
      <c r="C50" s="267"/>
      <c r="D50" s="63"/>
      <c r="E50" s="63"/>
      <c r="F50" s="63"/>
      <c r="G50" s="62"/>
      <c r="H50" s="62"/>
    </row>
    <row r="52" spans="2:8" x14ac:dyDescent="0.35">
      <c r="B52" t="s">
        <v>282</v>
      </c>
      <c r="C52" s="75" t="s">
        <v>307</v>
      </c>
      <c r="D52" s="21" t="s">
        <v>311</v>
      </c>
    </row>
    <row r="53" spans="2:8" x14ac:dyDescent="0.35">
      <c r="B53" t="s">
        <v>312</v>
      </c>
      <c r="C53" s="265">
        <v>2978667477</v>
      </c>
      <c r="D53" s="270">
        <v>0.32840000000000003</v>
      </c>
    </row>
    <row r="54" spans="2:8" x14ac:dyDescent="0.35">
      <c r="B54" t="s">
        <v>313</v>
      </c>
      <c r="C54" s="265">
        <v>6071230638</v>
      </c>
      <c r="D54" s="270">
        <v>0.66930000000000001</v>
      </c>
    </row>
    <row r="55" spans="2:8" x14ac:dyDescent="0.35">
      <c r="B55" t="s">
        <v>314</v>
      </c>
      <c r="C55" s="265">
        <v>20753145</v>
      </c>
      <c r="D55" s="270">
        <v>2.3E-3</v>
      </c>
    </row>
    <row r="56" spans="2:8" x14ac:dyDescent="0.35">
      <c r="B56" s="68" t="s">
        <v>166</v>
      </c>
      <c r="C56" s="268">
        <v>9070651260</v>
      </c>
      <c r="D56" s="271">
        <v>1</v>
      </c>
      <c r="E56" s="269"/>
      <c r="F56" s="269"/>
      <c r="G56" s="68"/>
      <c r="H56" s="68"/>
    </row>
  </sheetData>
  <mergeCells count="5">
    <mergeCell ref="B6:H12"/>
    <mergeCell ref="B5:G5"/>
    <mergeCell ref="B1:H1"/>
    <mergeCell ref="B3:H3"/>
    <mergeCell ref="B2:H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B2:X51"/>
  <sheetViews>
    <sheetView showGridLines="0" zoomScale="66" zoomScaleNormal="90" workbookViewId="0">
      <selection activeCell="C24" sqref="C24"/>
    </sheetView>
  </sheetViews>
  <sheetFormatPr defaultColWidth="8.6328125" defaultRowHeight="14.5" x14ac:dyDescent="0.35"/>
  <cols>
    <col min="1" max="1" width="2" customWidth="1"/>
    <col min="2" max="2" width="50" customWidth="1"/>
    <col min="3" max="3" width="14.08984375" customWidth="1"/>
    <col min="4" max="6" width="14" customWidth="1"/>
    <col min="7" max="7" width="14.08984375" customWidth="1"/>
    <col min="8" max="10" width="2" customWidth="1"/>
    <col min="11" max="11" width="50" customWidth="1"/>
    <col min="12" max="14" width="11.08984375" customWidth="1"/>
    <col min="15" max="15" width="11" customWidth="1"/>
    <col min="16" max="16" width="12" customWidth="1"/>
    <col min="17" max="18" width="2" customWidth="1"/>
    <col min="19" max="19" width="42" customWidth="1"/>
    <col min="20" max="20" width="12.7265625" customWidth="1"/>
    <col min="21" max="22" width="12.26953125" customWidth="1"/>
    <col min="23" max="24" width="11" customWidth="1"/>
  </cols>
  <sheetData>
    <row r="2" spans="2:24" ht="14.25" customHeight="1" x14ac:dyDescent="0.35">
      <c r="B2" s="1" t="s">
        <v>21</v>
      </c>
      <c r="K2" s="1" t="s">
        <v>22</v>
      </c>
      <c r="S2" s="1" t="s">
        <v>23</v>
      </c>
    </row>
    <row r="3" spans="2:24" ht="15" customHeight="1" x14ac:dyDescent="0.35">
      <c r="B3" s="2" t="s">
        <v>24</v>
      </c>
      <c r="C3" s="3">
        <v>2021</v>
      </c>
      <c r="D3" s="3">
        <v>2022</v>
      </c>
      <c r="E3" s="3">
        <v>2023</v>
      </c>
      <c r="F3" s="3">
        <v>2024</v>
      </c>
      <c r="G3" s="3">
        <v>2025</v>
      </c>
      <c r="K3" s="2" t="s">
        <v>25</v>
      </c>
      <c r="L3" s="3">
        <v>2021</v>
      </c>
      <c r="M3" s="3">
        <v>2022</v>
      </c>
      <c r="N3" s="3">
        <v>2023</v>
      </c>
      <c r="O3" s="3">
        <v>2024</v>
      </c>
      <c r="P3" s="3">
        <v>2025</v>
      </c>
      <c r="S3" s="2" t="s">
        <v>24</v>
      </c>
      <c r="T3" s="3">
        <v>2021</v>
      </c>
      <c r="U3" s="3">
        <v>2022</v>
      </c>
      <c r="V3" s="3">
        <v>2023</v>
      </c>
      <c r="W3" s="3">
        <v>2024</v>
      </c>
      <c r="X3" s="3">
        <v>2025</v>
      </c>
    </row>
    <row r="4" spans="2:24" ht="15" customHeight="1" x14ac:dyDescent="0.35">
      <c r="B4" s="4" t="s">
        <v>26</v>
      </c>
      <c r="C4" s="5"/>
      <c r="D4" s="5"/>
      <c r="E4" s="5"/>
      <c r="F4" s="5"/>
      <c r="G4" s="5"/>
      <c r="K4" s="6" t="s">
        <v>27</v>
      </c>
      <c r="L4" s="7">
        <v>1814</v>
      </c>
      <c r="M4" s="7">
        <v>1814</v>
      </c>
      <c r="N4" s="7">
        <v>1814</v>
      </c>
      <c r="O4" s="7">
        <v>1814</v>
      </c>
      <c r="P4" s="7">
        <v>1814</v>
      </c>
      <c r="S4" s="6" t="s">
        <v>28</v>
      </c>
      <c r="T4" s="8">
        <v>6124.83</v>
      </c>
      <c r="U4" s="8">
        <v>11254.75</v>
      </c>
      <c r="V4" s="8">
        <v>15278.57</v>
      </c>
      <c r="W4" s="8">
        <v>17539.62</v>
      </c>
      <c r="X4" s="8">
        <v>23603.11</v>
      </c>
    </row>
    <row r="5" spans="2:24" ht="15" customHeight="1" x14ac:dyDescent="0.35">
      <c r="B5" s="6" t="s">
        <v>29</v>
      </c>
      <c r="C5" s="8">
        <v>70613.789999999994</v>
      </c>
      <c r="D5" s="8">
        <v>85884.73</v>
      </c>
      <c r="E5" s="8">
        <v>110518.75</v>
      </c>
      <c r="F5" s="8">
        <v>121601.11</v>
      </c>
      <c r="G5" s="8">
        <v>126371.2</v>
      </c>
      <c r="K5" s="6" t="s">
        <v>30</v>
      </c>
      <c r="L5" s="9">
        <v>0</v>
      </c>
      <c r="M5" s="9">
        <v>0</v>
      </c>
      <c r="N5" s="9">
        <v>0</v>
      </c>
      <c r="O5" s="9">
        <v>0</v>
      </c>
      <c r="P5" s="9">
        <v>0</v>
      </c>
      <c r="S5" s="6" t="s">
        <v>31</v>
      </c>
      <c r="T5" s="5"/>
      <c r="U5" s="5"/>
      <c r="V5" s="5"/>
      <c r="W5" s="5"/>
      <c r="X5" s="5"/>
    </row>
    <row r="6" spans="2:24" ht="15" customHeight="1" x14ac:dyDescent="0.35">
      <c r="B6" s="6" t="s">
        <v>32</v>
      </c>
      <c r="C6" s="8">
        <v>23643.1</v>
      </c>
      <c r="D6" s="8">
        <v>25325.040000000001</v>
      </c>
      <c r="E6" s="8">
        <v>28646.18</v>
      </c>
      <c r="F6" s="8">
        <v>31056.77</v>
      </c>
      <c r="G6" s="8">
        <v>26712.02</v>
      </c>
      <c r="K6" s="6" t="s">
        <v>33</v>
      </c>
      <c r="L6" s="9">
        <v>68147</v>
      </c>
      <c r="M6" s="9">
        <v>76240</v>
      </c>
      <c r="N6" s="9">
        <v>90319</v>
      </c>
      <c r="O6" s="9">
        <v>103603</v>
      </c>
      <c r="P6" s="9">
        <v>115891</v>
      </c>
      <c r="S6" s="6" t="s">
        <v>34</v>
      </c>
      <c r="T6" s="10">
        <v>0</v>
      </c>
      <c r="U6" s="10">
        <v>0</v>
      </c>
      <c r="V6" s="10">
        <v>0</v>
      </c>
      <c r="W6" s="10">
        <v>0</v>
      </c>
      <c r="X6" s="10">
        <v>0</v>
      </c>
    </row>
    <row r="7" spans="2:24" ht="15" customHeight="1" x14ac:dyDescent="0.35">
      <c r="B7" s="6" t="s">
        <v>35</v>
      </c>
      <c r="C7" s="8">
        <v>94256.88</v>
      </c>
      <c r="D7" s="8">
        <v>111209.76</v>
      </c>
      <c r="E7" s="8">
        <v>139164.94</v>
      </c>
      <c r="F7" s="8">
        <v>152657.89000000001</v>
      </c>
      <c r="G7" s="8">
        <v>153083.22</v>
      </c>
      <c r="K7" s="6" t="s">
        <v>36</v>
      </c>
      <c r="L7" s="9">
        <v>1086341</v>
      </c>
      <c r="M7" s="9">
        <v>1179086</v>
      </c>
      <c r="N7" s="9">
        <v>1312242</v>
      </c>
      <c r="O7" s="9">
        <v>1456495</v>
      </c>
      <c r="P7" s="9">
        <v>156833</v>
      </c>
      <c r="S7" s="6" t="s">
        <v>37</v>
      </c>
      <c r="T7" s="10">
        <v>0</v>
      </c>
      <c r="U7" s="10">
        <v>0</v>
      </c>
      <c r="V7" s="10">
        <v>0</v>
      </c>
      <c r="W7" s="10">
        <v>0</v>
      </c>
      <c r="X7" s="10">
        <v>0</v>
      </c>
    </row>
    <row r="8" spans="2:24" ht="15" customHeight="1" x14ac:dyDescent="0.35">
      <c r="B8" s="4" t="s">
        <v>38</v>
      </c>
      <c r="C8" s="5"/>
      <c r="D8" s="5"/>
      <c r="E8" s="5"/>
      <c r="F8" s="5"/>
      <c r="G8" s="5"/>
      <c r="K8" s="6" t="s">
        <v>39</v>
      </c>
      <c r="L8" s="9">
        <v>46285</v>
      </c>
      <c r="M8" s="9">
        <v>58073</v>
      </c>
      <c r="N8" s="9">
        <v>57538</v>
      </c>
      <c r="O8" s="9">
        <v>89665</v>
      </c>
      <c r="P8" s="9">
        <v>155288</v>
      </c>
      <c r="S8" s="6" t="s">
        <v>40</v>
      </c>
      <c r="T8" s="10">
        <v>0</v>
      </c>
      <c r="U8" s="10">
        <v>0</v>
      </c>
      <c r="V8" s="10">
        <v>0</v>
      </c>
      <c r="W8" s="10">
        <v>0</v>
      </c>
      <c r="X8" s="10">
        <v>0</v>
      </c>
    </row>
    <row r="9" spans="2:24" ht="15" customHeight="1" x14ac:dyDescent="0.35">
      <c r="B9" s="6" t="s">
        <v>41</v>
      </c>
      <c r="C9" s="8">
        <v>43035.47</v>
      </c>
      <c r="D9" s="8">
        <v>52990.06</v>
      </c>
      <c r="E9" s="8">
        <v>72117.59</v>
      </c>
      <c r="F9" s="8">
        <v>82680.679999999993</v>
      </c>
      <c r="G9" s="8">
        <v>89137.52</v>
      </c>
      <c r="K9" s="6" t="s">
        <v>42</v>
      </c>
      <c r="L9" s="9">
        <v>0</v>
      </c>
      <c r="M9" s="9">
        <v>0</v>
      </c>
      <c r="N9" s="9">
        <v>0</v>
      </c>
      <c r="O9" s="9">
        <v>0</v>
      </c>
      <c r="P9" s="9">
        <v>0</v>
      </c>
      <c r="S9" s="6" t="s">
        <v>43</v>
      </c>
      <c r="T9" s="10">
        <v>0</v>
      </c>
      <c r="U9" s="10">
        <v>0</v>
      </c>
      <c r="V9" s="10">
        <v>0</v>
      </c>
      <c r="W9" s="10">
        <v>0</v>
      </c>
      <c r="X9" s="10">
        <v>0</v>
      </c>
    </row>
    <row r="10" spans="2:24" ht="15" customHeight="1" x14ac:dyDescent="0.35">
      <c r="B10" s="6" t="s">
        <v>44</v>
      </c>
      <c r="C10" s="8">
        <v>27923.7</v>
      </c>
      <c r="D10" s="8">
        <v>30245.42</v>
      </c>
      <c r="E10" s="8">
        <v>37336.870000000003</v>
      </c>
      <c r="F10" s="8">
        <v>38188.559999999998</v>
      </c>
      <c r="G10" s="8">
        <v>31141.87</v>
      </c>
      <c r="K10" s="6" t="s">
        <v>45</v>
      </c>
      <c r="L10" s="9">
        <v>56202</v>
      </c>
      <c r="M10" s="9">
        <v>65816</v>
      </c>
      <c r="N10" s="9">
        <v>73104</v>
      </c>
      <c r="O10" s="9">
        <v>80950</v>
      </c>
      <c r="P10" s="9">
        <v>45999</v>
      </c>
      <c r="S10" s="6" t="s">
        <v>46</v>
      </c>
      <c r="T10" s="5"/>
      <c r="U10" s="5"/>
      <c r="V10" s="5"/>
      <c r="W10" s="5"/>
      <c r="X10" s="5"/>
    </row>
    <row r="11" spans="2:24" ht="15" customHeight="1" x14ac:dyDescent="0.35">
      <c r="B11" s="6" t="s">
        <v>47</v>
      </c>
      <c r="C11" s="8">
        <v>17502.62</v>
      </c>
      <c r="D11" s="8">
        <v>17166.48</v>
      </c>
      <c r="E11" s="8">
        <v>14928.13</v>
      </c>
      <c r="F11" s="8">
        <v>14452.67</v>
      </c>
      <c r="G11" s="8">
        <v>13852.61</v>
      </c>
      <c r="K11" s="6" t="s">
        <v>48</v>
      </c>
      <c r="L11" s="9">
        <v>1258789</v>
      </c>
      <c r="M11" s="9">
        <v>1381030</v>
      </c>
      <c r="N11" s="9">
        <v>1535018</v>
      </c>
      <c r="O11" s="9">
        <v>1732527</v>
      </c>
      <c r="P11" s="9">
        <v>1887325</v>
      </c>
      <c r="S11" s="6" t="s">
        <v>49</v>
      </c>
      <c r="T11" s="10">
        <v>0</v>
      </c>
      <c r="U11" s="10">
        <v>0</v>
      </c>
      <c r="V11" s="10">
        <v>0</v>
      </c>
      <c r="W11" s="10">
        <v>0</v>
      </c>
      <c r="X11" s="10">
        <v>0</v>
      </c>
    </row>
    <row r="12" spans="2:24" ht="15" customHeight="1" x14ac:dyDescent="0.35">
      <c r="B12" s="6" t="s">
        <v>50</v>
      </c>
      <c r="C12" s="8">
        <v>88461.79</v>
      </c>
      <c r="D12" s="8">
        <v>100401.97</v>
      </c>
      <c r="E12" s="8">
        <v>124382.58</v>
      </c>
      <c r="F12" s="8">
        <v>135321.9</v>
      </c>
      <c r="G12" s="8">
        <v>134131.99</v>
      </c>
      <c r="K12" s="5"/>
      <c r="L12" s="11"/>
      <c r="M12" s="11"/>
      <c r="N12" s="11"/>
      <c r="O12" s="11"/>
      <c r="P12" s="11"/>
      <c r="S12" s="6" t="s">
        <v>51</v>
      </c>
      <c r="T12" s="10">
        <v>0</v>
      </c>
      <c r="U12" s="10">
        <v>0</v>
      </c>
      <c r="V12" s="10">
        <v>0</v>
      </c>
      <c r="W12" s="10">
        <v>0</v>
      </c>
      <c r="X12" s="10">
        <v>0</v>
      </c>
    </row>
    <row r="13" spans="2:24" ht="15" customHeight="1" x14ac:dyDescent="0.35">
      <c r="B13" s="4" t="s">
        <v>52</v>
      </c>
      <c r="C13" s="5"/>
      <c r="D13" s="5"/>
      <c r="E13" s="5"/>
      <c r="F13" s="5"/>
      <c r="G13" s="5"/>
      <c r="K13" s="6" t="s">
        <v>53</v>
      </c>
      <c r="L13" s="11"/>
      <c r="M13" s="11"/>
      <c r="N13" s="11"/>
      <c r="O13" s="11"/>
      <c r="P13" s="11"/>
      <c r="S13" s="6" t="s">
        <v>54</v>
      </c>
      <c r="T13" s="10">
        <v>0</v>
      </c>
      <c r="U13" s="10">
        <v>0</v>
      </c>
      <c r="V13" s="10">
        <v>0</v>
      </c>
      <c r="W13" s="10">
        <v>0</v>
      </c>
      <c r="X13" s="10">
        <v>0</v>
      </c>
    </row>
    <row r="14" spans="2:24" ht="15" customHeight="1" x14ac:dyDescent="0.35">
      <c r="B14" s="6" t="s">
        <v>55</v>
      </c>
      <c r="C14" s="8">
        <v>9145.01</v>
      </c>
      <c r="D14" s="8">
        <v>14426.66</v>
      </c>
      <c r="E14" s="8">
        <v>20000.330000000002</v>
      </c>
      <c r="F14" s="8">
        <v>22336.02</v>
      </c>
      <c r="G14" s="8">
        <v>24681.46</v>
      </c>
      <c r="K14" s="6" t="s">
        <v>56</v>
      </c>
      <c r="L14" s="9">
        <v>47532</v>
      </c>
      <c r="M14" s="9">
        <v>51074</v>
      </c>
      <c r="N14" s="9">
        <v>67707</v>
      </c>
      <c r="O14" s="9">
        <v>86837</v>
      </c>
      <c r="P14" s="9">
        <v>50762</v>
      </c>
      <c r="S14" s="6" t="s">
        <v>57</v>
      </c>
      <c r="T14" s="10">
        <v>918.99</v>
      </c>
      <c r="U14" s="8">
        <v>-39977.870000000003</v>
      </c>
      <c r="V14" s="8">
        <v>15046.5</v>
      </c>
      <c r="W14" s="8">
        <v>60668.58</v>
      </c>
      <c r="X14" s="8">
        <v>7941.94</v>
      </c>
    </row>
    <row r="15" spans="2:24" ht="15" customHeight="1" x14ac:dyDescent="0.35">
      <c r="B15" s="12" t="s">
        <v>58</v>
      </c>
      <c r="C15" s="8">
        <v>3349.91</v>
      </c>
      <c r="D15" s="8">
        <v>3618.86</v>
      </c>
      <c r="E15" s="8">
        <v>5217.2</v>
      </c>
      <c r="F15" s="8">
        <v>5689.03</v>
      </c>
      <c r="G15" s="8">
        <v>5730.23</v>
      </c>
      <c r="K15" s="6" t="s">
        <v>59</v>
      </c>
      <c r="L15" s="9">
        <v>0</v>
      </c>
      <c r="M15" s="9">
        <v>0</v>
      </c>
      <c r="N15" s="9">
        <v>0</v>
      </c>
      <c r="O15" s="9">
        <v>0</v>
      </c>
      <c r="P15" s="9">
        <v>0</v>
      </c>
      <c r="S15" s="6" t="s">
        <v>60</v>
      </c>
      <c r="T15" s="8">
        <v>-1255.8800000000001</v>
      </c>
      <c r="U15" s="8">
        <v>-1237.8</v>
      </c>
      <c r="V15" s="8">
        <v>-1748</v>
      </c>
      <c r="W15" s="8">
        <v>-2461.2399999999998</v>
      </c>
      <c r="X15" s="8">
        <v>-2812.2</v>
      </c>
    </row>
    <row r="16" spans="2:24" ht="15" customHeight="1" x14ac:dyDescent="0.35">
      <c r="B16" s="13" t="s">
        <v>61</v>
      </c>
      <c r="C16" s="8">
        <v>5795.1</v>
      </c>
      <c r="D16" s="8">
        <v>10807.8</v>
      </c>
      <c r="E16" s="8">
        <v>14782.36</v>
      </c>
      <c r="F16" s="8">
        <v>17335.990000000002</v>
      </c>
      <c r="G16" s="8">
        <v>18951.23</v>
      </c>
      <c r="K16" s="6" t="s">
        <v>62</v>
      </c>
      <c r="L16" s="9">
        <v>311347</v>
      </c>
      <c r="M16" s="9">
        <v>352893</v>
      </c>
      <c r="N16" s="9">
        <v>399207</v>
      </c>
      <c r="O16" s="9">
        <v>428024</v>
      </c>
      <c r="P16" s="9">
        <v>407389</v>
      </c>
      <c r="S16" s="6" t="s">
        <v>63</v>
      </c>
      <c r="T16" s="8">
        <v>4035.45</v>
      </c>
      <c r="U16" s="10">
        <v>445.36</v>
      </c>
      <c r="V16" s="8">
        <v>-3834.47</v>
      </c>
      <c r="W16" s="8">
        <v>-3505.99</v>
      </c>
      <c r="X16" s="8">
        <v>-4794.78</v>
      </c>
    </row>
    <row r="17" spans="2:24" ht="15" customHeight="1" x14ac:dyDescent="0.35">
      <c r="K17" s="6" t="s">
        <v>64</v>
      </c>
      <c r="L17" s="9">
        <v>872374</v>
      </c>
      <c r="M17" s="9">
        <v>974088</v>
      </c>
      <c r="N17" s="9">
        <v>1038185</v>
      </c>
      <c r="O17" s="9">
        <v>1191269</v>
      </c>
      <c r="P17" s="9">
        <v>1403374</v>
      </c>
      <c r="S17" s="6" t="s">
        <v>65</v>
      </c>
      <c r="T17" s="8">
        <v>3525.06</v>
      </c>
      <c r="U17" s="8">
        <v>-40688.61</v>
      </c>
      <c r="V17" s="8">
        <v>9461.8700000000008</v>
      </c>
      <c r="W17" s="8">
        <v>54725.42</v>
      </c>
      <c r="X17" s="10">
        <v>440.32</v>
      </c>
    </row>
    <row r="18" spans="2:24" ht="15" customHeight="1" x14ac:dyDescent="0.35">
      <c r="K18" s="6" t="s">
        <v>66</v>
      </c>
      <c r="L18" s="9">
        <v>11447</v>
      </c>
      <c r="M18" s="9">
        <v>10334</v>
      </c>
      <c r="N18" s="9">
        <v>12184</v>
      </c>
      <c r="O18" s="9">
        <v>10302</v>
      </c>
      <c r="P18" s="9">
        <v>10595</v>
      </c>
      <c r="S18" s="6" t="s">
        <v>67</v>
      </c>
      <c r="T18" s="8">
        <v>178866.37</v>
      </c>
      <c r="U18" s="8">
        <v>182391.43</v>
      </c>
      <c r="V18" s="8">
        <v>141702.82</v>
      </c>
      <c r="W18" s="8">
        <v>151164.69</v>
      </c>
      <c r="X18" s="8">
        <v>205890.11</v>
      </c>
    </row>
    <row r="19" spans="2:24" ht="15" customHeight="1" x14ac:dyDescent="0.35">
      <c r="K19" s="6" t="s">
        <v>68</v>
      </c>
      <c r="L19" s="9">
        <v>16089</v>
      </c>
      <c r="M19" s="9">
        <v>19641</v>
      </c>
      <c r="N19" s="9">
        <v>17735</v>
      </c>
      <c r="O19" s="9">
        <v>16095</v>
      </c>
      <c r="P19" s="9">
        <v>15205</v>
      </c>
      <c r="S19" s="6" t="s">
        <v>69</v>
      </c>
      <c r="T19" s="8">
        <v>182391.43</v>
      </c>
      <c r="U19" s="8">
        <v>141702.82</v>
      </c>
      <c r="V19" s="8">
        <v>151164.69</v>
      </c>
      <c r="W19" s="8">
        <v>205890.11</v>
      </c>
      <c r="X19" s="8">
        <v>206330.43</v>
      </c>
    </row>
    <row r="20" spans="2:24" ht="15" customHeight="1" x14ac:dyDescent="0.35">
      <c r="K20" s="6" t="s">
        <v>70</v>
      </c>
      <c r="L20" s="9">
        <v>0</v>
      </c>
      <c r="M20" s="9">
        <v>0</v>
      </c>
      <c r="N20" s="9">
        <v>0</v>
      </c>
      <c r="O20" s="9">
        <v>0</v>
      </c>
      <c r="P20" s="9">
        <v>0</v>
      </c>
    </row>
    <row r="21" spans="2:24" ht="15" customHeight="1" x14ac:dyDescent="0.35">
      <c r="K21" s="6" t="s">
        <v>71</v>
      </c>
      <c r="L21" s="9">
        <v>1258789</v>
      </c>
      <c r="M21" s="9">
        <v>1381030</v>
      </c>
      <c r="N21" s="9">
        <v>1535018</v>
      </c>
      <c r="O21" s="9">
        <v>1732527</v>
      </c>
      <c r="P21" s="9">
        <v>1887325</v>
      </c>
    </row>
    <row r="22" spans="2:24" ht="15" customHeight="1" x14ac:dyDescent="0.35">
      <c r="K22" s="5"/>
      <c r="L22" s="11"/>
      <c r="M22" s="11"/>
      <c r="N22" s="11"/>
      <c r="O22" s="11"/>
      <c r="P22" s="11"/>
    </row>
    <row r="23" spans="2:24" ht="15" customHeight="1" x14ac:dyDescent="0.35">
      <c r="K23" s="6" t="s">
        <v>72</v>
      </c>
      <c r="L23" s="9">
        <v>0</v>
      </c>
      <c r="M23" s="9">
        <v>0</v>
      </c>
      <c r="N23" s="9">
        <v>0</v>
      </c>
      <c r="O23" s="9">
        <v>0</v>
      </c>
      <c r="P23" s="9">
        <v>0</v>
      </c>
    </row>
    <row r="24" spans="2:24" ht="15" customHeight="1" x14ac:dyDescent="0.35">
      <c r="K24" s="6" t="s">
        <v>73</v>
      </c>
      <c r="L24" s="9">
        <v>0</v>
      </c>
      <c r="M24" s="9">
        <v>0</v>
      </c>
      <c r="N24" s="9">
        <v>0</v>
      </c>
      <c r="O24" s="9">
        <v>0</v>
      </c>
      <c r="P24" s="9">
        <v>0</v>
      </c>
      <c r="S24" s="14"/>
      <c r="T24" s="15"/>
      <c r="U24" s="15"/>
      <c r="V24" s="15"/>
      <c r="W24" s="15"/>
      <c r="X24" s="15"/>
    </row>
    <row r="25" spans="2:24" ht="14.25" customHeight="1" x14ac:dyDescent="0.35">
      <c r="B25" s="14"/>
      <c r="C25" s="16"/>
      <c r="D25" s="16"/>
      <c r="E25" s="16"/>
      <c r="F25" s="16"/>
      <c r="G25" s="16"/>
      <c r="S25" s="17"/>
      <c r="T25" s="8"/>
      <c r="U25" s="8"/>
      <c r="V25" s="8"/>
      <c r="W25" s="8"/>
      <c r="X25" s="8"/>
    </row>
    <row r="26" spans="2:24" ht="14.25" customHeight="1" x14ac:dyDescent="0.35">
      <c r="B26" s="17"/>
      <c r="C26" s="8"/>
      <c r="D26" s="8"/>
      <c r="E26" s="8"/>
      <c r="F26" s="8"/>
      <c r="G26" s="8"/>
      <c r="S26" s="17"/>
      <c r="T26" s="10"/>
      <c r="U26" s="10"/>
      <c r="V26" s="10"/>
      <c r="W26" s="10"/>
      <c r="X26" s="10"/>
    </row>
    <row r="27" spans="2:24" ht="14.25" customHeight="1" x14ac:dyDescent="0.35">
      <c r="B27" s="17"/>
      <c r="C27" s="8"/>
      <c r="D27" s="8"/>
      <c r="E27" s="8"/>
      <c r="F27" s="8"/>
      <c r="G27" s="8"/>
      <c r="S27" s="17"/>
      <c r="T27" s="10"/>
      <c r="U27" s="10"/>
      <c r="V27" s="10"/>
      <c r="W27" s="10"/>
      <c r="X27" s="10"/>
    </row>
    <row r="28" spans="2:24" ht="14.25" customHeight="1" x14ac:dyDescent="0.35">
      <c r="B28" s="17"/>
      <c r="C28" s="8"/>
      <c r="D28" s="8"/>
      <c r="E28" s="8"/>
      <c r="F28" s="8"/>
      <c r="G28" s="8"/>
      <c r="S28" s="17"/>
      <c r="T28" s="10"/>
      <c r="U28" s="10"/>
      <c r="V28" s="10"/>
      <c r="W28" s="10"/>
      <c r="X28" s="10"/>
    </row>
    <row r="29" spans="2:24" ht="14.25" customHeight="1" x14ac:dyDescent="0.35">
      <c r="B29" s="17"/>
      <c r="C29" s="8"/>
      <c r="D29" s="8"/>
      <c r="E29" s="8"/>
      <c r="F29" s="8"/>
      <c r="G29" s="8"/>
      <c r="K29" s="14"/>
      <c r="L29" s="16"/>
      <c r="M29" s="16"/>
      <c r="N29" s="16"/>
      <c r="O29" s="16"/>
      <c r="P29" s="16"/>
      <c r="S29" s="17"/>
      <c r="T29" s="10"/>
      <c r="U29" s="10"/>
      <c r="V29" s="10"/>
      <c r="W29" s="10"/>
      <c r="X29" s="10"/>
    </row>
    <row r="30" spans="2:24" ht="14.25" customHeight="1" x14ac:dyDescent="0.35">
      <c r="B30" s="17"/>
      <c r="C30" s="8"/>
      <c r="D30" s="8"/>
      <c r="E30" s="8"/>
      <c r="F30" s="8"/>
      <c r="G30" s="8"/>
      <c r="K30" s="17"/>
      <c r="L30" s="10"/>
      <c r="M30" s="10"/>
      <c r="N30" s="10"/>
      <c r="O30" s="10"/>
      <c r="P30" s="10"/>
      <c r="S30" s="17"/>
      <c r="T30" s="10"/>
      <c r="U30" s="10"/>
      <c r="V30" s="10"/>
      <c r="W30" s="10"/>
      <c r="X30" s="10"/>
    </row>
    <row r="31" spans="2:24" ht="14.25" customHeight="1" x14ac:dyDescent="0.35">
      <c r="B31" s="17"/>
      <c r="C31" s="8"/>
      <c r="D31" s="8"/>
      <c r="E31" s="8"/>
      <c r="F31" s="8"/>
      <c r="G31" s="8"/>
      <c r="K31" s="17"/>
      <c r="L31" s="7"/>
      <c r="M31" s="7"/>
      <c r="N31" s="7"/>
      <c r="O31" s="7"/>
      <c r="P31" s="7"/>
      <c r="S31" s="17"/>
      <c r="T31" s="10"/>
      <c r="U31" s="10"/>
      <c r="V31" s="10"/>
      <c r="W31" s="10"/>
      <c r="X31" s="10"/>
    </row>
    <row r="32" spans="2:24" ht="14.25" customHeight="1" x14ac:dyDescent="0.35">
      <c r="B32" s="17"/>
      <c r="C32" s="8"/>
      <c r="D32" s="8"/>
      <c r="E32" s="8"/>
      <c r="F32" s="8"/>
      <c r="G32" s="8"/>
      <c r="K32" s="17"/>
      <c r="L32" s="10"/>
      <c r="M32" s="10"/>
      <c r="N32" s="10"/>
      <c r="O32" s="10"/>
      <c r="P32" s="10"/>
      <c r="S32" s="17"/>
      <c r="T32" s="10"/>
      <c r="U32" s="10"/>
      <c r="V32" s="10"/>
      <c r="W32" s="10"/>
      <c r="X32" s="10"/>
    </row>
    <row r="33" spans="2:24" ht="14.25" customHeight="1" x14ac:dyDescent="0.35">
      <c r="B33" s="17"/>
      <c r="C33" s="8"/>
      <c r="D33" s="8"/>
      <c r="E33" s="8"/>
      <c r="F33" s="8"/>
      <c r="G33" s="8"/>
      <c r="K33" s="17"/>
      <c r="L33" s="7"/>
      <c r="M33" s="7"/>
      <c r="N33" s="7"/>
      <c r="O33" s="7"/>
      <c r="P33" s="7"/>
      <c r="S33" s="17"/>
      <c r="T33" s="10"/>
      <c r="U33" s="10"/>
      <c r="V33" s="10"/>
      <c r="W33" s="10"/>
      <c r="X33" s="10"/>
    </row>
    <row r="34" spans="2:24" ht="14.25" customHeight="1" x14ac:dyDescent="0.35">
      <c r="B34" s="17"/>
      <c r="C34" s="8"/>
      <c r="D34" s="8"/>
      <c r="E34" s="8"/>
      <c r="F34" s="8"/>
      <c r="G34" s="8"/>
      <c r="K34" s="17"/>
      <c r="L34" s="10"/>
      <c r="M34" s="10"/>
      <c r="N34" s="10"/>
      <c r="O34" s="10"/>
      <c r="P34" s="10"/>
      <c r="S34" s="17"/>
      <c r="T34" s="10"/>
      <c r="U34" s="10"/>
      <c r="V34" s="10"/>
      <c r="W34" s="10"/>
      <c r="X34" s="10"/>
    </row>
    <row r="35" spans="2:24" ht="14.25" customHeight="1" x14ac:dyDescent="0.35">
      <c r="B35" s="17"/>
      <c r="C35" s="8"/>
      <c r="D35" s="8"/>
      <c r="E35" s="8"/>
      <c r="F35" s="8"/>
      <c r="G35" s="8"/>
      <c r="K35" s="17"/>
      <c r="L35" s="7"/>
      <c r="M35" s="7"/>
      <c r="N35" s="7"/>
      <c r="O35" s="7"/>
      <c r="P35" s="10"/>
      <c r="S35" s="17"/>
      <c r="T35" s="10"/>
      <c r="U35" s="8"/>
      <c r="V35" s="8"/>
      <c r="W35" s="8"/>
      <c r="X35" s="8"/>
    </row>
    <row r="36" spans="2:24" ht="14.25" customHeight="1" x14ac:dyDescent="0.35">
      <c r="K36" s="17"/>
      <c r="L36" s="10"/>
      <c r="M36" s="10"/>
      <c r="N36" s="10"/>
      <c r="O36" s="10"/>
      <c r="P36" s="10"/>
      <c r="S36" s="17"/>
      <c r="T36" s="8"/>
      <c r="U36" s="8"/>
      <c r="V36" s="8"/>
      <c r="W36" s="8"/>
      <c r="X36" s="8"/>
    </row>
    <row r="37" spans="2:24" ht="14.25" customHeight="1" x14ac:dyDescent="0.35">
      <c r="K37" s="17"/>
      <c r="L37" s="7"/>
      <c r="M37" s="7"/>
      <c r="N37" s="7"/>
      <c r="O37" s="7"/>
      <c r="P37" s="7"/>
      <c r="S37" s="17"/>
      <c r="T37" s="8"/>
      <c r="U37" s="10"/>
      <c r="V37" s="8"/>
      <c r="W37" s="8"/>
      <c r="X37" s="8"/>
    </row>
    <row r="38" spans="2:24" ht="14.25" customHeight="1" x14ac:dyDescent="0.35">
      <c r="K38" s="17"/>
      <c r="L38" s="10"/>
      <c r="M38" s="10"/>
      <c r="N38" s="10"/>
      <c r="O38" s="10"/>
      <c r="P38" s="10"/>
      <c r="S38" s="17"/>
      <c r="T38" s="8"/>
      <c r="U38" s="8"/>
      <c r="V38" s="8"/>
      <c r="W38" s="8"/>
      <c r="X38" s="10"/>
    </row>
    <row r="39" spans="2:24" ht="14.25" customHeight="1" x14ac:dyDescent="0.35">
      <c r="K39" s="17"/>
      <c r="L39" s="10"/>
      <c r="M39" s="10"/>
      <c r="N39" s="10"/>
      <c r="O39" s="10"/>
      <c r="P39" s="10"/>
      <c r="S39" s="17"/>
      <c r="T39" s="8"/>
      <c r="U39" s="8"/>
      <c r="V39" s="8"/>
      <c r="W39" s="8"/>
      <c r="X39" s="8"/>
    </row>
    <row r="40" spans="2:24" ht="14.25" customHeight="1" x14ac:dyDescent="0.35">
      <c r="K40" s="17"/>
      <c r="L40" s="10"/>
      <c r="M40" s="10"/>
      <c r="N40" s="10"/>
      <c r="O40" s="10"/>
      <c r="P40" s="10"/>
      <c r="S40" s="17"/>
      <c r="T40" s="8"/>
      <c r="U40" s="8"/>
      <c r="V40" s="8"/>
      <c r="W40" s="8"/>
      <c r="X40" s="8"/>
    </row>
    <row r="41" spans="2:24" ht="14.25" customHeight="1" x14ac:dyDescent="0.35">
      <c r="K41" s="17"/>
      <c r="L41" s="7"/>
      <c r="M41" s="7"/>
      <c r="N41" s="7"/>
      <c r="O41" s="7"/>
      <c r="P41" s="7"/>
    </row>
    <row r="42" spans="2:24" ht="14.25" customHeight="1" x14ac:dyDescent="0.35">
      <c r="K42" s="17"/>
      <c r="L42" s="10"/>
      <c r="M42" s="10"/>
      <c r="N42" s="10"/>
      <c r="O42" s="10"/>
      <c r="P42" s="10"/>
    </row>
    <row r="43" spans="2:24" ht="14.25" customHeight="1" x14ac:dyDescent="0.35">
      <c r="K43" s="17"/>
      <c r="L43" s="10"/>
      <c r="M43" s="10"/>
      <c r="N43" s="10"/>
      <c r="O43" s="10"/>
      <c r="P43" s="10"/>
    </row>
    <row r="44" spans="2:24" ht="14.25" customHeight="1" x14ac:dyDescent="0.35">
      <c r="K44" s="17"/>
      <c r="L44" s="10"/>
      <c r="M44" s="10"/>
      <c r="N44" s="10"/>
      <c r="O44" s="10"/>
      <c r="P44" s="10"/>
    </row>
    <row r="45" spans="2:24" ht="14.25" customHeight="1" x14ac:dyDescent="0.35">
      <c r="K45" s="17"/>
      <c r="L45" s="7"/>
      <c r="M45" s="7"/>
      <c r="N45" s="7"/>
      <c r="O45" s="7"/>
      <c r="P45" s="7"/>
    </row>
    <row r="46" spans="2:24" ht="14.25" customHeight="1" x14ac:dyDescent="0.35">
      <c r="K46" s="17"/>
      <c r="L46" s="7"/>
      <c r="M46" s="7"/>
      <c r="N46" s="7"/>
      <c r="O46" s="7"/>
      <c r="P46" s="7"/>
    </row>
    <row r="47" spans="2:24" ht="14.25" customHeight="1" x14ac:dyDescent="0.35">
      <c r="K47" s="17"/>
      <c r="L47" s="10"/>
      <c r="M47" s="10"/>
      <c r="N47" s="10"/>
      <c r="O47" s="10"/>
      <c r="P47" s="10"/>
    </row>
    <row r="48" spans="2:24" ht="14.25" customHeight="1" x14ac:dyDescent="0.35">
      <c r="K48" s="17"/>
      <c r="L48" s="10"/>
      <c r="M48" s="10"/>
      <c r="N48" s="10"/>
      <c r="O48" s="10"/>
      <c r="P48" s="10"/>
    </row>
    <row r="49" spans="11:16" ht="14.25" customHeight="1" x14ac:dyDescent="0.35">
      <c r="K49" s="17"/>
      <c r="L49" s="10"/>
      <c r="M49" s="10"/>
      <c r="N49" s="10"/>
      <c r="O49" s="10"/>
      <c r="P49" s="10"/>
    </row>
    <row r="50" spans="11:16" ht="14.25" customHeight="1" x14ac:dyDescent="0.35">
      <c r="K50" s="17"/>
      <c r="L50" s="10"/>
      <c r="M50" s="10"/>
      <c r="N50" s="10"/>
      <c r="O50" s="10"/>
      <c r="P50" s="10"/>
    </row>
    <row r="51" spans="11:16" ht="14.25" customHeight="1" x14ac:dyDescent="0.35">
      <c r="K51" s="17"/>
      <c r="L51" s="10"/>
      <c r="M51" s="10"/>
      <c r="N51" s="10"/>
      <c r="O51" s="10"/>
      <c r="P51" s="10"/>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19"/>
  <sheetViews>
    <sheetView showGridLines="0" zoomScale="66" zoomScaleNormal="100" workbookViewId="0">
      <selection activeCell="B1" sqref="B1"/>
    </sheetView>
  </sheetViews>
  <sheetFormatPr defaultColWidth="8.6328125" defaultRowHeight="14" x14ac:dyDescent="0.3"/>
  <cols>
    <col min="1" max="1" width="4" style="47" customWidth="1"/>
    <col min="2" max="2" width="27" style="47" bestFit="1" customWidth="1"/>
    <col min="3" max="4" width="14" style="47" customWidth="1"/>
    <col min="5" max="6" width="12" style="47" customWidth="1"/>
    <col min="7" max="7" width="11" style="47" customWidth="1"/>
    <col min="8" max="8" width="8" style="47" customWidth="1"/>
    <col min="9" max="9" width="13" style="47" customWidth="1"/>
    <col min="10" max="10" width="13.453125" style="47" bestFit="1" customWidth="1"/>
    <col min="11" max="11" width="10" style="47" customWidth="1"/>
    <col min="12" max="12" width="13.453125" style="47" bestFit="1" customWidth="1"/>
    <col min="13" max="13" width="13.08984375" style="47" bestFit="1" customWidth="1"/>
    <col min="14" max="14" width="18" style="47" customWidth="1"/>
    <col min="15" max="16384" width="8.6328125" style="47"/>
  </cols>
  <sheetData>
    <row r="1" spans="2:13" ht="25" x14ac:dyDescent="0.3">
      <c r="B1" s="306" t="s">
        <v>315</v>
      </c>
      <c r="C1" s="70"/>
      <c r="D1" s="70"/>
      <c r="E1" s="70"/>
      <c r="F1" s="70"/>
      <c r="G1" s="70"/>
      <c r="H1" s="70"/>
      <c r="I1" s="70"/>
      <c r="J1" s="70"/>
      <c r="K1" s="70"/>
      <c r="L1" s="70"/>
      <c r="M1" s="70"/>
    </row>
    <row r="2" spans="2:13" ht="34.5" customHeight="1" x14ac:dyDescent="0.3">
      <c r="B2" s="69"/>
      <c r="C2" s="69"/>
      <c r="D2" s="69"/>
      <c r="E2" s="69"/>
      <c r="F2" s="69"/>
      <c r="G2" s="69"/>
      <c r="H2" s="69"/>
      <c r="I2" s="69"/>
      <c r="J2" s="69"/>
      <c r="K2" s="69"/>
      <c r="L2" s="69"/>
      <c r="M2" s="69"/>
    </row>
    <row r="3" spans="2:13" ht="34.5" customHeight="1" x14ac:dyDescent="0.3">
      <c r="B3" s="69"/>
      <c r="C3" s="69"/>
      <c r="D3" s="69"/>
      <c r="E3" s="69"/>
      <c r="F3" s="69"/>
      <c r="G3" s="69"/>
      <c r="H3" s="69"/>
      <c r="I3" s="69"/>
      <c r="J3" s="69"/>
      <c r="K3" s="69"/>
      <c r="L3" s="69"/>
      <c r="M3" s="69"/>
    </row>
    <row r="4" spans="2:13" ht="34.5" customHeight="1" x14ac:dyDescent="0.3">
      <c r="B4" s="69"/>
      <c r="C4" s="69"/>
      <c r="D4" s="69"/>
      <c r="E4" s="69"/>
      <c r="F4" s="69"/>
      <c r="G4" s="69"/>
      <c r="H4" s="69"/>
      <c r="I4" s="69"/>
      <c r="J4" s="69"/>
      <c r="K4" s="69"/>
      <c r="L4" s="69"/>
      <c r="M4" s="69"/>
    </row>
    <row r="5" spans="2:13" ht="34.5" customHeight="1" x14ac:dyDescent="0.3">
      <c r="B5" s="69"/>
      <c r="C5" s="69"/>
      <c r="D5" s="69"/>
      <c r="E5" s="69"/>
      <c r="F5" s="69"/>
      <c r="G5" s="69"/>
      <c r="H5" s="69"/>
      <c r="I5" s="69"/>
      <c r="J5" s="69"/>
      <c r="K5" s="69"/>
      <c r="L5" s="69"/>
      <c r="M5" s="69"/>
    </row>
    <row r="6" spans="2:13" ht="34.5" customHeight="1" x14ac:dyDescent="0.3">
      <c r="B6" s="69"/>
      <c r="C6" s="69"/>
      <c r="D6" s="69"/>
      <c r="E6" s="69"/>
      <c r="F6" s="69"/>
      <c r="G6" s="69"/>
      <c r="H6" s="69"/>
      <c r="I6" s="69"/>
      <c r="J6" s="69"/>
      <c r="K6" s="69"/>
      <c r="L6" s="69"/>
      <c r="M6" s="69"/>
    </row>
    <row r="7" spans="2:13" ht="34.5" customHeight="1" x14ac:dyDescent="0.3">
      <c r="B7" s="69"/>
      <c r="C7" s="69"/>
      <c r="D7" s="69"/>
      <c r="E7" s="69"/>
      <c r="F7" s="69"/>
      <c r="G7" s="69"/>
      <c r="H7" s="69"/>
      <c r="I7" s="69"/>
      <c r="J7" s="69"/>
      <c r="K7" s="69"/>
      <c r="L7" s="69"/>
      <c r="M7" s="69"/>
    </row>
    <row r="8" spans="2:13" ht="34.5" customHeight="1" x14ac:dyDescent="0.3">
      <c r="B8" s="69"/>
      <c r="C8" s="69"/>
      <c r="D8" s="69"/>
      <c r="E8" s="69"/>
      <c r="F8" s="69"/>
      <c r="G8" s="69"/>
      <c r="H8" s="69"/>
      <c r="I8" s="69"/>
      <c r="J8" s="69"/>
      <c r="K8" s="69"/>
      <c r="L8" s="69"/>
      <c r="M8" s="69"/>
    </row>
    <row r="9" spans="2:13" ht="13.5" customHeight="1" x14ac:dyDescent="0.3"/>
    <row r="10" spans="2:13" ht="28" x14ac:dyDescent="0.3">
      <c r="B10" s="305" t="s">
        <v>316</v>
      </c>
      <c r="C10" s="305"/>
      <c r="D10" s="305"/>
      <c r="E10" s="305"/>
      <c r="F10" s="305"/>
      <c r="G10" s="305"/>
      <c r="I10" s="71" t="s">
        <v>5</v>
      </c>
      <c r="J10" s="71" t="s">
        <v>3</v>
      </c>
      <c r="K10" s="71" t="s">
        <v>6</v>
      </c>
      <c r="L10" s="71" t="s">
        <v>7</v>
      </c>
      <c r="M10" s="71" t="s">
        <v>8</v>
      </c>
    </row>
    <row r="11" spans="2:13" ht="14.25" customHeight="1" x14ac:dyDescent="0.3">
      <c r="B11" s="300" t="s">
        <v>317</v>
      </c>
      <c r="C11" s="300"/>
      <c r="D11" s="300"/>
      <c r="E11" s="300"/>
      <c r="F11" s="300"/>
      <c r="G11" s="300"/>
      <c r="I11" s="72" t="s">
        <v>9</v>
      </c>
      <c r="J11" s="73">
        <f>'Consolidated FS'!G7</f>
        <v>153083.22</v>
      </c>
      <c r="K11" s="73">
        <f>'Consolidated FS'!G16</f>
        <v>18951.23</v>
      </c>
      <c r="L11" s="74">
        <f t="shared" ref="L11:M14" si="0">(J11-J12)/J12</f>
        <v>2.7861645408565989E-3</v>
      </c>
      <c r="M11" s="74">
        <f t="shared" si="0"/>
        <v>9.3172642577666331E-2</v>
      </c>
    </row>
    <row r="12" spans="2:13" ht="14.25" customHeight="1" x14ac:dyDescent="0.3">
      <c r="B12" s="300"/>
      <c r="C12" s="300"/>
      <c r="D12" s="300"/>
      <c r="E12" s="300"/>
      <c r="F12" s="300"/>
      <c r="G12" s="300"/>
      <c r="I12" s="72" t="s">
        <v>10</v>
      </c>
      <c r="J12" s="73">
        <f>'Consolidated FS'!F7</f>
        <v>152657.89000000001</v>
      </c>
      <c r="K12" s="73">
        <f>'Consolidated FS'!F16</f>
        <v>17335.990000000002</v>
      </c>
      <c r="L12" s="74">
        <f t="shared" si="0"/>
        <v>9.6956532299011605E-2</v>
      </c>
      <c r="M12" s="74">
        <f t="shared" si="0"/>
        <v>0.17274846506241229</v>
      </c>
    </row>
    <row r="13" spans="2:13" ht="14.25" customHeight="1" x14ac:dyDescent="0.3">
      <c r="B13" s="300"/>
      <c r="C13" s="300"/>
      <c r="D13" s="300"/>
      <c r="E13" s="300"/>
      <c r="F13" s="300"/>
      <c r="G13" s="300"/>
      <c r="I13" s="72" t="s">
        <v>11</v>
      </c>
      <c r="J13" s="73">
        <f>'Consolidated FS'!E7</f>
        <v>139164.94</v>
      </c>
      <c r="K13" s="73">
        <f>'Consolidated FS'!E16</f>
        <v>14782.36</v>
      </c>
      <c r="L13" s="74">
        <f t="shared" si="0"/>
        <v>0.25137344060449379</v>
      </c>
      <c r="M13" s="74">
        <f t="shared" si="0"/>
        <v>0.36774921815725692</v>
      </c>
    </row>
    <row r="14" spans="2:13" ht="14.25" customHeight="1" x14ac:dyDescent="0.3">
      <c r="B14" s="300"/>
      <c r="C14" s="300"/>
      <c r="D14" s="300"/>
      <c r="E14" s="300"/>
      <c r="F14" s="300"/>
      <c r="G14" s="300"/>
      <c r="I14" s="72" t="s">
        <v>12</v>
      </c>
      <c r="J14" s="73">
        <f>'Consolidated FS'!D7</f>
        <v>111209.76</v>
      </c>
      <c r="K14" s="73">
        <f>'Consolidated FS'!D16</f>
        <v>10807.8</v>
      </c>
      <c r="L14" s="74">
        <f t="shared" si="0"/>
        <v>0.17985827665842524</v>
      </c>
      <c r="M14" s="74">
        <f t="shared" si="0"/>
        <v>0.86498938758606381</v>
      </c>
    </row>
    <row r="15" spans="2:13" x14ac:dyDescent="0.3">
      <c r="B15" s="300"/>
      <c r="C15" s="300"/>
      <c r="D15" s="300"/>
      <c r="E15" s="300"/>
      <c r="F15" s="300"/>
      <c r="G15" s="300"/>
      <c r="I15" s="72" t="s">
        <v>13</v>
      </c>
      <c r="J15" s="73">
        <f>'Consolidated FS'!C7</f>
        <v>94256.88</v>
      </c>
      <c r="K15" s="73">
        <f>'Consolidated FS'!C16</f>
        <v>5795.1</v>
      </c>
      <c r="L15" s="74">
        <v>0</v>
      </c>
      <c r="M15" s="74">
        <v>0</v>
      </c>
    </row>
    <row r="16" spans="2:13" ht="62.5" customHeight="1" x14ac:dyDescent="0.3">
      <c r="B16" s="300"/>
      <c r="C16" s="300"/>
      <c r="D16" s="300"/>
      <c r="E16" s="300"/>
      <c r="F16" s="300"/>
      <c r="G16" s="300"/>
    </row>
    <row r="19" ht="13.5" customHeight="1" x14ac:dyDescent="0.3"/>
  </sheetData>
  <mergeCells count="2">
    <mergeCell ref="B10:G10"/>
    <mergeCell ref="B11:G16"/>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sheetPr>
  <dimension ref="B2:X29"/>
  <sheetViews>
    <sheetView showGridLines="0" zoomScale="70" zoomScaleNormal="55" workbookViewId="0">
      <selection activeCell="T3" sqref="T3"/>
    </sheetView>
  </sheetViews>
  <sheetFormatPr defaultColWidth="8.6328125" defaultRowHeight="14.5" x14ac:dyDescent="0.35"/>
  <cols>
    <col min="1" max="1" width="2" customWidth="1"/>
    <col min="2" max="2" width="22.81640625" style="75" bestFit="1" customWidth="1"/>
    <col min="3" max="7" width="12.453125" bestFit="1" customWidth="1"/>
    <col min="8" max="8" width="10.08984375" bestFit="1" customWidth="1"/>
    <col min="9" max="13" width="12.453125" bestFit="1" customWidth="1"/>
    <col min="14" max="15" width="2" customWidth="1"/>
    <col min="16" max="16" width="20.36328125" bestFit="1" customWidth="1"/>
    <col min="17" max="17" width="2" customWidth="1"/>
    <col min="18" max="18" width="6.08984375" bestFit="1" customWidth="1"/>
    <col min="19" max="19" width="2" customWidth="1"/>
    <col min="20" max="20" width="16.7265625" bestFit="1" customWidth="1"/>
    <col min="21" max="21" width="2" customWidth="1"/>
    <col min="22" max="22" width="10.1796875" bestFit="1" customWidth="1"/>
    <col min="23" max="24" width="2" customWidth="1"/>
  </cols>
  <sheetData>
    <row r="2" spans="2:24" ht="15.5" x14ac:dyDescent="0.35">
      <c r="C2" s="358" t="s">
        <v>74</v>
      </c>
      <c r="D2" s="359"/>
      <c r="E2" s="359"/>
      <c r="F2" s="359"/>
      <c r="G2" s="359"/>
      <c r="H2" s="360" t="s">
        <v>75</v>
      </c>
      <c r="I2" s="359" t="s">
        <v>76</v>
      </c>
      <c r="J2" s="359"/>
      <c r="K2" s="359"/>
      <c r="L2" s="359"/>
      <c r="M2" s="361"/>
    </row>
    <row r="3" spans="2:24" x14ac:dyDescent="0.35">
      <c r="C3" s="94">
        <v>2021</v>
      </c>
      <c r="D3" s="95">
        <f>C3+1</f>
        <v>2022</v>
      </c>
      <c r="E3" s="13">
        <f>D3+1</f>
        <v>2023</v>
      </c>
      <c r="F3" s="13">
        <f>G3-1</f>
        <v>2024</v>
      </c>
      <c r="G3" s="96">
        <v>2025</v>
      </c>
      <c r="H3" s="97"/>
      <c r="I3" s="13">
        <f>G3+1</f>
        <v>2026</v>
      </c>
      <c r="J3" s="13">
        <f>I3+1</f>
        <v>2027</v>
      </c>
      <c r="K3" s="13">
        <f>J3+1</f>
        <v>2028</v>
      </c>
      <c r="L3" s="13">
        <f>K3+1</f>
        <v>2029</v>
      </c>
      <c r="M3" s="98">
        <f>L3+1</f>
        <v>2030</v>
      </c>
    </row>
    <row r="4" spans="2:24" ht="18" x14ac:dyDescent="0.35">
      <c r="B4" s="119" t="s">
        <v>77</v>
      </c>
      <c r="C4" s="99"/>
      <c r="D4" s="99"/>
      <c r="E4" s="99"/>
      <c r="F4" s="99"/>
      <c r="G4" s="99"/>
      <c r="H4" s="100"/>
      <c r="I4" s="99"/>
      <c r="J4" s="99"/>
      <c r="K4" s="99"/>
      <c r="L4" s="99"/>
      <c r="M4" s="101"/>
    </row>
    <row r="5" spans="2:24" s="19" customFormat="1" x14ac:dyDescent="0.35">
      <c r="B5" s="102" t="s">
        <v>78</v>
      </c>
      <c r="C5" s="103"/>
      <c r="D5" s="104">
        <f>('Consolidated FS'!M17-'Consolidated FS'!L17)/'Consolidated FS'!L17</f>
        <v>0.11659448814384656</v>
      </c>
      <c r="E5" s="104">
        <f>('Consolidated FS'!N17-'Consolidated FS'!M17)/'Consolidated FS'!M17</f>
        <v>6.5802063057957799E-2</v>
      </c>
      <c r="F5" s="104">
        <f>('Consolidated FS'!O17-'Consolidated FS'!N17)/'Consolidated FS'!N17</f>
        <v>0.14745348854009641</v>
      </c>
      <c r="G5" s="104">
        <f>('Consolidated FS'!P17-'Consolidated FS'!O17)/'Consolidated FS'!O17</f>
        <v>0.17804962607102173</v>
      </c>
      <c r="H5" s="83">
        <f>MEDIAN(D5:G5)</f>
        <v>0.13202398834197149</v>
      </c>
      <c r="I5" s="83">
        <f>H5+V5</f>
        <v>0.12561919067357719</v>
      </c>
      <c r="J5" s="83">
        <f>I5+$V$5</f>
        <v>0.11921439300518288</v>
      </c>
      <c r="K5" s="83">
        <f>J5+$V$5</f>
        <v>0.11280959533678858</v>
      </c>
      <c r="L5" s="83">
        <f>K5+$V$5</f>
        <v>0.10640479766839428</v>
      </c>
      <c r="M5" s="105">
        <f>L5+$V$5</f>
        <v>9.9999999999999978E-2</v>
      </c>
      <c r="P5" s="76" t="s">
        <v>79</v>
      </c>
      <c r="Q5" s="77"/>
      <c r="R5" s="78">
        <v>0.1</v>
      </c>
      <c r="S5" s="77"/>
      <c r="T5" s="79" t="s">
        <v>80</v>
      </c>
      <c r="U5" s="77"/>
      <c r="V5" s="80">
        <f>-(H5-R5)/5</f>
        <v>-6.4047976683942968E-3</v>
      </c>
    </row>
    <row r="6" spans="2:24" x14ac:dyDescent="0.35">
      <c r="B6" s="102" t="s">
        <v>81</v>
      </c>
      <c r="C6" s="103"/>
      <c r="D6" s="104">
        <f>('Consolidated FS'!M7-'Consolidated FS'!L7)/'Consolidated FS'!L7</f>
        <v>8.5373745444570354E-2</v>
      </c>
      <c r="E6" s="104">
        <f>('Consolidated FS'!N7-'Consolidated FS'!M7)/'Consolidated FS'!M7</f>
        <v>0.11293154188922606</v>
      </c>
      <c r="F6" s="104">
        <f>('Consolidated FS'!O7-'Consolidated FS'!N7)/'Consolidated FS'!N7</f>
        <v>0.10992865645208734</v>
      </c>
      <c r="G6" s="104">
        <f>('Consolidated FS'!P7-'Consolidated FS'!O7)/'Consolidated FS'!O7</f>
        <v>-0.89232163515837681</v>
      </c>
      <c r="H6" s="83">
        <f>MEDIAN(D6:G6)</f>
        <v>9.7651200948328853E-2</v>
      </c>
      <c r="I6" s="83">
        <f>I5-$R$6</f>
        <v>0.11561919067357719</v>
      </c>
      <c r="J6" s="83">
        <f>J5-$R$6</f>
        <v>0.10921439300518289</v>
      </c>
      <c r="K6" s="83">
        <f>K5-$R$6</f>
        <v>0.10280959533678859</v>
      </c>
      <c r="L6" s="83">
        <f>L5-$R$6</f>
        <v>9.6404797668394285E-2</v>
      </c>
      <c r="M6" s="105">
        <f>M5-$R$6</f>
        <v>8.9999999999999983E-2</v>
      </c>
      <c r="P6" s="81" t="s">
        <v>82</v>
      </c>
      <c r="R6" s="82">
        <v>0.01</v>
      </c>
      <c r="V6" s="46"/>
    </row>
    <row r="7" spans="2:24" ht="15.5" x14ac:dyDescent="0.35">
      <c r="B7" s="120" t="s">
        <v>83</v>
      </c>
      <c r="C7" s="103"/>
      <c r="D7" s="106">
        <f>('Consolidated FS'!D5-'Consolidated FS'!D9)/AVERAGE('Consolidated FS'!M17+'Consolidated FS'!M16+'Consolidated FS'!M15,'Consolidated FS'!L17+'Consolidated FS'!L16+'Consolidated FS'!L15)</f>
        <v>2.6203563784152797E-2</v>
      </c>
      <c r="E7" s="106">
        <f>('Consolidated FS'!E5-'Consolidated FS'!E9)/AVERAGE('Consolidated FS'!N17+'Consolidated FS'!N16+'Consolidated FS'!N15,'Consolidated FS'!M17+'Consolidated FS'!M16+'Consolidated FS'!M15)</f>
        <v>2.7782907733507747E-2</v>
      </c>
      <c r="F7" s="106">
        <f>('Consolidated FS'!F5-'Consolidated FS'!F9)/AVERAGE('Consolidated FS'!O17+'Consolidated FS'!O16+'Consolidated FS'!O15,'Consolidated FS'!N17+'Consolidated FS'!N16+'Consolidated FS'!N15)</f>
        <v>2.5465777468074078E-2</v>
      </c>
      <c r="G7" s="106">
        <f>('Consolidated FS'!G5-'Consolidated FS'!G9)/AVERAGE('Consolidated FS'!P17+'Consolidated FS'!P16+'Consolidated FS'!P15,'Consolidated FS'!O17+'Consolidated FS'!O16+'Consolidated FS'!O15)</f>
        <v>2.1710246130092332E-2</v>
      </c>
      <c r="H7" s="83">
        <f>MEDIAN(D7:G7)</f>
        <v>2.5834670626113436E-2</v>
      </c>
      <c r="I7" s="83">
        <f>G7</f>
        <v>2.1710246130092332E-2</v>
      </c>
      <c r="J7" s="83">
        <f>I7+$V$7</f>
        <v>2.0960246130092331E-2</v>
      </c>
      <c r="K7" s="83">
        <f>J7+$V$7</f>
        <v>2.021024613009233E-2</v>
      </c>
      <c r="L7" s="83">
        <f>K7+$V$7</f>
        <v>1.946024613009233E-2</v>
      </c>
      <c r="M7" s="105">
        <f>L7+$V$7</f>
        <v>1.8710246130092329E-2</v>
      </c>
      <c r="P7" s="81" t="s">
        <v>84</v>
      </c>
      <c r="R7" s="83">
        <f>G7-0.003</f>
        <v>1.8710246130092333E-2</v>
      </c>
      <c r="S7" s="21"/>
      <c r="T7" s="12" t="s">
        <v>80</v>
      </c>
      <c r="U7" s="21"/>
      <c r="V7" s="84">
        <f>-(G7-R7)/4</f>
        <v>-7.499999999999998E-4</v>
      </c>
      <c r="W7" s="21"/>
      <c r="X7" s="21"/>
    </row>
    <row r="8" spans="2:24" x14ac:dyDescent="0.35">
      <c r="B8" s="102" t="s">
        <v>85</v>
      </c>
      <c r="C8" s="107">
        <f>'Consolidated FS'!C10/'Consolidated FS'!C7</f>
        <v>0.29625105350399883</v>
      </c>
      <c r="D8" s="107">
        <f>'Consolidated FS'!D10/'Consolidated FS'!D7</f>
        <v>0.27196731653768519</v>
      </c>
      <c r="E8" s="107">
        <f>'Consolidated FS'!E10/'Consolidated FS'!E7</f>
        <v>0.26829221497885891</v>
      </c>
      <c r="F8" s="107">
        <f>'Consolidated FS'!F10/'Consolidated FS'!F7</f>
        <v>0.25015778745533557</v>
      </c>
      <c r="G8" s="107">
        <f>'Consolidated FS'!G10/'Consolidated FS'!G7</f>
        <v>0.20343098348728228</v>
      </c>
      <c r="H8" s="83">
        <f>MEDIAN(D8:G8)</f>
        <v>0.25922500121709724</v>
      </c>
      <c r="I8" s="83">
        <f>H8+V8</f>
        <v>0.24738000097367779</v>
      </c>
      <c r="J8" s="83">
        <f>I8+$V$8</f>
        <v>0.23553500073025835</v>
      </c>
      <c r="K8" s="83">
        <f>J8+$V$8</f>
        <v>0.2236900004868389</v>
      </c>
      <c r="L8" s="83">
        <f>K8+$V$8</f>
        <v>0.21184500024341946</v>
      </c>
      <c r="M8" s="105">
        <f>L8+$V$8</f>
        <v>0.2</v>
      </c>
      <c r="P8" s="81" t="s">
        <v>86</v>
      </c>
      <c r="R8" s="82">
        <v>0.2</v>
      </c>
      <c r="T8" s="12" t="s">
        <v>80</v>
      </c>
      <c r="V8" s="84">
        <f>-(H8-R8)/5</f>
        <v>-1.1845000243419446E-2</v>
      </c>
    </row>
    <row r="9" spans="2:24" x14ac:dyDescent="0.35">
      <c r="B9" s="102" t="s">
        <v>87</v>
      </c>
      <c r="C9" s="103"/>
      <c r="D9" s="104">
        <f>'Consolidated FS'!D11/AVERAGE('Consolidated FS'!M17,'Consolidated FS'!L17)</f>
        <v>1.8593916365459998E-2</v>
      </c>
      <c r="E9" s="104">
        <f>'Consolidated FS'!E11/AVERAGE('Consolidated FS'!N17,'Consolidated FS'!M17)</f>
        <v>1.4837082244804754E-2</v>
      </c>
      <c r="F9" s="104">
        <f>'Consolidated FS'!F11/AVERAGE('Consolidated FS'!O17,'Consolidated FS'!N17)</f>
        <v>1.2965210316068419E-2</v>
      </c>
      <c r="G9" s="104">
        <f>'Consolidated FS'!G11/AVERAGE('Consolidated FS'!P17,'Consolidated FS'!O17)</f>
        <v>1.0677854332946768E-2</v>
      </c>
      <c r="H9" s="83">
        <f>AVERAGE(D9:G9)</f>
        <v>1.4268515814819985E-2</v>
      </c>
      <c r="I9" s="83">
        <f>H9+V9</f>
        <v>1.3414812651855988E-2</v>
      </c>
      <c r="J9" s="83">
        <f>I9+$V$9</f>
        <v>1.256110948889199E-2</v>
      </c>
      <c r="K9" s="83">
        <f>J9+$V$9</f>
        <v>1.1707406325927993E-2</v>
      </c>
      <c r="L9" s="83">
        <f>K9+$V$9</f>
        <v>1.0853703162963996E-2</v>
      </c>
      <c r="M9" s="105">
        <f>L9+$V$9</f>
        <v>9.9999999999999985E-3</v>
      </c>
      <c r="P9" s="81" t="s">
        <v>88</v>
      </c>
      <c r="R9" s="82">
        <v>0.01</v>
      </c>
      <c r="T9" s="12" t="s">
        <v>80</v>
      </c>
      <c r="V9" s="84">
        <f>-(H9-R9)/5</f>
        <v>-8.5370316296399693E-4</v>
      </c>
    </row>
    <row r="10" spans="2:24" x14ac:dyDescent="0.35">
      <c r="B10" s="102" t="s">
        <v>89</v>
      </c>
      <c r="C10" s="104">
        <f>'Consolidated FS'!C15/'Consolidated FS'!C14</f>
        <v>0.36631015165647712</v>
      </c>
      <c r="D10" s="104">
        <f>'Consolidated FS'!D15/'Consolidated FS'!D14</f>
        <v>0.2508453100024538</v>
      </c>
      <c r="E10" s="104">
        <f>'Consolidated FS'!E15/'Consolidated FS'!E14</f>
        <v>0.26085569588101792</v>
      </c>
      <c r="F10" s="104">
        <f>'Consolidated FS'!F15/'Consolidated FS'!F14</f>
        <v>0.25470204629114762</v>
      </c>
      <c r="G10" s="104">
        <f>'Consolidated FS'!G15/'Consolidated FS'!G14</f>
        <v>0.2321673839391997</v>
      </c>
      <c r="H10" s="83">
        <f>AVERAGE(C10:G10)</f>
        <v>0.27297611755405926</v>
      </c>
      <c r="I10" s="83">
        <f>$H$10</f>
        <v>0.27297611755405926</v>
      </c>
      <c r="J10" s="83">
        <f>$H$10</f>
        <v>0.27297611755405926</v>
      </c>
      <c r="K10" s="83">
        <f>$H$10</f>
        <v>0.27297611755405926</v>
      </c>
      <c r="L10" s="83">
        <f>$H$10</f>
        <v>0.27297611755405926</v>
      </c>
      <c r="M10" s="105">
        <f>$H$10</f>
        <v>0.27297611755405926</v>
      </c>
      <c r="P10" s="45"/>
      <c r="V10" s="46"/>
    </row>
    <row r="11" spans="2:24" x14ac:dyDescent="0.35">
      <c r="B11" s="102" t="s">
        <v>90</v>
      </c>
      <c r="C11" s="106">
        <f>1988.22/'Consolidated FS'!C16</f>
        <v>0.34308640057980017</v>
      </c>
      <c r="D11" s="106">
        <f>1988.22/'Consolidated FS'!D16</f>
        <v>0.18396158330094933</v>
      </c>
      <c r="E11" s="106">
        <f>1988.22/'Consolidated FS'!E16</f>
        <v>0.13449949805037897</v>
      </c>
      <c r="F11" s="106">
        <f>1988.22/'Consolidated FS'!F16</f>
        <v>0.11468742194705926</v>
      </c>
      <c r="G11" s="106">
        <f>1988.22/'Consolidated FS'!G16</f>
        <v>0.10491245159285176</v>
      </c>
      <c r="H11" s="83">
        <f>MEDIAN(C11:G11)</f>
        <v>0.13449949805037897</v>
      </c>
      <c r="I11" s="20">
        <f>(1988/I29)+$V$11</f>
        <v>0.11582359396158118</v>
      </c>
      <c r="J11" s="20">
        <f>1988.22/J29</f>
        <v>7.3629245118994061E-2</v>
      </c>
      <c r="K11" s="20">
        <f>1988.22/K29</f>
        <v>6.5801509744815065E-2</v>
      </c>
      <c r="L11" s="20">
        <f>1988.22/L29</f>
        <v>5.9063391410425929E-2</v>
      </c>
      <c r="M11" s="84">
        <f>1988.22/M29</f>
        <v>5.3256586290359856E-2</v>
      </c>
      <c r="P11" s="85" t="s">
        <v>91</v>
      </c>
      <c r="Q11" s="68"/>
      <c r="R11" s="86">
        <v>0.3</v>
      </c>
      <c r="S11" s="68"/>
      <c r="T11" s="87" t="s">
        <v>92</v>
      </c>
      <c r="U11" s="68"/>
      <c r="V11" s="88">
        <f>(R11-H11)/5</f>
        <v>3.3100100389924204E-2</v>
      </c>
    </row>
    <row r="12" spans="2:24" x14ac:dyDescent="0.35">
      <c r="B12" s="108" t="s">
        <v>93</v>
      </c>
      <c r="C12" s="19"/>
      <c r="D12" s="107">
        <f>'Consolidated FS'!D5 / AVERAGE('Consolidated FS'!M17+'Consolidated FS'!M16, 'Consolidated FS'!L17+'Consolidated FS'!L16)</f>
        <v>6.8414913438552244E-2</v>
      </c>
      <c r="E12" s="107">
        <f>'Consolidated FS'!E5 / AVERAGE('Consolidated FS'!N17+'Consolidated FS'!N16, 'Consolidated FS'!M17+'Consolidated FS'!M16)</f>
        <v>7.9959361489929187E-2</v>
      </c>
      <c r="F12" s="107">
        <f>'Consolidated FS'!F5 / AVERAGE('Consolidated FS'!O17+'Consolidated FS'!O16, 'Consolidated FS'!N17+'Consolidated FS'!N16)</f>
        <v>7.9564044054261401E-2</v>
      </c>
      <c r="G12" s="107">
        <f>'Consolidated FS'!G5 / AVERAGE('Consolidated FS'!P17+'Consolidated FS'!P16, 'Consolidated FS'!O17+'Consolidated FS'!O16)</f>
        <v>7.3684627889457191E-2</v>
      </c>
      <c r="H12" s="19"/>
      <c r="I12" s="19"/>
      <c r="J12" s="19"/>
      <c r="K12" s="19"/>
      <c r="L12" s="19"/>
      <c r="M12" s="109"/>
    </row>
    <row r="13" spans="2:24" x14ac:dyDescent="0.35">
      <c r="B13" s="110"/>
      <c r="M13" s="46"/>
    </row>
    <row r="14" spans="2:24" x14ac:dyDescent="0.35">
      <c r="B14" s="108" t="s">
        <v>94</v>
      </c>
      <c r="C14" s="111">
        <f>'Consolidated FS'!L17</f>
        <v>872374</v>
      </c>
      <c r="D14" s="111">
        <f>'Consolidated FS'!M17</f>
        <v>974088</v>
      </c>
      <c r="E14" s="111">
        <f>'Consolidated FS'!N17</f>
        <v>1038185</v>
      </c>
      <c r="F14" s="111">
        <f>'Consolidated FS'!O17</f>
        <v>1191269</v>
      </c>
      <c r="G14" s="111">
        <f>'Consolidated FS'!P17</f>
        <v>1403374</v>
      </c>
      <c r="I14" s="13">
        <f>G14*(1+I5)</f>
        <v>1579664.7060923409</v>
      </c>
      <c r="J14" s="13">
        <f t="shared" ref="J14:L15" si="0">I14*(1+J5)</f>
        <v>1767983.4751808501</v>
      </c>
      <c r="K14" s="13">
        <f t="shared" si="0"/>
        <v>1967428.9755781312</v>
      </c>
      <c r="L14" s="13">
        <f t="shared" si="0"/>
        <v>2176772.8576514586</v>
      </c>
      <c r="M14" s="98">
        <f>L14*(M5+1)</f>
        <v>2394450.1434166045</v>
      </c>
    </row>
    <row r="15" spans="2:24" x14ac:dyDescent="0.35">
      <c r="B15" s="108" t="s">
        <v>36</v>
      </c>
      <c r="C15" s="111">
        <f>'Consolidated FS'!L7</f>
        <v>1086341</v>
      </c>
      <c r="D15" s="111">
        <f>'Consolidated FS'!M7</f>
        <v>1179086</v>
      </c>
      <c r="E15" s="111">
        <f>'Consolidated FS'!N7</f>
        <v>1312242</v>
      </c>
      <c r="F15" s="111">
        <f>'Consolidated FS'!O7</f>
        <v>1456495</v>
      </c>
      <c r="G15" s="111">
        <f>'Consolidated FS'!P7</f>
        <v>156833</v>
      </c>
      <c r="I15" s="13">
        <f>G15*(I6+1)</f>
        <v>174965.90453090915</v>
      </c>
      <c r="J15" s="13">
        <f t="shared" si="0"/>
        <v>194074.69959085519</v>
      </c>
      <c r="K15" s="13">
        <f t="shared" si="0"/>
        <v>214027.44092089985</v>
      </c>
      <c r="L15" s="13">
        <f t="shared" si="0"/>
        <v>234660.71305836344</v>
      </c>
      <c r="M15" s="98">
        <f>L15*(1+M6)</f>
        <v>255780.17723361618</v>
      </c>
    </row>
    <row r="16" spans="2:24" x14ac:dyDescent="0.35">
      <c r="B16" s="108" t="s">
        <v>39</v>
      </c>
      <c r="C16" s="111">
        <f>'Consolidated FS'!L8</f>
        <v>46285</v>
      </c>
      <c r="D16" s="111">
        <f>'Consolidated FS'!M8</f>
        <v>58073</v>
      </c>
      <c r="E16" s="111">
        <f>'Consolidated FS'!N8</f>
        <v>57538</v>
      </c>
      <c r="F16" s="111">
        <f>'Consolidated FS'!O8</f>
        <v>89665</v>
      </c>
      <c r="G16" s="111">
        <f>'Consolidated FS'!P8</f>
        <v>155288</v>
      </c>
      <c r="I16" s="13">
        <f>I14*0.18</f>
        <v>284339.64709662134</v>
      </c>
      <c r="J16" s="13">
        <f>J14*0.18</f>
        <v>318237.02553255303</v>
      </c>
      <c r="K16" s="13">
        <f>K14*0.18</f>
        <v>354137.21560406359</v>
      </c>
      <c r="L16" s="13">
        <f>L14*0.18</f>
        <v>391819.11437726254</v>
      </c>
      <c r="M16" s="98">
        <f>M14*0.18</f>
        <v>431001.02581498877</v>
      </c>
    </row>
    <row r="17" spans="2:22" x14ac:dyDescent="0.35">
      <c r="B17" s="110"/>
      <c r="M17" s="46"/>
    </row>
    <row r="18" spans="2:22" x14ac:dyDescent="0.35">
      <c r="B18" s="108" t="s">
        <v>95</v>
      </c>
      <c r="C18" s="112">
        <f>'Consolidated FS'!C5</f>
        <v>70613.789999999994</v>
      </c>
      <c r="D18" s="112">
        <f>'Consolidated FS'!D5</f>
        <v>85884.73</v>
      </c>
      <c r="E18" s="112">
        <f>'Consolidated FS'!E5</f>
        <v>110518.75</v>
      </c>
      <c r="F18" s="112">
        <f>'Consolidated FS'!F5</f>
        <v>121601.11</v>
      </c>
      <c r="G18" s="112">
        <f>'Consolidated FS'!G5</f>
        <v>126371.2</v>
      </c>
      <c r="I18" s="107">
        <f>((I14+G14)/2)*(('Consolidated FS'!P15+'Consolidated FS'!P16+'Consolidated FS'!P17)/'Consolidated FS'!P17)*I7+I19</f>
        <v>78784.868175358919</v>
      </c>
      <c r="J18" s="107">
        <f>((J14+I14)/2)*(('Consolidated FS'!P15+'Consolidated FS'!P16+'Consolidated FS'!P17)/'Consolidated FS'!P17)*J7+J19</f>
        <v>91874.594602727389</v>
      </c>
      <c r="K18" s="107">
        <f>((K14+J14)/2)*(('Consolidated FS'!P15+'Consolidated FS'!P16+'Consolidated FS'!P17)/'Consolidated FS'!P17)*K7+K19</f>
        <v>100532.41621730698</v>
      </c>
      <c r="L18" s="107">
        <f>((L14+K14)/2)*(('Consolidated FS'!P15+'Consolidated FS'!P16+'Consolidated FS'!P17)/'Consolidated FS'!P17)*L7+L19</f>
        <v>109333.61547026195</v>
      </c>
      <c r="M18" s="113">
        <f>((M14+L14)/2)*(('Consolidated FS'!P15+'Consolidated FS'!P16+'Consolidated FS'!P17)/'Consolidated FS'!P17)*M7+M19</f>
        <v>118172.67613773825</v>
      </c>
    </row>
    <row r="19" spans="2:22" x14ac:dyDescent="0.35">
      <c r="B19" s="108" t="s">
        <v>96</v>
      </c>
      <c r="C19" s="112">
        <f>'Consolidated FS'!C9</f>
        <v>43035.47</v>
      </c>
      <c r="D19" s="112">
        <f>'Consolidated FS'!D9</f>
        <v>52990.06</v>
      </c>
      <c r="E19" s="112">
        <f>'Consolidated FS'!E9</f>
        <v>72117.59</v>
      </c>
      <c r="F19" s="112">
        <f>'Consolidated FS'!F9</f>
        <v>82680.679999999993</v>
      </c>
      <c r="G19" s="112">
        <f>'Consolidated FS'!G9</f>
        <v>89137.52</v>
      </c>
      <c r="I19" s="13">
        <f>((I15 + I16 + G15 + G16) / 2) * WACC!$F$15</f>
        <v>37003.580015202242</v>
      </c>
      <c r="J19" s="13">
        <f>((J15 + J16 + I15 + I16) / 2) * WACC!$F$15</f>
        <v>46606.274529380833</v>
      </c>
      <c r="K19" s="13">
        <f>((K15 + K16 + J15 + J16) / 2) * WACC!$F$15</f>
        <v>51827.998606620509</v>
      </c>
      <c r="L19" s="13">
        <f>((L15 + L16 + K15 + K16) / 2) * WACC!$F$15</f>
        <v>57304.383234788882</v>
      </c>
      <c r="M19" s="98">
        <f>((M15 + M16 + L15 + L16) / 2) * WACC!$F$15</f>
        <v>62994.149630765613</v>
      </c>
    </row>
    <row r="20" spans="2:22" ht="15.5" x14ac:dyDescent="0.35">
      <c r="B20" s="120" t="s">
        <v>97</v>
      </c>
      <c r="C20" s="114">
        <f>C18-C19</f>
        <v>27578.319999999992</v>
      </c>
      <c r="D20" s="114">
        <f>D18-D19</f>
        <v>32894.67</v>
      </c>
      <c r="E20" s="114">
        <f>E18-E19</f>
        <v>38401.160000000003</v>
      </c>
      <c r="F20" s="114">
        <f>F18-F19</f>
        <v>38920.430000000008</v>
      </c>
      <c r="G20" s="114">
        <f>G18-G19</f>
        <v>37233.679999999993</v>
      </c>
      <c r="I20" s="114">
        <f>I18-I19</f>
        <v>41781.288160156677</v>
      </c>
      <c r="J20" s="114">
        <f>J18-J19</f>
        <v>45268.320073346556</v>
      </c>
      <c r="K20" s="114">
        <f>K18-K19</f>
        <v>48704.417610686469</v>
      </c>
      <c r="L20" s="114">
        <f>L18-L19</f>
        <v>52029.232235473071</v>
      </c>
      <c r="M20" s="115">
        <f>M18-M19</f>
        <v>55178.526506972637</v>
      </c>
    </row>
    <row r="21" spans="2:22" x14ac:dyDescent="0.35">
      <c r="B21" s="108" t="s">
        <v>32</v>
      </c>
      <c r="C21" s="112">
        <f>'Consolidated FS'!C6</f>
        <v>23643.1</v>
      </c>
      <c r="D21" s="112">
        <f>'Consolidated FS'!D6</f>
        <v>25325.040000000001</v>
      </c>
      <c r="E21" s="112">
        <f>'Consolidated FS'!E6</f>
        <v>28646.18</v>
      </c>
      <c r="F21" s="112">
        <f>'Consolidated FS'!F6</f>
        <v>31056.77</v>
      </c>
      <c r="G21" s="112">
        <f>'Consolidated FS'!G6</f>
        <v>26712.02</v>
      </c>
      <c r="I21" s="13">
        <f>G21*(1+R21+V21)</f>
        <v>28723.854084502698</v>
      </c>
      <c r="J21" s="13">
        <f>I21*(1+R21+2*V21)</f>
        <v>30820.315236936007</v>
      </c>
      <c r="K21" s="13">
        <f>J21*(1+R21+3*V21)</f>
        <v>32998.012217018346</v>
      </c>
      <c r="L21" s="13">
        <f>K21*(1+R21+4*V21)</f>
        <v>35252.730795346368</v>
      </c>
      <c r="M21" s="98">
        <f>L21*(1+R21+5*V21)</f>
        <v>37579.411027839225</v>
      </c>
      <c r="P21" s="89" t="s">
        <v>98</v>
      </c>
      <c r="Q21" s="90"/>
      <c r="R21" s="91">
        <f>MEDIAN((D21-C21)/C21,(E21-D21)/D21,(F21-E21)/E21,(G21-F21)/F21)</f>
        <v>7.7644606271946998E-2</v>
      </c>
      <c r="S21" s="90"/>
      <c r="T21" s="92" t="s">
        <v>80</v>
      </c>
      <c r="U21" s="90"/>
      <c r="V21" s="93">
        <f>-(R21-WACC!$C$14)/5</f>
        <v>-2.3289212543893987E-3</v>
      </c>
    </row>
    <row r="22" spans="2:22" x14ac:dyDescent="0.35">
      <c r="B22" s="108" t="s">
        <v>35</v>
      </c>
      <c r="C22" s="112">
        <f>'Consolidated FS'!C7</f>
        <v>94256.88</v>
      </c>
      <c r="D22" s="112">
        <f>'Consolidated FS'!D7</f>
        <v>111209.76</v>
      </c>
      <c r="E22" s="112">
        <f>'Consolidated FS'!E7</f>
        <v>139164.94</v>
      </c>
      <c r="F22" s="112">
        <f>'Consolidated FS'!F7</f>
        <v>152657.89000000001</v>
      </c>
      <c r="G22" s="112">
        <f>'Consolidated FS'!G7</f>
        <v>153083.22</v>
      </c>
      <c r="I22" s="114">
        <f>I21+I20</f>
        <v>70505.142244659379</v>
      </c>
      <c r="J22" s="114">
        <f>J21+J20</f>
        <v>76088.635310282567</v>
      </c>
      <c r="K22" s="114">
        <f>K21+K20</f>
        <v>81702.429827704822</v>
      </c>
      <c r="L22" s="114">
        <f>L21+L20</f>
        <v>87281.963030819432</v>
      </c>
      <c r="M22" s="115">
        <f>M21+M20</f>
        <v>92757.937534811863</v>
      </c>
    </row>
    <row r="23" spans="2:22" x14ac:dyDescent="0.35">
      <c r="B23" s="110"/>
      <c r="M23" s="46"/>
    </row>
    <row r="24" spans="2:22" x14ac:dyDescent="0.35">
      <c r="B24" s="108" t="s">
        <v>99</v>
      </c>
      <c r="C24" s="112">
        <f>'Consolidated FS'!C10</f>
        <v>27923.7</v>
      </c>
      <c r="D24" s="112">
        <f>'Consolidated FS'!D10</f>
        <v>30245.42</v>
      </c>
      <c r="E24" s="112">
        <f>'Consolidated FS'!E10</f>
        <v>37336.870000000003</v>
      </c>
      <c r="F24" s="112">
        <f>'Consolidated FS'!F10</f>
        <v>38188.559999999998</v>
      </c>
      <c r="G24" s="112">
        <f>'Consolidated FS'!G10</f>
        <v>31141.87</v>
      </c>
      <c r="I24" s="13">
        <f>I22*I8</f>
        <v>17441.562157133128</v>
      </c>
      <c r="J24" s="13">
        <f>J22*J8</f>
        <v>17921.536773371765</v>
      </c>
      <c r="K24" s="13">
        <f>K22*K8</f>
        <v>18276.016567935214</v>
      </c>
      <c r="L24" s="13">
        <f>L22*L8</f>
        <v>18490.247479510072</v>
      </c>
      <c r="M24" s="98">
        <f>M22*M8</f>
        <v>18551.587506962373</v>
      </c>
    </row>
    <row r="25" spans="2:22" x14ac:dyDescent="0.35">
      <c r="B25" s="108" t="s">
        <v>100</v>
      </c>
      <c r="C25" s="112">
        <f>'Consolidated FS'!C11</f>
        <v>17502.62</v>
      </c>
      <c r="D25" s="112">
        <f>'Consolidated FS'!D11</f>
        <v>17166.48</v>
      </c>
      <c r="E25" s="112">
        <f>'Consolidated FS'!E11</f>
        <v>14928.13</v>
      </c>
      <c r="F25" s="112">
        <f>'Consolidated FS'!F11</f>
        <v>14452.67</v>
      </c>
      <c r="G25" s="112">
        <f>'Consolidated FS'!G11</f>
        <v>13852.61</v>
      </c>
      <c r="I25" s="13">
        <f>((I14+G14)/2)*I9</f>
        <v>20008.452687731824</v>
      </c>
      <c r="J25" s="13">
        <f>((J14+I14)/2)*J9</f>
        <v>21025.087667631349</v>
      </c>
      <c r="K25" s="13">
        <f>((K14+J14)/2)*K9</f>
        <v>21865.995677982944</v>
      </c>
      <c r="L25" s="13">
        <f>((L14+K14)/2)*L9</f>
        <v>22489.968272642593</v>
      </c>
      <c r="M25" s="98">
        <f>((M14+L14)/2)*M9</f>
        <v>22856.115005340311</v>
      </c>
    </row>
    <row r="26" spans="2:22" ht="15.5" x14ac:dyDescent="0.35">
      <c r="B26" s="120" t="s">
        <v>101</v>
      </c>
      <c r="C26" s="112">
        <f>'Consolidated FS'!C14</f>
        <v>9145.01</v>
      </c>
      <c r="D26" s="112">
        <f>'Consolidated FS'!D14</f>
        <v>14426.66</v>
      </c>
      <c r="E26" s="112">
        <f>'Consolidated FS'!E14</f>
        <v>20000.330000000002</v>
      </c>
      <c r="F26" s="112">
        <f>'Consolidated FS'!F14</f>
        <v>22336.02</v>
      </c>
      <c r="G26" s="112">
        <f>'Consolidated FS'!G14</f>
        <v>24681.46</v>
      </c>
      <c r="I26" s="114">
        <f>I22-I24-I25</f>
        <v>33055.127399794423</v>
      </c>
      <c r="J26" s="114">
        <f>J22-J24-J25</f>
        <v>37142.010869279453</v>
      </c>
      <c r="K26" s="114">
        <f>K22-K24-K25</f>
        <v>41560.417581786664</v>
      </c>
      <c r="L26" s="114">
        <f>L22-L24-L25</f>
        <v>46301.747278666764</v>
      </c>
      <c r="M26" s="115">
        <f>M22-M24-M25</f>
        <v>51350.23502250918</v>
      </c>
    </row>
    <row r="27" spans="2:22" x14ac:dyDescent="0.35">
      <c r="B27" s="108" t="s">
        <v>102</v>
      </c>
      <c r="C27" s="112">
        <f>'Consolidated FS'!C15</f>
        <v>3349.91</v>
      </c>
      <c r="D27" s="112">
        <f>'Consolidated FS'!D15</f>
        <v>3618.86</v>
      </c>
      <c r="E27" s="112">
        <f>'Consolidated FS'!E15</f>
        <v>5217.2</v>
      </c>
      <c r="F27" s="112">
        <f>'Consolidated FS'!F15</f>
        <v>5689.03</v>
      </c>
      <c r="G27" s="112">
        <f>'Consolidated FS'!G15</f>
        <v>5730.23</v>
      </c>
      <c r="I27" s="13">
        <f>I26*I10</f>
        <v>9023.2603428506882</v>
      </c>
      <c r="J27" s="13">
        <f>J26*J10</f>
        <v>10138.881925246575</v>
      </c>
      <c r="K27" s="13">
        <f>K26*K10</f>
        <v>11345.001435401588</v>
      </c>
      <c r="L27" s="13">
        <f>L26*L10</f>
        <v>12639.271208099683</v>
      </c>
      <c r="M27" s="98">
        <f>M26*M10</f>
        <v>14017.387791933037</v>
      </c>
    </row>
    <row r="28" spans="2:22" x14ac:dyDescent="0.35">
      <c r="B28" s="110"/>
      <c r="M28" s="46"/>
    </row>
    <row r="29" spans="2:22" ht="15.5" x14ac:dyDescent="0.35">
      <c r="B29" s="121" t="s">
        <v>103</v>
      </c>
      <c r="C29" s="116">
        <f>'Consolidated FS'!C16</f>
        <v>5795.1</v>
      </c>
      <c r="D29" s="116">
        <f>'Consolidated FS'!D16</f>
        <v>10807.8</v>
      </c>
      <c r="E29" s="116">
        <f>'Consolidated FS'!E16</f>
        <v>14782.36</v>
      </c>
      <c r="F29" s="116">
        <f>'Consolidated FS'!F16</f>
        <v>17335.990000000002</v>
      </c>
      <c r="G29" s="116">
        <f>'Consolidated FS'!G16</f>
        <v>18951.23</v>
      </c>
      <c r="H29" s="68"/>
      <c r="I29" s="117">
        <f>I26-I27</f>
        <v>24031.867056943734</v>
      </c>
      <c r="J29" s="117">
        <f>J26-J27</f>
        <v>27003.128944032876</v>
      </c>
      <c r="K29" s="117">
        <f>K26-K27</f>
        <v>30215.416146385076</v>
      </c>
      <c r="L29" s="117">
        <f>L26-L27</f>
        <v>33662.476070567078</v>
      </c>
      <c r="M29" s="118">
        <f>M26-M27</f>
        <v>37332.847230576139</v>
      </c>
    </row>
  </sheetData>
  <mergeCells count="2">
    <mergeCell ref="C2:G2"/>
    <mergeCell ref="I2:M2"/>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11"/>
  <sheetViews>
    <sheetView showGridLines="0" zoomScale="60" zoomScaleNormal="58" workbookViewId="0">
      <selection activeCell="K21" sqref="K21"/>
    </sheetView>
  </sheetViews>
  <sheetFormatPr defaultColWidth="19.54296875" defaultRowHeight="14.5" x14ac:dyDescent="0.35"/>
  <cols>
    <col min="1" max="1" width="6.08984375" customWidth="1"/>
  </cols>
  <sheetData>
    <row r="2" spans="2:12" x14ac:dyDescent="0.35">
      <c r="B2" s="122"/>
      <c r="C2" s="123">
        <v>2021</v>
      </c>
      <c r="D2" s="124">
        <f t="shared" ref="D2:L2" si="0">C2+1</f>
        <v>2022</v>
      </c>
      <c r="E2" s="124">
        <f t="shared" si="0"/>
        <v>2023</v>
      </c>
      <c r="F2" s="124">
        <f t="shared" si="0"/>
        <v>2024</v>
      </c>
      <c r="G2" s="124">
        <f t="shared" si="0"/>
        <v>2025</v>
      </c>
      <c r="H2" s="124">
        <f t="shared" si="0"/>
        <v>2026</v>
      </c>
      <c r="I2" s="124">
        <f t="shared" si="0"/>
        <v>2027</v>
      </c>
      <c r="J2" s="124">
        <f t="shared" si="0"/>
        <v>2028</v>
      </c>
      <c r="K2" s="124">
        <f t="shared" si="0"/>
        <v>2029</v>
      </c>
      <c r="L2" s="125">
        <f t="shared" si="0"/>
        <v>2030</v>
      </c>
    </row>
    <row r="3" spans="2:12" x14ac:dyDescent="0.35">
      <c r="B3" s="132" t="s">
        <v>104</v>
      </c>
      <c r="C3" s="133">
        <f>'Consolidated FS'!L4+'Consolidated FS'!L6</f>
        <v>69961</v>
      </c>
      <c r="D3" s="134">
        <f t="shared" ref="D3:L3" si="1">C7</f>
        <v>73767.88</v>
      </c>
      <c r="E3" s="134">
        <f t="shared" si="1"/>
        <v>82587.460000000006</v>
      </c>
      <c r="F3" s="134">
        <f t="shared" si="1"/>
        <v>95381.6</v>
      </c>
      <c r="G3" s="134">
        <f t="shared" si="1"/>
        <v>110729.37000000001</v>
      </c>
      <c r="H3" s="134">
        <f t="shared" si="1"/>
        <v>127692.38</v>
      </c>
      <c r="I3" s="134">
        <f t="shared" si="1"/>
        <v>148940.78984480159</v>
      </c>
      <c r="J3" s="134">
        <f t="shared" si="1"/>
        <v>173955.69878883447</v>
      </c>
      <c r="K3" s="134">
        <f t="shared" si="1"/>
        <v>202182.89493521955</v>
      </c>
      <c r="L3" s="135">
        <f t="shared" si="1"/>
        <v>233857.15100578661</v>
      </c>
    </row>
    <row r="4" spans="2:12" x14ac:dyDescent="0.35">
      <c r="B4" s="128" t="s">
        <v>103</v>
      </c>
      <c r="C4" s="111">
        <f>'Assumptions '!C29</f>
        <v>5795.1</v>
      </c>
      <c r="D4" s="111">
        <f>'Assumptions '!D29</f>
        <v>10807.8</v>
      </c>
      <c r="E4" s="111">
        <f>'Assumptions '!E29</f>
        <v>14782.36</v>
      </c>
      <c r="F4" s="111">
        <f>'Assumptions '!F29</f>
        <v>17335.990000000002</v>
      </c>
      <c r="G4" s="111">
        <f>'Assumptions '!G29</f>
        <v>18951.23</v>
      </c>
      <c r="H4" s="111">
        <f>'Assumptions '!I29</f>
        <v>24031.867056943734</v>
      </c>
      <c r="I4" s="111">
        <f>'Assumptions '!J29</f>
        <v>27003.128944032876</v>
      </c>
      <c r="J4" s="111">
        <f>'Assumptions '!K29</f>
        <v>30215.416146385076</v>
      </c>
      <c r="K4" s="111">
        <f>'Assumptions '!L29</f>
        <v>33662.476070567078</v>
      </c>
      <c r="L4" s="129">
        <f>'Assumptions '!M29</f>
        <v>37332.847230576139</v>
      </c>
    </row>
    <row r="5" spans="2:12" x14ac:dyDescent="0.35">
      <c r="B5" s="81" t="s">
        <v>105</v>
      </c>
      <c r="C5" s="107">
        <f>'Assumptions '!C29*'Assumptions '!C11</f>
        <v>1988.22</v>
      </c>
      <c r="D5" s="107">
        <f>'Assumptions '!D29*'Assumptions '!D11</f>
        <v>1988.22</v>
      </c>
      <c r="E5" s="107">
        <f>'Assumptions '!E29*'Assumptions '!E11</f>
        <v>1988.2200000000003</v>
      </c>
      <c r="F5" s="107">
        <f>'Assumptions '!F29*'Assumptions '!F11</f>
        <v>1988.22</v>
      </c>
      <c r="G5" s="107">
        <f>'Assumptions '!G29*'Assumptions '!G11</f>
        <v>1988.22</v>
      </c>
      <c r="H5" s="107">
        <f>'Assumptions '!I29*'Assumptions '!I11</f>
        <v>2783.4572121421502</v>
      </c>
      <c r="I5" s="107">
        <f>'Assumptions '!J29*'Assumptions '!J11</f>
        <v>1988.2199999999998</v>
      </c>
      <c r="J5" s="107">
        <f>'Assumptions '!K29*'Assumptions '!K11</f>
        <v>1988.22</v>
      </c>
      <c r="K5" s="107">
        <f>'Assumptions '!L29*'Assumptions '!L11</f>
        <v>1988.22</v>
      </c>
      <c r="L5" s="113">
        <f>'Assumptions '!M29*'Assumptions '!M11</f>
        <v>1988.22</v>
      </c>
    </row>
    <row r="6" spans="2:12" x14ac:dyDescent="0.35">
      <c r="B6" s="81" t="s">
        <v>106</v>
      </c>
      <c r="C6" s="126">
        <f t="shared" ref="C6:L6" si="2">C4-C5</f>
        <v>3806.88</v>
      </c>
      <c r="D6" s="126">
        <f t="shared" si="2"/>
        <v>8819.58</v>
      </c>
      <c r="E6" s="126">
        <f t="shared" si="2"/>
        <v>12794.14</v>
      </c>
      <c r="F6" s="126">
        <f t="shared" si="2"/>
        <v>15347.770000000002</v>
      </c>
      <c r="G6" s="126">
        <f t="shared" si="2"/>
        <v>16963.009999999998</v>
      </c>
      <c r="H6" s="126">
        <f t="shared" si="2"/>
        <v>21248.409844801583</v>
      </c>
      <c r="I6" s="126">
        <f t="shared" si="2"/>
        <v>25014.908944032875</v>
      </c>
      <c r="J6" s="126">
        <f t="shared" si="2"/>
        <v>28227.196146385075</v>
      </c>
      <c r="K6" s="126">
        <f t="shared" si="2"/>
        <v>31674.256070567077</v>
      </c>
      <c r="L6" s="127">
        <f t="shared" si="2"/>
        <v>35344.627230576138</v>
      </c>
    </row>
    <row r="7" spans="2:12" x14ac:dyDescent="0.35">
      <c r="B7" s="81" t="s">
        <v>107</v>
      </c>
      <c r="C7" s="126">
        <f t="shared" ref="C7:L7" si="3">C3+C6</f>
        <v>73767.88</v>
      </c>
      <c r="D7" s="126">
        <f t="shared" si="3"/>
        <v>82587.460000000006</v>
      </c>
      <c r="E7" s="126">
        <f t="shared" si="3"/>
        <v>95381.6</v>
      </c>
      <c r="F7" s="126">
        <f t="shared" si="3"/>
        <v>110729.37000000001</v>
      </c>
      <c r="G7" s="126">
        <f t="shared" si="3"/>
        <v>127692.38</v>
      </c>
      <c r="H7" s="126">
        <f t="shared" si="3"/>
        <v>148940.78984480159</v>
      </c>
      <c r="I7" s="126">
        <f t="shared" si="3"/>
        <v>173955.69878883447</v>
      </c>
      <c r="J7" s="126">
        <f t="shared" si="3"/>
        <v>202182.89493521955</v>
      </c>
      <c r="K7" s="126">
        <f t="shared" si="3"/>
        <v>233857.15100578661</v>
      </c>
      <c r="L7" s="127">
        <f t="shared" si="3"/>
        <v>269201.77823636273</v>
      </c>
    </row>
    <row r="8" spans="2:12" x14ac:dyDescent="0.35">
      <c r="B8" s="81" t="s">
        <v>108</v>
      </c>
      <c r="C8" s="13">
        <f t="shared" ref="C8:L8" si="4">(C3+C7)/2</f>
        <v>71864.44</v>
      </c>
      <c r="D8" s="13">
        <f t="shared" si="4"/>
        <v>78177.670000000013</v>
      </c>
      <c r="E8" s="13">
        <f t="shared" si="4"/>
        <v>88984.53</v>
      </c>
      <c r="F8" s="13">
        <f t="shared" si="4"/>
        <v>103055.48500000002</v>
      </c>
      <c r="G8" s="13">
        <f t="shared" si="4"/>
        <v>119210.875</v>
      </c>
      <c r="H8" s="13">
        <f t="shared" si="4"/>
        <v>138316.5849224008</v>
      </c>
      <c r="I8" s="13">
        <f t="shared" si="4"/>
        <v>161448.24431681802</v>
      </c>
      <c r="J8" s="13">
        <f t="shared" si="4"/>
        <v>188069.29686202703</v>
      </c>
      <c r="K8" s="13">
        <f t="shared" si="4"/>
        <v>218020.02297050308</v>
      </c>
      <c r="L8" s="98">
        <f t="shared" si="4"/>
        <v>251529.46462107467</v>
      </c>
    </row>
    <row r="9" spans="2:12" x14ac:dyDescent="0.35">
      <c r="B9" s="81" t="s">
        <v>109</v>
      </c>
      <c r="C9" s="20">
        <f t="shared" ref="C9:L9" si="5">C4/C8</f>
        <v>8.0639325930877637E-2</v>
      </c>
      <c r="D9" s="20">
        <f t="shared" si="5"/>
        <v>0.13824663743496063</v>
      </c>
      <c r="E9" s="20">
        <f t="shared" si="5"/>
        <v>0.16612280808810251</v>
      </c>
      <c r="F9" s="20">
        <f t="shared" si="5"/>
        <v>0.16821996422606714</v>
      </c>
      <c r="G9" s="20">
        <f t="shared" si="5"/>
        <v>0.15897232530169753</v>
      </c>
      <c r="H9" s="20">
        <f t="shared" si="5"/>
        <v>0.17374537601854642</v>
      </c>
      <c r="I9" s="20">
        <f t="shared" si="5"/>
        <v>0.16725563698941984</v>
      </c>
      <c r="J9" s="20">
        <f t="shared" si="5"/>
        <v>0.16066107892428588</v>
      </c>
      <c r="K9" s="20">
        <f t="shared" si="5"/>
        <v>0.15440084636226933</v>
      </c>
      <c r="L9" s="84">
        <f t="shared" si="5"/>
        <v>0.14842335583553803</v>
      </c>
    </row>
    <row r="10" spans="2:12" x14ac:dyDescent="0.35">
      <c r="B10" s="81" t="s">
        <v>110</v>
      </c>
      <c r="C10" s="20">
        <f>WACC!$C$17</f>
        <v>0.17086652273833658</v>
      </c>
      <c r="D10" s="20">
        <f>WACC!$C$17</f>
        <v>0.17086652273833658</v>
      </c>
      <c r="E10" s="20">
        <f>WACC!$C$17</f>
        <v>0.17086652273833658</v>
      </c>
      <c r="F10" s="20">
        <f>WACC!$C$17</f>
        <v>0.17086652273833658</v>
      </c>
      <c r="G10" s="20">
        <f>WACC!$C$17</f>
        <v>0.17086652273833658</v>
      </c>
      <c r="H10" s="20">
        <f>WACC!$C$17</f>
        <v>0.17086652273833658</v>
      </c>
      <c r="I10" s="20">
        <f>WACC!$C$17</f>
        <v>0.17086652273833658</v>
      </c>
      <c r="J10" s="20">
        <f>WACC!$C$17</f>
        <v>0.17086652273833658</v>
      </c>
      <c r="K10" s="20">
        <f>WACC!$C$17</f>
        <v>0.17086652273833658</v>
      </c>
      <c r="L10" s="84">
        <f>WACC!$C$17</f>
        <v>0.17086652273833658</v>
      </c>
    </row>
    <row r="11" spans="2:12" x14ac:dyDescent="0.35">
      <c r="B11" s="85" t="s">
        <v>111</v>
      </c>
      <c r="C11" s="130">
        <f t="shared" ref="C11:L11" si="6">C9-C10</f>
        <v>-9.0227196807458943E-2</v>
      </c>
      <c r="D11" s="130">
        <f t="shared" si="6"/>
        <v>-3.2619885303375951E-2</v>
      </c>
      <c r="E11" s="130">
        <f t="shared" si="6"/>
        <v>-4.743714650234071E-3</v>
      </c>
      <c r="F11" s="130">
        <f t="shared" si="6"/>
        <v>-2.6465585122694424E-3</v>
      </c>
      <c r="G11" s="130">
        <f t="shared" si="6"/>
        <v>-1.1894197436639053E-2</v>
      </c>
      <c r="H11" s="130">
        <f t="shared" si="6"/>
        <v>2.8788532802098421E-3</v>
      </c>
      <c r="I11" s="130">
        <f t="shared" si="6"/>
        <v>-3.6108857489167423E-3</v>
      </c>
      <c r="J11" s="130">
        <f t="shared" si="6"/>
        <v>-1.0205443814050696E-2</v>
      </c>
      <c r="K11" s="130">
        <f t="shared" si="6"/>
        <v>-1.6465676376067245E-2</v>
      </c>
      <c r="L11" s="131">
        <f t="shared" si="6"/>
        <v>-2.2443166902798545E-2</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8000"/>
  </sheetPr>
  <dimension ref="B2:K93"/>
  <sheetViews>
    <sheetView showGridLines="0" zoomScale="87" zoomScaleNormal="93" workbookViewId="0">
      <selection activeCell="D20" sqref="D20"/>
    </sheetView>
  </sheetViews>
  <sheetFormatPr defaultColWidth="17.08984375" defaultRowHeight="14.5" x14ac:dyDescent="0.35"/>
  <cols>
    <col min="1" max="1" width="3.6328125" customWidth="1"/>
    <col min="11" max="11" width="17.08984375" style="140"/>
  </cols>
  <sheetData>
    <row r="2" spans="2:11" x14ac:dyDescent="0.35">
      <c r="B2" s="307" t="s">
        <v>112</v>
      </c>
      <c r="C2" s="308" t="s">
        <v>113</v>
      </c>
      <c r="D2" s="308" t="s">
        <v>114</v>
      </c>
      <c r="E2" s="308" t="s">
        <v>115</v>
      </c>
      <c r="F2" s="308" t="s">
        <v>116</v>
      </c>
      <c r="G2" s="309" t="s">
        <v>117</v>
      </c>
      <c r="J2" s="301" t="s">
        <v>318</v>
      </c>
      <c r="K2" s="301"/>
    </row>
    <row r="3" spans="2:11" x14ac:dyDescent="0.35">
      <c r="B3" s="150" t="s">
        <v>118</v>
      </c>
      <c r="C3" s="151">
        <v>2026</v>
      </c>
      <c r="D3" s="151">
        <v>2027</v>
      </c>
      <c r="E3" s="151">
        <v>2028</v>
      </c>
      <c r="F3" s="151">
        <v>2029</v>
      </c>
      <c r="G3" s="152">
        <v>2030</v>
      </c>
    </row>
    <row r="4" spans="2:11" x14ac:dyDescent="0.35">
      <c r="B4" s="154" t="s">
        <v>104</v>
      </c>
      <c r="C4" s="156">
        <f>'Equity Schedule '!H3</f>
        <v>127692.38</v>
      </c>
      <c r="D4" s="156">
        <f>'Equity Schedule '!I3</f>
        <v>148940.78984480159</v>
      </c>
      <c r="E4" s="156">
        <f>'Equity Schedule '!J3</f>
        <v>173955.69878883447</v>
      </c>
      <c r="F4" s="156">
        <f>'Equity Schedule '!K3</f>
        <v>202182.89493521955</v>
      </c>
      <c r="G4" s="156">
        <f>'Equity Schedule '!L3</f>
        <v>233857.15100578661</v>
      </c>
      <c r="J4" s="136" t="s">
        <v>119</v>
      </c>
      <c r="K4" s="141" t="s">
        <v>120</v>
      </c>
    </row>
    <row r="5" spans="2:11" x14ac:dyDescent="0.35">
      <c r="B5" s="158" t="s">
        <v>103</v>
      </c>
      <c r="C5" s="156">
        <f>'Equity Schedule '!H4</f>
        <v>24031.867056943734</v>
      </c>
      <c r="D5" s="156">
        <f>'Equity Schedule '!I4</f>
        <v>27003.128944032876</v>
      </c>
      <c r="E5" s="156">
        <f>'Equity Schedule '!J4</f>
        <v>30215.416146385076</v>
      </c>
      <c r="F5" s="156">
        <f>'Equity Schedule '!K4</f>
        <v>33662.476070567078</v>
      </c>
      <c r="G5" s="156">
        <f>'Equity Schedule '!L4</f>
        <v>37332.847230576139</v>
      </c>
      <c r="J5" s="137" t="s">
        <v>121</v>
      </c>
      <c r="K5" s="142" t="s">
        <v>122</v>
      </c>
    </row>
    <row r="6" spans="2:11" x14ac:dyDescent="0.35">
      <c r="B6" s="154" t="s">
        <v>123</v>
      </c>
      <c r="C6" s="156">
        <f>'Equity Schedule '!H3*WACC!$C$17</f>
        <v>21818.352950782315</v>
      </c>
      <c r="D6" s="156">
        <f>'Equity Schedule '!I3*WACC!$C$17</f>
        <v>25448.994854682602</v>
      </c>
      <c r="E6" s="156">
        <f>'Equity Schedule '!J3*WACC!$C$17</f>
        <v>29723.205362565615</v>
      </c>
      <c r="F6" s="156">
        <f>'Equity Schedule '!K3*WACC!$C$17</f>
        <v>34546.28821475141</v>
      </c>
      <c r="G6" s="156">
        <f>'Equity Schedule '!L3*WACC!$C$17</f>
        <v>39958.35820985285</v>
      </c>
      <c r="J6" s="137" t="s">
        <v>124</v>
      </c>
      <c r="K6" s="143">
        <v>820454400</v>
      </c>
    </row>
    <row r="7" spans="2:11" x14ac:dyDescent="0.35">
      <c r="B7" s="154" t="s">
        <v>125</v>
      </c>
      <c r="C7" s="159">
        <f>C5-C6</f>
        <v>2213.5141061614195</v>
      </c>
      <c r="D7" s="159">
        <f>D5-D6</f>
        <v>1554.1340893502747</v>
      </c>
      <c r="E7" s="159">
        <f>E5-E6</f>
        <v>492.21078381946063</v>
      </c>
      <c r="F7" s="159">
        <f>F5-F6</f>
        <v>-883.81214418433228</v>
      </c>
      <c r="G7" s="159">
        <f>G5-G6</f>
        <v>-2625.5109792767107</v>
      </c>
      <c r="J7" s="138" t="s">
        <v>126</v>
      </c>
      <c r="K7" s="144">
        <v>1780908425</v>
      </c>
    </row>
    <row r="8" spans="2:11" x14ac:dyDescent="0.35">
      <c r="B8" s="154" t="s">
        <v>127</v>
      </c>
      <c r="C8" s="159">
        <f>1/(1+WACC!$C$17)^1</f>
        <v>0.85406831656718096</v>
      </c>
      <c r="D8" s="159">
        <f>1/(1+WACC!$C$17)^2</f>
        <v>0.72943268936389838</v>
      </c>
      <c r="E8" s="159">
        <f>1/(1+WACC!$C$17)^3</f>
        <v>0.62298534905409619</v>
      </c>
      <c r="F8" s="159">
        <f>1/(1+WACC!$C$17)^4</f>
        <v>0.53207204831264954</v>
      </c>
      <c r="G8" s="159">
        <f>1/(1+WACC!$C$17)^5</f>
        <v>0.4544258785948363</v>
      </c>
    </row>
    <row r="9" spans="2:11" x14ac:dyDescent="0.35">
      <c r="B9" s="154" t="s">
        <v>128</v>
      </c>
      <c r="C9" s="159">
        <f>C7*C8</f>
        <v>1890.4922663469918</v>
      </c>
      <c r="D9" s="159">
        <f>D7*D8</f>
        <v>1133.636208426884</v>
      </c>
      <c r="E9" s="159">
        <f>E7*E8</f>
        <v>306.64010696595699</v>
      </c>
      <c r="F9" s="159">
        <f>F7*F8</f>
        <v>-470.2517378797524</v>
      </c>
      <c r="G9" s="159">
        <f>G7*G8</f>
        <v>-1193.1001335182084</v>
      </c>
      <c r="J9" s="136" t="s">
        <v>129</v>
      </c>
      <c r="K9" s="145">
        <v>19800</v>
      </c>
    </row>
    <row r="10" spans="2:11" x14ac:dyDescent="0.35">
      <c r="B10" s="18"/>
      <c r="C10" s="23"/>
      <c r="D10" s="23"/>
      <c r="E10" s="23"/>
      <c r="F10" s="23"/>
      <c r="G10" s="23"/>
      <c r="J10" s="137" t="s">
        <v>130</v>
      </c>
      <c r="K10" s="142" t="s">
        <v>131</v>
      </c>
    </row>
    <row r="11" spans="2:11" x14ac:dyDescent="0.35">
      <c r="B11" s="154" t="s">
        <v>79</v>
      </c>
      <c r="C11" s="155">
        <f>WACC!$C$14</f>
        <v>6.6000000000000003E-2</v>
      </c>
      <c r="D11" s="23"/>
      <c r="E11" s="23"/>
      <c r="F11" s="23"/>
      <c r="G11" s="23"/>
      <c r="J11" s="137" t="s">
        <v>132</v>
      </c>
      <c r="K11" s="139" t="s">
        <v>133</v>
      </c>
    </row>
    <row r="12" spans="2:11" x14ac:dyDescent="0.35">
      <c r="B12" s="154" t="s">
        <v>134</v>
      </c>
      <c r="C12" s="153">
        <f>G7*(1+$C$11)/(WACC!$C$17-$C$11)</f>
        <v>-26689.115180185185</v>
      </c>
      <c r="D12" s="23"/>
      <c r="E12" s="23"/>
      <c r="F12" s="23"/>
      <c r="J12" s="137" t="s">
        <v>135</v>
      </c>
      <c r="K12" s="146">
        <v>132.5</v>
      </c>
    </row>
    <row r="13" spans="2:11" x14ac:dyDescent="0.35">
      <c r="B13" s="154" t="s">
        <v>136</v>
      </c>
      <c r="C13" s="155">
        <f>C12*G8</f>
        <v>-12128.224614674435</v>
      </c>
      <c r="D13" s="23"/>
      <c r="E13" s="23"/>
      <c r="F13" s="23"/>
      <c r="G13" s="23"/>
      <c r="J13" s="137" t="s">
        <v>137</v>
      </c>
      <c r="K13" s="146">
        <v>162.9</v>
      </c>
    </row>
    <row r="14" spans="2:11" x14ac:dyDescent="0.35">
      <c r="B14" s="18"/>
      <c r="C14" s="23"/>
      <c r="D14" s="23"/>
      <c r="E14" s="23"/>
      <c r="F14" s="23"/>
      <c r="G14" s="23"/>
      <c r="J14" s="137" t="s">
        <v>138</v>
      </c>
      <c r="K14" s="146">
        <v>103.55</v>
      </c>
    </row>
    <row r="15" spans="2:11" x14ac:dyDescent="0.35">
      <c r="B15" s="154" t="s">
        <v>139</v>
      </c>
      <c r="C15" s="156">
        <f>'Consolidated FS'!P4+'Consolidated FS'!P6</f>
        <v>117705</v>
      </c>
      <c r="D15" s="23"/>
      <c r="E15" s="23"/>
      <c r="F15" s="23"/>
      <c r="G15" s="23"/>
      <c r="J15" s="138" t="s">
        <v>140</v>
      </c>
      <c r="K15" s="144" t="s">
        <v>283</v>
      </c>
    </row>
    <row r="16" spans="2:11" x14ac:dyDescent="0.35">
      <c r="B16" s="154" t="s">
        <v>141</v>
      </c>
      <c r="C16" s="155">
        <f>C15+SUM(C9:G9)+C13</f>
        <v>107244.19209566744</v>
      </c>
      <c r="D16" s="23"/>
      <c r="E16" s="23"/>
      <c r="F16" s="23"/>
      <c r="G16" s="23"/>
    </row>
    <row r="17" spans="2:7" x14ac:dyDescent="0.35">
      <c r="B17" s="154" t="s">
        <v>142</v>
      </c>
      <c r="C17" s="157">
        <v>995</v>
      </c>
      <c r="D17" s="23"/>
      <c r="E17" s="23"/>
      <c r="F17" s="23"/>
      <c r="G17" s="23"/>
    </row>
    <row r="18" spans="2:7" x14ac:dyDescent="0.35">
      <c r="B18" s="154" t="s">
        <v>143</v>
      </c>
      <c r="C18" s="155">
        <f>C16/C17</f>
        <v>107.78310763383662</v>
      </c>
      <c r="D18" s="23"/>
      <c r="G18" s="23"/>
    </row>
    <row r="19" spans="2:7" ht="15" thickBot="1" x14ac:dyDescent="0.4"/>
    <row r="20" spans="2:7" ht="15" thickBot="1" x14ac:dyDescent="0.4">
      <c r="B20" s="302" t="s">
        <v>145</v>
      </c>
      <c r="C20" s="302"/>
      <c r="D20" s="310">
        <f>(C18-F20)/F20</f>
        <v>-0.20160661011972872</v>
      </c>
      <c r="E20" s="160" t="s">
        <v>144</v>
      </c>
      <c r="F20" s="24">
        <v>135</v>
      </c>
    </row>
    <row r="36" spans="11:11" x14ac:dyDescent="0.35">
      <c r="K36" s="147"/>
    </row>
    <row r="37" spans="11:11" x14ac:dyDescent="0.35">
      <c r="K37" s="147"/>
    </row>
    <row r="39" spans="11:11" x14ac:dyDescent="0.35">
      <c r="K39" s="148"/>
    </row>
    <row r="41" spans="11:11" x14ac:dyDescent="0.35">
      <c r="K41" s="149"/>
    </row>
    <row r="87" spans="11:11" x14ac:dyDescent="0.35">
      <c r="K87" s="147"/>
    </row>
    <row r="89" spans="11:11" x14ac:dyDescent="0.35">
      <c r="K89" s="147"/>
    </row>
    <row r="93" spans="11:11" x14ac:dyDescent="0.35">
      <c r="K93" s="149"/>
    </row>
  </sheetData>
  <mergeCells count="2">
    <mergeCell ref="J2:K2"/>
    <mergeCell ref="B20:C20"/>
  </mergeCells>
  <conditionalFormatting sqref="D20">
    <cfRule type="expression" dxfId="1" priority="2">
      <formula>$D$20&lt;0</formula>
    </cfRule>
    <cfRule type="expression" dxfId="0" priority="3">
      <formula>$D$20&gt;0</formula>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89999084444715716"/>
  </sheetPr>
  <dimension ref="B2:T1237"/>
  <sheetViews>
    <sheetView showGridLines="0" zoomScale="65" zoomScaleNormal="65" workbookViewId="0">
      <selection activeCell="L30" sqref="L30"/>
    </sheetView>
  </sheetViews>
  <sheetFormatPr defaultColWidth="8.6328125" defaultRowHeight="14.5" x14ac:dyDescent="0.35"/>
  <cols>
    <col min="1" max="1" width="2" customWidth="1"/>
    <col min="2" max="2" width="21" customWidth="1"/>
    <col min="3" max="4" width="8" customWidth="1"/>
    <col min="5" max="5" width="22" customWidth="1"/>
    <col min="6" max="6" width="2" customWidth="1"/>
    <col min="7" max="7" width="21" customWidth="1"/>
    <col min="8" max="8" width="18" customWidth="1"/>
    <col min="9" max="9" width="22" customWidth="1"/>
    <col min="10" max="11" width="2" customWidth="1"/>
    <col min="12" max="12" width="27" customWidth="1"/>
    <col min="13" max="13" width="24" customWidth="1"/>
    <col min="14" max="16" width="23" customWidth="1"/>
    <col min="17" max="17" width="24" customWidth="1"/>
    <col min="18" max="18" width="23" customWidth="1"/>
    <col min="19" max="19" width="24" customWidth="1"/>
    <col min="20" max="20" width="23" customWidth="1"/>
  </cols>
  <sheetData>
    <row r="2" spans="2:13" s="355" customFormat="1" ht="20" customHeight="1" x14ac:dyDescent="0.35">
      <c r="B2" s="353" t="s">
        <v>319</v>
      </c>
      <c r="C2" s="353"/>
      <c r="D2" s="353"/>
      <c r="E2" s="354"/>
      <c r="G2" s="356" t="s">
        <v>146</v>
      </c>
      <c r="H2" s="356"/>
      <c r="I2" s="356"/>
    </row>
    <row r="3" spans="2:13" ht="14.25" customHeight="1" x14ac:dyDescent="0.35">
      <c r="B3" s="25" t="s">
        <v>147</v>
      </c>
      <c r="C3" s="26" t="s">
        <v>148</v>
      </c>
      <c r="D3" s="26" t="s">
        <v>149</v>
      </c>
      <c r="E3" s="27"/>
      <c r="G3" s="25" t="s">
        <v>148</v>
      </c>
      <c r="H3" s="25" t="s">
        <v>150</v>
      </c>
      <c r="I3" s="28"/>
      <c r="L3" s="357" t="s">
        <v>151</v>
      </c>
    </row>
    <row r="4" spans="2:13" ht="14.25" customHeight="1" x14ac:dyDescent="0.35">
      <c r="B4" s="29"/>
      <c r="C4" s="30">
        <v>44287</v>
      </c>
      <c r="D4">
        <v>31.2700004577637</v>
      </c>
      <c r="G4" s="29">
        <v>44287</v>
      </c>
      <c r="H4" s="31">
        <v>14867.349609375</v>
      </c>
      <c r="I4" s="32"/>
    </row>
    <row r="5" spans="2:13" ht="14.25" customHeight="1" x14ac:dyDescent="0.35">
      <c r="B5" s="29"/>
      <c r="C5" s="30">
        <v>44291</v>
      </c>
      <c r="D5">
        <v>29.350000381469702</v>
      </c>
      <c r="E5" s="20">
        <f t="shared" ref="E5:E68" si="0">(D5-D4)/D4</f>
        <v>-6.1400705090725441E-2</v>
      </c>
      <c r="G5" s="29">
        <v>44291</v>
      </c>
      <c r="H5" s="31">
        <v>14637.7998046875</v>
      </c>
      <c r="I5" s="20">
        <f t="shared" ref="I5:I68" si="1">(H5-H4)/H4</f>
        <v>-1.5439860548026079E-2</v>
      </c>
      <c r="L5" s="357">
        <f>SLOPE(E5:E1237,I5:I1237)</f>
        <v>1.4980931819762366</v>
      </c>
    </row>
    <row r="6" spans="2:13" ht="14.25" customHeight="1" x14ac:dyDescent="0.35">
      <c r="B6" s="29"/>
      <c r="C6" s="30">
        <v>44292</v>
      </c>
      <c r="D6">
        <v>29.600000381469702</v>
      </c>
      <c r="E6" s="20">
        <f t="shared" si="0"/>
        <v>8.517887453174923E-3</v>
      </c>
      <c r="G6" s="29">
        <v>44292</v>
      </c>
      <c r="H6" s="31">
        <v>14683.5</v>
      </c>
      <c r="I6" s="20">
        <f t="shared" si="1"/>
        <v>3.1220672452334885E-3</v>
      </c>
    </row>
    <row r="7" spans="2:13" ht="14.25" customHeight="1" x14ac:dyDescent="0.35">
      <c r="B7" s="29"/>
      <c r="C7" s="30">
        <v>44293</v>
      </c>
      <c r="D7">
        <v>29.930000305175799</v>
      </c>
      <c r="E7" s="20">
        <f t="shared" si="0"/>
        <v>1.1148645927473874E-2</v>
      </c>
      <c r="G7" s="29">
        <v>44293</v>
      </c>
      <c r="H7" s="31">
        <v>14819.0498046875</v>
      </c>
      <c r="I7" s="20">
        <f t="shared" si="1"/>
        <v>9.231436965811966E-3</v>
      </c>
      <c r="L7" s="357" t="s">
        <v>152</v>
      </c>
    </row>
    <row r="8" spans="2:13" ht="15" customHeight="1" x14ac:dyDescent="0.35">
      <c r="B8" s="29"/>
      <c r="C8" s="30">
        <v>44294</v>
      </c>
      <c r="D8">
        <v>29.440000534057599</v>
      </c>
      <c r="E8" s="20">
        <f t="shared" si="0"/>
        <v>-1.6371525764183298E-2</v>
      </c>
      <c r="G8" s="29">
        <v>44294</v>
      </c>
      <c r="H8" s="31">
        <v>14873.7998046875</v>
      </c>
      <c r="I8" s="20">
        <f t="shared" si="1"/>
        <v>3.6945688638337464E-3</v>
      </c>
    </row>
    <row r="9" spans="2:13" ht="14.25" customHeight="1" x14ac:dyDescent="0.35">
      <c r="B9" s="29"/>
      <c r="C9" s="30">
        <v>44295</v>
      </c>
      <c r="D9">
        <v>29.75</v>
      </c>
      <c r="E9" s="20">
        <f t="shared" si="0"/>
        <v>1.052987297278675E-2</v>
      </c>
      <c r="G9" s="29">
        <v>44295</v>
      </c>
      <c r="H9" s="31">
        <v>14834.849609375</v>
      </c>
      <c r="I9" s="20">
        <f t="shared" si="1"/>
        <v>-2.6187118170183242E-3</v>
      </c>
      <c r="L9" s="303" t="s">
        <v>153</v>
      </c>
      <c r="M9" s="303"/>
    </row>
    <row r="10" spans="2:13" ht="14.25" customHeight="1" x14ac:dyDescent="0.35">
      <c r="B10" s="29"/>
      <c r="C10" s="30">
        <v>44298</v>
      </c>
      <c r="D10">
        <v>26.440000534057599</v>
      </c>
      <c r="E10" s="20">
        <f t="shared" si="0"/>
        <v>-0.11126048625016473</v>
      </c>
      <c r="G10" s="29">
        <v>44298</v>
      </c>
      <c r="H10" s="31">
        <v>14310.7998046875</v>
      </c>
      <c r="I10" s="20">
        <f t="shared" si="1"/>
        <v>-3.5325589304007678E-2</v>
      </c>
      <c r="L10" s="12" t="s">
        <v>154</v>
      </c>
      <c r="M10" s="22">
        <v>0.58706255763542303</v>
      </c>
    </row>
    <row r="11" spans="2:13" ht="14.25" customHeight="1" x14ac:dyDescent="0.35">
      <c r="B11" s="29"/>
      <c r="C11" s="30">
        <v>44299</v>
      </c>
      <c r="D11">
        <v>27.469999313354499</v>
      </c>
      <c r="E11" s="20">
        <f t="shared" si="0"/>
        <v>3.8956080124512453E-2</v>
      </c>
      <c r="G11" s="29">
        <v>44299</v>
      </c>
      <c r="H11" s="31">
        <v>14504.7998046875</v>
      </c>
      <c r="I11" s="20">
        <f t="shared" si="1"/>
        <v>1.3556195506030022E-2</v>
      </c>
      <c r="L11" s="12" t="s">
        <v>155</v>
      </c>
      <c r="M11" s="22">
        <v>0.34464244657744503</v>
      </c>
    </row>
    <row r="12" spans="2:13" ht="14.25" customHeight="1" x14ac:dyDescent="0.35">
      <c r="B12" s="29"/>
      <c r="C12" s="30">
        <v>44301</v>
      </c>
      <c r="D12">
        <v>27.149999618530298</v>
      </c>
      <c r="E12" s="20">
        <f t="shared" si="0"/>
        <v>-1.1649060896358801E-2</v>
      </c>
      <c r="G12" s="29">
        <v>44301</v>
      </c>
      <c r="H12" s="31">
        <v>14581.4501953125</v>
      </c>
      <c r="I12" s="20">
        <f t="shared" si="1"/>
        <v>5.2844845607747703E-3</v>
      </c>
      <c r="L12" s="12" t="s">
        <v>156</v>
      </c>
      <c r="M12" s="22">
        <v>0.34411006838620001</v>
      </c>
    </row>
    <row r="13" spans="2:13" ht="14.25" customHeight="1" x14ac:dyDescent="0.35">
      <c r="B13" s="29"/>
      <c r="C13" s="30">
        <v>44302</v>
      </c>
      <c r="D13">
        <v>26.840000152587901</v>
      </c>
      <c r="E13" s="20">
        <f t="shared" si="0"/>
        <v>-1.1418028371934766E-2</v>
      </c>
      <c r="G13" s="29">
        <v>44302</v>
      </c>
      <c r="H13" s="31">
        <v>14617.849609375</v>
      </c>
      <c r="I13" s="20">
        <f t="shared" si="1"/>
        <v>2.4962821650072447E-3</v>
      </c>
      <c r="L13" s="12" t="s">
        <v>157</v>
      </c>
      <c r="M13" s="22">
        <v>1.1671439800003E-2</v>
      </c>
    </row>
    <row r="14" spans="2:13" ht="15" customHeight="1" x14ac:dyDescent="0.35">
      <c r="B14" s="29"/>
      <c r="C14" s="30">
        <v>44305</v>
      </c>
      <c r="D14">
        <v>25.860000610351602</v>
      </c>
      <c r="E14" s="20">
        <f t="shared" si="0"/>
        <v>-3.6512650397351382E-2</v>
      </c>
      <c r="G14" s="29">
        <v>44305</v>
      </c>
      <c r="H14" s="31">
        <v>14359.4501953125</v>
      </c>
      <c r="I14" s="20">
        <f t="shared" si="1"/>
        <v>-1.7676978554819603E-2</v>
      </c>
      <c r="L14" s="34" t="s">
        <v>158</v>
      </c>
      <c r="M14" s="35">
        <v>1233</v>
      </c>
    </row>
    <row r="15" spans="2:13" ht="14.25" customHeight="1" x14ac:dyDescent="0.35">
      <c r="B15" s="29"/>
      <c r="C15" s="30">
        <v>44306</v>
      </c>
      <c r="D15">
        <v>25.610000610351602</v>
      </c>
      <c r="E15" s="20">
        <f t="shared" si="0"/>
        <v>-9.6674398336992502E-3</v>
      </c>
      <c r="G15" s="29">
        <v>44306</v>
      </c>
      <c r="H15" s="31">
        <v>14296.400390625</v>
      </c>
      <c r="I15" s="20">
        <f t="shared" si="1"/>
        <v>-4.390823034999069E-3</v>
      </c>
    </row>
    <row r="16" spans="2:13" ht="15" customHeight="1" x14ac:dyDescent="0.35">
      <c r="B16" s="29"/>
      <c r="C16" s="30">
        <v>44308</v>
      </c>
      <c r="D16">
        <v>26.0499992370606</v>
      </c>
      <c r="E16" s="20">
        <f t="shared" si="0"/>
        <v>1.7180734721698933E-2</v>
      </c>
      <c r="G16" s="29">
        <v>44308</v>
      </c>
      <c r="H16" s="31">
        <v>14406.150390625</v>
      </c>
      <c r="I16" s="20">
        <f t="shared" si="1"/>
        <v>7.6767575754222439E-3</v>
      </c>
      <c r="L16" s="357" t="s">
        <v>159</v>
      </c>
    </row>
    <row r="17" spans="2:20" ht="14.25" customHeight="1" x14ac:dyDescent="0.35">
      <c r="B17" s="29"/>
      <c r="C17" s="30">
        <v>44309</v>
      </c>
      <c r="D17">
        <v>26.100000381469702</v>
      </c>
      <c r="E17" s="20">
        <f t="shared" si="0"/>
        <v>1.9194297840119054E-3</v>
      </c>
      <c r="G17" s="29">
        <v>44309</v>
      </c>
      <c r="H17" s="31">
        <v>14341.349609375</v>
      </c>
      <c r="I17" s="20">
        <f t="shared" si="1"/>
        <v>-4.4981330537941623E-3</v>
      </c>
      <c r="L17" s="36"/>
      <c r="M17" s="33" t="s">
        <v>160</v>
      </c>
      <c r="N17" s="33" t="s">
        <v>161</v>
      </c>
      <c r="O17" s="33" t="s">
        <v>162</v>
      </c>
      <c r="P17" s="33" t="s">
        <v>116</v>
      </c>
      <c r="Q17" s="33" t="s">
        <v>163</v>
      </c>
    </row>
    <row r="18" spans="2:20" ht="14.25" customHeight="1" x14ac:dyDescent="0.35">
      <c r="B18" s="29"/>
      <c r="C18" s="30">
        <v>44312</v>
      </c>
      <c r="D18">
        <v>27.0499992370606</v>
      </c>
      <c r="E18" s="20">
        <f t="shared" si="0"/>
        <v>3.6398423053869845E-2</v>
      </c>
      <c r="G18" s="29">
        <v>44312</v>
      </c>
      <c r="H18" s="31">
        <v>14485</v>
      </c>
      <c r="I18" s="20">
        <f t="shared" si="1"/>
        <v>1.001651828716979E-2</v>
      </c>
      <c r="L18" s="12" t="s">
        <v>164</v>
      </c>
      <c r="M18" s="22">
        <v>1</v>
      </c>
      <c r="N18" s="22">
        <v>8.8185539650602204E-2</v>
      </c>
      <c r="O18" s="22">
        <v>8.8185539650602204E-2</v>
      </c>
      <c r="P18" s="22">
        <v>647.36394586618496</v>
      </c>
      <c r="Q18" s="22">
        <v>4.2635427337789702E-115</v>
      </c>
    </row>
    <row r="19" spans="2:20" ht="14.25" customHeight="1" x14ac:dyDescent="0.35">
      <c r="B19" s="29"/>
      <c r="C19" s="30">
        <v>44313</v>
      </c>
      <c r="D19">
        <v>27.930000305175799</v>
      </c>
      <c r="E19" s="20">
        <f t="shared" si="0"/>
        <v>3.2532387908888703E-2</v>
      </c>
      <c r="G19" s="29">
        <v>44313</v>
      </c>
      <c r="H19" s="31">
        <v>14653.0498046875</v>
      </c>
      <c r="I19" s="20">
        <f t="shared" si="1"/>
        <v>1.1601643402657923E-2</v>
      </c>
      <c r="L19" s="12" t="s">
        <v>165</v>
      </c>
      <c r="M19" s="22">
        <v>1231</v>
      </c>
      <c r="N19" s="22">
        <v>0.167689906123272</v>
      </c>
      <c r="O19" s="22">
        <v>1.36222507005095E-4</v>
      </c>
    </row>
    <row r="20" spans="2:20" ht="15" customHeight="1" x14ac:dyDescent="0.35">
      <c r="B20" s="29"/>
      <c r="C20" s="30">
        <v>44314</v>
      </c>
      <c r="D20">
        <v>28.620000839233398</v>
      </c>
      <c r="E20" s="20">
        <f t="shared" si="0"/>
        <v>2.4704637540935982E-2</v>
      </c>
      <c r="G20" s="29">
        <v>44314</v>
      </c>
      <c r="H20" s="31">
        <v>14864.5498046875</v>
      </c>
      <c r="I20" s="20">
        <f t="shared" si="1"/>
        <v>1.4433855260107101E-2</v>
      </c>
      <c r="L20" s="34" t="s">
        <v>166</v>
      </c>
      <c r="M20" s="35">
        <v>1232</v>
      </c>
      <c r="N20" s="35">
        <v>0.255875445773874</v>
      </c>
      <c r="O20" s="37"/>
      <c r="P20" s="37"/>
      <c r="Q20" s="37"/>
    </row>
    <row r="21" spans="2:20" ht="15" customHeight="1" x14ac:dyDescent="0.35">
      <c r="B21" s="29"/>
      <c r="C21" s="30">
        <v>44315</v>
      </c>
      <c r="D21">
        <v>27.899999618530298</v>
      </c>
      <c r="E21" s="20">
        <f t="shared" si="0"/>
        <v>-2.5157274618807655E-2</v>
      </c>
      <c r="G21" s="29">
        <v>44315</v>
      </c>
      <c r="H21" s="31">
        <v>14894.900390625</v>
      </c>
      <c r="I21" s="20">
        <f t="shared" si="1"/>
        <v>2.0418099664161384E-3</v>
      </c>
    </row>
    <row r="22" spans="2:20" ht="14.25" customHeight="1" x14ac:dyDescent="0.35">
      <c r="B22" s="29"/>
      <c r="C22" s="30">
        <v>44316</v>
      </c>
      <c r="D22">
        <v>27.75</v>
      </c>
      <c r="E22" s="20">
        <f t="shared" si="0"/>
        <v>-5.376330486781559E-3</v>
      </c>
      <c r="G22" s="29">
        <v>44316</v>
      </c>
      <c r="H22" s="31">
        <v>14631.099609375</v>
      </c>
      <c r="I22" s="20">
        <f t="shared" si="1"/>
        <v>-1.7710812045177479E-2</v>
      </c>
      <c r="L22" s="36"/>
      <c r="M22" s="33" t="s">
        <v>167</v>
      </c>
      <c r="N22" s="33" t="s">
        <v>157</v>
      </c>
      <c r="O22" s="33" t="s">
        <v>168</v>
      </c>
      <c r="P22" s="33" t="s">
        <v>169</v>
      </c>
      <c r="Q22" s="33" t="s">
        <v>170</v>
      </c>
      <c r="R22" s="33" t="s">
        <v>171</v>
      </c>
      <c r="S22" s="33" t="s">
        <v>172</v>
      </c>
      <c r="T22" s="33" t="s">
        <v>173</v>
      </c>
    </row>
    <row r="23" spans="2:20" ht="14.25" customHeight="1" x14ac:dyDescent="0.35">
      <c r="B23" s="29"/>
      <c r="C23" s="30">
        <v>44319</v>
      </c>
      <c r="D23">
        <v>27.75</v>
      </c>
      <c r="E23" s="20">
        <f t="shared" si="0"/>
        <v>0</v>
      </c>
      <c r="G23" s="29">
        <v>44319</v>
      </c>
      <c r="H23" s="31">
        <v>14634.150390625</v>
      </c>
      <c r="I23" s="20">
        <f t="shared" si="1"/>
        <v>2.0851346320171222E-4</v>
      </c>
      <c r="L23" s="12" t="s">
        <v>174</v>
      </c>
      <c r="M23" s="22">
        <v>-2.6836263965060502E-4</v>
      </c>
      <c r="N23" s="22">
        <v>3.3268498339971098E-4</v>
      </c>
      <c r="O23" s="22">
        <v>-0.80665690680777102</v>
      </c>
      <c r="P23" s="22">
        <v>0.42001999195560302</v>
      </c>
      <c r="Q23" s="22">
        <v>-9.2105496566318205E-4</v>
      </c>
      <c r="R23" s="22">
        <v>3.8432968636197202E-4</v>
      </c>
      <c r="S23" s="22">
        <v>-9.2105496566318205E-4</v>
      </c>
      <c r="T23" s="22">
        <v>3.8432968636197202E-4</v>
      </c>
    </row>
    <row r="24" spans="2:20" ht="15" customHeight="1" x14ac:dyDescent="0.35">
      <c r="B24" s="29"/>
      <c r="C24" s="30">
        <v>44320</v>
      </c>
      <c r="D24">
        <v>28.2700004577637</v>
      </c>
      <c r="E24" s="20">
        <f t="shared" si="0"/>
        <v>1.8738755234727938E-2</v>
      </c>
      <c r="G24" s="29">
        <v>44320</v>
      </c>
      <c r="H24" s="31">
        <v>14496.5</v>
      </c>
      <c r="I24" s="20">
        <f t="shared" si="1"/>
        <v>-9.4061074234403283E-3</v>
      </c>
      <c r="L24" s="34" t="s">
        <v>175</v>
      </c>
      <c r="M24" s="35">
        <v>0.97558336408292301</v>
      </c>
      <c r="N24" s="35">
        <v>3.83433568888304E-2</v>
      </c>
      <c r="O24" s="35">
        <v>25.4433477723782</v>
      </c>
      <c r="P24" s="35">
        <v>4.2635427337850401E-115</v>
      </c>
      <c r="Q24" s="35">
        <v>0.90035780223412598</v>
      </c>
      <c r="R24" s="35">
        <v>1.0508089259317199</v>
      </c>
      <c r="S24" s="35">
        <v>0.90035780223412598</v>
      </c>
      <c r="T24" s="35">
        <v>1.0508089259317199</v>
      </c>
    </row>
    <row r="25" spans="2:20" ht="14.25" customHeight="1" x14ac:dyDescent="0.35">
      <c r="B25" s="29"/>
      <c r="C25" s="30">
        <v>44321</v>
      </c>
      <c r="D25">
        <v>29.120000839233398</v>
      </c>
      <c r="E25" s="20">
        <f t="shared" si="0"/>
        <v>3.006722206246959E-2</v>
      </c>
      <c r="G25" s="29">
        <v>44321</v>
      </c>
      <c r="H25" s="31">
        <v>14617.849609375</v>
      </c>
      <c r="I25" s="20">
        <f t="shared" si="1"/>
        <v>8.3709591539337085E-3</v>
      </c>
    </row>
    <row r="26" spans="2:20" ht="14.25" customHeight="1" x14ac:dyDescent="0.35">
      <c r="B26" s="29"/>
      <c r="C26" s="30">
        <v>44322</v>
      </c>
      <c r="D26">
        <v>28.690000534057599</v>
      </c>
      <c r="E26" s="20">
        <f t="shared" si="0"/>
        <v>-1.4766493570853861E-2</v>
      </c>
      <c r="G26" s="29">
        <v>44322</v>
      </c>
      <c r="H26" s="31">
        <v>14724.7998046875</v>
      </c>
      <c r="I26" s="20">
        <f t="shared" si="1"/>
        <v>7.3164109749705355E-3</v>
      </c>
    </row>
    <row r="27" spans="2:20" ht="14.25" customHeight="1" x14ac:dyDescent="0.35">
      <c r="B27" s="29"/>
      <c r="C27" s="30">
        <v>44323</v>
      </c>
      <c r="D27">
        <v>28.860000610351602</v>
      </c>
      <c r="E27" s="20">
        <f t="shared" si="0"/>
        <v>5.9254120993199998E-3</v>
      </c>
      <c r="G27" s="29">
        <v>44323</v>
      </c>
      <c r="H27" s="31">
        <v>14823.150390625</v>
      </c>
      <c r="I27" s="20">
        <f t="shared" si="1"/>
        <v>6.6792477481555316E-3</v>
      </c>
    </row>
    <row r="28" spans="2:20" ht="14.25" customHeight="1" x14ac:dyDescent="0.35">
      <c r="B28" s="29"/>
      <c r="C28" s="30">
        <v>44326</v>
      </c>
      <c r="D28">
        <v>29.430000305175799</v>
      </c>
      <c r="E28" s="20">
        <f t="shared" si="0"/>
        <v>1.975050875846995E-2</v>
      </c>
      <c r="G28" s="29">
        <v>44326</v>
      </c>
      <c r="H28" s="31">
        <v>14942.349609375</v>
      </c>
      <c r="I28" s="20">
        <f t="shared" si="1"/>
        <v>8.041422748121637E-3</v>
      </c>
    </row>
    <row r="29" spans="2:20" ht="14.25" customHeight="1" x14ac:dyDescent="0.35">
      <c r="B29" s="29"/>
      <c r="C29" s="30">
        <v>44327</v>
      </c>
      <c r="D29">
        <v>30.0200004577637</v>
      </c>
      <c r="E29" s="20">
        <f t="shared" si="0"/>
        <v>2.004757548317589E-2</v>
      </c>
      <c r="G29" s="29">
        <v>44327</v>
      </c>
      <c r="H29" s="31">
        <v>14850.75</v>
      </c>
      <c r="I29" s="20">
        <f t="shared" si="1"/>
        <v>-6.1302011912189071E-3</v>
      </c>
    </row>
    <row r="30" spans="2:20" ht="14.25" customHeight="1" x14ac:dyDescent="0.35">
      <c r="B30" s="29"/>
      <c r="C30" s="30">
        <v>44328</v>
      </c>
      <c r="D30">
        <v>30.440000534057599</v>
      </c>
      <c r="E30" s="20">
        <f t="shared" si="0"/>
        <v>1.3990675212840635E-2</v>
      </c>
      <c r="G30" s="29">
        <v>44328</v>
      </c>
      <c r="H30" s="31">
        <v>14696.5</v>
      </c>
      <c r="I30" s="20">
        <f t="shared" si="1"/>
        <v>-1.0386680807366631E-2</v>
      </c>
    </row>
    <row r="31" spans="2:20" ht="14.25" customHeight="1" x14ac:dyDescent="0.35">
      <c r="B31" s="29"/>
      <c r="C31" s="30">
        <v>44330</v>
      </c>
      <c r="D31">
        <v>29.5100002288818</v>
      </c>
      <c r="E31" s="20">
        <f t="shared" si="0"/>
        <v>-3.0551914877112899E-2</v>
      </c>
      <c r="G31" s="29">
        <v>44330</v>
      </c>
      <c r="H31" s="31">
        <v>14677.7998046875</v>
      </c>
      <c r="I31" s="20">
        <f t="shared" si="1"/>
        <v>-1.2724250884564353E-3</v>
      </c>
    </row>
    <row r="32" spans="2:20" ht="14.25" customHeight="1" x14ac:dyDescent="0.35">
      <c r="B32" s="29"/>
      <c r="C32" s="30">
        <v>44333</v>
      </c>
      <c r="D32">
        <v>30.700000762939499</v>
      </c>
      <c r="E32" s="20">
        <f t="shared" si="0"/>
        <v>4.0325331237816488E-2</v>
      </c>
      <c r="G32" s="29">
        <v>44333</v>
      </c>
      <c r="H32" s="31">
        <v>14923.150390625</v>
      </c>
      <c r="I32" s="20">
        <f t="shared" si="1"/>
        <v>1.6715760481972569E-2</v>
      </c>
    </row>
    <row r="33" spans="2:9" ht="14.25" customHeight="1" x14ac:dyDescent="0.35">
      <c r="B33" s="29"/>
      <c r="C33" s="30">
        <v>44334</v>
      </c>
      <c r="D33">
        <v>29.329999923706101</v>
      </c>
      <c r="E33" s="20">
        <f t="shared" si="0"/>
        <v>-4.4625433393709855E-2</v>
      </c>
      <c r="G33" s="29">
        <v>44334</v>
      </c>
      <c r="H33" s="31">
        <v>15108.099609375</v>
      </c>
      <c r="I33" s="20">
        <f t="shared" si="1"/>
        <v>1.239344333527514E-2</v>
      </c>
    </row>
    <row r="34" spans="2:9" ht="14.25" customHeight="1" x14ac:dyDescent="0.35">
      <c r="B34" s="29"/>
      <c r="C34" s="30">
        <v>44335</v>
      </c>
      <c r="D34">
        <v>29.280000686645501</v>
      </c>
      <c r="E34" s="20">
        <f t="shared" si="0"/>
        <v>-1.7047131670869205E-3</v>
      </c>
      <c r="G34" s="29">
        <v>44335</v>
      </c>
      <c r="H34" s="31">
        <v>15030.150390625</v>
      </c>
      <c r="I34" s="20">
        <f t="shared" si="1"/>
        <v>-5.1594324081388979E-3</v>
      </c>
    </row>
    <row r="35" spans="2:9" ht="14.25" customHeight="1" x14ac:dyDescent="0.35">
      <c r="B35" s="29"/>
      <c r="C35" s="30">
        <v>44336</v>
      </c>
      <c r="D35">
        <v>29.4799995422363</v>
      </c>
      <c r="E35" s="20">
        <f t="shared" si="0"/>
        <v>6.8305618476989221E-3</v>
      </c>
      <c r="G35" s="29">
        <v>44336</v>
      </c>
      <c r="H35" s="31">
        <v>14906.0498046875</v>
      </c>
      <c r="I35" s="20">
        <f t="shared" si="1"/>
        <v>-8.2567760609306533E-3</v>
      </c>
    </row>
    <row r="36" spans="2:9" ht="14.25" customHeight="1" x14ac:dyDescent="0.35">
      <c r="B36" s="29"/>
      <c r="C36" s="30">
        <v>44337</v>
      </c>
      <c r="D36">
        <v>30.569999694824201</v>
      </c>
      <c r="E36" s="20">
        <f t="shared" si="0"/>
        <v>3.6974225560154665E-2</v>
      </c>
      <c r="G36" s="29">
        <v>44337</v>
      </c>
      <c r="H36" s="31">
        <v>15175.2998046875</v>
      </c>
      <c r="I36" s="20">
        <f t="shared" si="1"/>
        <v>1.8063135674974671E-2</v>
      </c>
    </row>
    <row r="37" spans="2:9" ht="14.25" customHeight="1" x14ac:dyDescent="0.35">
      <c r="B37" s="29"/>
      <c r="C37" s="30">
        <v>44340</v>
      </c>
      <c r="D37">
        <v>30.870000839233398</v>
      </c>
      <c r="E37" s="20">
        <f t="shared" si="0"/>
        <v>9.8135802225732625E-3</v>
      </c>
      <c r="G37" s="29">
        <v>44340</v>
      </c>
      <c r="H37" s="31">
        <v>15197.7001953125</v>
      </c>
      <c r="I37" s="20">
        <f t="shared" si="1"/>
        <v>1.4761086049898495E-3</v>
      </c>
    </row>
    <row r="38" spans="2:9" ht="14.25" customHeight="1" x14ac:dyDescent="0.35">
      <c r="B38" s="29"/>
      <c r="C38" s="30">
        <v>44341</v>
      </c>
      <c r="D38">
        <v>30.090000152587901</v>
      </c>
      <c r="E38" s="20">
        <f t="shared" si="0"/>
        <v>-2.5267271313260745E-2</v>
      </c>
      <c r="G38" s="29">
        <v>44341</v>
      </c>
      <c r="H38" s="31">
        <v>15208.4501953125</v>
      </c>
      <c r="I38" s="20">
        <f t="shared" si="1"/>
        <v>7.0734386531165255E-4</v>
      </c>
    </row>
    <row r="39" spans="2:9" ht="14.25" customHeight="1" x14ac:dyDescent="0.35">
      <c r="B39" s="29"/>
      <c r="C39" s="30">
        <v>44342</v>
      </c>
      <c r="D39">
        <v>29.909999847412099</v>
      </c>
      <c r="E39" s="20">
        <f t="shared" si="0"/>
        <v>-5.9820639502496508E-3</v>
      </c>
      <c r="G39" s="29">
        <v>44342</v>
      </c>
      <c r="H39" s="31">
        <v>15301.4501953125</v>
      </c>
      <c r="I39" s="20">
        <f t="shared" si="1"/>
        <v>6.1150215048647203E-3</v>
      </c>
    </row>
    <row r="40" spans="2:9" ht="14.25" customHeight="1" x14ac:dyDescent="0.35">
      <c r="B40" s="29"/>
      <c r="C40" s="30">
        <v>44343</v>
      </c>
      <c r="D40">
        <v>30.7299995422363</v>
      </c>
      <c r="E40" s="20">
        <f t="shared" si="0"/>
        <v>2.741557001028035E-2</v>
      </c>
      <c r="G40" s="29">
        <v>44343</v>
      </c>
      <c r="H40" s="31">
        <v>15337.849609375</v>
      </c>
      <c r="I40" s="20">
        <f t="shared" si="1"/>
        <v>2.3788211965458492E-3</v>
      </c>
    </row>
    <row r="41" spans="2:9" ht="14.25" customHeight="1" x14ac:dyDescent="0.35">
      <c r="B41" s="29"/>
      <c r="C41" s="30">
        <v>44344</v>
      </c>
      <c r="D41">
        <v>32.380001068115199</v>
      </c>
      <c r="E41" s="20">
        <f t="shared" si="0"/>
        <v>5.3693509614638424E-2</v>
      </c>
      <c r="G41" s="29">
        <v>44344</v>
      </c>
      <c r="H41" s="31">
        <v>15435.650390625</v>
      </c>
      <c r="I41" s="20">
        <f t="shared" si="1"/>
        <v>6.3764337075140533E-3</v>
      </c>
    </row>
    <row r="42" spans="2:9" ht="14.25" customHeight="1" x14ac:dyDescent="0.35">
      <c r="B42" s="29"/>
      <c r="C42" s="30">
        <v>44347</v>
      </c>
      <c r="D42">
        <v>32.159999847412102</v>
      </c>
      <c r="E42" s="20">
        <f t="shared" si="0"/>
        <v>-6.7943549550939708E-3</v>
      </c>
      <c r="G42" s="29">
        <v>44347</v>
      </c>
      <c r="H42" s="31">
        <v>15582.7998046875</v>
      </c>
      <c r="I42" s="20">
        <f t="shared" si="1"/>
        <v>9.5330880357249285E-3</v>
      </c>
    </row>
    <row r="43" spans="2:9" ht="14.25" customHeight="1" x14ac:dyDescent="0.35">
      <c r="B43" s="29"/>
      <c r="C43" s="30">
        <v>44348</v>
      </c>
      <c r="D43">
        <v>31.809999465942401</v>
      </c>
      <c r="E43" s="20">
        <f t="shared" si="0"/>
        <v>-1.0883096490370973E-2</v>
      </c>
      <c r="G43" s="29">
        <v>44348</v>
      </c>
      <c r="H43" s="31">
        <v>15574.849609375</v>
      </c>
      <c r="I43" s="20">
        <f t="shared" si="1"/>
        <v>-5.1019042868717874E-4</v>
      </c>
    </row>
    <row r="44" spans="2:9" ht="14.25" customHeight="1" x14ac:dyDescent="0.35">
      <c r="B44" s="29"/>
      <c r="C44" s="30">
        <v>44349</v>
      </c>
      <c r="D44">
        <v>32.759998321533203</v>
      </c>
      <c r="E44" s="20">
        <f t="shared" si="0"/>
        <v>2.9864786907900627E-2</v>
      </c>
      <c r="G44" s="29">
        <v>44349</v>
      </c>
      <c r="H44" s="31">
        <v>15576.2001953125</v>
      </c>
      <c r="I44" s="20">
        <f t="shared" si="1"/>
        <v>8.6715825280716621E-5</v>
      </c>
    </row>
    <row r="45" spans="2:9" ht="14.25" customHeight="1" x14ac:dyDescent="0.35">
      <c r="B45" s="29"/>
      <c r="C45" s="30">
        <v>44350</v>
      </c>
      <c r="D45">
        <v>32.650001525878899</v>
      </c>
      <c r="E45" s="20">
        <f t="shared" si="0"/>
        <v>-3.3576557170335048E-3</v>
      </c>
      <c r="G45" s="29">
        <v>44350</v>
      </c>
      <c r="H45" s="31">
        <v>15690.349609375</v>
      </c>
      <c r="I45" s="20">
        <f t="shared" si="1"/>
        <v>7.3284506253875779E-3</v>
      </c>
    </row>
    <row r="46" spans="2:9" ht="14.25" customHeight="1" x14ac:dyDescent="0.35">
      <c r="B46" s="29"/>
      <c r="C46" s="30">
        <v>44351</v>
      </c>
      <c r="D46">
        <v>32.220001220703097</v>
      </c>
      <c r="E46" s="20">
        <f t="shared" si="0"/>
        <v>-1.3169993417457504E-2</v>
      </c>
      <c r="G46" s="29">
        <v>44351</v>
      </c>
      <c r="H46" s="31">
        <v>15670.25</v>
      </c>
      <c r="I46" s="20">
        <f t="shared" si="1"/>
        <v>-1.2810173052479636E-3</v>
      </c>
    </row>
    <row r="47" spans="2:9" ht="14.25" customHeight="1" x14ac:dyDescent="0.35">
      <c r="B47" s="29"/>
      <c r="C47" s="30">
        <v>44354</v>
      </c>
      <c r="D47">
        <v>32.180000305175803</v>
      </c>
      <c r="E47" s="20">
        <f t="shared" si="0"/>
        <v>-1.2414932964555959E-3</v>
      </c>
      <c r="G47" s="29">
        <v>44354</v>
      </c>
      <c r="H47" s="31">
        <v>15751.650390625</v>
      </c>
      <c r="I47" s="20">
        <f t="shared" si="1"/>
        <v>5.1945814919991708E-3</v>
      </c>
    </row>
    <row r="48" spans="2:9" ht="14.25" customHeight="1" x14ac:dyDescent="0.35">
      <c r="B48" s="29"/>
      <c r="C48" s="30">
        <v>44355</v>
      </c>
      <c r="D48">
        <v>31.590000152587901</v>
      </c>
      <c r="E48" s="20">
        <f t="shared" si="0"/>
        <v>-1.8334373741227285E-2</v>
      </c>
      <c r="G48" s="29">
        <v>44355</v>
      </c>
      <c r="H48" s="31">
        <v>15740.099609375</v>
      </c>
      <c r="I48" s="20">
        <f t="shared" si="1"/>
        <v>-7.3330609577741419E-4</v>
      </c>
    </row>
    <row r="49" spans="2:9" ht="14.25" customHeight="1" x14ac:dyDescent="0.35">
      <c r="B49" s="29"/>
      <c r="C49" s="30">
        <v>44356</v>
      </c>
      <c r="D49">
        <v>31.149999618530298</v>
      </c>
      <c r="E49" s="20">
        <f t="shared" si="0"/>
        <v>-1.3928475211531692E-2</v>
      </c>
      <c r="G49" s="29">
        <v>44356</v>
      </c>
      <c r="H49" s="31">
        <v>15635.349609375</v>
      </c>
      <c r="I49" s="20">
        <f t="shared" si="1"/>
        <v>-6.6549769442125761E-3</v>
      </c>
    </row>
    <row r="50" spans="2:9" ht="14.25" customHeight="1" x14ac:dyDescent="0.35">
      <c r="B50" s="29"/>
      <c r="C50" s="30">
        <v>44357</v>
      </c>
      <c r="D50">
        <v>31.389999389648398</v>
      </c>
      <c r="E50" s="20">
        <f t="shared" si="0"/>
        <v>7.7046476422853857E-3</v>
      </c>
      <c r="G50" s="29">
        <v>44357</v>
      </c>
      <c r="H50" s="31">
        <v>15737.75</v>
      </c>
      <c r="I50" s="20">
        <f t="shared" si="1"/>
        <v>6.5492869160789623E-3</v>
      </c>
    </row>
    <row r="51" spans="2:9" ht="14.25" customHeight="1" x14ac:dyDescent="0.35">
      <c r="B51" s="29"/>
      <c r="C51" s="30">
        <v>44358</v>
      </c>
      <c r="D51">
        <v>31.180000305175799</v>
      </c>
      <c r="E51" s="20">
        <f t="shared" si="0"/>
        <v>-6.6899996354205602E-3</v>
      </c>
      <c r="G51" s="29">
        <v>44358</v>
      </c>
      <c r="H51" s="31">
        <v>15799.349609375</v>
      </c>
      <c r="I51" s="20">
        <f t="shared" si="1"/>
        <v>3.9141306333497486E-3</v>
      </c>
    </row>
    <row r="52" spans="2:9" ht="14.25" customHeight="1" x14ac:dyDescent="0.35">
      <c r="B52" s="29"/>
      <c r="C52" s="30">
        <v>44361</v>
      </c>
      <c r="D52">
        <v>30.950000762939499</v>
      </c>
      <c r="E52" s="20">
        <f t="shared" si="0"/>
        <v>-7.3765086589213527E-3</v>
      </c>
      <c r="G52" s="29">
        <v>44361</v>
      </c>
      <c r="H52" s="31">
        <v>15811.849609375</v>
      </c>
      <c r="I52" s="20">
        <f t="shared" si="1"/>
        <v>7.9117180827385227E-4</v>
      </c>
    </row>
    <row r="53" spans="2:9" ht="14.25" customHeight="1" x14ac:dyDescent="0.35">
      <c r="B53" s="29"/>
      <c r="C53" s="30">
        <v>44362</v>
      </c>
      <c r="D53">
        <v>30.870000839233398</v>
      </c>
      <c r="E53" s="20">
        <f t="shared" si="0"/>
        <v>-2.5848116876913065E-3</v>
      </c>
      <c r="G53" s="29">
        <v>44362</v>
      </c>
      <c r="H53" s="31">
        <v>15869.25</v>
      </c>
      <c r="I53" s="20">
        <f t="shared" si="1"/>
        <v>3.630213545097643E-3</v>
      </c>
    </row>
    <row r="54" spans="2:9" ht="14.25" customHeight="1" x14ac:dyDescent="0.35">
      <c r="B54" s="29"/>
      <c r="C54" s="30">
        <v>44363</v>
      </c>
      <c r="D54">
        <v>30.430000305175799</v>
      </c>
      <c r="E54" s="20">
        <f t="shared" si="0"/>
        <v>-1.425333728849118E-2</v>
      </c>
      <c r="G54" s="29">
        <v>44363</v>
      </c>
      <c r="H54" s="31">
        <v>15767.5498046875</v>
      </c>
      <c r="I54" s="20">
        <f t="shared" si="1"/>
        <v>-6.4086327528081041E-3</v>
      </c>
    </row>
    <row r="55" spans="2:9" ht="14.25" customHeight="1" x14ac:dyDescent="0.35">
      <c r="B55" s="29"/>
      <c r="C55" s="30">
        <v>44364</v>
      </c>
      <c r="D55">
        <v>30.2700004577637</v>
      </c>
      <c r="E55" s="20">
        <f t="shared" si="0"/>
        <v>-5.2579640423100673E-3</v>
      </c>
      <c r="G55" s="29">
        <v>44364</v>
      </c>
      <c r="H55" s="31">
        <v>15691.400390625</v>
      </c>
      <c r="I55" s="20">
        <f t="shared" si="1"/>
        <v>-4.829502047290931E-3</v>
      </c>
    </row>
    <row r="56" spans="2:9" ht="14.25" customHeight="1" x14ac:dyDescent="0.35">
      <c r="B56" s="29"/>
      <c r="C56" s="30">
        <v>44365</v>
      </c>
      <c r="D56">
        <v>29.4799995422363</v>
      </c>
      <c r="E56" s="20">
        <f t="shared" si="0"/>
        <v>-2.609847715825785E-2</v>
      </c>
      <c r="G56" s="29">
        <v>44365</v>
      </c>
      <c r="H56" s="31">
        <v>15683.349609375</v>
      </c>
      <c r="I56" s="20">
        <f t="shared" si="1"/>
        <v>-5.1306964640390079E-4</v>
      </c>
    </row>
    <row r="57" spans="2:9" ht="14.25" customHeight="1" x14ac:dyDescent="0.35">
      <c r="B57" s="29"/>
      <c r="C57" s="30">
        <v>44368</v>
      </c>
      <c r="D57">
        <v>30.459999084472699</v>
      </c>
      <c r="E57" s="20">
        <f t="shared" si="0"/>
        <v>3.3242861514714193E-2</v>
      </c>
      <c r="G57" s="29">
        <v>44368</v>
      </c>
      <c r="H57" s="31">
        <v>15746.5</v>
      </c>
      <c r="I57" s="20">
        <f t="shared" si="1"/>
        <v>4.0265882096545708E-3</v>
      </c>
    </row>
    <row r="58" spans="2:9" ht="14.25" customHeight="1" x14ac:dyDescent="0.35">
      <c r="B58" s="29"/>
      <c r="C58" s="30">
        <v>44369</v>
      </c>
      <c r="D58">
        <v>30.350000381469702</v>
      </c>
      <c r="E58" s="20">
        <f t="shared" si="0"/>
        <v>-3.6112510278790578E-3</v>
      </c>
      <c r="G58" s="29">
        <v>44369</v>
      </c>
      <c r="H58" s="31">
        <v>15772.75</v>
      </c>
      <c r="I58" s="20">
        <f t="shared" si="1"/>
        <v>1.6670371193598578E-3</v>
      </c>
    </row>
    <row r="59" spans="2:9" ht="14.25" customHeight="1" x14ac:dyDescent="0.35">
      <c r="B59" s="29"/>
      <c r="C59" s="30">
        <v>44370</v>
      </c>
      <c r="D59">
        <v>30.389999389648398</v>
      </c>
      <c r="E59" s="20">
        <f t="shared" si="0"/>
        <v>1.3179244703772149E-3</v>
      </c>
      <c r="G59" s="29">
        <v>44370</v>
      </c>
      <c r="H59" s="31">
        <v>15686.9501953125</v>
      </c>
      <c r="I59" s="20">
        <f t="shared" si="1"/>
        <v>-5.4397492312691191E-3</v>
      </c>
    </row>
    <row r="60" spans="2:9" ht="14.25" customHeight="1" x14ac:dyDescent="0.35">
      <c r="B60" s="29"/>
      <c r="C60" s="30">
        <v>44371</v>
      </c>
      <c r="D60">
        <v>29.809999465942401</v>
      </c>
      <c r="E60" s="20">
        <f t="shared" si="0"/>
        <v>-1.9085223275903073E-2</v>
      </c>
      <c r="G60" s="29">
        <v>44371</v>
      </c>
      <c r="H60" s="31">
        <v>15790.4501953125</v>
      </c>
      <c r="I60" s="20">
        <f t="shared" si="1"/>
        <v>6.5978407983297719E-3</v>
      </c>
    </row>
    <row r="61" spans="2:9" ht="14.25" customHeight="1" x14ac:dyDescent="0.35">
      <c r="B61" s="29"/>
      <c r="C61" s="30">
        <v>44372</v>
      </c>
      <c r="D61">
        <v>30.680000305175799</v>
      </c>
      <c r="E61" s="20">
        <f t="shared" si="0"/>
        <v>2.9184865978523915E-2</v>
      </c>
      <c r="G61" s="29">
        <v>44372</v>
      </c>
      <c r="H61" s="31">
        <v>15860.349609375</v>
      </c>
      <c r="I61" s="20">
        <f t="shared" si="1"/>
        <v>4.4266891189239247E-3</v>
      </c>
    </row>
    <row r="62" spans="2:9" ht="14.25" customHeight="1" x14ac:dyDescent="0.35">
      <c r="B62" s="29"/>
      <c r="C62" s="30">
        <v>44375</v>
      </c>
      <c r="D62">
        <v>31.389999389648398</v>
      </c>
      <c r="E62" s="20">
        <f t="shared" si="0"/>
        <v>2.3142082053787354E-2</v>
      </c>
      <c r="G62" s="29">
        <v>44375</v>
      </c>
      <c r="H62" s="31">
        <v>15814.7001953125</v>
      </c>
      <c r="I62" s="20">
        <f t="shared" si="1"/>
        <v>-2.8782098242977434E-3</v>
      </c>
    </row>
    <row r="63" spans="2:9" ht="14.25" customHeight="1" x14ac:dyDescent="0.35">
      <c r="B63" s="29"/>
      <c r="C63" s="30">
        <v>44376</v>
      </c>
      <c r="D63">
        <v>30.75</v>
      </c>
      <c r="E63" s="20">
        <f t="shared" si="0"/>
        <v>-2.0388639760835849E-2</v>
      </c>
      <c r="G63" s="29">
        <v>44376</v>
      </c>
      <c r="H63" s="31">
        <v>15748.4501953125</v>
      </c>
      <c r="I63" s="20">
        <f t="shared" si="1"/>
        <v>-4.1891404314851697E-3</v>
      </c>
    </row>
    <row r="64" spans="2:9" ht="14.25" customHeight="1" x14ac:dyDescent="0.35">
      <c r="B64" s="29"/>
      <c r="C64" s="30">
        <v>44377</v>
      </c>
      <c r="D64">
        <v>30.370000839233398</v>
      </c>
      <c r="E64" s="20">
        <f t="shared" si="0"/>
        <v>-1.2357696285092734E-2</v>
      </c>
      <c r="G64" s="29">
        <v>44377</v>
      </c>
      <c r="H64" s="31">
        <v>15721.5</v>
      </c>
      <c r="I64" s="20">
        <f t="shared" si="1"/>
        <v>-1.7112919035373831E-3</v>
      </c>
    </row>
    <row r="65" spans="2:9" ht="14.25" customHeight="1" x14ac:dyDescent="0.35">
      <c r="B65" s="29"/>
      <c r="C65" s="30">
        <v>44378</v>
      </c>
      <c r="D65">
        <v>30.719999313354499</v>
      </c>
      <c r="E65" s="20">
        <f t="shared" si="0"/>
        <v>1.1524480225530858E-2</v>
      </c>
      <c r="G65" s="29">
        <v>44378</v>
      </c>
      <c r="H65" s="31">
        <v>15680</v>
      </c>
      <c r="I65" s="20">
        <f t="shared" si="1"/>
        <v>-2.6396972299080877E-3</v>
      </c>
    </row>
    <row r="66" spans="2:9" ht="14.25" customHeight="1" x14ac:dyDescent="0.35">
      <c r="B66" s="29"/>
      <c r="C66" s="30">
        <v>44379</v>
      </c>
      <c r="D66">
        <v>30.75</v>
      </c>
      <c r="E66" s="20">
        <f t="shared" si="0"/>
        <v>9.7658487356993228E-4</v>
      </c>
      <c r="G66" s="29">
        <v>44379</v>
      </c>
      <c r="H66" s="31">
        <v>15722.2001953125</v>
      </c>
      <c r="I66" s="20">
        <f t="shared" si="1"/>
        <v>2.6913389867665818E-3</v>
      </c>
    </row>
    <row r="67" spans="2:9" ht="14.25" customHeight="1" x14ac:dyDescent="0.35">
      <c r="B67" s="29"/>
      <c r="C67" s="30">
        <v>44382</v>
      </c>
      <c r="D67">
        <v>31.159999847412099</v>
      </c>
      <c r="E67" s="20">
        <f t="shared" si="0"/>
        <v>1.3333328371125162E-2</v>
      </c>
      <c r="G67" s="29">
        <v>44382</v>
      </c>
      <c r="H67" s="31">
        <v>15834.349609375</v>
      </c>
      <c r="I67" s="20">
        <f t="shared" si="1"/>
        <v>7.1331882732250679E-3</v>
      </c>
    </row>
    <row r="68" spans="2:9" ht="14.25" customHeight="1" x14ac:dyDescent="0.35">
      <c r="B68" s="29"/>
      <c r="C68" s="30">
        <v>44383</v>
      </c>
      <c r="D68">
        <v>30.700000762939499</v>
      </c>
      <c r="E68" s="20">
        <f t="shared" si="0"/>
        <v>-1.4762486737008225E-2</v>
      </c>
      <c r="G68" s="29">
        <v>44383</v>
      </c>
      <c r="H68" s="31">
        <v>15818.25</v>
      </c>
      <c r="I68" s="20">
        <f t="shared" si="1"/>
        <v>-1.016752173102705E-3</v>
      </c>
    </row>
    <row r="69" spans="2:9" ht="14.25" customHeight="1" x14ac:dyDescent="0.35">
      <c r="B69" s="29"/>
      <c r="C69" s="30">
        <v>44384</v>
      </c>
      <c r="D69">
        <v>30.909999847412099</v>
      </c>
      <c r="E69" s="20">
        <f t="shared" ref="E69:E132" si="2">(D69-D68)/D68</f>
        <v>6.840360887746511E-3</v>
      </c>
      <c r="G69" s="29">
        <v>44384</v>
      </c>
      <c r="H69" s="31">
        <v>15879.650390625</v>
      </c>
      <c r="I69" s="20">
        <f t="shared" ref="I69:I132" si="3">(H69-H68)/H68</f>
        <v>3.8816171589777632E-3</v>
      </c>
    </row>
    <row r="70" spans="2:9" ht="14.25" customHeight="1" x14ac:dyDescent="0.35">
      <c r="B70" s="29"/>
      <c r="C70" s="30">
        <v>44385</v>
      </c>
      <c r="D70">
        <v>30.360000610351602</v>
      </c>
      <c r="E70" s="20">
        <f t="shared" si="2"/>
        <v>-1.7793569711277275E-2</v>
      </c>
      <c r="G70" s="29">
        <v>44385</v>
      </c>
      <c r="H70" s="31">
        <v>15727.900390625</v>
      </c>
      <c r="I70" s="20">
        <f t="shared" si="3"/>
        <v>-9.5562557277451086E-3</v>
      </c>
    </row>
    <row r="71" spans="2:9" ht="14.25" customHeight="1" x14ac:dyDescent="0.35">
      <c r="B71" s="29"/>
      <c r="C71" s="30">
        <v>44386</v>
      </c>
      <c r="D71">
        <v>30.2399997711182</v>
      </c>
      <c r="E71" s="20">
        <f t="shared" si="2"/>
        <v>-3.9525967332321556E-3</v>
      </c>
      <c r="G71" s="29">
        <v>44386</v>
      </c>
      <c r="H71" s="31">
        <v>15689.7998046875</v>
      </c>
      <c r="I71" s="20">
        <f t="shared" si="3"/>
        <v>-2.4224839292732799E-3</v>
      </c>
    </row>
    <row r="72" spans="2:9" ht="14.25" customHeight="1" x14ac:dyDescent="0.35">
      <c r="B72" s="29"/>
      <c r="C72" s="30">
        <v>44389</v>
      </c>
      <c r="D72">
        <v>30.350000381469702</v>
      </c>
      <c r="E72" s="20">
        <f t="shared" si="2"/>
        <v>3.6375863486798748E-3</v>
      </c>
      <c r="G72" s="29">
        <v>44389</v>
      </c>
      <c r="H72" s="31">
        <v>15692.599609375</v>
      </c>
      <c r="I72" s="20">
        <f t="shared" si="3"/>
        <v>1.7844744498674405E-4</v>
      </c>
    </row>
    <row r="73" spans="2:9" ht="14.25" customHeight="1" x14ac:dyDescent="0.35">
      <c r="B73" s="29"/>
      <c r="C73" s="30">
        <v>44390</v>
      </c>
      <c r="D73">
        <v>30.670000076293999</v>
      </c>
      <c r="E73" s="20">
        <f t="shared" si="2"/>
        <v>1.0543647143400822E-2</v>
      </c>
      <c r="G73" s="29">
        <v>44390</v>
      </c>
      <c r="H73" s="31">
        <v>15812.349609375</v>
      </c>
      <c r="I73" s="20">
        <f t="shared" si="3"/>
        <v>7.6309854951285136E-3</v>
      </c>
    </row>
    <row r="74" spans="2:9" ht="14.25" customHeight="1" x14ac:dyDescent="0.35">
      <c r="B74" s="29"/>
      <c r="C74" s="30">
        <v>44391</v>
      </c>
      <c r="D74">
        <v>30.319999694824201</v>
      </c>
      <c r="E74" s="20">
        <f t="shared" si="2"/>
        <v>-1.1411815474377064E-2</v>
      </c>
      <c r="G74" s="29">
        <v>44391</v>
      </c>
      <c r="H74" s="31">
        <v>15853.9501953125</v>
      </c>
      <c r="I74" s="20">
        <f t="shared" si="3"/>
        <v>2.6308921169334244E-3</v>
      </c>
    </row>
    <row r="75" spans="2:9" ht="14.25" customHeight="1" x14ac:dyDescent="0.35">
      <c r="B75" s="29"/>
      <c r="C75" s="30">
        <v>44392</v>
      </c>
      <c r="D75">
        <v>30.110000610351602</v>
      </c>
      <c r="E75" s="20">
        <f t="shared" si="2"/>
        <v>-6.92609124624917E-3</v>
      </c>
      <c r="G75" s="29">
        <v>44392</v>
      </c>
      <c r="H75" s="31">
        <v>15924.2001953125</v>
      </c>
      <c r="I75" s="20">
        <f t="shared" si="3"/>
        <v>4.4310723280038215E-3</v>
      </c>
    </row>
    <row r="76" spans="2:9" ht="14.25" customHeight="1" x14ac:dyDescent="0.35">
      <c r="B76" s="29"/>
      <c r="C76" s="30">
        <v>44393</v>
      </c>
      <c r="D76">
        <v>30.2600002288818</v>
      </c>
      <c r="E76" s="20">
        <f t="shared" si="2"/>
        <v>4.9817208731184831E-3</v>
      </c>
      <c r="G76" s="29">
        <v>44393</v>
      </c>
      <c r="H76" s="31">
        <v>15923.400390625</v>
      </c>
      <c r="I76" s="20">
        <f t="shared" si="3"/>
        <v>-5.0225736783655429E-5</v>
      </c>
    </row>
    <row r="77" spans="2:9" ht="14.25" customHeight="1" x14ac:dyDescent="0.35">
      <c r="B77" s="29"/>
      <c r="C77" s="30">
        <v>44396</v>
      </c>
      <c r="D77">
        <v>29.629999160766602</v>
      </c>
      <c r="E77" s="20">
        <f t="shared" si="2"/>
        <v>-2.0819598921016907E-2</v>
      </c>
      <c r="G77" s="29">
        <v>44396</v>
      </c>
      <c r="H77" s="31">
        <v>15752.400390625</v>
      </c>
      <c r="I77" s="20">
        <f t="shared" si="3"/>
        <v>-1.0738912280361756E-2</v>
      </c>
    </row>
    <row r="78" spans="2:9" ht="14.25" customHeight="1" x14ac:dyDescent="0.35">
      <c r="B78" s="29"/>
      <c r="C78" s="30">
        <v>44397</v>
      </c>
      <c r="D78">
        <v>28.889999389648398</v>
      </c>
      <c r="E78" s="20">
        <f t="shared" si="2"/>
        <v>-2.4974680799115401E-2</v>
      </c>
      <c r="G78" s="29">
        <v>44397</v>
      </c>
      <c r="H78" s="31">
        <v>15632.099609375</v>
      </c>
      <c r="I78" s="20">
        <f t="shared" si="3"/>
        <v>-7.6369809214344685E-3</v>
      </c>
    </row>
    <row r="79" spans="2:9" ht="14.25" customHeight="1" x14ac:dyDescent="0.35">
      <c r="B79" s="29"/>
      <c r="C79" s="30">
        <v>44399</v>
      </c>
      <c r="D79">
        <v>28.9799995422363</v>
      </c>
      <c r="E79" s="20">
        <f t="shared" si="2"/>
        <v>3.1152701450090485E-3</v>
      </c>
      <c r="G79" s="29">
        <v>44399</v>
      </c>
      <c r="H79" s="31">
        <v>15824.0498046875</v>
      </c>
      <c r="I79" s="20">
        <f t="shared" si="3"/>
        <v>1.2279233123449532E-2</v>
      </c>
    </row>
    <row r="80" spans="2:9" ht="14.25" customHeight="1" x14ac:dyDescent="0.35">
      <c r="B80" s="29"/>
      <c r="C80" s="30">
        <v>44400</v>
      </c>
      <c r="D80">
        <v>29.209999084472699</v>
      </c>
      <c r="E80" s="20">
        <f t="shared" si="2"/>
        <v>7.9364922660261298E-3</v>
      </c>
      <c r="G80" s="29">
        <v>44400</v>
      </c>
      <c r="H80" s="31">
        <v>15856.0498046875</v>
      </c>
      <c r="I80" s="20">
        <f t="shared" si="3"/>
        <v>2.0222383267853947E-3</v>
      </c>
    </row>
    <row r="81" spans="2:9" ht="14.25" customHeight="1" x14ac:dyDescent="0.35">
      <c r="B81" s="29"/>
      <c r="C81" s="30">
        <v>44403</v>
      </c>
      <c r="D81">
        <v>29.329999923706101</v>
      </c>
      <c r="E81" s="20">
        <f t="shared" si="2"/>
        <v>4.1082109892016877E-3</v>
      </c>
      <c r="G81" s="29">
        <v>44403</v>
      </c>
      <c r="H81" s="31">
        <v>15824.4501953125</v>
      </c>
      <c r="I81" s="20">
        <f t="shared" si="3"/>
        <v>-1.9929055322251985E-3</v>
      </c>
    </row>
    <row r="82" spans="2:9" ht="14.25" customHeight="1" x14ac:dyDescent="0.35">
      <c r="B82" s="29"/>
      <c r="C82" s="30">
        <v>44404</v>
      </c>
      <c r="D82">
        <v>29.7600002288818</v>
      </c>
      <c r="E82" s="20">
        <f t="shared" si="2"/>
        <v>1.4660767347229002E-2</v>
      </c>
      <c r="G82" s="29">
        <v>44404</v>
      </c>
      <c r="H82" s="31">
        <v>15746.4501953125</v>
      </c>
      <c r="I82" s="20">
        <f t="shared" si="3"/>
        <v>-4.9290812026508866E-3</v>
      </c>
    </row>
    <row r="83" spans="2:9" ht="14.25" customHeight="1" x14ac:dyDescent="0.35">
      <c r="B83" s="29"/>
      <c r="C83" s="30">
        <v>44405</v>
      </c>
      <c r="D83">
        <v>28.649999618530298</v>
      </c>
      <c r="E83" s="20">
        <f t="shared" si="2"/>
        <v>-3.7298407319038156E-2</v>
      </c>
      <c r="G83" s="29">
        <v>44405</v>
      </c>
      <c r="H83" s="31">
        <v>15709.400390625</v>
      </c>
      <c r="I83" s="20">
        <f t="shared" si="3"/>
        <v>-2.3528988583426387E-3</v>
      </c>
    </row>
    <row r="84" spans="2:9" ht="14.25" customHeight="1" x14ac:dyDescent="0.35">
      <c r="B84" s="29"/>
      <c r="C84" s="30">
        <v>44406</v>
      </c>
      <c r="D84">
        <v>29.930000305175799</v>
      </c>
      <c r="E84" s="20">
        <f t="shared" si="2"/>
        <v>4.4677162432407838E-2</v>
      </c>
      <c r="G84" s="29">
        <v>44406</v>
      </c>
      <c r="H84" s="31">
        <v>15778.4501953125</v>
      </c>
      <c r="I84" s="20">
        <f t="shared" si="3"/>
        <v>4.3954449546468556E-3</v>
      </c>
    </row>
    <row r="85" spans="2:9" ht="14.25" customHeight="1" x14ac:dyDescent="0.35">
      <c r="B85" s="29"/>
      <c r="C85" s="30">
        <v>44407</v>
      </c>
      <c r="D85">
        <v>30.639999389648398</v>
      </c>
      <c r="E85" s="20">
        <f t="shared" si="2"/>
        <v>2.3721987211267056E-2</v>
      </c>
      <c r="G85" s="29">
        <v>44407</v>
      </c>
      <c r="H85" s="31">
        <v>15763.0498046875</v>
      </c>
      <c r="I85" s="20">
        <f t="shared" si="3"/>
        <v>-9.7603949908687388E-4</v>
      </c>
    </row>
    <row r="86" spans="2:9" ht="14.25" customHeight="1" x14ac:dyDescent="0.35">
      <c r="B86" s="29"/>
      <c r="C86" s="30">
        <v>44410</v>
      </c>
      <c r="D86">
        <v>31.120000839233398</v>
      </c>
      <c r="E86" s="20">
        <f t="shared" si="2"/>
        <v>1.566584396692797E-2</v>
      </c>
      <c r="G86" s="29">
        <v>44410</v>
      </c>
      <c r="H86" s="31">
        <v>15885.150390625</v>
      </c>
      <c r="I86" s="20">
        <f t="shared" si="3"/>
        <v>7.7460001364197065E-3</v>
      </c>
    </row>
    <row r="87" spans="2:9" ht="14.25" customHeight="1" x14ac:dyDescent="0.35">
      <c r="B87" s="29"/>
      <c r="C87" s="30">
        <v>44411</v>
      </c>
      <c r="D87">
        <v>31.430000305175799</v>
      </c>
      <c r="E87" s="20">
        <f t="shared" si="2"/>
        <v>9.9614221588188428E-3</v>
      </c>
      <c r="G87" s="29">
        <v>44411</v>
      </c>
      <c r="H87" s="31">
        <v>16130.75</v>
      </c>
      <c r="I87" s="20">
        <f t="shared" si="3"/>
        <v>1.5460955882416225E-2</v>
      </c>
    </row>
    <row r="88" spans="2:9" ht="14.25" customHeight="1" x14ac:dyDescent="0.35">
      <c r="B88" s="29"/>
      <c r="C88" s="30">
        <v>44412</v>
      </c>
      <c r="D88">
        <v>31.360000610351602</v>
      </c>
      <c r="E88" s="20">
        <f t="shared" si="2"/>
        <v>-2.2271617608820098E-3</v>
      </c>
      <c r="G88" s="29">
        <v>44412</v>
      </c>
      <c r="H88" s="31">
        <v>16258.7998046875</v>
      </c>
      <c r="I88" s="20">
        <f t="shared" si="3"/>
        <v>7.9382424678021788E-3</v>
      </c>
    </row>
    <row r="89" spans="2:9" ht="14.25" customHeight="1" x14ac:dyDescent="0.35">
      <c r="B89" s="29"/>
      <c r="C89" s="30">
        <v>44413</v>
      </c>
      <c r="D89">
        <v>31.2700004577637</v>
      </c>
      <c r="E89" s="20">
        <f t="shared" si="2"/>
        <v>-2.8699027690131228E-3</v>
      </c>
      <c r="G89" s="29">
        <v>44413</v>
      </c>
      <c r="H89" s="31">
        <v>16294.599609375</v>
      </c>
      <c r="I89" s="20">
        <f t="shared" si="3"/>
        <v>2.2018725316476757E-3</v>
      </c>
    </row>
    <row r="90" spans="2:9" ht="14.25" customHeight="1" x14ac:dyDescent="0.35">
      <c r="B90" s="29"/>
      <c r="C90" s="30">
        <v>44414</v>
      </c>
      <c r="D90">
        <v>31.469999313354499</v>
      </c>
      <c r="E90" s="20">
        <f t="shared" si="2"/>
        <v>6.3958699284618458E-3</v>
      </c>
      <c r="G90" s="29">
        <v>44414</v>
      </c>
      <c r="H90" s="31">
        <v>16238.2001953125</v>
      </c>
      <c r="I90" s="20">
        <f t="shared" si="3"/>
        <v>-3.4612335015615195E-3</v>
      </c>
    </row>
    <row r="91" spans="2:9" ht="14.25" customHeight="1" x14ac:dyDescent="0.35">
      <c r="B91" s="29"/>
      <c r="C91" s="30">
        <v>44417</v>
      </c>
      <c r="D91">
        <v>30.940000534057599</v>
      </c>
      <c r="E91" s="20">
        <f t="shared" si="2"/>
        <v>-1.6841397866570382E-2</v>
      </c>
      <c r="G91" s="29">
        <v>44417</v>
      </c>
      <c r="H91" s="31">
        <v>16258.25</v>
      </c>
      <c r="I91" s="20">
        <f t="shared" si="3"/>
        <v>1.2347307242392418E-3</v>
      </c>
    </row>
    <row r="92" spans="2:9" ht="14.25" customHeight="1" x14ac:dyDescent="0.35">
      <c r="B92" s="29"/>
      <c r="C92" s="30">
        <v>44418</v>
      </c>
      <c r="D92">
        <v>30.559999465942401</v>
      </c>
      <c r="E92" s="20">
        <f t="shared" si="2"/>
        <v>-1.2281870121395371E-2</v>
      </c>
      <c r="G92" s="29">
        <v>44418</v>
      </c>
      <c r="H92" s="31">
        <v>16280.099609375</v>
      </c>
      <c r="I92" s="20">
        <f t="shared" si="3"/>
        <v>1.3439090538649608E-3</v>
      </c>
    </row>
    <row r="93" spans="2:9" ht="14.25" customHeight="1" x14ac:dyDescent="0.35">
      <c r="B93" s="29"/>
      <c r="C93" s="30">
        <v>44419</v>
      </c>
      <c r="D93">
        <v>30.819999694824201</v>
      </c>
      <c r="E93" s="20">
        <f t="shared" si="2"/>
        <v>8.5078610414099556E-3</v>
      </c>
      <c r="G93" s="29">
        <v>44419</v>
      </c>
      <c r="H93" s="31">
        <v>16282.25</v>
      </c>
      <c r="I93" s="20">
        <f t="shared" si="3"/>
        <v>1.3208706805219322E-4</v>
      </c>
    </row>
    <row r="94" spans="2:9" ht="14.25" customHeight="1" x14ac:dyDescent="0.35">
      <c r="B94" s="29"/>
      <c r="C94" s="30">
        <v>44420</v>
      </c>
      <c r="D94">
        <v>31.139999389648398</v>
      </c>
      <c r="E94" s="20">
        <f t="shared" si="2"/>
        <v>1.038285846829314E-2</v>
      </c>
      <c r="G94" s="29">
        <v>44420</v>
      </c>
      <c r="H94" s="31">
        <v>16364.400390625</v>
      </c>
      <c r="I94" s="20">
        <f t="shared" si="3"/>
        <v>5.0453954843464512E-3</v>
      </c>
    </row>
    <row r="95" spans="2:9" ht="14.25" customHeight="1" x14ac:dyDescent="0.35">
      <c r="B95" s="29"/>
      <c r="C95" s="30">
        <v>44421</v>
      </c>
      <c r="D95">
        <v>31.200000762939499</v>
      </c>
      <c r="E95" s="20">
        <f t="shared" si="2"/>
        <v>1.9268264119185125E-3</v>
      </c>
      <c r="G95" s="29">
        <v>44421</v>
      </c>
      <c r="H95" s="31">
        <v>16529.099609375</v>
      </c>
      <c r="I95" s="20">
        <f t="shared" si="3"/>
        <v>1.0064482340847301E-2</v>
      </c>
    </row>
    <row r="96" spans="2:9" ht="14.25" customHeight="1" x14ac:dyDescent="0.35">
      <c r="B96" s="29"/>
      <c r="C96" s="30">
        <v>44424</v>
      </c>
      <c r="D96">
        <v>31.4899997711182</v>
      </c>
      <c r="E96" s="20">
        <f t="shared" si="2"/>
        <v>9.2948397784390988E-3</v>
      </c>
      <c r="G96" s="29">
        <v>44424</v>
      </c>
      <c r="H96" s="31">
        <v>16563.05078125</v>
      </c>
      <c r="I96" s="20">
        <f t="shared" si="3"/>
        <v>2.0540242770237479E-3</v>
      </c>
    </row>
    <row r="97" spans="2:9" ht="14.25" customHeight="1" x14ac:dyDescent="0.35">
      <c r="B97" s="29"/>
      <c r="C97" s="30">
        <v>44425</v>
      </c>
      <c r="D97">
        <v>30.530000686645501</v>
      </c>
      <c r="E97" s="20">
        <f t="shared" si="2"/>
        <v>-3.0485839677686654E-2</v>
      </c>
      <c r="G97" s="29">
        <v>44425</v>
      </c>
      <c r="H97" s="31">
        <v>16614.599609375</v>
      </c>
      <c r="I97" s="20">
        <f t="shared" si="3"/>
        <v>3.1122785775284361E-3</v>
      </c>
    </row>
    <row r="98" spans="2:9" ht="14.25" customHeight="1" x14ac:dyDescent="0.35">
      <c r="B98" s="29"/>
      <c r="C98" s="30">
        <v>44426</v>
      </c>
      <c r="D98">
        <v>31.430000305175799</v>
      </c>
      <c r="E98" s="20">
        <f t="shared" si="2"/>
        <v>2.9479187628186923E-2</v>
      </c>
      <c r="G98" s="29">
        <v>44426</v>
      </c>
      <c r="H98" s="31">
        <v>16568.849609375</v>
      </c>
      <c r="I98" s="20">
        <f t="shared" si="3"/>
        <v>-2.7536023181795473E-3</v>
      </c>
    </row>
    <row r="99" spans="2:9" ht="14.25" customHeight="1" x14ac:dyDescent="0.35">
      <c r="B99" s="29"/>
      <c r="C99" s="30">
        <v>44428</v>
      </c>
      <c r="D99">
        <v>30.559999465942401</v>
      </c>
      <c r="E99" s="20">
        <f t="shared" si="2"/>
        <v>-2.7680586407443631E-2</v>
      </c>
      <c r="G99" s="29">
        <v>44428</v>
      </c>
      <c r="H99" s="31">
        <v>16450.5</v>
      </c>
      <c r="I99" s="20">
        <f t="shared" si="3"/>
        <v>-7.142898400624949E-3</v>
      </c>
    </row>
    <row r="100" spans="2:9" ht="14.25" customHeight="1" x14ac:dyDescent="0.35">
      <c r="B100" s="29"/>
      <c r="C100" s="30">
        <v>44431</v>
      </c>
      <c r="D100">
        <v>30.579999923706101</v>
      </c>
      <c r="E100" s="20">
        <f t="shared" si="2"/>
        <v>6.5446525239602218E-4</v>
      </c>
      <c r="G100" s="29">
        <v>44431</v>
      </c>
      <c r="H100" s="31">
        <v>16496.44921875</v>
      </c>
      <c r="I100" s="20">
        <f t="shared" si="3"/>
        <v>2.7931806783988329E-3</v>
      </c>
    </row>
    <row r="101" spans="2:9" ht="14.25" customHeight="1" x14ac:dyDescent="0.35">
      <c r="B101" s="29"/>
      <c r="C101" s="30">
        <v>44432</v>
      </c>
      <c r="D101">
        <v>31.139999389648398</v>
      </c>
      <c r="E101" s="20">
        <f t="shared" si="2"/>
        <v>1.831260521057677E-2</v>
      </c>
      <c r="G101" s="29">
        <v>44432</v>
      </c>
      <c r="H101" s="31">
        <v>16624.599609375</v>
      </c>
      <c r="I101" s="20">
        <f t="shared" si="3"/>
        <v>7.7683620836017982E-3</v>
      </c>
    </row>
    <row r="102" spans="2:9" ht="14.25" customHeight="1" x14ac:dyDescent="0.35">
      <c r="B102" s="29"/>
      <c r="C102" s="30">
        <v>44433</v>
      </c>
      <c r="D102">
        <v>30.209999084472699</v>
      </c>
      <c r="E102" s="20">
        <f t="shared" si="2"/>
        <v>-2.9865135626330537E-2</v>
      </c>
      <c r="G102" s="29">
        <v>44433</v>
      </c>
      <c r="H102" s="31">
        <v>16634.650390625</v>
      </c>
      <c r="I102" s="20">
        <f t="shared" si="3"/>
        <v>6.0457283099510741E-4</v>
      </c>
    </row>
    <row r="103" spans="2:9" ht="14.25" customHeight="1" x14ac:dyDescent="0.35">
      <c r="B103" s="29"/>
      <c r="C103" s="30">
        <v>44434</v>
      </c>
      <c r="D103">
        <v>30.569999694824201</v>
      </c>
      <c r="E103" s="20">
        <f t="shared" si="2"/>
        <v>1.191660447737434E-2</v>
      </c>
      <c r="G103" s="29">
        <v>44434</v>
      </c>
      <c r="H103" s="31">
        <v>16636.900390625</v>
      </c>
      <c r="I103" s="20">
        <f t="shared" si="3"/>
        <v>1.3525983096513173E-4</v>
      </c>
    </row>
    <row r="104" spans="2:9" ht="14.25" customHeight="1" x14ac:dyDescent="0.35">
      <c r="B104" s="29"/>
      <c r="C104" s="30">
        <v>44435</v>
      </c>
      <c r="D104">
        <v>30.319999694824201</v>
      </c>
      <c r="E104" s="20">
        <f t="shared" si="2"/>
        <v>-8.1779523223982058E-3</v>
      </c>
      <c r="G104" s="29">
        <v>44435</v>
      </c>
      <c r="H104" s="31">
        <v>16705.19921875</v>
      </c>
      <c r="I104" s="20">
        <f t="shared" si="3"/>
        <v>4.1052615884799564E-3</v>
      </c>
    </row>
    <row r="105" spans="2:9" ht="14.25" customHeight="1" x14ac:dyDescent="0.35">
      <c r="B105" s="29"/>
      <c r="C105" s="30">
        <v>44438</v>
      </c>
      <c r="D105">
        <v>31.0499992370606</v>
      </c>
      <c r="E105" s="20">
        <f t="shared" si="2"/>
        <v>2.4076502294985654E-2</v>
      </c>
      <c r="G105" s="29">
        <v>44438</v>
      </c>
      <c r="H105" s="31">
        <v>16931.05078125</v>
      </c>
      <c r="I105" s="20">
        <f t="shared" si="3"/>
        <v>1.3519836521704158E-2</v>
      </c>
    </row>
    <row r="106" spans="2:9" ht="14.25" customHeight="1" x14ac:dyDescent="0.35">
      <c r="B106" s="29"/>
      <c r="C106" s="30">
        <v>44439</v>
      </c>
      <c r="D106">
        <v>31.819999694824201</v>
      </c>
      <c r="E106" s="20">
        <f t="shared" si="2"/>
        <v>2.4798727107359961E-2</v>
      </c>
      <c r="G106" s="29">
        <v>44439</v>
      </c>
      <c r="H106" s="31">
        <v>17132.19921875</v>
      </c>
      <c r="I106" s="20">
        <f t="shared" si="3"/>
        <v>1.1880446175423345E-2</v>
      </c>
    </row>
    <row r="107" spans="2:9" ht="14.25" customHeight="1" x14ac:dyDescent="0.35">
      <c r="B107" s="29"/>
      <c r="C107" s="30">
        <v>44440</v>
      </c>
      <c r="D107">
        <v>32.209999084472699</v>
      </c>
      <c r="E107" s="20">
        <f t="shared" si="2"/>
        <v>1.2256423425168502E-2</v>
      </c>
      <c r="G107" s="29">
        <v>44440</v>
      </c>
      <c r="H107" s="31">
        <v>17076.25</v>
      </c>
      <c r="I107" s="20">
        <f t="shared" si="3"/>
        <v>-3.2657347743637881E-3</v>
      </c>
    </row>
    <row r="108" spans="2:9" ht="14.25" customHeight="1" x14ac:dyDescent="0.35">
      <c r="B108" s="29"/>
      <c r="C108" s="30">
        <v>44441</v>
      </c>
      <c r="D108">
        <v>31.819999694824201</v>
      </c>
      <c r="E108" s="20">
        <f t="shared" si="2"/>
        <v>-1.2108022376085778E-2</v>
      </c>
      <c r="G108" s="29">
        <v>44441</v>
      </c>
      <c r="H108" s="31">
        <v>17234.150390625</v>
      </c>
      <c r="I108" s="20">
        <f t="shared" si="3"/>
        <v>9.2467837273991649E-3</v>
      </c>
    </row>
    <row r="109" spans="2:9" ht="14.25" customHeight="1" x14ac:dyDescent="0.35">
      <c r="B109" s="29"/>
      <c r="C109" s="30">
        <v>44442</v>
      </c>
      <c r="D109">
        <v>32.139999389648402</v>
      </c>
      <c r="E109" s="20">
        <f t="shared" si="2"/>
        <v>1.0056558701861073E-2</v>
      </c>
      <c r="G109" s="29">
        <v>44442</v>
      </c>
      <c r="H109" s="31">
        <v>17323.599609375</v>
      </c>
      <c r="I109" s="20">
        <f t="shared" si="3"/>
        <v>5.1902308336974016E-3</v>
      </c>
    </row>
    <row r="110" spans="2:9" ht="14.25" customHeight="1" x14ac:dyDescent="0.35">
      <c r="B110" s="29"/>
      <c r="C110" s="30">
        <v>44445</v>
      </c>
      <c r="D110">
        <v>32.009998321533203</v>
      </c>
      <c r="E110" s="20">
        <f t="shared" si="2"/>
        <v>-4.0448372925940184E-3</v>
      </c>
      <c r="G110" s="29">
        <v>44445</v>
      </c>
      <c r="H110" s="31">
        <v>17377.80078125</v>
      </c>
      <c r="I110" s="20">
        <f t="shared" si="3"/>
        <v>3.1287476677576867E-3</v>
      </c>
    </row>
    <row r="111" spans="2:9" ht="14.25" customHeight="1" x14ac:dyDescent="0.35">
      <c r="B111" s="29"/>
      <c r="C111" s="30">
        <v>44446</v>
      </c>
      <c r="D111">
        <v>31.219999313354499</v>
      </c>
      <c r="E111" s="20">
        <f t="shared" si="2"/>
        <v>-2.467975787575314E-2</v>
      </c>
      <c r="G111" s="29">
        <v>44446</v>
      </c>
      <c r="H111" s="31">
        <v>17362.099609375</v>
      </c>
      <c r="I111" s="20">
        <f t="shared" si="3"/>
        <v>-9.0351892466974189E-4</v>
      </c>
    </row>
    <row r="112" spans="2:9" ht="14.25" customHeight="1" x14ac:dyDescent="0.35">
      <c r="B112" s="29"/>
      <c r="C112" s="30">
        <v>44447</v>
      </c>
      <c r="D112">
        <v>31.5499992370606</v>
      </c>
      <c r="E112" s="20">
        <f t="shared" si="2"/>
        <v>1.0570145130174359E-2</v>
      </c>
      <c r="G112" s="29">
        <v>44447</v>
      </c>
      <c r="H112" s="31">
        <v>17353.5</v>
      </c>
      <c r="I112" s="20">
        <f t="shared" si="3"/>
        <v>-4.9530929832682655E-4</v>
      </c>
    </row>
    <row r="113" spans="2:9" ht="14.25" customHeight="1" x14ac:dyDescent="0.35">
      <c r="B113" s="29"/>
      <c r="C113" s="30">
        <v>44448</v>
      </c>
      <c r="D113">
        <v>31.5</v>
      </c>
      <c r="E113" s="20">
        <f t="shared" si="2"/>
        <v>-1.5847619102908864E-3</v>
      </c>
      <c r="G113" s="29">
        <v>44448</v>
      </c>
      <c r="H113" s="31">
        <v>17369.25</v>
      </c>
      <c r="I113" s="20">
        <f t="shared" si="3"/>
        <v>9.0759789091537728E-4</v>
      </c>
    </row>
    <row r="114" spans="2:9" ht="14.25" customHeight="1" x14ac:dyDescent="0.35">
      <c r="B114" s="29"/>
      <c r="C114" s="30">
        <v>44452</v>
      </c>
      <c r="D114">
        <v>31.360000610351602</v>
      </c>
      <c r="E114" s="20">
        <f t="shared" si="2"/>
        <v>-4.4444250682031247E-3</v>
      </c>
      <c r="G114" s="29">
        <v>44452</v>
      </c>
      <c r="H114" s="31">
        <v>17355.30078125</v>
      </c>
      <c r="I114" s="20">
        <f t="shared" si="3"/>
        <v>-8.0309850741972161E-4</v>
      </c>
    </row>
    <row r="115" spans="2:9" ht="14.25" customHeight="1" x14ac:dyDescent="0.35">
      <c r="B115" s="29"/>
      <c r="C115" s="30">
        <v>44453</v>
      </c>
      <c r="D115">
        <v>31.0499992370606</v>
      </c>
      <c r="E115" s="20">
        <f t="shared" si="2"/>
        <v>-9.885247680405761E-3</v>
      </c>
      <c r="G115" s="29">
        <v>44453</v>
      </c>
      <c r="H115" s="31">
        <v>17380</v>
      </c>
      <c r="I115" s="20">
        <f t="shared" si="3"/>
        <v>1.4231512931590379E-3</v>
      </c>
    </row>
    <row r="116" spans="2:9" ht="14.25" customHeight="1" x14ac:dyDescent="0.35">
      <c r="B116" s="29"/>
      <c r="C116" s="30">
        <v>44454</v>
      </c>
      <c r="D116">
        <v>32.319999694824197</v>
      </c>
      <c r="E116" s="20">
        <f t="shared" si="2"/>
        <v>4.0901787084353693E-2</v>
      </c>
      <c r="G116" s="29">
        <v>44454</v>
      </c>
      <c r="H116" s="31">
        <v>17519.44921875</v>
      </c>
      <c r="I116" s="20">
        <f t="shared" si="3"/>
        <v>8.0235453826237053E-3</v>
      </c>
    </row>
    <row r="117" spans="2:9" ht="14.25" customHeight="1" x14ac:dyDescent="0.35">
      <c r="B117" s="29"/>
      <c r="C117" s="30">
        <v>44455</v>
      </c>
      <c r="D117">
        <v>33.349998474121101</v>
      </c>
      <c r="E117" s="20">
        <f t="shared" si="2"/>
        <v>3.1868774412824326E-2</v>
      </c>
      <c r="G117" s="29">
        <v>44455</v>
      </c>
      <c r="H117" s="31">
        <v>17629.5</v>
      </c>
      <c r="I117" s="20">
        <f t="shared" si="3"/>
        <v>6.2816347635072543E-3</v>
      </c>
    </row>
    <row r="118" spans="2:9" ht="14.25" customHeight="1" x14ac:dyDescent="0.35">
      <c r="B118" s="29"/>
      <c r="C118" s="30">
        <v>44456</v>
      </c>
      <c r="D118">
        <v>32.549999237060597</v>
      </c>
      <c r="E118" s="20">
        <f t="shared" si="2"/>
        <v>-2.3987984217789003E-2</v>
      </c>
      <c r="G118" s="29">
        <v>44456</v>
      </c>
      <c r="H118" s="31">
        <v>17585.150390625</v>
      </c>
      <c r="I118" s="20">
        <f t="shared" si="3"/>
        <v>-2.5156476006126098E-3</v>
      </c>
    </row>
    <row r="119" spans="2:9" ht="14.25" customHeight="1" x14ac:dyDescent="0.35">
      <c r="B119" s="29"/>
      <c r="C119" s="30">
        <v>44459</v>
      </c>
      <c r="D119">
        <v>30.9899997711182</v>
      </c>
      <c r="E119" s="20">
        <f t="shared" si="2"/>
        <v>-4.7926251997149713E-2</v>
      </c>
      <c r="G119" s="29">
        <v>44459</v>
      </c>
      <c r="H119" s="31">
        <v>17396.900390625</v>
      </c>
      <c r="I119" s="20">
        <f t="shared" si="3"/>
        <v>-1.0705054879733066E-2</v>
      </c>
    </row>
    <row r="120" spans="2:9" ht="14.25" customHeight="1" x14ac:dyDescent="0.35">
      <c r="B120" s="29"/>
      <c r="C120" s="30">
        <v>44460</v>
      </c>
      <c r="D120">
        <v>30.9899997711182</v>
      </c>
      <c r="E120" s="20">
        <f t="shared" si="2"/>
        <v>0</v>
      </c>
      <c r="G120" s="29">
        <v>44460</v>
      </c>
      <c r="H120" s="31">
        <v>17562</v>
      </c>
      <c r="I120" s="20">
        <f t="shared" si="3"/>
        <v>9.4901738624640509E-3</v>
      </c>
    </row>
    <row r="121" spans="2:9" ht="14.25" customHeight="1" x14ac:dyDescent="0.35">
      <c r="B121" s="29"/>
      <c r="C121" s="30">
        <v>44461</v>
      </c>
      <c r="D121">
        <v>31.370000839233398</v>
      </c>
      <c r="E121" s="20">
        <f t="shared" si="2"/>
        <v>1.2262054563464343E-2</v>
      </c>
      <c r="G121" s="29">
        <v>44461</v>
      </c>
      <c r="H121" s="31">
        <v>17546.650390625</v>
      </c>
      <c r="I121" s="20">
        <f t="shared" si="3"/>
        <v>-8.7402399356565307E-4</v>
      </c>
    </row>
    <row r="122" spans="2:9" ht="14.25" customHeight="1" x14ac:dyDescent="0.35">
      <c r="B122" s="29"/>
      <c r="C122" s="30">
        <v>44462</v>
      </c>
      <c r="D122">
        <v>32.159999847412102</v>
      </c>
      <c r="E122" s="20">
        <f t="shared" si="2"/>
        <v>2.5183263852217651E-2</v>
      </c>
      <c r="G122" s="29">
        <v>44462</v>
      </c>
      <c r="H122" s="31">
        <v>17822.94921875</v>
      </c>
      <c r="I122" s="20">
        <f t="shared" si="3"/>
        <v>1.5746528367181906E-2</v>
      </c>
    </row>
    <row r="123" spans="2:9" ht="14.25" customHeight="1" x14ac:dyDescent="0.35">
      <c r="B123" s="29"/>
      <c r="C123" s="30">
        <v>44463</v>
      </c>
      <c r="D123">
        <v>31.540000915527301</v>
      </c>
      <c r="E123" s="20">
        <f t="shared" si="2"/>
        <v>-1.927857384410691E-2</v>
      </c>
      <c r="G123" s="29">
        <v>44463</v>
      </c>
      <c r="H123" s="31">
        <v>17853.19921875</v>
      </c>
      <c r="I123" s="20">
        <f t="shared" si="3"/>
        <v>1.6972499684943592E-3</v>
      </c>
    </row>
    <row r="124" spans="2:9" ht="14.25" customHeight="1" x14ac:dyDescent="0.35">
      <c r="B124" s="29"/>
      <c r="C124" s="30">
        <v>44466</v>
      </c>
      <c r="D124">
        <v>31.9799995422363</v>
      </c>
      <c r="E124" s="20">
        <f t="shared" si="2"/>
        <v>1.3950495051900429E-2</v>
      </c>
      <c r="G124" s="29">
        <v>44466</v>
      </c>
      <c r="H124" s="31">
        <v>17855.099609375</v>
      </c>
      <c r="I124" s="20">
        <f t="shared" si="3"/>
        <v>1.0644538279750718E-4</v>
      </c>
    </row>
    <row r="125" spans="2:9" ht="14.25" customHeight="1" x14ac:dyDescent="0.35">
      <c r="B125" s="29"/>
      <c r="C125" s="30">
        <v>44467</v>
      </c>
      <c r="D125">
        <v>32.740001678466797</v>
      </c>
      <c r="E125" s="20">
        <f t="shared" si="2"/>
        <v>2.3764920172270637E-2</v>
      </c>
      <c r="G125" s="29">
        <v>44467</v>
      </c>
      <c r="H125" s="31">
        <v>17748.599609375</v>
      </c>
      <c r="I125" s="20">
        <f t="shared" si="3"/>
        <v>-5.9646824901543032E-3</v>
      </c>
    </row>
    <row r="126" spans="2:9" ht="14.25" customHeight="1" x14ac:dyDescent="0.35">
      <c r="B126" s="29"/>
      <c r="C126" s="30">
        <v>44468</v>
      </c>
      <c r="D126">
        <v>33.630001068115199</v>
      </c>
      <c r="E126" s="20">
        <f t="shared" si="2"/>
        <v>2.7183852902297113E-2</v>
      </c>
      <c r="G126" s="29">
        <v>44468</v>
      </c>
      <c r="H126" s="31">
        <v>17711.30078125</v>
      </c>
      <c r="I126" s="20">
        <f t="shared" si="3"/>
        <v>-2.1015082285871364E-3</v>
      </c>
    </row>
    <row r="127" spans="2:9" ht="14.25" customHeight="1" x14ac:dyDescent="0.35">
      <c r="B127" s="29"/>
      <c r="C127" s="30">
        <v>44469</v>
      </c>
      <c r="D127">
        <v>34.599998474121101</v>
      </c>
      <c r="E127" s="20">
        <f t="shared" si="2"/>
        <v>2.8843216627951945E-2</v>
      </c>
      <c r="G127" s="29">
        <v>44469</v>
      </c>
      <c r="H127" s="31">
        <v>17618.150390625</v>
      </c>
      <c r="I127" s="20">
        <f t="shared" si="3"/>
        <v>-5.2593760207388773E-3</v>
      </c>
    </row>
    <row r="128" spans="2:9" ht="14.25" customHeight="1" x14ac:dyDescent="0.35">
      <c r="B128" s="29"/>
      <c r="C128" s="30">
        <v>44470</v>
      </c>
      <c r="D128">
        <v>35.369998931884801</v>
      </c>
      <c r="E128" s="20">
        <f t="shared" si="2"/>
        <v>2.2254349471709324E-2</v>
      </c>
      <c r="G128" s="29">
        <v>44470</v>
      </c>
      <c r="H128" s="31">
        <v>17532.05078125</v>
      </c>
      <c r="I128" s="20">
        <f t="shared" si="3"/>
        <v>-4.8869834497959255E-3</v>
      </c>
    </row>
    <row r="129" spans="2:9" ht="14.25" customHeight="1" x14ac:dyDescent="0.35">
      <c r="B129" s="29"/>
      <c r="C129" s="30">
        <v>44473</v>
      </c>
      <c r="D129">
        <v>36.419998168945298</v>
      </c>
      <c r="E129" s="20">
        <f t="shared" si="2"/>
        <v>2.9686154050571938E-2</v>
      </c>
      <c r="G129" s="29">
        <v>44473</v>
      </c>
      <c r="H129" s="31">
        <v>17691.25</v>
      </c>
      <c r="I129" s="20">
        <f t="shared" si="3"/>
        <v>9.080467581137671E-3</v>
      </c>
    </row>
    <row r="130" spans="2:9" ht="14.25" customHeight="1" x14ac:dyDescent="0.35">
      <c r="B130" s="29"/>
      <c r="C130" s="30">
        <v>44474</v>
      </c>
      <c r="D130">
        <v>35.950000762939503</v>
      </c>
      <c r="E130" s="20">
        <f t="shared" si="2"/>
        <v>-1.2904926678622242E-2</v>
      </c>
      <c r="G130" s="29">
        <v>44474</v>
      </c>
      <c r="H130" s="31">
        <v>17822.30078125</v>
      </c>
      <c r="I130" s="20">
        <f t="shared" si="3"/>
        <v>7.4076609199463014E-3</v>
      </c>
    </row>
    <row r="131" spans="2:9" ht="14.25" customHeight="1" x14ac:dyDescent="0.35">
      <c r="B131" s="29"/>
      <c r="C131" s="30">
        <v>44475</v>
      </c>
      <c r="D131">
        <v>34.889999389648402</v>
      </c>
      <c r="E131" s="20">
        <f t="shared" si="2"/>
        <v>-2.9485433958150169E-2</v>
      </c>
      <c r="G131" s="29">
        <v>44475</v>
      </c>
      <c r="H131" s="31">
        <v>17646</v>
      </c>
      <c r="I131" s="20">
        <f t="shared" si="3"/>
        <v>-9.8921448702895716E-3</v>
      </c>
    </row>
    <row r="132" spans="2:9" ht="14.25" customHeight="1" x14ac:dyDescent="0.35">
      <c r="B132" s="29"/>
      <c r="C132" s="30">
        <v>44476</v>
      </c>
      <c r="D132">
        <v>34.970001220703097</v>
      </c>
      <c r="E132" s="20">
        <f t="shared" si="2"/>
        <v>2.2929731285243455E-3</v>
      </c>
      <c r="G132" s="29">
        <v>44476</v>
      </c>
      <c r="H132" s="31">
        <v>17790.349609375</v>
      </c>
      <c r="I132" s="20">
        <f t="shared" si="3"/>
        <v>8.1803020160376282E-3</v>
      </c>
    </row>
    <row r="133" spans="2:9" ht="14.25" customHeight="1" x14ac:dyDescent="0.35">
      <c r="B133" s="29"/>
      <c r="C133" s="30">
        <v>44477</v>
      </c>
      <c r="D133">
        <v>35.450000762939503</v>
      </c>
      <c r="E133" s="20">
        <f t="shared" ref="E133:E196" si="4">(D133-D132)/D132</f>
        <v>1.3726037331455247E-2</v>
      </c>
      <c r="G133" s="29">
        <v>44477</v>
      </c>
      <c r="H133" s="31">
        <v>17895.19921875</v>
      </c>
      <c r="I133" s="20">
        <f t="shared" ref="I133:I196" si="5">(H133-H132)/H132</f>
        <v>5.8936227604963589E-3</v>
      </c>
    </row>
    <row r="134" spans="2:9" ht="14.25" customHeight="1" x14ac:dyDescent="0.35">
      <c r="B134" s="29"/>
      <c r="C134" s="30">
        <v>44480</v>
      </c>
      <c r="D134">
        <v>35.330001831054702</v>
      </c>
      <c r="E134" s="20">
        <f t="shared" si="4"/>
        <v>-3.3850191622633659E-3</v>
      </c>
      <c r="G134" s="29">
        <v>44480</v>
      </c>
      <c r="H134" s="31">
        <v>17945.94921875</v>
      </c>
      <c r="I134" s="20">
        <f t="shared" si="5"/>
        <v>2.8359561343595336E-3</v>
      </c>
    </row>
    <row r="135" spans="2:9" ht="14.25" customHeight="1" x14ac:dyDescent="0.35">
      <c r="B135" s="29"/>
      <c r="C135" s="30">
        <v>44481</v>
      </c>
      <c r="D135">
        <v>37.409999847412102</v>
      </c>
      <c r="E135" s="20">
        <f t="shared" si="4"/>
        <v>5.8873419432690324E-2</v>
      </c>
      <c r="G135" s="29">
        <v>44481</v>
      </c>
      <c r="H135" s="31">
        <v>17991.94921875</v>
      </c>
      <c r="I135" s="20">
        <f t="shared" si="5"/>
        <v>2.5632525445875558E-3</v>
      </c>
    </row>
    <row r="136" spans="2:9" ht="14.25" customHeight="1" x14ac:dyDescent="0.35">
      <c r="B136" s="29"/>
      <c r="C136" s="30">
        <v>44482</v>
      </c>
      <c r="D136">
        <v>37.319999694824197</v>
      </c>
      <c r="E136" s="20">
        <f t="shared" si="4"/>
        <v>-2.4057779458700195E-3</v>
      </c>
      <c r="G136" s="29">
        <v>44482</v>
      </c>
      <c r="H136" s="31">
        <v>18161.75</v>
      </c>
      <c r="I136" s="20">
        <f t="shared" si="5"/>
        <v>9.4375978492116375E-3</v>
      </c>
    </row>
    <row r="137" spans="2:9" ht="14.25" customHeight="1" x14ac:dyDescent="0.35">
      <c r="B137" s="29"/>
      <c r="C137" s="30">
        <v>44483</v>
      </c>
      <c r="D137">
        <v>38.709999084472699</v>
      </c>
      <c r="E137" s="20">
        <f t="shared" si="4"/>
        <v>3.7245428751739147E-2</v>
      </c>
      <c r="G137" s="29">
        <v>44483</v>
      </c>
      <c r="H137" s="31">
        <v>18338.55078125</v>
      </c>
      <c r="I137" s="20">
        <f t="shared" si="5"/>
        <v>9.7347877407188178E-3</v>
      </c>
    </row>
    <row r="138" spans="2:9" ht="14.25" customHeight="1" x14ac:dyDescent="0.35">
      <c r="B138" s="29"/>
      <c r="C138" s="30">
        <v>44487</v>
      </c>
      <c r="D138">
        <v>39.790000915527301</v>
      </c>
      <c r="E138" s="20">
        <f t="shared" si="4"/>
        <v>2.7899815463643632E-2</v>
      </c>
      <c r="G138" s="29">
        <v>44487</v>
      </c>
      <c r="H138" s="31">
        <v>18477.05078125</v>
      </c>
      <c r="I138" s="20">
        <f t="shared" si="5"/>
        <v>7.5523961327198996E-3</v>
      </c>
    </row>
    <row r="139" spans="2:9" ht="14.25" customHeight="1" x14ac:dyDescent="0.35">
      <c r="B139" s="29"/>
      <c r="C139" s="30">
        <v>44488</v>
      </c>
      <c r="D139">
        <v>38.139999389648402</v>
      </c>
      <c r="E139" s="20">
        <f t="shared" si="4"/>
        <v>-4.1467742847802171E-2</v>
      </c>
      <c r="G139" s="29">
        <v>44488</v>
      </c>
      <c r="H139" s="31">
        <v>18418.75</v>
      </c>
      <c r="I139" s="20">
        <f t="shared" si="5"/>
        <v>-3.1553077349964326E-3</v>
      </c>
    </row>
    <row r="140" spans="2:9" ht="14.25" customHeight="1" x14ac:dyDescent="0.35">
      <c r="B140" s="29"/>
      <c r="C140" s="30">
        <v>44489</v>
      </c>
      <c r="D140">
        <v>39.060001373291001</v>
      </c>
      <c r="E140" s="20">
        <f t="shared" si="4"/>
        <v>2.4121709448487766E-2</v>
      </c>
      <c r="G140" s="29">
        <v>44489</v>
      </c>
      <c r="H140" s="31">
        <v>18266.599609375</v>
      </c>
      <c r="I140" s="20">
        <f t="shared" si="5"/>
        <v>-8.2606252120800815E-3</v>
      </c>
    </row>
    <row r="141" spans="2:9" ht="14.25" customHeight="1" x14ac:dyDescent="0.35">
      <c r="B141" s="29"/>
      <c r="C141" s="30">
        <v>44490</v>
      </c>
      <c r="D141">
        <v>39.919998168945298</v>
      </c>
      <c r="E141" s="20">
        <f t="shared" si="4"/>
        <v>2.2017326303586809E-2</v>
      </c>
      <c r="G141" s="29">
        <v>44490</v>
      </c>
      <c r="H141" s="31">
        <v>18178.099609375</v>
      </c>
      <c r="I141" s="20">
        <f t="shared" si="5"/>
        <v>-4.8449082967023036E-3</v>
      </c>
    </row>
    <row r="142" spans="2:9" ht="14.25" customHeight="1" x14ac:dyDescent="0.35">
      <c r="B142" s="29"/>
      <c r="C142" s="30">
        <v>44491</v>
      </c>
      <c r="D142">
        <v>39.720001220703097</v>
      </c>
      <c r="E142" s="20">
        <f t="shared" si="4"/>
        <v>-5.0099438230381491E-3</v>
      </c>
      <c r="G142" s="29">
        <v>44491</v>
      </c>
      <c r="H142" s="31">
        <v>18114.900390625</v>
      </c>
      <c r="I142" s="20">
        <f t="shared" si="5"/>
        <v>-3.4766680845673349E-3</v>
      </c>
    </row>
    <row r="143" spans="2:9" ht="14.25" customHeight="1" x14ac:dyDescent="0.35">
      <c r="B143" s="29"/>
      <c r="C143" s="30">
        <v>44494</v>
      </c>
      <c r="D143">
        <v>40.389999389648402</v>
      </c>
      <c r="E143" s="20">
        <f t="shared" si="4"/>
        <v>1.686802991828925E-2</v>
      </c>
      <c r="G143" s="29">
        <v>44494</v>
      </c>
      <c r="H143" s="31">
        <v>18125.400390625</v>
      </c>
      <c r="I143" s="20">
        <f t="shared" si="5"/>
        <v>5.7963332801068358E-4</v>
      </c>
    </row>
    <row r="144" spans="2:9" ht="14.25" customHeight="1" x14ac:dyDescent="0.35">
      <c r="B144" s="29"/>
      <c r="C144" s="30">
        <v>44495</v>
      </c>
      <c r="D144">
        <v>38.669998168945298</v>
      </c>
      <c r="E144" s="20">
        <f t="shared" si="4"/>
        <v>-4.2584829083803469E-2</v>
      </c>
      <c r="G144" s="29">
        <v>44495</v>
      </c>
      <c r="H144" s="31">
        <v>18268.400390625</v>
      </c>
      <c r="I144" s="20">
        <f t="shared" si="5"/>
        <v>7.8894808897001737E-3</v>
      </c>
    </row>
    <row r="145" spans="2:9" ht="14.25" customHeight="1" x14ac:dyDescent="0.35">
      <c r="B145" s="29"/>
      <c r="C145" s="30">
        <v>44496</v>
      </c>
      <c r="D145">
        <v>40.159999847412102</v>
      </c>
      <c r="E145" s="20">
        <f t="shared" si="4"/>
        <v>3.8531206336166295E-2</v>
      </c>
      <c r="G145" s="29">
        <v>44496</v>
      </c>
      <c r="H145" s="31">
        <v>18210.94921875</v>
      </c>
      <c r="I145" s="20">
        <f t="shared" si="5"/>
        <v>-3.144838663842887E-3</v>
      </c>
    </row>
    <row r="146" spans="2:9" ht="14.25" customHeight="1" x14ac:dyDescent="0.35">
      <c r="B146" s="29"/>
      <c r="C146" s="30">
        <v>44497</v>
      </c>
      <c r="D146">
        <v>39.080001831054702</v>
      </c>
      <c r="E146" s="20">
        <f t="shared" si="4"/>
        <v>-2.6892380987571025E-2</v>
      </c>
      <c r="G146" s="29">
        <v>44497</v>
      </c>
      <c r="H146" s="31">
        <v>17857.25</v>
      </c>
      <c r="I146" s="20">
        <f t="shared" si="5"/>
        <v>-1.942233842406365E-2</v>
      </c>
    </row>
    <row r="147" spans="2:9" ht="14.25" customHeight="1" x14ac:dyDescent="0.35">
      <c r="B147" s="29"/>
      <c r="C147" s="30">
        <v>44498</v>
      </c>
      <c r="D147">
        <v>42.900001525878899</v>
      </c>
      <c r="E147" s="20">
        <f t="shared" si="4"/>
        <v>9.7748196413559432E-2</v>
      </c>
      <c r="G147" s="29">
        <v>44498</v>
      </c>
      <c r="H147" s="31">
        <v>17671.650390625</v>
      </c>
      <c r="I147" s="20">
        <f t="shared" si="5"/>
        <v>-1.0393515763905417E-2</v>
      </c>
    </row>
    <row r="148" spans="2:9" ht="14.25" customHeight="1" x14ac:dyDescent="0.35">
      <c r="B148" s="29"/>
      <c r="C148" s="30">
        <v>44501</v>
      </c>
      <c r="D148">
        <v>42.930000305175803</v>
      </c>
      <c r="E148" s="20">
        <f t="shared" si="4"/>
        <v>6.9927221981115845E-4</v>
      </c>
      <c r="G148" s="29">
        <v>44501</v>
      </c>
      <c r="H148" s="31">
        <v>17929.650390625</v>
      </c>
      <c r="I148" s="20">
        <f t="shared" si="5"/>
        <v>1.4599655057507915E-2</v>
      </c>
    </row>
    <row r="149" spans="2:9" ht="14.25" customHeight="1" x14ac:dyDescent="0.35">
      <c r="B149" s="29"/>
      <c r="C149" s="30">
        <v>44502</v>
      </c>
      <c r="D149">
        <v>44.849998474121101</v>
      </c>
      <c r="E149" s="20">
        <f t="shared" si="4"/>
        <v>4.4723926282241748E-2</v>
      </c>
      <c r="G149" s="29">
        <v>44502</v>
      </c>
      <c r="H149" s="31">
        <v>17888.94921875</v>
      </c>
      <c r="I149" s="20">
        <f t="shared" si="5"/>
        <v>-2.2700482713417379E-3</v>
      </c>
    </row>
    <row r="150" spans="2:9" ht="14.25" customHeight="1" x14ac:dyDescent="0.35">
      <c r="B150" s="29"/>
      <c r="C150" s="30">
        <v>44503</v>
      </c>
      <c r="D150">
        <v>45.189998626708999</v>
      </c>
      <c r="E150" s="20">
        <f t="shared" si="4"/>
        <v>7.580828632225734E-3</v>
      </c>
      <c r="G150" s="29">
        <v>44503</v>
      </c>
      <c r="H150" s="31">
        <v>17829.19921875</v>
      </c>
      <c r="I150" s="20">
        <f t="shared" si="5"/>
        <v>-3.3400508475575552E-3</v>
      </c>
    </row>
    <row r="151" spans="2:9" ht="14.25" customHeight="1" x14ac:dyDescent="0.35">
      <c r="B151" s="29"/>
      <c r="C151" s="30">
        <v>44504</v>
      </c>
      <c r="D151">
        <v>45.759998321533203</v>
      </c>
      <c r="E151" s="20">
        <f t="shared" si="4"/>
        <v>1.2613403676611602E-2</v>
      </c>
      <c r="G151" s="29">
        <v>44504</v>
      </c>
      <c r="H151" s="31">
        <v>17916.80078125</v>
      </c>
      <c r="I151" s="20">
        <f t="shared" si="5"/>
        <v>4.9133761659847404E-3</v>
      </c>
    </row>
    <row r="152" spans="2:9" ht="14.25" customHeight="1" x14ac:dyDescent="0.35">
      <c r="B152" s="29"/>
      <c r="C152" s="30">
        <v>44508</v>
      </c>
      <c r="D152">
        <v>48.849998474121101</v>
      </c>
      <c r="E152" s="20">
        <f t="shared" si="4"/>
        <v>6.7526229587596853E-2</v>
      </c>
      <c r="G152" s="29">
        <v>44508</v>
      </c>
      <c r="H152" s="31">
        <v>18068.55078125</v>
      </c>
      <c r="I152" s="20">
        <f t="shared" si="5"/>
        <v>8.4697040421863115E-3</v>
      </c>
    </row>
    <row r="153" spans="2:9" ht="14.25" customHeight="1" x14ac:dyDescent="0.35">
      <c r="B153" s="29"/>
      <c r="C153" s="30">
        <v>44509</v>
      </c>
      <c r="D153">
        <v>48.560001373291001</v>
      </c>
      <c r="E153" s="20">
        <f t="shared" si="4"/>
        <v>-5.9364812669079007E-3</v>
      </c>
      <c r="G153" s="29">
        <v>44509</v>
      </c>
      <c r="H153" s="31">
        <v>18044.25</v>
      </c>
      <c r="I153" s="20">
        <f t="shared" si="5"/>
        <v>-1.3449214352717915E-3</v>
      </c>
    </row>
    <row r="154" spans="2:9" ht="14.25" customHeight="1" x14ac:dyDescent="0.35">
      <c r="B154" s="29"/>
      <c r="C154" s="30">
        <v>44510</v>
      </c>
      <c r="D154">
        <v>47.189998626708999</v>
      </c>
      <c r="E154" s="20">
        <f t="shared" si="4"/>
        <v>-2.8212576355805718E-2</v>
      </c>
      <c r="G154" s="29">
        <v>44510</v>
      </c>
      <c r="H154" s="31">
        <v>18017.19921875</v>
      </c>
      <c r="I154" s="20">
        <f t="shared" si="5"/>
        <v>-1.499135805034845E-3</v>
      </c>
    </row>
    <row r="155" spans="2:9" ht="14.25" customHeight="1" x14ac:dyDescent="0.35">
      <c r="B155" s="29"/>
      <c r="C155" s="30">
        <v>44511</v>
      </c>
      <c r="D155">
        <v>46.319999694824197</v>
      </c>
      <c r="E155" s="20">
        <f t="shared" si="4"/>
        <v>-1.8436087247359904E-2</v>
      </c>
      <c r="G155" s="29">
        <v>44511</v>
      </c>
      <c r="H155" s="31">
        <v>17873.599609375</v>
      </c>
      <c r="I155" s="20">
        <f t="shared" si="5"/>
        <v>-7.970140510271978E-3</v>
      </c>
    </row>
    <row r="156" spans="2:9" ht="14.25" customHeight="1" x14ac:dyDescent="0.35">
      <c r="B156" s="29"/>
      <c r="C156" s="30">
        <v>44512</v>
      </c>
      <c r="D156">
        <v>46.159999847412102</v>
      </c>
      <c r="E156" s="20">
        <f t="shared" si="4"/>
        <v>-3.4542281620518569E-3</v>
      </c>
      <c r="G156" s="29">
        <v>44512</v>
      </c>
      <c r="H156" s="31">
        <v>18102.75</v>
      </c>
      <c r="I156" s="20">
        <f t="shared" si="5"/>
        <v>1.2820606684330492E-2</v>
      </c>
    </row>
    <row r="157" spans="2:9" ht="14.25" customHeight="1" x14ac:dyDescent="0.35">
      <c r="B157" s="29"/>
      <c r="C157" s="30">
        <v>44515</v>
      </c>
      <c r="D157">
        <v>45.5200004577637</v>
      </c>
      <c r="E157" s="20">
        <f t="shared" si="4"/>
        <v>-1.386480484757373E-2</v>
      </c>
      <c r="G157" s="29">
        <v>44515</v>
      </c>
      <c r="H157" s="31">
        <v>18109.44921875</v>
      </c>
      <c r="I157" s="20">
        <f t="shared" si="5"/>
        <v>3.7006635732140142E-4</v>
      </c>
    </row>
    <row r="158" spans="2:9" ht="14.25" customHeight="1" x14ac:dyDescent="0.35">
      <c r="B158" s="29"/>
      <c r="C158" s="30">
        <v>44516</v>
      </c>
      <c r="D158">
        <v>44.409999847412102</v>
      </c>
      <c r="E158" s="20">
        <f t="shared" si="4"/>
        <v>-2.4384898927703787E-2</v>
      </c>
      <c r="G158" s="29">
        <v>44516</v>
      </c>
      <c r="H158" s="31">
        <v>17999.19921875</v>
      </c>
      <c r="I158" s="20">
        <f t="shared" si="5"/>
        <v>-6.0879819517564533E-3</v>
      </c>
    </row>
    <row r="159" spans="2:9" ht="14.25" customHeight="1" x14ac:dyDescent="0.35">
      <c r="B159" s="29"/>
      <c r="C159" s="30">
        <v>44517</v>
      </c>
      <c r="D159">
        <v>44.009998321533203</v>
      </c>
      <c r="E159" s="20">
        <f t="shared" si="4"/>
        <v>-9.0070147996681067E-3</v>
      </c>
      <c r="G159" s="29">
        <v>44517</v>
      </c>
      <c r="H159" s="31">
        <v>17898.650390625</v>
      </c>
      <c r="I159" s="20">
        <f t="shared" si="5"/>
        <v>-5.5862945291619958E-3</v>
      </c>
    </row>
    <row r="160" spans="2:9" ht="14.25" customHeight="1" x14ac:dyDescent="0.35">
      <c r="B160" s="29"/>
      <c r="C160" s="30">
        <v>44518</v>
      </c>
      <c r="D160">
        <v>43.909999847412102</v>
      </c>
      <c r="E160" s="20">
        <f t="shared" si="4"/>
        <v>-2.2721762766387934E-3</v>
      </c>
      <c r="G160" s="29">
        <v>44518</v>
      </c>
      <c r="H160" s="31">
        <v>17764.80078125</v>
      </c>
      <c r="I160" s="20">
        <f t="shared" si="5"/>
        <v>-7.4781956434608098E-3</v>
      </c>
    </row>
    <row r="161" spans="2:9" ht="14.25" customHeight="1" x14ac:dyDescent="0.35">
      <c r="B161" s="29"/>
      <c r="C161" s="30">
        <v>44522</v>
      </c>
      <c r="D161">
        <v>42.360000610351598</v>
      </c>
      <c r="E161" s="20">
        <f t="shared" si="4"/>
        <v>-3.5299458948913107E-2</v>
      </c>
      <c r="G161" s="29">
        <v>44522</v>
      </c>
      <c r="H161" s="31">
        <v>17416.55078125</v>
      </c>
      <c r="I161" s="20">
        <f t="shared" si="5"/>
        <v>-1.96033721001568E-2</v>
      </c>
    </row>
    <row r="162" spans="2:9" ht="14.25" customHeight="1" x14ac:dyDescent="0.35">
      <c r="B162" s="29"/>
      <c r="C162" s="30">
        <v>44523</v>
      </c>
      <c r="D162">
        <v>43.220001220703097</v>
      </c>
      <c r="E162" s="20">
        <f t="shared" si="4"/>
        <v>2.030218597639346E-2</v>
      </c>
      <c r="G162" s="29">
        <v>44523</v>
      </c>
      <c r="H162" s="31">
        <v>17503.349609375</v>
      </c>
      <c r="I162" s="20">
        <f t="shared" si="5"/>
        <v>4.9836979327987458E-3</v>
      </c>
    </row>
    <row r="163" spans="2:9" ht="14.25" customHeight="1" x14ac:dyDescent="0.35">
      <c r="B163" s="29"/>
      <c r="C163" s="30">
        <v>44524</v>
      </c>
      <c r="D163">
        <v>42.700000762939503</v>
      </c>
      <c r="E163" s="20">
        <f t="shared" si="4"/>
        <v>-1.203147716512569E-2</v>
      </c>
      <c r="G163" s="29">
        <v>44524</v>
      </c>
      <c r="H163" s="31">
        <v>17415.05078125</v>
      </c>
      <c r="I163" s="20">
        <f t="shared" si="5"/>
        <v>-5.0446817378146927E-3</v>
      </c>
    </row>
    <row r="164" spans="2:9" ht="14.25" customHeight="1" x14ac:dyDescent="0.35">
      <c r="B164" s="29"/>
      <c r="C164" s="30">
        <v>44525</v>
      </c>
      <c r="D164">
        <v>43.009998321533203</v>
      </c>
      <c r="E164" s="20">
        <f t="shared" si="4"/>
        <v>7.2598958560852207E-3</v>
      </c>
      <c r="G164" s="29">
        <v>44525</v>
      </c>
      <c r="H164" s="31">
        <v>17536.25</v>
      </c>
      <c r="I164" s="20">
        <f t="shared" si="5"/>
        <v>6.9594525030320176E-3</v>
      </c>
    </row>
    <row r="165" spans="2:9" ht="14.25" customHeight="1" x14ac:dyDescent="0.35">
      <c r="B165" s="29"/>
      <c r="C165" s="30">
        <v>44526</v>
      </c>
      <c r="D165">
        <v>40.529998779296903</v>
      </c>
      <c r="E165" s="20">
        <f t="shared" si="4"/>
        <v>-5.7661000674689024E-2</v>
      </c>
      <c r="G165" s="29">
        <v>44526</v>
      </c>
      <c r="H165" s="31">
        <v>17026.44921875</v>
      </c>
      <c r="I165" s="20">
        <f t="shared" si="5"/>
        <v>-2.9071254187753939E-2</v>
      </c>
    </row>
    <row r="166" spans="2:9" ht="14.25" customHeight="1" x14ac:dyDescent="0.35">
      <c r="B166" s="29"/>
      <c r="C166" s="30">
        <v>44529</v>
      </c>
      <c r="D166">
        <v>39.849998474121101</v>
      </c>
      <c r="E166" s="20">
        <f t="shared" si="4"/>
        <v>-1.6777703569119104E-2</v>
      </c>
      <c r="G166" s="29">
        <v>44529</v>
      </c>
      <c r="H166" s="31">
        <v>17053.94921875</v>
      </c>
      <c r="I166" s="20">
        <f t="shared" si="5"/>
        <v>1.615134174289037E-3</v>
      </c>
    </row>
    <row r="167" spans="2:9" ht="14.25" customHeight="1" x14ac:dyDescent="0.35">
      <c r="B167" s="29"/>
      <c r="C167" s="30">
        <v>44530</v>
      </c>
      <c r="D167">
        <v>39.830001831054702</v>
      </c>
      <c r="E167" s="20">
        <f t="shared" si="4"/>
        <v>-5.0179783769339719E-4</v>
      </c>
      <c r="G167" s="29">
        <v>44530</v>
      </c>
      <c r="H167" s="31">
        <v>16983.19921875</v>
      </c>
      <c r="I167" s="20">
        <f t="shared" si="5"/>
        <v>-4.1485991949720222E-3</v>
      </c>
    </row>
    <row r="168" spans="2:9" ht="14.25" customHeight="1" x14ac:dyDescent="0.35">
      <c r="B168" s="29"/>
      <c r="C168" s="30">
        <v>44531</v>
      </c>
      <c r="D168">
        <v>41.340000152587898</v>
      </c>
      <c r="E168" s="20">
        <f t="shared" si="4"/>
        <v>3.7911078386039111E-2</v>
      </c>
      <c r="G168" s="29">
        <v>44531</v>
      </c>
      <c r="H168" s="31">
        <v>17166.900390625</v>
      </c>
      <c r="I168" s="20">
        <f t="shared" si="5"/>
        <v>1.0816641170421411E-2</v>
      </c>
    </row>
    <row r="169" spans="2:9" ht="14.25" customHeight="1" x14ac:dyDescent="0.35">
      <c r="B169" s="29"/>
      <c r="C169" s="30">
        <v>44532</v>
      </c>
      <c r="D169">
        <v>41.430000305175803</v>
      </c>
      <c r="E169" s="20">
        <f t="shared" si="4"/>
        <v>2.1770718978159171E-3</v>
      </c>
      <c r="G169" s="29">
        <v>44532</v>
      </c>
      <c r="H169" s="31">
        <v>17401.650390625</v>
      </c>
      <c r="I169" s="20">
        <f t="shared" si="5"/>
        <v>1.3674571102433792E-2</v>
      </c>
    </row>
    <row r="170" spans="2:9" ht="14.25" customHeight="1" x14ac:dyDescent="0.35">
      <c r="B170" s="29"/>
      <c r="C170" s="30">
        <v>44533</v>
      </c>
      <c r="D170">
        <v>41.299999237060597</v>
      </c>
      <c r="E170" s="20">
        <f t="shared" si="4"/>
        <v>-3.1378485917839846E-3</v>
      </c>
      <c r="G170" s="29">
        <v>44533</v>
      </c>
      <c r="H170" s="31">
        <v>17196.69921875</v>
      </c>
      <c r="I170" s="20">
        <f t="shared" si="5"/>
        <v>-1.1777685867394267E-2</v>
      </c>
    </row>
    <row r="171" spans="2:9" ht="14.25" customHeight="1" x14ac:dyDescent="0.35">
      <c r="B171" s="29"/>
      <c r="C171" s="30">
        <v>44536</v>
      </c>
      <c r="D171">
        <v>40.509998321533203</v>
      </c>
      <c r="E171" s="20">
        <f t="shared" si="4"/>
        <v>-1.9128351818914452E-2</v>
      </c>
      <c r="G171" s="29">
        <v>44536</v>
      </c>
      <c r="H171" s="31">
        <v>16912.25</v>
      </c>
      <c r="I171" s="20">
        <f t="shared" si="5"/>
        <v>-1.6540919575999662E-2</v>
      </c>
    </row>
    <row r="172" spans="2:9" ht="14.25" customHeight="1" x14ac:dyDescent="0.35">
      <c r="B172" s="29"/>
      <c r="C172" s="30">
        <v>44537</v>
      </c>
      <c r="D172">
        <v>41.830001831054702</v>
      </c>
      <c r="E172" s="20">
        <f t="shared" si="4"/>
        <v>3.2584635008978687E-2</v>
      </c>
      <c r="G172" s="29">
        <v>44537</v>
      </c>
      <c r="H172" s="31">
        <v>17176.69921875</v>
      </c>
      <c r="I172" s="20">
        <f t="shared" si="5"/>
        <v>1.5636548581649395E-2</v>
      </c>
    </row>
    <row r="173" spans="2:9" ht="14.25" customHeight="1" x14ac:dyDescent="0.35">
      <c r="B173" s="29"/>
      <c r="C173" s="30">
        <v>44538</v>
      </c>
      <c r="D173">
        <v>42.939998626708999</v>
      </c>
      <c r="E173" s="20">
        <f t="shared" si="4"/>
        <v>2.6535901196882865E-2</v>
      </c>
      <c r="G173" s="29">
        <v>44538</v>
      </c>
      <c r="H173" s="31">
        <v>17469.75</v>
      </c>
      <c r="I173" s="20">
        <f t="shared" si="5"/>
        <v>1.7060948527881727E-2</v>
      </c>
    </row>
    <row r="174" spans="2:9" ht="14.25" customHeight="1" x14ac:dyDescent="0.35">
      <c r="B174" s="29"/>
      <c r="C174" s="30">
        <v>44539</v>
      </c>
      <c r="D174">
        <v>43</v>
      </c>
      <c r="E174" s="20">
        <f t="shared" si="4"/>
        <v>1.3973305824392856E-3</v>
      </c>
      <c r="G174" s="29">
        <v>44539</v>
      </c>
      <c r="H174" s="31">
        <v>17516.849609375</v>
      </c>
      <c r="I174" s="20">
        <f t="shared" si="5"/>
        <v>2.6960665936833668E-3</v>
      </c>
    </row>
    <row r="175" spans="2:9" ht="14.25" customHeight="1" x14ac:dyDescent="0.35">
      <c r="B175" s="29"/>
      <c r="C175" s="30">
        <v>44540</v>
      </c>
      <c r="D175">
        <v>44.430000305175803</v>
      </c>
      <c r="E175" s="20">
        <f t="shared" si="4"/>
        <v>3.3255821050600057E-2</v>
      </c>
      <c r="G175" s="29">
        <v>44540</v>
      </c>
      <c r="H175" s="31">
        <v>17511.30078125</v>
      </c>
      <c r="I175" s="20">
        <f t="shared" si="5"/>
        <v>-3.1677089480920548E-4</v>
      </c>
    </row>
    <row r="176" spans="2:9" ht="14.25" customHeight="1" x14ac:dyDescent="0.35">
      <c r="B176" s="29"/>
      <c r="C176" s="30">
        <v>44543</v>
      </c>
      <c r="D176">
        <v>43.439998626708999</v>
      </c>
      <c r="E176" s="20">
        <f t="shared" si="4"/>
        <v>-2.228227935329263E-2</v>
      </c>
      <c r="G176" s="29">
        <v>44543</v>
      </c>
      <c r="H176" s="31">
        <v>17368.25</v>
      </c>
      <c r="I176" s="20">
        <f t="shared" si="5"/>
        <v>-8.1690551168631508E-3</v>
      </c>
    </row>
    <row r="177" spans="2:9" ht="14.25" customHeight="1" x14ac:dyDescent="0.35">
      <c r="B177" s="29"/>
      <c r="C177" s="30">
        <v>44544</v>
      </c>
      <c r="D177">
        <v>43.119998931884801</v>
      </c>
      <c r="E177" s="20">
        <f t="shared" si="4"/>
        <v>-7.3664757122585689E-3</v>
      </c>
      <c r="G177" s="29">
        <v>44544</v>
      </c>
      <c r="H177" s="31">
        <v>17324.900390625</v>
      </c>
      <c r="I177" s="20">
        <f t="shared" si="5"/>
        <v>-2.4959111813222402E-3</v>
      </c>
    </row>
    <row r="178" spans="2:9" ht="14.25" customHeight="1" x14ac:dyDescent="0.35">
      <c r="B178" s="29"/>
      <c r="C178" s="30">
        <v>44545</v>
      </c>
      <c r="D178">
        <v>42.25</v>
      </c>
      <c r="E178" s="20">
        <f t="shared" si="4"/>
        <v>-2.0176228048129335E-2</v>
      </c>
      <c r="G178" s="29">
        <v>44545</v>
      </c>
      <c r="H178" s="31">
        <v>17221.400390625</v>
      </c>
      <c r="I178" s="20">
        <f t="shared" si="5"/>
        <v>-5.9740603216401067E-3</v>
      </c>
    </row>
    <row r="179" spans="2:9" ht="14.25" customHeight="1" x14ac:dyDescent="0.35">
      <c r="B179" s="29"/>
      <c r="C179" s="30">
        <v>44546</v>
      </c>
      <c r="D179">
        <v>42.439998626708999</v>
      </c>
      <c r="E179" s="20">
        <f t="shared" si="4"/>
        <v>4.4970089161893156E-3</v>
      </c>
      <c r="G179" s="29">
        <v>44546</v>
      </c>
      <c r="H179" s="31">
        <v>17248.400390625</v>
      </c>
      <c r="I179" s="20">
        <f t="shared" si="5"/>
        <v>1.5678167505296654E-3</v>
      </c>
    </row>
    <row r="180" spans="2:9" ht="14.25" customHeight="1" x14ac:dyDescent="0.35">
      <c r="B180" s="29"/>
      <c r="C180" s="30">
        <v>44547</v>
      </c>
      <c r="D180">
        <v>40.419998168945298</v>
      </c>
      <c r="E180" s="20">
        <f t="shared" si="4"/>
        <v>-4.7596619300841407E-2</v>
      </c>
      <c r="G180" s="29">
        <v>44547</v>
      </c>
      <c r="H180" s="31">
        <v>16985.19921875</v>
      </c>
      <c r="I180" s="20">
        <f t="shared" si="5"/>
        <v>-1.525945397337004E-2</v>
      </c>
    </row>
    <row r="181" spans="2:9" ht="14.25" customHeight="1" x14ac:dyDescent="0.35">
      <c r="B181" s="29"/>
      <c r="C181" s="30">
        <v>44550</v>
      </c>
      <c r="D181">
        <v>38.169998168945298</v>
      </c>
      <c r="E181" s="20">
        <f t="shared" si="4"/>
        <v>-5.5665514644398867E-2</v>
      </c>
      <c r="G181" s="29">
        <v>44550</v>
      </c>
      <c r="H181" s="31">
        <v>16614.19921875</v>
      </c>
      <c r="I181" s="20">
        <f t="shared" si="5"/>
        <v>-2.1842546279377886E-2</v>
      </c>
    </row>
    <row r="182" spans="2:9" ht="14.25" customHeight="1" x14ac:dyDescent="0.35">
      <c r="B182" s="29"/>
      <c r="C182" s="30">
        <v>44551</v>
      </c>
      <c r="D182">
        <v>38.439998626708999</v>
      </c>
      <c r="E182" s="20">
        <f t="shared" si="4"/>
        <v>7.0736303567174334E-3</v>
      </c>
      <c r="G182" s="29">
        <v>44551</v>
      </c>
      <c r="H182" s="31">
        <v>16770.849609375</v>
      </c>
      <c r="I182" s="20">
        <f t="shared" si="5"/>
        <v>9.4287054442089378E-3</v>
      </c>
    </row>
    <row r="183" spans="2:9" ht="14.25" customHeight="1" x14ac:dyDescent="0.35">
      <c r="B183" s="29"/>
      <c r="C183" s="30">
        <v>44552</v>
      </c>
      <c r="D183">
        <v>39.540000915527301</v>
      </c>
      <c r="E183" s="20">
        <f t="shared" si="4"/>
        <v>2.8616085538931198E-2</v>
      </c>
      <c r="G183" s="29">
        <v>44552</v>
      </c>
      <c r="H183" s="31">
        <v>16955.44921875</v>
      </c>
      <c r="I183" s="20">
        <f t="shared" si="5"/>
        <v>1.1007170994593368E-2</v>
      </c>
    </row>
    <row r="184" spans="2:9" ht="14.25" customHeight="1" x14ac:dyDescent="0.35">
      <c r="B184" s="29"/>
      <c r="C184" s="30">
        <v>44553</v>
      </c>
      <c r="D184">
        <v>40.099998474121101</v>
      </c>
      <c r="E184" s="20">
        <f t="shared" si="4"/>
        <v>1.4162810966802216E-2</v>
      </c>
      <c r="G184" s="29">
        <v>44553</v>
      </c>
      <c r="H184" s="31">
        <v>17072.599609375</v>
      </c>
      <c r="I184" s="20">
        <f t="shared" si="5"/>
        <v>6.9093062126275315E-3</v>
      </c>
    </row>
    <row r="185" spans="2:9" ht="14.25" customHeight="1" x14ac:dyDescent="0.35">
      <c r="B185" s="29"/>
      <c r="C185" s="30">
        <v>44554</v>
      </c>
      <c r="D185">
        <v>38.790000915527301</v>
      </c>
      <c r="E185" s="20">
        <f t="shared" si="4"/>
        <v>-3.2668269537197578E-2</v>
      </c>
      <c r="G185" s="29">
        <v>44554</v>
      </c>
      <c r="H185" s="31">
        <v>17003.75</v>
      </c>
      <c r="I185" s="20">
        <f t="shared" si="5"/>
        <v>-4.0327548791803756E-3</v>
      </c>
    </row>
    <row r="186" spans="2:9" ht="14.25" customHeight="1" x14ac:dyDescent="0.35">
      <c r="B186" s="29"/>
      <c r="C186" s="30">
        <v>44557</v>
      </c>
      <c r="D186">
        <v>39.119998931884801</v>
      </c>
      <c r="E186" s="20">
        <f t="shared" si="4"/>
        <v>8.5072959156699754E-3</v>
      </c>
      <c r="G186" s="29">
        <v>44557</v>
      </c>
      <c r="H186" s="31">
        <v>17086.25</v>
      </c>
      <c r="I186" s="20">
        <f t="shared" si="5"/>
        <v>4.8518709108284937E-3</v>
      </c>
    </row>
    <row r="187" spans="2:9" ht="14.25" customHeight="1" x14ac:dyDescent="0.35">
      <c r="B187" s="29"/>
      <c r="C187" s="30">
        <v>44558</v>
      </c>
      <c r="D187">
        <v>39.569999694824197</v>
      </c>
      <c r="E187" s="20">
        <f t="shared" si="4"/>
        <v>1.1503087301278596E-2</v>
      </c>
      <c r="G187" s="29">
        <v>44558</v>
      </c>
      <c r="H187" s="31">
        <v>17233.25</v>
      </c>
      <c r="I187" s="20">
        <f t="shared" si="5"/>
        <v>8.6034091740434561E-3</v>
      </c>
    </row>
    <row r="188" spans="2:9" ht="14.25" customHeight="1" x14ac:dyDescent="0.35">
      <c r="B188" s="29"/>
      <c r="C188" s="30">
        <v>44559</v>
      </c>
      <c r="D188">
        <v>39.340000152587898</v>
      </c>
      <c r="E188" s="20">
        <f t="shared" si="4"/>
        <v>-5.8124726815801291E-3</v>
      </c>
      <c r="G188" s="29">
        <v>44559</v>
      </c>
      <c r="H188" s="31">
        <v>17213.599609375</v>
      </c>
      <c r="I188" s="20">
        <f t="shared" si="5"/>
        <v>-1.1402602889762524E-3</v>
      </c>
    </row>
    <row r="189" spans="2:9" ht="14.25" customHeight="1" x14ac:dyDescent="0.35">
      <c r="B189" s="29"/>
      <c r="C189" s="30">
        <v>44560</v>
      </c>
      <c r="D189">
        <v>39</v>
      </c>
      <c r="E189" s="20">
        <f t="shared" si="4"/>
        <v>-8.6426067938266526E-3</v>
      </c>
      <c r="G189" s="29">
        <v>44560</v>
      </c>
      <c r="H189" s="31">
        <v>17203.94921875</v>
      </c>
      <c r="I189" s="20">
        <f t="shared" si="5"/>
        <v>-5.606259494814862E-4</v>
      </c>
    </row>
    <row r="190" spans="2:9" ht="14.25" customHeight="1" x14ac:dyDescent="0.35">
      <c r="B190" s="29"/>
      <c r="C190" s="30">
        <v>44561</v>
      </c>
      <c r="D190">
        <v>39.990001678466797</v>
      </c>
      <c r="E190" s="20">
        <f t="shared" si="4"/>
        <v>2.5384658422225561E-2</v>
      </c>
      <c r="G190" s="29">
        <v>44561</v>
      </c>
      <c r="H190" s="31">
        <v>17354.05078125</v>
      </c>
      <c r="I190" s="20">
        <f t="shared" si="5"/>
        <v>8.7248317576065267E-3</v>
      </c>
    </row>
    <row r="191" spans="2:9" ht="14.25" customHeight="1" x14ac:dyDescent="0.35">
      <c r="B191" s="29"/>
      <c r="C191" s="30">
        <v>44564</v>
      </c>
      <c r="D191">
        <v>41.090000152587898</v>
      </c>
      <c r="E191" s="20">
        <f t="shared" si="4"/>
        <v>2.7506837408146727E-2</v>
      </c>
      <c r="G191" s="29">
        <v>44564</v>
      </c>
      <c r="H191" s="31">
        <v>17625.69921875</v>
      </c>
      <c r="I191" s="20">
        <f t="shared" si="5"/>
        <v>1.565331581220793E-2</v>
      </c>
    </row>
    <row r="192" spans="2:9" ht="14.25" customHeight="1" x14ac:dyDescent="0.35">
      <c r="B192" s="29"/>
      <c r="C192" s="30">
        <v>44565</v>
      </c>
      <c r="D192">
        <v>41.310001373291001</v>
      </c>
      <c r="E192" s="20">
        <f t="shared" si="4"/>
        <v>5.3541304425925576E-3</v>
      </c>
      <c r="G192" s="29">
        <v>44565</v>
      </c>
      <c r="H192" s="31">
        <v>17805.25</v>
      </c>
      <c r="I192" s="20">
        <f t="shared" si="5"/>
        <v>1.0186874235264159E-2</v>
      </c>
    </row>
    <row r="193" spans="2:9" ht="14.25" customHeight="1" x14ac:dyDescent="0.35">
      <c r="B193" s="29"/>
      <c r="C193" s="30">
        <v>44566</v>
      </c>
      <c r="D193">
        <v>42.200000762939503</v>
      </c>
      <c r="E193" s="20">
        <f t="shared" si="4"/>
        <v>2.1544404746109035E-2</v>
      </c>
      <c r="G193" s="29">
        <v>44566</v>
      </c>
      <c r="H193" s="31">
        <v>17925.25</v>
      </c>
      <c r="I193" s="20">
        <f t="shared" si="5"/>
        <v>6.7395852346920151E-3</v>
      </c>
    </row>
    <row r="194" spans="2:9" ht="14.25" customHeight="1" x14ac:dyDescent="0.35">
      <c r="B194" s="29"/>
      <c r="C194" s="30">
        <v>44567</v>
      </c>
      <c r="D194">
        <v>42.5</v>
      </c>
      <c r="E194" s="20">
        <f t="shared" si="4"/>
        <v>7.1089865316770256E-3</v>
      </c>
      <c r="G194" s="29">
        <v>44567</v>
      </c>
      <c r="H194" s="31">
        <v>17745.900390625</v>
      </c>
      <c r="I194" s="20">
        <f t="shared" si="5"/>
        <v>-1.0005417462796892E-2</v>
      </c>
    </row>
    <row r="195" spans="2:9" ht="14.25" customHeight="1" x14ac:dyDescent="0.35">
      <c r="B195" s="29"/>
      <c r="C195" s="30">
        <v>44568</v>
      </c>
      <c r="D195">
        <v>42.459999084472699</v>
      </c>
      <c r="E195" s="20">
        <f t="shared" si="4"/>
        <v>-9.4119801240708509E-4</v>
      </c>
      <c r="G195" s="29">
        <v>44568</v>
      </c>
      <c r="H195" s="31">
        <v>17812.69921875</v>
      </c>
      <c r="I195" s="20">
        <f t="shared" si="5"/>
        <v>3.7641836511315718E-3</v>
      </c>
    </row>
    <row r="196" spans="2:9" ht="14.25" customHeight="1" x14ac:dyDescent="0.35">
      <c r="B196" s="29"/>
      <c r="C196" s="30">
        <v>44571</v>
      </c>
      <c r="D196">
        <v>43.939998626708999</v>
      </c>
      <c r="E196" s="20">
        <f t="shared" si="4"/>
        <v>3.4856325344988628E-2</v>
      </c>
      <c r="G196" s="29">
        <v>44571</v>
      </c>
      <c r="H196" s="31">
        <v>18003.30078125</v>
      </c>
      <c r="I196" s="20">
        <f t="shared" si="5"/>
        <v>1.0700318921871708E-2</v>
      </c>
    </row>
    <row r="197" spans="2:9" ht="14.25" customHeight="1" x14ac:dyDescent="0.35">
      <c r="B197" s="29"/>
      <c r="C197" s="30">
        <v>44572</v>
      </c>
      <c r="D197">
        <v>44.279998779296903</v>
      </c>
      <c r="E197" s="20">
        <f t="shared" ref="E197:E260" si="6">(D197-D196)/D196</f>
        <v>7.7378280203503512E-3</v>
      </c>
      <c r="G197" s="29">
        <v>44572</v>
      </c>
      <c r="H197" s="31">
        <v>18055.75</v>
      </c>
      <c r="I197" s="20">
        <f t="shared" ref="I197:I260" si="7">(H197-H196)/H196</f>
        <v>2.9133112526023332E-3</v>
      </c>
    </row>
    <row r="198" spans="2:9" ht="14.25" customHeight="1" x14ac:dyDescent="0.35">
      <c r="B198" s="29"/>
      <c r="C198" s="30">
        <v>44573</v>
      </c>
      <c r="D198">
        <v>44.549999237060597</v>
      </c>
      <c r="E198" s="20">
        <f t="shared" si="6"/>
        <v>6.0975714816399636E-3</v>
      </c>
      <c r="G198" s="29">
        <v>44573</v>
      </c>
      <c r="H198" s="31">
        <v>18212.349609375</v>
      </c>
      <c r="I198" s="20">
        <f t="shared" si="7"/>
        <v>8.6731157318305808E-3</v>
      </c>
    </row>
    <row r="199" spans="2:9" ht="14.25" customHeight="1" x14ac:dyDescent="0.35">
      <c r="B199" s="29"/>
      <c r="C199" s="30">
        <v>44574</v>
      </c>
      <c r="D199">
        <v>45.069999694824197</v>
      </c>
      <c r="E199" s="20">
        <f t="shared" si="6"/>
        <v>1.1672288814115597E-2</v>
      </c>
      <c r="G199" s="29">
        <v>44574</v>
      </c>
      <c r="H199" s="31">
        <v>18257.80078125</v>
      </c>
      <c r="I199" s="20">
        <f t="shared" si="7"/>
        <v>2.495623730592319E-3</v>
      </c>
    </row>
    <row r="200" spans="2:9" ht="14.25" customHeight="1" x14ac:dyDescent="0.35">
      <c r="B200" s="29"/>
      <c r="C200" s="30">
        <v>44575</v>
      </c>
      <c r="D200">
        <v>45.529998779296903</v>
      </c>
      <c r="E200" s="20">
        <f t="shared" si="6"/>
        <v>1.0206325440147095E-2</v>
      </c>
      <c r="G200" s="29">
        <v>44575</v>
      </c>
      <c r="H200" s="31">
        <v>18255.75</v>
      </c>
      <c r="I200" s="20">
        <f t="shared" si="7"/>
        <v>-1.1232356375068276E-4</v>
      </c>
    </row>
    <row r="201" spans="2:9" ht="14.25" customHeight="1" x14ac:dyDescent="0.35">
      <c r="B201" s="29"/>
      <c r="C201" s="30">
        <v>44578</v>
      </c>
      <c r="D201">
        <v>45.540000915527301</v>
      </c>
      <c r="E201" s="20">
        <f t="shared" si="6"/>
        <v>2.1968233030012293E-4</v>
      </c>
      <c r="G201" s="29">
        <v>44578</v>
      </c>
      <c r="H201" s="31">
        <v>18308.099609375</v>
      </c>
      <c r="I201" s="20">
        <f t="shared" si="7"/>
        <v>2.867568266162716E-3</v>
      </c>
    </row>
    <row r="202" spans="2:9" ht="14.25" customHeight="1" x14ac:dyDescent="0.35">
      <c r="B202" s="29"/>
      <c r="C202" s="30">
        <v>44579</v>
      </c>
      <c r="D202">
        <v>44.619998931884801</v>
      </c>
      <c r="E202" s="20">
        <f t="shared" si="6"/>
        <v>-2.0202063354127348E-2</v>
      </c>
      <c r="G202" s="29">
        <v>44579</v>
      </c>
      <c r="H202" s="31">
        <v>18113.05078125</v>
      </c>
      <c r="I202" s="20">
        <f t="shared" si="7"/>
        <v>-1.0653690567923372E-2</v>
      </c>
    </row>
    <row r="203" spans="2:9" ht="14.25" customHeight="1" x14ac:dyDescent="0.35">
      <c r="B203" s="29"/>
      <c r="C203" s="30">
        <v>44580</v>
      </c>
      <c r="D203">
        <v>45.680000305175803</v>
      </c>
      <c r="E203" s="20">
        <f t="shared" si="6"/>
        <v>2.3756194501688789E-2</v>
      </c>
      <c r="G203" s="29">
        <v>44580</v>
      </c>
      <c r="H203" s="31">
        <v>17938.400390625</v>
      </c>
      <c r="I203" s="20">
        <f t="shared" si="7"/>
        <v>-9.642240433941256E-3</v>
      </c>
    </row>
    <row r="204" spans="2:9" ht="14.25" customHeight="1" x14ac:dyDescent="0.35">
      <c r="B204" s="29"/>
      <c r="C204" s="30">
        <v>44581</v>
      </c>
      <c r="D204">
        <v>45.689998626708999</v>
      </c>
      <c r="E204" s="20">
        <f t="shared" si="6"/>
        <v>2.1887744015761649E-4</v>
      </c>
      <c r="G204" s="29">
        <v>44581</v>
      </c>
      <c r="H204" s="31">
        <v>17757</v>
      </c>
      <c r="I204" s="20">
        <f t="shared" si="7"/>
        <v>-1.0112406160797024E-2</v>
      </c>
    </row>
    <row r="205" spans="2:9" ht="14.25" customHeight="1" x14ac:dyDescent="0.35">
      <c r="B205" s="29"/>
      <c r="C205" s="30">
        <v>44582</v>
      </c>
      <c r="D205">
        <v>43.119998931884801</v>
      </c>
      <c r="E205" s="20">
        <f t="shared" si="6"/>
        <v>-5.6248627097175111E-2</v>
      </c>
      <c r="G205" s="29">
        <v>44582</v>
      </c>
      <c r="H205" s="31">
        <v>17617.150390625</v>
      </c>
      <c r="I205" s="20">
        <f t="shared" si="7"/>
        <v>-7.875745304668582E-3</v>
      </c>
    </row>
    <row r="206" spans="2:9" ht="14.25" customHeight="1" x14ac:dyDescent="0.35">
      <c r="B206" s="29"/>
      <c r="C206" s="30">
        <v>44585</v>
      </c>
      <c r="D206">
        <v>41.740001678466797</v>
      </c>
      <c r="E206" s="20">
        <f t="shared" si="6"/>
        <v>-3.2003647671650898E-2</v>
      </c>
      <c r="G206" s="29">
        <v>44585</v>
      </c>
      <c r="H206" s="31">
        <v>17149.099609375</v>
      </c>
      <c r="I206" s="20">
        <f t="shared" si="7"/>
        <v>-2.6567905187383431E-2</v>
      </c>
    </row>
    <row r="207" spans="2:9" ht="14.25" customHeight="1" x14ac:dyDescent="0.35">
      <c r="B207" s="29"/>
      <c r="C207" s="30">
        <v>44586</v>
      </c>
      <c r="D207">
        <v>44.279998779296903</v>
      </c>
      <c r="E207" s="20">
        <f t="shared" si="6"/>
        <v>6.0852826993067967E-2</v>
      </c>
      <c r="G207" s="29">
        <v>44586</v>
      </c>
      <c r="H207" s="31">
        <v>17277.94921875</v>
      </c>
      <c r="I207" s="20">
        <f t="shared" si="7"/>
        <v>7.5134912216942877E-3</v>
      </c>
    </row>
    <row r="208" spans="2:9" ht="14.25" customHeight="1" x14ac:dyDescent="0.35">
      <c r="B208" s="29"/>
      <c r="C208" s="30">
        <v>44588</v>
      </c>
      <c r="D208">
        <v>48.159999847412102</v>
      </c>
      <c r="E208" s="20">
        <f t="shared" si="6"/>
        <v>8.7624236112881101E-2</v>
      </c>
      <c r="G208" s="29">
        <v>44588</v>
      </c>
      <c r="H208" s="31">
        <v>17110.150390625</v>
      </c>
      <c r="I208" s="20">
        <f t="shared" si="7"/>
        <v>-9.7117329146276816E-3</v>
      </c>
    </row>
    <row r="209" spans="2:9" ht="14.25" customHeight="1" x14ac:dyDescent="0.35">
      <c r="B209" s="29"/>
      <c r="C209" s="30">
        <v>44589</v>
      </c>
      <c r="D209">
        <v>47.779998779296903</v>
      </c>
      <c r="E209" s="20">
        <f t="shared" si="6"/>
        <v>-7.8903876519762564E-3</v>
      </c>
      <c r="G209" s="29">
        <v>44589</v>
      </c>
      <c r="H209" s="31">
        <v>17101.94921875</v>
      </c>
      <c r="I209" s="20">
        <f t="shared" si="7"/>
        <v>-4.7931617710932507E-4</v>
      </c>
    </row>
    <row r="210" spans="2:9" ht="14.25" customHeight="1" x14ac:dyDescent="0.35">
      <c r="B210" s="29"/>
      <c r="C210" s="30">
        <v>44592</v>
      </c>
      <c r="D210">
        <v>50.590000152587898</v>
      </c>
      <c r="E210" s="20">
        <f t="shared" si="6"/>
        <v>5.8811248327376879E-2</v>
      </c>
      <c r="G210" s="29">
        <v>44592</v>
      </c>
      <c r="H210" s="31">
        <v>17339.849609375</v>
      </c>
      <c r="I210" s="20">
        <f t="shared" si="7"/>
        <v>1.3910717870929826E-2</v>
      </c>
    </row>
    <row r="211" spans="2:9" ht="14.25" customHeight="1" x14ac:dyDescent="0.35">
      <c r="B211" s="29"/>
      <c r="C211" s="30">
        <v>44593</v>
      </c>
      <c r="D211">
        <v>51.75</v>
      </c>
      <c r="E211" s="20">
        <f t="shared" si="6"/>
        <v>2.2929429608882168E-2</v>
      </c>
      <c r="G211" s="29">
        <v>44593</v>
      </c>
      <c r="H211" s="31">
        <v>17576.849609375</v>
      </c>
      <c r="I211" s="20">
        <f t="shared" si="7"/>
        <v>1.366793861187026E-2</v>
      </c>
    </row>
    <row r="212" spans="2:9" ht="14.25" customHeight="1" x14ac:dyDescent="0.35">
      <c r="B212" s="29"/>
      <c r="C212" s="30">
        <v>44594</v>
      </c>
      <c r="D212">
        <v>53.930000305175803</v>
      </c>
      <c r="E212" s="20">
        <f t="shared" si="6"/>
        <v>4.2125609761851257E-2</v>
      </c>
      <c r="G212" s="29">
        <v>44594</v>
      </c>
      <c r="H212" s="31">
        <v>17780</v>
      </c>
      <c r="I212" s="20">
        <f t="shared" si="7"/>
        <v>1.1557838585399586E-2</v>
      </c>
    </row>
    <row r="213" spans="2:9" ht="14.25" customHeight="1" x14ac:dyDescent="0.35">
      <c r="B213" s="29"/>
      <c r="C213" s="30">
        <v>44595</v>
      </c>
      <c r="D213">
        <v>52.9799995422363</v>
      </c>
      <c r="E213" s="20">
        <f t="shared" si="6"/>
        <v>-1.7615441453063162E-2</v>
      </c>
      <c r="G213" s="29">
        <v>44595</v>
      </c>
      <c r="H213" s="31">
        <v>17560.19921875</v>
      </c>
      <c r="I213" s="20">
        <f t="shared" si="7"/>
        <v>-1.2362248664229471E-2</v>
      </c>
    </row>
    <row r="214" spans="2:9" ht="14.25" customHeight="1" x14ac:dyDescent="0.35">
      <c r="B214" s="29"/>
      <c r="C214" s="30">
        <v>44596</v>
      </c>
      <c r="D214">
        <v>52.200000762939503</v>
      </c>
      <c r="E214" s="20">
        <f t="shared" si="6"/>
        <v>-1.472251389271856E-2</v>
      </c>
      <c r="G214" s="29">
        <v>44596</v>
      </c>
      <c r="H214" s="31">
        <v>17516.30078125</v>
      </c>
      <c r="I214" s="20">
        <f t="shared" si="7"/>
        <v>-2.4998826581151311E-3</v>
      </c>
    </row>
    <row r="215" spans="2:9" ht="14.25" customHeight="1" x14ac:dyDescent="0.35">
      <c r="B215" s="29"/>
      <c r="C215" s="30">
        <v>44599</v>
      </c>
      <c r="D215">
        <v>51.619998931884801</v>
      </c>
      <c r="E215" s="20">
        <f t="shared" si="6"/>
        <v>-1.111114602639022E-2</v>
      </c>
      <c r="G215" s="29">
        <v>44599</v>
      </c>
      <c r="H215" s="31">
        <v>17213.599609375</v>
      </c>
      <c r="I215" s="20">
        <f t="shared" si="7"/>
        <v>-1.7281112927623445E-2</v>
      </c>
    </row>
    <row r="216" spans="2:9" ht="14.25" customHeight="1" x14ac:dyDescent="0.35">
      <c r="B216" s="29"/>
      <c r="C216" s="30">
        <v>44600</v>
      </c>
      <c r="D216">
        <v>52.139999389648402</v>
      </c>
      <c r="E216" s="20">
        <f t="shared" si="6"/>
        <v>1.0073623954346991E-2</v>
      </c>
      <c r="G216" s="29">
        <v>44600</v>
      </c>
      <c r="H216" s="31">
        <v>17266.75</v>
      </c>
      <c r="I216" s="20">
        <f t="shared" si="7"/>
        <v>3.0876976246184346E-3</v>
      </c>
    </row>
    <row r="217" spans="2:9" ht="14.25" customHeight="1" x14ac:dyDescent="0.35">
      <c r="B217" s="29"/>
      <c r="C217" s="30">
        <v>44601</v>
      </c>
      <c r="D217">
        <v>52.049999237060597</v>
      </c>
      <c r="E217" s="20">
        <f t="shared" si="6"/>
        <v>-1.7261249259944086E-3</v>
      </c>
      <c r="G217" s="29">
        <v>44601</v>
      </c>
      <c r="H217" s="31">
        <v>17463.80078125</v>
      </c>
      <c r="I217" s="20">
        <f t="shared" si="7"/>
        <v>1.1412152330345897E-2</v>
      </c>
    </row>
    <row r="218" spans="2:9" ht="14.25" customHeight="1" x14ac:dyDescent="0.35">
      <c r="B218" s="29"/>
      <c r="C218" s="30">
        <v>44602</v>
      </c>
      <c r="D218">
        <v>51.759998321533203</v>
      </c>
      <c r="E218" s="20">
        <f t="shared" si="6"/>
        <v>-5.5715834731637666E-3</v>
      </c>
      <c r="G218" s="29">
        <v>44602</v>
      </c>
      <c r="H218" s="31">
        <v>17605.849609375</v>
      </c>
      <c r="I218" s="20">
        <f t="shared" si="7"/>
        <v>8.1339010851240717E-3</v>
      </c>
    </row>
    <row r="219" spans="2:9" ht="14.25" customHeight="1" x14ac:dyDescent="0.35">
      <c r="B219" s="29"/>
      <c r="C219" s="30">
        <v>44603</v>
      </c>
      <c r="D219">
        <v>50.299999237060597</v>
      </c>
      <c r="E219" s="20">
        <f t="shared" si="6"/>
        <v>-2.8207092964012279E-2</v>
      </c>
      <c r="G219" s="29">
        <v>44603</v>
      </c>
      <c r="H219" s="31">
        <v>17374.75</v>
      </c>
      <c r="I219" s="20">
        <f t="shared" si="7"/>
        <v>-1.3126296912813624E-2</v>
      </c>
    </row>
    <row r="220" spans="2:9" ht="14.25" customHeight="1" x14ac:dyDescent="0.35">
      <c r="B220" s="29"/>
      <c r="C220" s="30">
        <v>44606</v>
      </c>
      <c r="D220">
        <v>46.950000762939503</v>
      </c>
      <c r="E220" s="20">
        <f t="shared" si="6"/>
        <v>-6.6600368288929207E-2</v>
      </c>
      <c r="G220" s="29">
        <v>44606</v>
      </c>
      <c r="H220" s="31">
        <v>16842.80078125</v>
      </c>
      <c r="I220" s="20">
        <f t="shared" si="7"/>
        <v>-3.0616222895293456E-2</v>
      </c>
    </row>
    <row r="221" spans="2:9" ht="14.25" customHeight="1" x14ac:dyDescent="0.35">
      <c r="B221" s="29"/>
      <c r="C221" s="30">
        <v>44607</v>
      </c>
      <c r="D221">
        <v>49.590000152587898</v>
      </c>
      <c r="E221" s="20">
        <f t="shared" si="6"/>
        <v>5.623001803510741E-2</v>
      </c>
      <c r="G221" s="29">
        <v>44607</v>
      </c>
      <c r="H221" s="31">
        <v>17352.44921875</v>
      </c>
      <c r="I221" s="20">
        <f t="shared" si="7"/>
        <v>3.0259126383977576E-2</v>
      </c>
    </row>
    <row r="222" spans="2:9" ht="14.25" customHeight="1" x14ac:dyDescent="0.35">
      <c r="B222" s="29"/>
      <c r="C222" s="30">
        <v>44608</v>
      </c>
      <c r="D222">
        <v>48.860000610351598</v>
      </c>
      <c r="E222" s="20">
        <f t="shared" si="6"/>
        <v>-1.4720700544264952E-2</v>
      </c>
      <c r="G222" s="29">
        <v>44608</v>
      </c>
      <c r="H222" s="31">
        <v>17322.19921875</v>
      </c>
      <c r="I222" s="20">
        <f t="shared" si="7"/>
        <v>-1.7432697608654399E-3</v>
      </c>
    </row>
    <row r="223" spans="2:9" ht="14.25" customHeight="1" x14ac:dyDescent="0.35">
      <c r="B223" s="29"/>
      <c r="C223" s="30">
        <v>44609</v>
      </c>
      <c r="D223">
        <v>47.880001068115199</v>
      </c>
      <c r="E223" s="20">
        <f t="shared" si="6"/>
        <v>-2.0057296970822674E-2</v>
      </c>
      <c r="G223" s="29">
        <v>44609</v>
      </c>
      <c r="H223" s="31">
        <v>17304.599609375</v>
      </c>
      <c r="I223" s="20">
        <f t="shared" si="7"/>
        <v>-1.0160147191904897E-3</v>
      </c>
    </row>
    <row r="224" spans="2:9" ht="14.25" customHeight="1" x14ac:dyDescent="0.35">
      <c r="B224" s="29"/>
      <c r="C224" s="30">
        <v>44610</v>
      </c>
      <c r="D224">
        <v>47.650001525878899</v>
      </c>
      <c r="E224" s="20">
        <f t="shared" si="6"/>
        <v>-4.8036661885010618E-3</v>
      </c>
      <c r="G224" s="29">
        <v>44610</v>
      </c>
      <c r="H224" s="31">
        <v>17276.30078125</v>
      </c>
      <c r="I224" s="20">
        <f t="shared" si="7"/>
        <v>-1.6353356196504385E-3</v>
      </c>
    </row>
    <row r="225" spans="2:9" ht="14.25" customHeight="1" x14ac:dyDescent="0.35">
      <c r="B225" s="29"/>
      <c r="C225" s="30">
        <v>44613</v>
      </c>
      <c r="D225">
        <v>46.590000152587898</v>
      </c>
      <c r="E225" s="20">
        <f t="shared" si="6"/>
        <v>-2.2245568506756724E-2</v>
      </c>
      <c r="G225" s="29">
        <v>44613</v>
      </c>
      <c r="H225" s="31">
        <v>17206.650390625</v>
      </c>
      <c r="I225" s="20">
        <f t="shared" si="7"/>
        <v>-4.0315569581071253E-3</v>
      </c>
    </row>
    <row r="226" spans="2:9" ht="14.25" customHeight="1" x14ac:dyDescent="0.35">
      <c r="B226" s="29"/>
      <c r="C226" s="30">
        <v>44614</v>
      </c>
      <c r="D226">
        <v>46.090000152587898</v>
      </c>
      <c r="E226" s="20">
        <f t="shared" si="6"/>
        <v>-1.0731916685177922E-2</v>
      </c>
      <c r="G226" s="29">
        <v>44614</v>
      </c>
      <c r="H226" s="31">
        <v>17092.19921875</v>
      </c>
      <c r="I226" s="20">
        <f t="shared" si="7"/>
        <v>-6.6515660675803834E-3</v>
      </c>
    </row>
    <row r="227" spans="2:9" ht="14.25" customHeight="1" x14ac:dyDescent="0.35">
      <c r="B227" s="29"/>
      <c r="C227" s="30">
        <v>44615</v>
      </c>
      <c r="D227">
        <v>45.830001831054702</v>
      </c>
      <c r="E227" s="20">
        <f t="shared" si="6"/>
        <v>-5.6411004702198383E-3</v>
      </c>
      <c r="G227" s="29">
        <v>44615</v>
      </c>
      <c r="H227" s="31">
        <v>17063.25</v>
      </c>
      <c r="I227" s="20">
        <f t="shared" si="7"/>
        <v>-1.6937094155936908E-3</v>
      </c>
    </row>
    <row r="228" spans="2:9" ht="14.25" customHeight="1" x14ac:dyDescent="0.35">
      <c r="B228" s="29"/>
      <c r="C228" s="30">
        <v>44616</v>
      </c>
      <c r="D228">
        <v>41.659999847412102</v>
      </c>
      <c r="E228" s="20">
        <f t="shared" si="6"/>
        <v>-9.0988475169926336E-2</v>
      </c>
      <c r="G228" s="29">
        <v>44616</v>
      </c>
      <c r="H228" s="31">
        <v>16247.9501953125</v>
      </c>
      <c r="I228" s="20">
        <f t="shared" si="7"/>
        <v>-4.7781038470836444E-2</v>
      </c>
    </row>
    <row r="229" spans="2:9" ht="14.25" customHeight="1" x14ac:dyDescent="0.35">
      <c r="B229" s="29"/>
      <c r="C229" s="30">
        <v>44617</v>
      </c>
      <c r="D229">
        <v>43.689998626708999</v>
      </c>
      <c r="E229" s="20">
        <f t="shared" si="6"/>
        <v>4.8727767324343828E-2</v>
      </c>
      <c r="G229" s="29">
        <v>44617</v>
      </c>
      <c r="H229" s="31">
        <v>16658.400390625</v>
      </c>
      <c r="I229" s="20">
        <f t="shared" si="7"/>
        <v>2.5261660109649649E-2</v>
      </c>
    </row>
    <row r="230" spans="2:9" ht="14.25" customHeight="1" x14ac:dyDescent="0.35">
      <c r="B230" s="29"/>
      <c r="C230" s="30">
        <v>44620</v>
      </c>
      <c r="D230">
        <v>43.919998168945298</v>
      </c>
      <c r="E230" s="20">
        <f t="shared" si="6"/>
        <v>5.2643522422931395E-3</v>
      </c>
      <c r="G230" s="29">
        <v>44620</v>
      </c>
      <c r="H230" s="31">
        <v>16793.900390625</v>
      </c>
      <c r="I230" s="20">
        <f t="shared" si="7"/>
        <v>8.1340342903665937E-3</v>
      </c>
    </row>
    <row r="231" spans="2:9" ht="14.25" customHeight="1" x14ac:dyDescent="0.35">
      <c r="B231" s="29"/>
      <c r="C231" s="30">
        <v>44622</v>
      </c>
      <c r="D231">
        <v>43.2299995422363</v>
      </c>
      <c r="E231" s="20">
        <f t="shared" si="6"/>
        <v>-1.5710351900626418E-2</v>
      </c>
      <c r="G231" s="29">
        <v>44622</v>
      </c>
      <c r="H231" s="31">
        <v>16605.94921875</v>
      </c>
      <c r="I231" s="20">
        <f t="shared" si="7"/>
        <v>-1.1191633122935609E-2</v>
      </c>
    </row>
    <row r="232" spans="2:9" ht="14.25" customHeight="1" x14ac:dyDescent="0.35">
      <c r="B232" s="29"/>
      <c r="C232" s="30">
        <v>44623</v>
      </c>
      <c r="D232">
        <v>42.990001678466797</v>
      </c>
      <c r="E232" s="20">
        <f t="shared" si="6"/>
        <v>-5.5516508515116138E-3</v>
      </c>
      <c r="G232" s="29">
        <v>44623</v>
      </c>
      <c r="H232" s="31">
        <v>16498.05078125</v>
      </c>
      <c r="I232" s="20">
        <f t="shared" si="7"/>
        <v>-6.4975772284170561E-3</v>
      </c>
    </row>
    <row r="233" spans="2:9" ht="14.25" customHeight="1" x14ac:dyDescent="0.35">
      <c r="B233" s="29"/>
      <c r="C233" s="30">
        <v>44624</v>
      </c>
      <c r="D233">
        <v>42.029998779296903</v>
      </c>
      <c r="E233" s="20">
        <f t="shared" si="6"/>
        <v>-2.2330841165115561E-2</v>
      </c>
      <c r="G233" s="29">
        <v>44624</v>
      </c>
      <c r="H233" s="31">
        <v>16245.349609375</v>
      </c>
      <c r="I233" s="20">
        <f t="shared" si="7"/>
        <v>-1.5317032007332306E-2</v>
      </c>
    </row>
    <row r="234" spans="2:9" ht="14.25" customHeight="1" x14ac:dyDescent="0.35">
      <c r="B234" s="29"/>
      <c r="C234" s="30">
        <v>44627</v>
      </c>
      <c r="D234">
        <v>40.169998168945298</v>
      </c>
      <c r="E234" s="20">
        <f t="shared" si="6"/>
        <v>-4.4254120018385593E-2</v>
      </c>
      <c r="G234" s="29">
        <v>44627</v>
      </c>
      <c r="H234" s="31">
        <v>15863.150390625</v>
      </c>
      <c r="I234" s="20">
        <f t="shared" si="7"/>
        <v>-2.3526684739947814E-2</v>
      </c>
    </row>
    <row r="235" spans="2:9" ht="14.25" customHeight="1" x14ac:dyDescent="0.35">
      <c r="B235" s="29"/>
      <c r="C235" s="30">
        <v>44628</v>
      </c>
      <c r="D235">
        <v>41.869998931884801</v>
      </c>
      <c r="E235" s="20">
        <f t="shared" si="6"/>
        <v>4.2320160329351042E-2</v>
      </c>
      <c r="G235" s="29">
        <v>44628</v>
      </c>
      <c r="H235" s="31">
        <v>16013.4501953125</v>
      </c>
      <c r="I235" s="20">
        <f t="shared" si="7"/>
        <v>9.4747765094836418E-3</v>
      </c>
    </row>
    <row r="236" spans="2:9" ht="14.25" customHeight="1" x14ac:dyDescent="0.35">
      <c r="B236" s="29"/>
      <c r="C236" s="30">
        <v>44629</v>
      </c>
      <c r="D236">
        <v>42.400001525878899</v>
      </c>
      <c r="E236" s="20">
        <f t="shared" si="6"/>
        <v>1.2658290124542872E-2</v>
      </c>
      <c r="G236" s="29">
        <v>44629</v>
      </c>
      <c r="H236" s="31">
        <v>16345.349609375</v>
      </c>
      <c r="I236" s="20">
        <f t="shared" si="7"/>
        <v>2.0726290088294307E-2</v>
      </c>
    </row>
    <row r="237" spans="2:9" ht="14.25" customHeight="1" x14ac:dyDescent="0.35">
      <c r="B237" s="29"/>
      <c r="C237" s="30">
        <v>44630</v>
      </c>
      <c r="D237">
        <v>42.880001068115199</v>
      </c>
      <c r="E237" s="20">
        <f t="shared" si="6"/>
        <v>1.1320743513259813E-2</v>
      </c>
      <c r="G237" s="29">
        <v>44630</v>
      </c>
      <c r="H237" s="31">
        <v>16594.900390625</v>
      </c>
      <c r="I237" s="20">
        <f t="shared" si="7"/>
        <v>1.5267387190474546E-2</v>
      </c>
    </row>
    <row r="238" spans="2:9" ht="14.25" customHeight="1" x14ac:dyDescent="0.35">
      <c r="B238" s="29"/>
      <c r="C238" s="30">
        <v>44631</v>
      </c>
      <c r="D238">
        <v>43.590000152587898</v>
      </c>
      <c r="E238" s="20">
        <f t="shared" si="6"/>
        <v>1.6557814057533721E-2</v>
      </c>
      <c r="G238" s="29">
        <v>44631</v>
      </c>
      <c r="H238" s="31">
        <v>16630.44921875</v>
      </c>
      <c r="I238" s="20">
        <f t="shared" si="7"/>
        <v>2.14215375134657E-3</v>
      </c>
    </row>
    <row r="239" spans="2:9" ht="14.25" customHeight="1" x14ac:dyDescent="0.35">
      <c r="B239" s="29"/>
      <c r="C239" s="30">
        <v>44634</v>
      </c>
      <c r="D239">
        <v>44.2299995422363</v>
      </c>
      <c r="E239" s="20">
        <f t="shared" si="6"/>
        <v>1.468225252140555E-2</v>
      </c>
      <c r="G239" s="29">
        <v>44634</v>
      </c>
      <c r="H239" s="31">
        <v>16871.30078125</v>
      </c>
      <c r="I239" s="20">
        <f t="shared" si="7"/>
        <v>1.4482565042708041E-2</v>
      </c>
    </row>
    <row r="240" spans="2:9" ht="14.25" customHeight="1" x14ac:dyDescent="0.35">
      <c r="B240" s="29"/>
      <c r="C240" s="30">
        <v>44635</v>
      </c>
      <c r="D240">
        <v>43.779998779296903</v>
      </c>
      <c r="E240" s="20">
        <f t="shared" si="6"/>
        <v>-1.0174107338836384E-2</v>
      </c>
      <c r="G240" s="29">
        <v>44635</v>
      </c>
      <c r="H240" s="31">
        <v>16663</v>
      </c>
      <c r="I240" s="20">
        <f t="shared" si="7"/>
        <v>-1.2346456503312184E-2</v>
      </c>
    </row>
    <row r="241" spans="2:9" ht="14.25" customHeight="1" x14ac:dyDescent="0.35">
      <c r="B241" s="29"/>
      <c r="C241" s="30">
        <v>44636</v>
      </c>
      <c r="D241">
        <v>44.880001068115199</v>
      </c>
      <c r="E241" s="20">
        <f t="shared" si="6"/>
        <v>2.512568112127209E-2</v>
      </c>
      <c r="G241" s="29">
        <v>44636</v>
      </c>
      <c r="H241" s="31">
        <v>16975.349609375</v>
      </c>
      <c r="I241" s="20">
        <f t="shared" si="7"/>
        <v>1.8745100484606612E-2</v>
      </c>
    </row>
    <row r="242" spans="2:9" ht="14.25" customHeight="1" x14ac:dyDescent="0.35">
      <c r="B242" s="29"/>
      <c r="C242" s="30">
        <v>44637</v>
      </c>
      <c r="D242">
        <v>45.209999084472699</v>
      </c>
      <c r="E242" s="20">
        <f t="shared" si="6"/>
        <v>7.3528968026684311E-3</v>
      </c>
      <c r="G242" s="29">
        <v>44637</v>
      </c>
      <c r="H242" s="31">
        <v>17287.05078125</v>
      </c>
      <c r="I242" s="20">
        <f t="shared" si="7"/>
        <v>1.8361988356508215E-2</v>
      </c>
    </row>
    <row r="243" spans="2:9" ht="14.25" customHeight="1" x14ac:dyDescent="0.35">
      <c r="B243" s="29"/>
      <c r="C243" s="30">
        <v>44641</v>
      </c>
      <c r="D243">
        <v>44.990001678466797</v>
      </c>
      <c r="E243" s="20">
        <f t="shared" si="6"/>
        <v>-4.8661227706474292E-3</v>
      </c>
      <c r="G243" s="29">
        <v>44641</v>
      </c>
      <c r="H243" s="31">
        <v>17117.599609375</v>
      </c>
      <c r="I243" s="20">
        <f t="shared" si="7"/>
        <v>-9.80220247046369E-3</v>
      </c>
    </row>
    <row r="244" spans="2:9" ht="14.25" customHeight="1" x14ac:dyDescent="0.35">
      <c r="B244" s="29"/>
      <c r="C244" s="30">
        <v>44642</v>
      </c>
      <c r="D244">
        <v>45.200000762939503</v>
      </c>
      <c r="E244" s="20">
        <f t="shared" si="6"/>
        <v>4.667683410494651E-3</v>
      </c>
      <c r="G244" s="29">
        <v>44642</v>
      </c>
      <c r="H244" s="31">
        <v>17315.5</v>
      </c>
      <c r="I244" s="20">
        <f t="shared" si="7"/>
        <v>1.1561223252155842E-2</v>
      </c>
    </row>
    <row r="245" spans="2:9" ht="14.25" customHeight="1" x14ac:dyDescent="0.35">
      <c r="B245" s="29"/>
      <c r="C245" s="30">
        <v>44643</v>
      </c>
      <c r="D245">
        <v>45.060001373291001</v>
      </c>
      <c r="E245" s="20">
        <f t="shared" si="6"/>
        <v>-3.0973315771111688E-3</v>
      </c>
      <c r="G245" s="29">
        <v>44643</v>
      </c>
      <c r="H245" s="31">
        <v>17245.650390625</v>
      </c>
      <c r="I245" s="20">
        <f t="shared" si="7"/>
        <v>-4.0339354552279749E-3</v>
      </c>
    </row>
    <row r="246" spans="2:9" ht="14.25" customHeight="1" x14ac:dyDescent="0.35">
      <c r="B246" s="29"/>
      <c r="C246" s="30">
        <v>44644</v>
      </c>
      <c r="D246">
        <v>45.130001068115199</v>
      </c>
      <c r="E246" s="20">
        <f t="shared" si="6"/>
        <v>1.5534774232317103E-3</v>
      </c>
      <c r="G246" s="29">
        <v>44644</v>
      </c>
      <c r="H246" s="31">
        <v>17222.75</v>
      </c>
      <c r="I246" s="20">
        <f t="shared" si="7"/>
        <v>-1.3278937068937106E-3</v>
      </c>
    </row>
    <row r="247" spans="2:9" ht="14.25" customHeight="1" x14ac:dyDescent="0.35">
      <c r="B247" s="29"/>
      <c r="C247" s="30">
        <v>44645</v>
      </c>
      <c r="D247">
        <v>45.060001373291001</v>
      </c>
      <c r="E247" s="20">
        <f t="shared" si="6"/>
        <v>-1.5510678743070744E-3</v>
      </c>
      <c r="G247" s="29">
        <v>44645</v>
      </c>
      <c r="H247" s="31">
        <v>17153</v>
      </c>
      <c r="I247" s="20">
        <f t="shared" si="7"/>
        <v>-4.0498758909001172E-3</v>
      </c>
    </row>
    <row r="248" spans="2:9" ht="14.25" customHeight="1" x14ac:dyDescent="0.35">
      <c r="B248" s="29"/>
      <c r="C248" s="30">
        <v>44648</v>
      </c>
      <c r="D248">
        <v>45.740001678466797</v>
      </c>
      <c r="E248" s="20">
        <f t="shared" si="6"/>
        <v>1.5090996104115986E-2</v>
      </c>
      <c r="G248" s="29">
        <v>44648</v>
      </c>
      <c r="H248" s="31">
        <v>17222</v>
      </c>
      <c r="I248" s="20">
        <f t="shared" si="7"/>
        <v>4.022619949862998E-3</v>
      </c>
    </row>
    <row r="249" spans="2:9" ht="14.25" customHeight="1" x14ac:dyDescent="0.35">
      <c r="B249" s="29"/>
      <c r="C249" s="30">
        <v>44649</v>
      </c>
      <c r="D249">
        <v>45.689998626708999</v>
      </c>
      <c r="E249" s="20">
        <f t="shared" si="6"/>
        <v>-1.0932017910558675E-3</v>
      </c>
      <c r="G249" s="29">
        <v>44649</v>
      </c>
      <c r="H249" s="31">
        <v>17325.30078125</v>
      </c>
      <c r="I249" s="20">
        <f t="shared" si="7"/>
        <v>5.9981872749970966E-3</v>
      </c>
    </row>
    <row r="250" spans="2:9" ht="14.25" customHeight="1" x14ac:dyDescent="0.35">
      <c r="B250" s="29"/>
      <c r="C250" s="30">
        <v>44650</v>
      </c>
      <c r="D250">
        <v>45.689998626708999</v>
      </c>
      <c r="E250" s="20">
        <f t="shared" si="6"/>
        <v>0</v>
      </c>
      <c r="G250" s="29">
        <v>44650</v>
      </c>
      <c r="H250" s="31">
        <v>17498.25</v>
      </c>
      <c r="I250" s="20">
        <f t="shared" si="7"/>
        <v>9.9824655821947536E-3</v>
      </c>
    </row>
    <row r="251" spans="2:9" ht="14.25" customHeight="1" x14ac:dyDescent="0.35">
      <c r="B251" s="29"/>
      <c r="C251" s="30">
        <v>44651</v>
      </c>
      <c r="D251">
        <v>45.549999237060597</v>
      </c>
      <c r="E251" s="20">
        <f t="shared" si="6"/>
        <v>-3.0641145514625281E-3</v>
      </c>
      <c r="G251" s="29">
        <v>44651</v>
      </c>
      <c r="H251" s="31">
        <v>17464.75</v>
      </c>
      <c r="I251" s="20">
        <f t="shared" si="7"/>
        <v>-1.9144771620019144E-3</v>
      </c>
    </row>
    <row r="252" spans="2:9" ht="14.25" customHeight="1" x14ac:dyDescent="0.35">
      <c r="B252" s="29"/>
      <c r="C252" s="30">
        <v>44652</v>
      </c>
      <c r="D252">
        <v>47.990001678466797</v>
      </c>
      <c r="E252" s="20">
        <f t="shared" si="6"/>
        <v>5.3567562728320625E-2</v>
      </c>
      <c r="G252" s="29">
        <v>44652</v>
      </c>
      <c r="H252" s="31">
        <v>17670.44921875</v>
      </c>
      <c r="I252" s="20">
        <f t="shared" si="7"/>
        <v>1.1777965258592307E-2</v>
      </c>
    </row>
    <row r="253" spans="2:9" ht="14.25" customHeight="1" x14ac:dyDescent="0.35">
      <c r="B253" s="29"/>
      <c r="C253" s="30">
        <v>44655</v>
      </c>
      <c r="D253">
        <v>48.259998321533203</v>
      </c>
      <c r="E253" s="20">
        <f t="shared" si="6"/>
        <v>5.6261019717270449E-3</v>
      </c>
      <c r="G253" s="29">
        <v>44655</v>
      </c>
      <c r="H253" s="31">
        <v>18053.400390625</v>
      </c>
      <c r="I253" s="20">
        <f t="shared" si="7"/>
        <v>2.1671841339984326E-2</v>
      </c>
    </row>
    <row r="254" spans="2:9" ht="14.25" customHeight="1" x14ac:dyDescent="0.35">
      <c r="B254" s="29"/>
      <c r="C254" s="30">
        <v>44656</v>
      </c>
      <c r="D254">
        <v>48.590000152587898</v>
      </c>
      <c r="E254" s="20">
        <f t="shared" si="6"/>
        <v>6.837999223623068E-3</v>
      </c>
      <c r="G254" s="29">
        <v>44656</v>
      </c>
      <c r="H254" s="31">
        <v>17957.400390625</v>
      </c>
      <c r="I254" s="20">
        <f t="shared" si="7"/>
        <v>-5.3175577964720763E-3</v>
      </c>
    </row>
    <row r="255" spans="2:9" ht="14.25" customHeight="1" x14ac:dyDescent="0.35">
      <c r="B255" s="29"/>
      <c r="C255" s="30">
        <v>44657</v>
      </c>
      <c r="D255">
        <v>49.569999694824197</v>
      </c>
      <c r="E255" s="20">
        <f t="shared" si="6"/>
        <v>2.0168749519629402E-2</v>
      </c>
      <c r="G255" s="29">
        <v>44657</v>
      </c>
      <c r="H255" s="31">
        <v>17807.650390625</v>
      </c>
      <c r="I255" s="20">
        <f t="shared" si="7"/>
        <v>-8.3391803235717699E-3</v>
      </c>
    </row>
    <row r="256" spans="2:9" ht="14.25" customHeight="1" x14ac:dyDescent="0.35">
      <c r="B256" s="29"/>
      <c r="C256" s="30">
        <v>44658</v>
      </c>
      <c r="D256">
        <v>49.330001831054702</v>
      </c>
      <c r="E256" s="20">
        <f t="shared" si="6"/>
        <v>-4.8415950221309938E-3</v>
      </c>
      <c r="G256" s="29">
        <v>44658</v>
      </c>
      <c r="H256" s="31">
        <v>17639.55078125</v>
      </c>
      <c r="I256" s="20">
        <f t="shared" si="7"/>
        <v>-9.4397411049521492E-3</v>
      </c>
    </row>
    <row r="257" spans="2:9" ht="14.25" customHeight="1" x14ac:dyDescent="0.35">
      <c r="B257" s="29"/>
      <c r="C257" s="30">
        <v>44659</v>
      </c>
      <c r="D257">
        <v>49.669998168945298</v>
      </c>
      <c r="E257" s="20">
        <f t="shared" si="6"/>
        <v>6.8922830989347093E-3</v>
      </c>
      <c r="G257" s="29">
        <v>44659</v>
      </c>
      <c r="H257" s="31">
        <v>17784.349609375</v>
      </c>
      <c r="I257" s="20">
        <f t="shared" si="7"/>
        <v>8.2087593907954979E-3</v>
      </c>
    </row>
    <row r="258" spans="2:9" ht="14.25" customHeight="1" x14ac:dyDescent="0.35">
      <c r="B258" s="29"/>
      <c r="C258" s="30">
        <v>44662</v>
      </c>
      <c r="D258">
        <v>49.220001220703097</v>
      </c>
      <c r="E258" s="20">
        <f t="shared" si="6"/>
        <v>-9.0597335379720041E-3</v>
      </c>
      <c r="G258" s="29">
        <v>44662</v>
      </c>
      <c r="H258" s="31">
        <v>17674.94921875</v>
      </c>
      <c r="I258" s="20">
        <f t="shared" si="7"/>
        <v>-6.1514979759130298E-3</v>
      </c>
    </row>
    <row r="259" spans="2:9" ht="14.25" customHeight="1" x14ac:dyDescent="0.35">
      <c r="B259" s="29"/>
      <c r="C259" s="30">
        <v>44663</v>
      </c>
      <c r="D259">
        <v>48.290000915527301</v>
      </c>
      <c r="E259" s="20">
        <f t="shared" si="6"/>
        <v>-1.8894763959993875E-2</v>
      </c>
      <c r="G259" s="29">
        <v>44663</v>
      </c>
      <c r="H259" s="31">
        <v>17530.30078125</v>
      </c>
      <c r="I259" s="20">
        <f t="shared" si="7"/>
        <v>-8.1838106412522836E-3</v>
      </c>
    </row>
    <row r="260" spans="2:9" ht="14.25" customHeight="1" x14ac:dyDescent="0.35">
      <c r="B260" s="29"/>
      <c r="C260" s="30">
        <v>44664</v>
      </c>
      <c r="D260">
        <v>48.529998779296903</v>
      </c>
      <c r="E260" s="20">
        <f t="shared" si="6"/>
        <v>4.9699287475563651E-3</v>
      </c>
      <c r="G260" s="29">
        <v>44664</v>
      </c>
      <c r="H260" s="31">
        <v>17475.650390625</v>
      </c>
      <c r="I260" s="20">
        <f t="shared" si="7"/>
        <v>-3.1174816283501979E-3</v>
      </c>
    </row>
    <row r="261" spans="2:9" ht="14.25" customHeight="1" x14ac:dyDescent="0.35">
      <c r="B261" s="29"/>
      <c r="C261" s="30">
        <v>44669</v>
      </c>
      <c r="D261">
        <v>46.860000610351598</v>
      </c>
      <c r="E261" s="20">
        <f t="shared" ref="E261:E324" si="8">(D261-D260)/D260</f>
        <v>-3.4411667235766212E-2</v>
      </c>
      <c r="G261" s="29">
        <v>44669</v>
      </c>
      <c r="H261" s="31">
        <v>17173.650390625</v>
      </c>
      <c r="I261" s="20">
        <f t="shared" ref="I261:I324" si="9">(H261-H260)/H260</f>
        <v>-1.7281188010147601E-2</v>
      </c>
    </row>
    <row r="262" spans="2:9" ht="14.25" customHeight="1" x14ac:dyDescent="0.35">
      <c r="B262" s="29"/>
      <c r="C262" s="30">
        <v>44670</v>
      </c>
      <c r="D262">
        <v>46.930000305175803</v>
      </c>
      <c r="E262" s="20">
        <f t="shared" si="8"/>
        <v>1.4938048210085015E-3</v>
      </c>
      <c r="G262" s="29">
        <v>44670</v>
      </c>
      <c r="H262" s="31">
        <v>16958.650390625</v>
      </c>
      <c r="I262" s="20">
        <f t="shared" si="9"/>
        <v>-1.2519178806467803E-2</v>
      </c>
    </row>
    <row r="263" spans="2:9" ht="14.25" customHeight="1" x14ac:dyDescent="0.35">
      <c r="B263" s="29"/>
      <c r="C263" s="30">
        <v>44671</v>
      </c>
      <c r="D263">
        <v>46.619998931884801</v>
      </c>
      <c r="E263" s="20">
        <f t="shared" si="8"/>
        <v>-6.6056120024531959E-3</v>
      </c>
      <c r="G263" s="29">
        <v>44671</v>
      </c>
      <c r="H263" s="31">
        <v>17136.55078125</v>
      </c>
      <c r="I263" s="20">
        <f t="shared" si="9"/>
        <v>1.0490244596547968E-2</v>
      </c>
    </row>
    <row r="264" spans="2:9" ht="14.25" customHeight="1" x14ac:dyDescent="0.35">
      <c r="B264" s="29"/>
      <c r="C264" s="30">
        <v>44672</v>
      </c>
      <c r="D264">
        <v>47.599998474121101</v>
      </c>
      <c r="E264" s="20">
        <f t="shared" si="8"/>
        <v>2.1021011683594205E-2</v>
      </c>
      <c r="G264" s="29">
        <v>44672</v>
      </c>
      <c r="H264" s="31">
        <v>17392.599609375</v>
      </c>
      <c r="I264" s="20">
        <f t="shared" si="9"/>
        <v>1.4941678252146078E-2</v>
      </c>
    </row>
    <row r="265" spans="2:9" ht="14.25" customHeight="1" x14ac:dyDescent="0.35">
      <c r="B265" s="29"/>
      <c r="C265" s="30">
        <v>44673</v>
      </c>
      <c r="D265">
        <v>46.650001525878899</v>
      </c>
      <c r="E265" s="20">
        <f t="shared" si="8"/>
        <v>-1.9957919720495175E-2</v>
      </c>
      <c r="G265" s="29">
        <v>44673</v>
      </c>
      <c r="H265" s="31">
        <v>17171.94921875</v>
      </c>
      <c r="I265" s="20">
        <f t="shared" si="9"/>
        <v>-1.2686452605168035E-2</v>
      </c>
    </row>
    <row r="266" spans="2:9" ht="14.25" customHeight="1" x14ac:dyDescent="0.35">
      <c r="B266" s="29"/>
      <c r="C266" s="30">
        <v>44676</v>
      </c>
      <c r="D266">
        <v>45.610000610351598</v>
      </c>
      <c r="E266" s="20">
        <f t="shared" si="8"/>
        <v>-2.2293695209213763E-2</v>
      </c>
      <c r="G266" s="29">
        <v>44676</v>
      </c>
      <c r="H266" s="31">
        <v>16953.94921875</v>
      </c>
      <c r="I266" s="20">
        <f t="shared" si="9"/>
        <v>-1.2695122564301929E-2</v>
      </c>
    </row>
    <row r="267" spans="2:9" ht="14.25" customHeight="1" x14ac:dyDescent="0.35">
      <c r="B267" s="29"/>
      <c r="C267" s="30">
        <v>44677</v>
      </c>
      <c r="D267">
        <v>47.110000610351598</v>
      </c>
      <c r="E267" s="20">
        <f t="shared" si="8"/>
        <v>3.2887524225543675E-2</v>
      </c>
      <c r="G267" s="29">
        <v>44677</v>
      </c>
      <c r="H267" s="31">
        <v>17200.80078125</v>
      </c>
      <c r="I267" s="20">
        <f t="shared" si="9"/>
        <v>1.4560121616207138E-2</v>
      </c>
    </row>
    <row r="268" spans="2:9" ht="14.25" customHeight="1" x14ac:dyDescent="0.35">
      <c r="B268" s="29"/>
      <c r="C268" s="30">
        <v>44678</v>
      </c>
      <c r="D268">
        <v>46.340000152587898</v>
      </c>
      <c r="E268" s="20">
        <f t="shared" si="8"/>
        <v>-1.6344734616592346E-2</v>
      </c>
      <c r="G268" s="29">
        <v>44678</v>
      </c>
      <c r="H268" s="31">
        <v>17038.400390625</v>
      </c>
      <c r="I268" s="20">
        <f t="shared" si="9"/>
        <v>-9.4414436101153531E-3</v>
      </c>
    </row>
    <row r="269" spans="2:9" ht="14.25" customHeight="1" x14ac:dyDescent="0.35">
      <c r="B269" s="29"/>
      <c r="C269" s="30">
        <v>44679</v>
      </c>
      <c r="D269">
        <v>46.639999389648402</v>
      </c>
      <c r="E269" s="20">
        <f t="shared" si="8"/>
        <v>6.4738721638469936E-3</v>
      </c>
      <c r="G269" s="29">
        <v>44679</v>
      </c>
      <c r="H269" s="31">
        <v>17245.05078125</v>
      </c>
      <c r="I269" s="20">
        <f t="shared" si="9"/>
        <v>1.2128508890934666E-2</v>
      </c>
    </row>
    <row r="270" spans="2:9" ht="14.25" customHeight="1" x14ac:dyDescent="0.35">
      <c r="B270" s="29"/>
      <c r="C270" s="30">
        <v>44680</v>
      </c>
      <c r="D270">
        <v>45.930000305175803</v>
      </c>
      <c r="E270" s="20">
        <f t="shared" si="8"/>
        <v>-1.5222965132160388E-2</v>
      </c>
      <c r="G270" s="29">
        <v>44680</v>
      </c>
      <c r="H270" s="31">
        <v>17102.55078125</v>
      </c>
      <c r="I270" s="20">
        <f t="shared" si="9"/>
        <v>-8.2632403816946566E-3</v>
      </c>
    </row>
    <row r="271" spans="2:9" ht="14.25" customHeight="1" x14ac:dyDescent="0.35">
      <c r="B271" s="29"/>
      <c r="C271" s="30">
        <v>44683</v>
      </c>
      <c r="D271">
        <v>45.950000762939503</v>
      </c>
      <c r="E271" s="20">
        <f t="shared" si="8"/>
        <v>4.3545520641867855E-4</v>
      </c>
      <c r="G271" s="29">
        <v>44683</v>
      </c>
      <c r="H271" s="31">
        <v>17069.099609375</v>
      </c>
      <c r="I271" s="20">
        <f t="shared" si="9"/>
        <v>-1.9559171203674158E-3</v>
      </c>
    </row>
    <row r="272" spans="2:9" ht="14.25" customHeight="1" x14ac:dyDescent="0.35">
      <c r="B272" s="29"/>
      <c r="C272" s="30">
        <v>44685</v>
      </c>
      <c r="D272">
        <v>44.580001831054702</v>
      </c>
      <c r="E272" s="20">
        <f t="shared" si="8"/>
        <v>-2.9814992581888258E-2</v>
      </c>
      <c r="G272" s="29">
        <v>44685</v>
      </c>
      <c r="H272" s="31">
        <v>16677.599609375</v>
      </c>
      <c r="I272" s="20">
        <f t="shared" si="9"/>
        <v>-2.2936183451936345E-2</v>
      </c>
    </row>
    <row r="273" spans="2:9" ht="14.25" customHeight="1" x14ac:dyDescent="0.35">
      <c r="B273" s="29"/>
      <c r="C273" s="30">
        <v>44686</v>
      </c>
      <c r="D273">
        <v>44.950000762939503</v>
      </c>
      <c r="E273" s="20">
        <f t="shared" si="8"/>
        <v>8.2996616574173773E-3</v>
      </c>
      <c r="G273" s="29">
        <v>44686</v>
      </c>
      <c r="H273" s="31">
        <v>16682.650390625</v>
      </c>
      <c r="I273" s="20">
        <f t="shared" si="9"/>
        <v>3.0284821366983761E-4</v>
      </c>
    </row>
    <row r="274" spans="2:9" ht="14.25" customHeight="1" x14ac:dyDescent="0.35">
      <c r="B274" s="29"/>
      <c r="C274" s="30">
        <v>44687</v>
      </c>
      <c r="D274">
        <v>43.869998931884801</v>
      </c>
      <c r="E274" s="20">
        <f t="shared" si="8"/>
        <v>-2.4026736656813243E-2</v>
      </c>
      <c r="G274" s="29">
        <v>44687</v>
      </c>
      <c r="H274" s="31">
        <v>16411.25</v>
      </c>
      <c r="I274" s="20">
        <f t="shared" si="9"/>
        <v>-1.6268421639856246E-2</v>
      </c>
    </row>
    <row r="275" spans="2:9" ht="14.25" customHeight="1" x14ac:dyDescent="0.35">
      <c r="B275" s="29"/>
      <c r="C275" s="30">
        <v>44690</v>
      </c>
      <c r="D275">
        <v>40.2700004577637</v>
      </c>
      <c r="E275" s="20">
        <f t="shared" si="8"/>
        <v>-8.2060600906571135E-2</v>
      </c>
      <c r="G275" s="29">
        <v>44690</v>
      </c>
      <c r="H275" s="31">
        <v>16301.849609375</v>
      </c>
      <c r="I275" s="20">
        <f t="shared" si="9"/>
        <v>-6.6661826871810496E-3</v>
      </c>
    </row>
    <row r="276" spans="2:9" ht="14.25" customHeight="1" x14ac:dyDescent="0.35">
      <c r="B276" s="29"/>
      <c r="C276" s="30">
        <v>44691</v>
      </c>
      <c r="D276">
        <v>39.939998626708999</v>
      </c>
      <c r="E276" s="20">
        <f t="shared" si="8"/>
        <v>-8.1947312466712496E-3</v>
      </c>
      <c r="G276" s="29">
        <v>44691</v>
      </c>
      <c r="H276" s="31">
        <v>16240.0498046875</v>
      </c>
      <c r="I276" s="20">
        <f t="shared" si="9"/>
        <v>-3.7909688880922855E-3</v>
      </c>
    </row>
    <row r="277" spans="2:9" ht="14.25" customHeight="1" x14ac:dyDescent="0.35">
      <c r="B277" s="29"/>
      <c r="C277" s="30">
        <v>44692</v>
      </c>
      <c r="D277">
        <v>40.439998626708999</v>
      </c>
      <c r="E277" s="20">
        <f t="shared" si="8"/>
        <v>1.2518778597694692E-2</v>
      </c>
      <c r="G277" s="29">
        <v>44692</v>
      </c>
      <c r="H277" s="31">
        <v>16167.099609375</v>
      </c>
      <c r="I277" s="20">
        <f t="shared" si="9"/>
        <v>-4.4919933245182401E-3</v>
      </c>
    </row>
    <row r="278" spans="2:9" ht="14.25" customHeight="1" x14ac:dyDescent="0.35">
      <c r="B278" s="29"/>
      <c r="C278" s="30">
        <v>44693</v>
      </c>
      <c r="D278">
        <v>38.549999237060597</v>
      </c>
      <c r="E278" s="20">
        <f t="shared" si="8"/>
        <v>-4.6735891538832376E-2</v>
      </c>
      <c r="G278" s="29">
        <v>44693</v>
      </c>
      <c r="H278" s="31">
        <v>15808</v>
      </c>
      <c r="I278" s="20">
        <f t="shared" si="9"/>
        <v>-2.2211752141785831E-2</v>
      </c>
    </row>
    <row r="279" spans="2:9" ht="14.25" customHeight="1" x14ac:dyDescent="0.35">
      <c r="B279" s="29"/>
      <c r="C279" s="30">
        <v>44694</v>
      </c>
      <c r="D279">
        <v>38.659999847412102</v>
      </c>
      <c r="E279" s="20">
        <f t="shared" si="8"/>
        <v>2.853452983878531E-3</v>
      </c>
      <c r="G279" s="29">
        <v>44694</v>
      </c>
      <c r="H279" s="31">
        <v>15782.150390625</v>
      </c>
      <c r="I279" s="20">
        <f t="shared" si="9"/>
        <v>-1.6352232651189271E-3</v>
      </c>
    </row>
    <row r="280" spans="2:9" ht="14.25" customHeight="1" x14ac:dyDescent="0.35">
      <c r="B280" s="29"/>
      <c r="C280" s="30">
        <v>44697</v>
      </c>
      <c r="D280">
        <v>39.549999237060597</v>
      </c>
      <c r="E280" s="20">
        <f t="shared" si="8"/>
        <v>2.3021194856731767E-2</v>
      </c>
      <c r="G280" s="29">
        <v>44697</v>
      </c>
      <c r="H280" s="31">
        <v>15842.2998046875</v>
      </c>
      <c r="I280" s="20">
        <f t="shared" si="9"/>
        <v>3.8112305721171107E-3</v>
      </c>
    </row>
    <row r="281" spans="2:9" ht="14.25" customHeight="1" x14ac:dyDescent="0.35">
      <c r="B281" s="29"/>
      <c r="C281" s="30">
        <v>44698</v>
      </c>
      <c r="D281">
        <v>40.549999237060597</v>
      </c>
      <c r="E281" s="20">
        <f t="shared" si="8"/>
        <v>2.5284450550960902E-2</v>
      </c>
      <c r="G281" s="29">
        <v>44698</v>
      </c>
      <c r="H281" s="31">
        <v>16259.2998046875</v>
      </c>
      <c r="I281" s="20">
        <f t="shared" si="9"/>
        <v>2.6321935902047247E-2</v>
      </c>
    </row>
    <row r="282" spans="2:9" ht="14.25" customHeight="1" x14ac:dyDescent="0.35">
      <c r="B282" s="29"/>
      <c r="C282" s="30">
        <v>44699</v>
      </c>
      <c r="D282">
        <v>39.409999847412102</v>
      </c>
      <c r="E282" s="20">
        <f t="shared" si="8"/>
        <v>-2.8113425674410223E-2</v>
      </c>
      <c r="G282" s="29">
        <v>44699</v>
      </c>
      <c r="H282" s="31">
        <v>16240.2998046875</v>
      </c>
      <c r="I282" s="20">
        <f t="shared" si="9"/>
        <v>-1.1685620062508698E-3</v>
      </c>
    </row>
    <row r="283" spans="2:9" ht="14.25" customHeight="1" x14ac:dyDescent="0.35">
      <c r="B283" s="29"/>
      <c r="C283" s="30">
        <v>44700</v>
      </c>
      <c r="D283">
        <v>37.389999389648402</v>
      </c>
      <c r="E283" s="20">
        <f t="shared" si="8"/>
        <v>-5.125603820311473E-2</v>
      </c>
      <c r="G283" s="29">
        <v>44700</v>
      </c>
      <c r="H283" s="31">
        <v>15809.400390625</v>
      </c>
      <c r="I283" s="20">
        <f t="shared" si="9"/>
        <v>-2.6532725334179351E-2</v>
      </c>
    </row>
    <row r="284" spans="2:9" ht="14.25" customHeight="1" x14ac:dyDescent="0.35">
      <c r="B284" s="29"/>
      <c r="C284" s="30">
        <v>44701</v>
      </c>
      <c r="D284">
        <v>38.880001068115199</v>
      </c>
      <c r="E284" s="20">
        <f t="shared" si="8"/>
        <v>3.9850272874818793E-2</v>
      </c>
      <c r="G284" s="29">
        <v>44701</v>
      </c>
      <c r="H284" s="31">
        <v>16266.150390625</v>
      </c>
      <c r="I284" s="20">
        <f t="shared" si="9"/>
        <v>2.8891038794289343E-2</v>
      </c>
    </row>
    <row r="285" spans="2:9" ht="14.25" customHeight="1" x14ac:dyDescent="0.35">
      <c r="B285" s="29"/>
      <c r="C285" s="30">
        <v>44704</v>
      </c>
      <c r="D285">
        <v>38.130001068115199</v>
      </c>
      <c r="E285" s="20">
        <f t="shared" si="8"/>
        <v>-1.9290122926849961E-2</v>
      </c>
      <c r="G285" s="29">
        <v>44704</v>
      </c>
      <c r="H285" s="31">
        <v>16214.7001953125</v>
      </c>
      <c r="I285" s="20">
        <f t="shared" si="9"/>
        <v>-3.1630222318707523E-3</v>
      </c>
    </row>
    <row r="286" spans="2:9" ht="14.25" customHeight="1" x14ac:dyDescent="0.35">
      <c r="B286" s="29"/>
      <c r="C286" s="30">
        <v>44705</v>
      </c>
      <c r="D286">
        <v>37.950000762939503</v>
      </c>
      <c r="E286" s="20">
        <f t="shared" si="8"/>
        <v>-4.7207002395343381E-3</v>
      </c>
      <c r="G286" s="29">
        <v>44705</v>
      </c>
      <c r="H286" s="31">
        <v>16125.150390625</v>
      </c>
      <c r="I286" s="20">
        <f t="shared" si="9"/>
        <v>-5.5227542667355585E-3</v>
      </c>
    </row>
    <row r="287" spans="2:9" ht="14.25" customHeight="1" x14ac:dyDescent="0.35">
      <c r="B287" s="29"/>
      <c r="C287" s="30">
        <v>44706</v>
      </c>
      <c r="D287">
        <v>37.25</v>
      </c>
      <c r="E287" s="20">
        <f t="shared" si="8"/>
        <v>-1.8445342526134979E-2</v>
      </c>
      <c r="G287" s="29">
        <v>44706</v>
      </c>
      <c r="H287" s="31">
        <v>16025.7998046875</v>
      </c>
      <c r="I287" s="20">
        <f t="shared" si="9"/>
        <v>-6.1612191843656494E-3</v>
      </c>
    </row>
    <row r="288" spans="2:9" ht="14.25" customHeight="1" x14ac:dyDescent="0.35">
      <c r="B288" s="29"/>
      <c r="C288" s="30">
        <v>44707</v>
      </c>
      <c r="D288">
        <v>39.159999847412102</v>
      </c>
      <c r="E288" s="20">
        <f t="shared" si="8"/>
        <v>5.12751636889155E-2</v>
      </c>
      <c r="G288" s="29">
        <v>44707</v>
      </c>
      <c r="H288" s="31">
        <v>16170.150390625</v>
      </c>
      <c r="I288" s="20">
        <f t="shared" si="9"/>
        <v>9.0073873189953288E-3</v>
      </c>
    </row>
    <row r="289" spans="2:9" ht="14.25" customHeight="1" x14ac:dyDescent="0.35">
      <c r="B289" s="29"/>
      <c r="C289" s="30">
        <v>44708</v>
      </c>
      <c r="D289">
        <v>39.610000610351598</v>
      </c>
      <c r="E289" s="20">
        <f t="shared" si="8"/>
        <v>1.1491337198491694E-2</v>
      </c>
      <c r="G289" s="29">
        <v>44708</v>
      </c>
      <c r="H289" s="31">
        <v>16352.4501953125</v>
      </c>
      <c r="I289" s="20">
        <f t="shared" si="9"/>
        <v>1.1273847198922301E-2</v>
      </c>
    </row>
    <row r="290" spans="2:9" ht="14.25" customHeight="1" x14ac:dyDescent="0.35">
      <c r="B290" s="29"/>
      <c r="C290" s="30">
        <v>44711</v>
      </c>
      <c r="D290">
        <v>41.799999237060597</v>
      </c>
      <c r="E290" s="20">
        <f t="shared" si="8"/>
        <v>5.5289032894805579E-2</v>
      </c>
      <c r="G290" s="29">
        <v>44711</v>
      </c>
      <c r="H290" s="31">
        <v>16661.400390625</v>
      </c>
      <c r="I290" s="20">
        <f t="shared" si="9"/>
        <v>1.8893205092962884E-2</v>
      </c>
    </row>
    <row r="291" spans="2:9" ht="14.25" customHeight="1" x14ac:dyDescent="0.35">
      <c r="B291" s="29"/>
      <c r="C291" s="30">
        <v>44712</v>
      </c>
      <c r="D291">
        <v>41</v>
      </c>
      <c r="E291" s="20">
        <f t="shared" si="8"/>
        <v>-1.9138738078045312E-2</v>
      </c>
      <c r="G291" s="29">
        <v>44712</v>
      </c>
      <c r="H291" s="31">
        <v>16584.55078125</v>
      </c>
      <c r="I291" s="20">
        <f t="shared" si="9"/>
        <v>-4.6124339835348759E-3</v>
      </c>
    </row>
    <row r="292" spans="2:9" ht="14.25" customHeight="1" x14ac:dyDescent="0.35">
      <c r="B292" s="29"/>
      <c r="C292" s="30">
        <v>44713</v>
      </c>
      <c r="D292">
        <v>41.75</v>
      </c>
      <c r="E292" s="20">
        <f t="shared" si="8"/>
        <v>1.8292682926829267E-2</v>
      </c>
      <c r="G292" s="29">
        <v>44713</v>
      </c>
      <c r="H292" s="31">
        <v>16522.75</v>
      </c>
      <c r="I292" s="20">
        <f t="shared" si="9"/>
        <v>-3.7264067061659654E-3</v>
      </c>
    </row>
    <row r="293" spans="2:9" ht="14.25" customHeight="1" x14ac:dyDescent="0.35">
      <c r="B293" s="29"/>
      <c r="C293" s="30">
        <v>44714</v>
      </c>
      <c r="D293">
        <v>42.709999084472699</v>
      </c>
      <c r="E293" s="20">
        <f t="shared" si="8"/>
        <v>2.2993990047250272E-2</v>
      </c>
      <c r="G293" s="29">
        <v>44714</v>
      </c>
      <c r="H293" s="31">
        <v>16628</v>
      </c>
      <c r="I293" s="20">
        <f t="shared" si="9"/>
        <v>6.3700049931155528E-3</v>
      </c>
    </row>
    <row r="294" spans="2:9" ht="14.25" customHeight="1" x14ac:dyDescent="0.35">
      <c r="B294" s="29"/>
      <c r="C294" s="30">
        <v>44715</v>
      </c>
      <c r="D294">
        <v>42.220001220703097</v>
      </c>
      <c r="E294" s="20">
        <f t="shared" si="8"/>
        <v>-1.1472673244512946E-2</v>
      </c>
      <c r="G294" s="29">
        <v>44715</v>
      </c>
      <c r="H294" s="31">
        <v>16584.30078125</v>
      </c>
      <c r="I294" s="20">
        <f t="shared" si="9"/>
        <v>-2.6280502014674042E-3</v>
      </c>
    </row>
    <row r="295" spans="2:9" ht="14.25" customHeight="1" x14ac:dyDescent="0.35">
      <c r="B295" s="29"/>
      <c r="C295" s="30">
        <v>44718</v>
      </c>
      <c r="D295">
        <v>42.090000152587898</v>
      </c>
      <c r="E295" s="20">
        <f t="shared" si="8"/>
        <v>-3.0791346365819437E-3</v>
      </c>
      <c r="G295" s="29">
        <v>44718</v>
      </c>
      <c r="H295" s="31">
        <v>16569.55078125</v>
      </c>
      <c r="I295" s="20">
        <f t="shared" si="9"/>
        <v>-8.893953501299351E-4</v>
      </c>
    </row>
    <row r="296" spans="2:9" ht="14.25" customHeight="1" x14ac:dyDescent="0.35">
      <c r="B296" s="29"/>
      <c r="C296" s="30">
        <v>44719</v>
      </c>
      <c r="D296">
        <v>41.810001373291001</v>
      </c>
      <c r="E296" s="20">
        <f t="shared" si="8"/>
        <v>-6.6523824728397067E-3</v>
      </c>
      <c r="G296" s="29">
        <v>44719</v>
      </c>
      <c r="H296" s="31">
        <v>16416.349609375</v>
      </c>
      <c r="I296" s="20">
        <f t="shared" si="9"/>
        <v>-9.2459460064760173E-3</v>
      </c>
    </row>
    <row r="297" spans="2:9" ht="14.25" customHeight="1" x14ac:dyDescent="0.35">
      <c r="B297" s="29"/>
      <c r="C297" s="30">
        <v>44720</v>
      </c>
      <c r="D297">
        <v>42.180000305175803</v>
      </c>
      <c r="E297" s="20">
        <f t="shared" si="8"/>
        <v>8.8495316845687375E-3</v>
      </c>
      <c r="G297" s="29">
        <v>44720</v>
      </c>
      <c r="H297" s="31">
        <v>16356.25</v>
      </c>
      <c r="I297" s="20">
        <f t="shared" si="9"/>
        <v>-3.6609606157923498E-3</v>
      </c>
    </row>
    <row r="298" spans="2:9" ht="14.25" customHeight="1" x14ac:dyDescent="0.35">
      <c r="B298" s="29"/>
      <c r="C298" s="30">
        <v>44721</v>
      </c>
      <c r="D298">
        <v>41.5</v>
      </c>
      <c r="E298" s="20">
        <f t="shared" si="8"/>
        <v>-1.6121391660880606E-2</v>
      </c>
      <c r="G298" s="29">
        <v>44721</v>
      </c>
      <c r="H298" s="31">
        <v>16478.099609375</v>
      </c>
      <c r="I298" s="20">
        <f t="shared" si="9"/>
        <v>7.4497277416889565E-3</v>
      </c>
    </row>
    <row r="299" spans="2:9" ht="14.25" customHeight="1" x14ac:dyDescent="0.35">
      <c r="B299" s="29"/>
      <c r="C299" s="30">
        <v>44722</v>
      </c>
      <c r="D299">
        <v>41.590000152587898</v>
      </c>
      <c r="E299" s="20">
        <f t="shared" si="8"/>
        <v>2.1686783756119936E-3</v>
      </c>
      <c r="G299" s="29">
        <v>44722</v>
      </c>
      <c r="H299" s="31">
        <v>16201.7998046875</v>
      </c>
      <c r="I299" s="20">
        <f t="shared" si="9"/>
        <v>-1.6767698414100061E-2</v>
      </c>
    </row>
    <row r="300" spans="2:9" ht="14.25" customHeight="1" x14ac:dyDescent="0.35">
      <c r="B300" s="29"/>
      <c r="C300" s="30">
        <v>44725</v>
      </c>
      <c r="D300">
        <v>39.459999084472699</v>
      </c>
      <c r="E300" s="20">
        <f t="shared" si="8"/>
        <v>-5.1214259685033001E-2</v>
      </c>
      <c r="G300" s="29">
        <v>44725</v>
      </c>
      <c r="H300" s="31">
        <v>15774.400390625</v>
      </c>
      <c r="I300" s="20">
        <f t="shared" si="9"/>
        <v>-2.6379749115209097E-2</v>
      </c>
    </row>
    <row r="301" spans="2:9" ht="14.25" customHeight="1" x14ac:dyDescent="0.35">
      <c r="B301" s="29"/>
      <c r="C301" s="30">
        <v>44726</v>
      </c>
      <c r="D301">
        <v>39.430000305175803</v>
      </c>
      <c r="E301" s="20">
        <f t="shared" si="8"/>
        <v>-7.6023264046908403E-4</v>
      </c>
      <c r="G301" s="29">
        <v>44726</v>
      </c>
      <c r="H301" s="31">
        <v>15732.099609375</v>
      </c>
      <c r="I301" s="20">
        <f t="shared" si="9"/>
        <v>-2.6816094559854137E-3</v>
      </c>
    </row>
    <row r="302" spans="2:9" ht="14.25" customHeight="1" x14ac:dyDescent="0.35">
      <c r="B302" s="29"/>
      <c r="C302" s="30">
        <v>44727</v>
      </c>
      <c r="D302">
        <v>37.659999847412102</v>
      </c>
      <c r="E302" s="20">
        <f t="shared" si="8"/>
        <v>-4.4889689172316852E-2</v>
      </c>
      <c r="G302" s="29">
        <v>44727</v>
      </c>
      <c r="H302" s="31">
        <v>15692.150390625</v>
      </c>
      <c r="I302" s="20">
        <f t="shared" si="9"/>
        <v>-2.5393443813560425E-3</v>
      </c>
    </row>
    <row r="303" spans="2:9" ht="14.25" customHeight="1" x14ac:dyDescent="0.35">
      <c r="B303" s="29"/>
      <c r="C303" s="30">
        <v>44728</v>
      </c>
      <c r="D303">
        <v>36.209999084472699</v>
      </c>
      <c r="E303" s="20">
        <f t="shared" si="8"/>
        <v>-3.8502410218120162E-2</v>
      </c>
      <c r="G303" s="29">
        <v>44728</v>
      </c>
      <c r="H303" s="31">
        <v>15360.599609375</v>
      </c>
      <c r="I303" s="20">
        <f t="shared" si="9"/>
        <v>-2.1128447854290206E-2</v>
      </c>
    </row>
    <row r="304" spans="2:9" ht="14.25" customHeight="1" x14ac:dyDescent="0.35">
      <c r="B304" s="29"/>
      <c r="C304" s="30">
        <v>44729</v>
      </c>
      <c r="D304">
        <v>36.169998168945298</v>
      </c>
      <c r="E304" s="20">
        <f t="shared" si="8"/>
        <v>-1.1046925307588171E-3</v>
      </c>
      <c r="G304" s="29">
        <v>44729</v>
      </c>
      <c r="H304" s="31">
        <v>15293.5</v>
      </c>
      <c r="I304" s="20">
        <f t="shared" si="9"/>
        <v>-4.3682936266398898E-3</v>
      </c>
    </row>
    <row r="305" spans="2:9" ht="14.25" customHeight="1" x14ac:dyDescent="0.35">
      <c r="B305" s="29"/>
      <c r="C305" s="30">
        <v>44732</v>
      </c>
      <c r="D305">
        <v>34.909999847412102</v>
      </c>
      <c r="E305" s="20">
        <f t="shared" si="8"/>
        <v>-3.4835454390899051E-2</v>
      </c>
      <c r="G305" s="29">
        <v>44732</v>
      </c>
      <c r="H305" s="31">
        <v>15350.150390625</v>
      </c>
      <c r="I305" s="20">
        <f t="shared" si="9"/>
        <v>3.7042135956452085E-3</v>
      </c>
    </row>
    <row r="306" spans="2:9" ht="14.25" customHeight="1" x14ac:dyDescent="0.35">
      <c r="B306" s="29"/>
      <c r="C306" s="30">
        <v>44733</v>
      </c>
      <c r="D306">
        <v>36.490001678466797</v>
      </c>
      <c r="E306" s="20">
        <f t="shared" si="8"/>
        <v>4.5259290689221271E-2</v>
      </c>
      <c r="G306" s="29">
        <v>44733</v>
      </c>
      <c r="H306" s="31">
        <v>15638.7998046875</v>
      </c>
      <c r="I306" s="20">
        <f t="shared" si="9"/>
        <v>1.8804337854487124E-2</v>
      </c>
    </row>
    <row r="307" spans="2:9" ht="14.25" customHeight="1" x14ac:dyDescent="0.35">
      <c r="B307" s="29"/>
      <c r="C307" s="30">
        <v>44734</v>
      </c>
      <c r="D307">
        <v>36.169998168945298</v>
      </c>
      <c r="E307" s="20">
        <f t="shared" si="8"/>
        <v>-8.76962167174513E-3</v>
      </c>
      <c r="G307" s="29">
        <v>44734</v>
      </c>
      <c r="H307" s="31">
        <v>15413.2998046875</v>
      </c>
      <c r="I307" s="20">
        <f t="shared" si="9"/>
        <v>-1.4419265085317462E-2</v>
      </c>
    </row>
    <row r="308" spans="2:9" ht="14.25" customHeight="1" x14ac:dyDescent="0.35">
      <c r="B308" s="29"/>
      <c r="C308" s="30">
        <v>44735</v>
      </c>
      <c r="D308">
        <v>36.369998931884801</v>
      </c>
      <c r="E308" s="20">
        <f t="shared" si="8"/>
        <v>5.5294656639274806E-3</v>
      </c>
      <c r="G308" s="29">
        <v>44735</v>
      </c>
      <c r="H308" s="31">
        <v>15556.650390625</v>
      </c>
      <c r="I308" s="20">
        <f t="shared" si="9"/>
        <v>9.3004475196092756E-3</v>
      </c>
    </row>
    <row r="309" spans="2:9" ht="14.25" customHeight="1" x14ac:dyDescent="0.35">
      <c r="B309" s="29"/>
      <c r="C309" s="30">
        <v>44736</v>
      </c>
      <c r="D309">
        <v>37.180000305175803</v>
      </c>
      <c r="E309" s="20">
        <f t="shared" si="8"/>
        <v>2.2271140970006754E-2</v>
      </c>
      <c r="G309" s="29">
        <v>44736</v>
      </c>
      <c r="H309" s="31">
        <v>15699.25</v>
      </c>
      <c r="I309" s="20">
        <f t="shared" si="9"/>
        <v>9.1664725885294493E-3</v>
      </c>
    </row>
    <row r="310" spans="2:9" ht="14.25" customHeight="1" x14ac:dyDescent="0.35">
      <c r="B310" s="29"/>
      <c r="C310" s="30">
        <v>44739</v>
      </c>
      <c r="D310">
        <v>37.540000915527301</v>
      </c>
      <c r="E310" s="20">
        <f t="shared" si="8"/>
        <v>9.6826414038889367E-3</v>
      </c>
      <c r="G310" s="29">
        <v>44739</v>
      </c>
      <c r="H310" s="31">
        <v>15832.0498046875</v>
      </c>
      <c r="I310" s="20">
        <f t="shared" si="9"/>
        <v>8.4589903777250505E-3</v>
      </c>
    </row>
    <row r="311" spans="2:9" ht="14.25" customHeight="1" x14ac:dyDescent="0.35">
      <c r="B311" s="29"/>
      <c r="C311" s="30">
        <v>44740</v>
      </c>
      <c r="D311">
        <v>37.560001373291001</v>
      </c>
      <c r="E311" s="20">
        <f t="shared" si="8"/>
        <v>5.3277723164433122E-4</v>
      </c>
      <c r="G311" s="29">
        <v>44740</v>
      </c>
      <c r="H311" s="31">
        <v>15850.2001953125</v>
      </c>
      <c r="I311" s="20">
        <f t="shared" si="9"/>
        <v>1.14643339611186E-3</v>
      </c>
    </row>
    <row r="312" spans="2:9" ht="14.25" customHeight="1" x14ac:dyDescent="0.35">
      <c r="B312" s="29"/>
      <c r="C312" s="30">
        <v>44741</v>
      </c>
      <c r="D312">
        <v>37.25</v>
      </c>
      <c r="E312" s="20">
        <f t="shared" si="8"/>
        <v>-8.2534973896844447E-3</v>
      </c>
      <c r="G312" s="29">
        <v>44741</v>
      </c>
      <c r="H312" s="31">
        <v>15799.099609375</v>
      </c>
      <c r="I312" s="20">
        <f t="shared" si="9"/>
        <v>-3.2239710103227821E-3</v>
      </c>
    </row>
    <row r="313" spans="2:9" ht="14.25" customHeight="1" x14ac:dyDescent="0.35">
      <c r="B313" s="29"/>
      <c r="C313" s="30">
        <v>44742</v>
      </c>
      <c r="D313">
        <v>36.25</v>
      </c>
      <c r="E313" s="20">
        <f t="shared" si="8"/>
        <v>-2.6845637583892617E-2</v>
      </c>
      <c r="G313" s="29">
        <v>44742</v>
      </c>
      <c r="H313" s="31">
        <v>15780.25</v>
      </c>
      <c r="I313" s="20">
        <f t="shared" si="9"/>
        <v>-1.1930812414028243E-3</v>
      </c>
    </row>
    <row r="314" spans="2:9" ht="14.25" customHeight="1" x14ac:dyDescent="0.35">
      <c r="B314" s="29"/>
      <c r="C314" s="30">
        <v>44743</v>
      </c>
      <c r="D314">
        <v>36.970001220703097</v>
      </c>
      <c r="E314" s="20">
        <f t="shared" si="8"/>
        <v>1.9862102640085422E-2</v>
      </c>
      <c r="G314" s="29">
        <v>44743</v>
      </c>
      <c r="H314" s="31">
        <v>15752.0498046875</v>
      </c>
      <c r="I314" s="20">
        <f t="shared" si="9"/>
        <v>-1.7870563085185596E-3</v>
      </c>
    </row>
    <row r="315" spans="2:9" ht="14.25" customHeight="1" x14ac:dyDescent="0.35">
      <c r="B315" s="29"/>
      <c r="C315" s="30">
        <v>44746</v>
      </c>
      <c r="D315">
        <v>37.669998168945298</v>
      </c>
      <c r="E315" s="20">
        <f t="shared" si="8"/>
        <v>1.8934187858511767E-2</v>
      </c>
      <c r="G315" s="29">
        <v>44746</v>
      </c>
      <c r="H315" s="31">
        <v>15835.349609375</v>
      </c>
      <c r="I315" s="20">
        <f t="shared" si="9"/>
        <v>5.288188249805534E-3</v>
      </c>
    </row>
    <row r="316" spans="2:9" ht="14.25" customHeight="1" x14ac:dyDescent="0.35">
      <c r="B316" s="29"/>
      <c r="C316" s="30">
        <v>44747</v>
      </c>
      <c r="D316">
        <v>37.819999694824197</v>
      </c>
      <c r="E316" s="20">
        <f t="shared" si="8"/>
        <v>3.981989200162973E-3</v>
      </c>
      <c r="G316" s="29">
        <v>44747</v>
      </c>
      <c r="H316" s="31">
        <v>15810.849609375</v>
      </c>
      <c r="I316" s="20">
        <f t="shared" si="9"/>
        <v>-1.5471713984448608E-3</v>
      </c>
    </row>
    <row r="317" spans="2:9" ht="14.25" customHeight="1" x14ac:dyDescent="0.35">
      <c r="B317" s="29"/>
      <c r="C317" s="30">
        <v>44748</v>
      </c>
      <c r="D317">
        <v>38.549999237060597</v>
      </c>
      <c r="E317" s="20">
        <f t="shared" si="8"/>
        <v>1.9301944688706652E-2</v>
      </c>
      <c r="G317" s="29">
        <v>44748</v>
      </c>
      <c r="H317" s="31">
        <v>15989.7998046875</v>
      </c>
      <c r="I317" s="20">
        <f t="shared" si="9"/>
        <v>1.1318189707300232E-2</v>
      </c>
    </row>
    <row r="318" spans="2:9" ht="14.25" customHeight="1" x14ac:dyDescent="0.35">
      <c r="B318" s="29"/>
      <c r="C318" s="30">
        <v>44749</v>
      </c>
      <c r="D318">
        <v>41.709999084472699</v>
      </c>
      <c r="E318" s="20">
        <f t="shared" si="8"/>
        <v>8.1971463293161129E-2</v>
      </c>
      <c r="G318" s="29">
        <v>44749</v>
      </c>
      <c r="H318" s="31">
        <v>16132.900390625</v>
      </c>
      <c r="I318" s="20">
        <f t="shared" si="9"/>
        <v>8.9494920315105666E-3</v>
      </c>
    </row>
    <row r="319" spans="2:9" ht="14.25" customHeight="1" x14ac:dyDescent="0.35">
      <c r="B319" s="29"/>
      <c r="C319" s="30">
        <v>44750</v>
      </c>
      <c r="D319">
        <v>42.220001220703097</v>
      </c>
      <c r="E319" s="20">
        <f t="shared" si="8"/>
        <v>1.2227335109682493E-2</v>
      </c>
      <c r="G319" s="29">
        <v>44750</v>
      </c>
      <c r="H319" s="31">
        <v>16220.599609375</v>
      </c>
      <c r="I319" s="20">
        <f t="shared" si="9"/>
        <v>5.436047866567313E-3</v>
      </c>
    </row>
    <row r="320" spans="2:9" ht="14.25" customHeight="1" x14ac:dyDescent="0.35">
      <c r="B320" s="29"/>
      <c r="C320" s="30">
        <v>44753</v>
      </c>
      <c r="D320">
        <v>43.389999389648402</v>
      </c>
      <c r="E320" s="20">
        <f t="shared" si="8"/>
        <v>2.7711940670707095E-2</v>
      </c>
      <c r="G320" s="29">
        <v>44753</v>
      </c>
      <c r="H320" s="31">
        <v>16216</v>
      </c>
      <c r="I320" s="20">
        <f t="shared" si="9"/>
        <v>-2.8356592763325282E-4</v>
      </c>
    </row>
    <row r="321" spans="2:9" ht="14.25" customHeight="1" x14ac:dyDescent="0.35">
      <c r="B321" s="29"/>
      <c r="C321" s="30">
        <v>44754</v>
      </c>
      <c r="D321">
        <v>43.380001068115199</v>
      </c>
      <c r="E321" s="20">
        <f t="shared" si="8"/>
        <v>-2.3042916971297388E-4</v>
      </c>
      <c r="G321" s="29">
        <v>44754</v>
      </c>
      <c r="H321" s="31">
        <v>16058.2998046875</v>
      </c>
      <c r="I321" s="20">
        <f t="shared" si="9"/>
        <v>-9.7249750439380861E-3</v>
      </c>
    </row>
    <row r="322" spans="2:9" ht="14.25" customHeight="1" x14ac:dyDescent="0.35">
      <c r="B322" s="29"/>
      <c r="C322" s="30">
        <v>44755</v>
      </c>
      <c r="D322">
        <v>43.639999389648402</v>
      </c>
      <c r="E322" s="20">
        <f t="shared" si="8"/>
        <v>5.9935065728780003E-3</v>
      </c>
      <c r="G322" s="29">
        <v>44755</v>
      </c>
      <c r="H322" s="31">
        <v>15966.650390625</v>
      </c>
      <c r="I322" s="20">
        <f t="shared" si="9"/>
        <v>-5.707292501522924E-3</v>
      </c>
    </row>
    <row r="323" spans="2:9" ht="14.25" customHeight="1" x14ac:dyDescent="0.35">
      <c r="B323" s="29"/>
      <c r="C323" s="30">
        <v>44756</v>
      </c>
      <c r="D323">
        <v>41.909999847412102</v>
      </c>
      <c r="E323" s="20">
        <f t="shared" si="8"/>
        <v>-3.964251985408284E-2</v>
      </c>
      <c r="G323" s="29">
        <v>44756</v>
      </c>
      <c r="H323" s="31">
        <v>15938.650390625</v>
      </c>
      <c r="I323" s="20">
        <f t="shared" si="9"/>
        <v>-1.7536552323109999E-3</v>
      </c>
    </row>
    <row r="324" spans="2:9" ht="14.25" customHeight="1" x14ac:dyDescent="0.35">
      <c r="B324" s="29"/>
      <c r="C324" s="30">
        <v>44757</v>
      </c>
      <c r="D324">
        <v>41.220001220703097</v>
      </c>
      <c r="E324" s="20">
        <f t="shared" si="8"/>
        <v>-1.6463818401841687E-2</v>
      </c>
      <c r="G324" s="29">
        <v>44757</v>
      </c>
      <c r="H324" s="31">
        <v>16049.2001953125</v>
      </c>
      <c r="I324" s="20">
        <f t="shared" si="9"/>
        <v>6.9359576863875878E-3</v>
      </c>
    </row>
    <row r="325" spans="2:9" ht="14.25" customHeight="1" x14ac:dyDescent="0.35">
      <c r="B325" s="29"/>
      <c r="C325" s="30">
        <v>44760</v>
      </c>
      <c r="D325">
        <v>42.900001525878899</v>
      </c>
      <c r="E325" s="20">
        <f t="shared" ref="E325:E388" si="10">(D325-D324)/D324</f>
        <v>4.0756920315955937E-2</v>
      </c>
      <c r="G325" s="29">
        <v>44760</v>
      </c>
      <c r="H325" s="31">
        <v>16278.5</v>
      </c>
      <c r="I325" s="20">
        <f t="shared" ref="I325:I388" si="11">(H325-H324)/H324</f>
        <v>1.4287304158276481E-2</v>
      </c>
    </row>
    <row r="326" spans="2:9" ht="14.25" customHeight="1" x14ac:dyDescent="0.35">
      <c r="B326" s="29"/>
      <c r="C326" s="30">
        <v>44761</v>
      </c>
      <c r="D326">
        <v>44.630001068115199</v>
      </c>
      <c r="E326" s="20">
        <f t="shared" si="10"/>
        <v>4.0326328221519964E-2</v>
      </c>
      <c r="G326" s="29">
        <v>44761</v>
      </c>
      <c r="H326" s="31">
        <v>16340.5498046875</v>
      </c>
      <c r="I326" s="20">
        <f t="shared" si="11"/>
        <v>3.8117642711244892E-3</v>
      </c>
    </row>
    <row r="327" spans="2:9" ht="14.25" customHeight="1" x14ac:dyDescent="0.35">
      <c r="B327" s="29"/>
      <c r="C327" s="30">
        <v>44762</v>
      </c>
      <c r="D327">
        <v>43.950000762939503</v>
      </c>
      <c r="E327" s="20">
        <f t="shared" si="10"/>
        <v>-1.5236394553024231E-2</v>
      </c>
      <c r="G327" s="29">
        <v>44762</v>
      </c>
      <c r="H327" s="31">
        <v>16520.849609375</v>
      </c>
      <c r="I327" s="20">
        <f t="shared" si="11"/>
        <v>1.1033888506969248E-2</v>
      </c>
    </row>
    <row r="328" spans="2:9" ht="14.25" customHeight="1" x14ac:dyDescent="0.35">
      <c r="B328" s="29"/>
      <c r="C328" s="30">
        <v>44763</v>
      </c>
      <c r="D328">
        <v>45.25</v>
      </c>
      <c r="E328" s="20">
        <f t="shared" si="10"/>
        <v>2.9579049248998224E-2</v>
      </c>
      <c r="G328" s="29">
        <v>44763</v>
      </c>
      <c r="H328" s="31">
        <v>16605.25</v>
      </c>
      <c r="I328" s="20">
        <f t="shared" si="11"/>
        <v>5.1087197462959628E-3</v>
      </c>
    </row>
    <row r="329" spans="2:9" ht="14.25" customHeight="1" x14ac:dyDescent="0.35">
      <c r="B329" s="29"/>
      <c r="C329" s="30">
        <v>44764</v>
      </c>
      <c r="D329">
        <v>45.810001373291001</v>
      </c>
      <c r="E329" s="20">
        <f t="shared" si="10"/>
        <v>1.2375720956707213E-2</v>
      </c>
      <c r="G329" s="29">
        <v>44764</v>
      </c>
      <c r="H329" s="31">
        <v>16719.44921875</v>
      </c>
      <c r="I329" s="20">
        <f t="shared" si="11"/>
        <v>6.8772959606148657E-3</v>
      </c>
    </row>
    <row r="330" spans="2:9" ht="14.25" customHeight="1" x14ac:dyDescent="0.35">
      <c r="B330" s="29"/>
      <c r="C330" s="30">
        <v>44767</v>
      </c>
      <c r="D330">
        <v>44.959999084472699</v>
      </c>
      <c r="E330" s="20">
        <f t="shared" si="10"/>
        <v>-1.8554950083758057E-2</v>
      </c>
      <c r="G330" s="29">
        <v>44767</v>
      </c>
      <c r="H330" s="31">
        <v>16631</v>
      </c>
      <c r="I330" s="20">
        <f t="shared" si="11"/>
        <v>-5.2901993117577557E-3</v>
      </c>
    </row>
    <row r="331" spans="2:9" ht="14.25" customHeight="1" x14ac:dyDescent="0.35">
      <c r="B331" s="29"/>
      <c r="C331" s="30">
        <v>44768</v>
      </c>
      <c r="D331">
        <v>44.319999694824197</v>
      </c>
      <c r="E331" s="20">
        <f t="shared" si="10"/>
        <v>-1.4234862159272828E-2</v>
      </c>
      <c r="G331" s="29">
        <v>44768</v>
      </c>
      <c r="H331" s="31">
        <v>16483.849609375</v>
      </c>
      <c r="I331" s="20">
        <f t="shared" si="11"/>
        <v>-8.8479580677650171E-3</v>
      </c>
    </row>
    <row r="332" spans="2:9" ht="14.25" customHeight="1" x14ac:dyDescent="0.35">
      <c r="B332" s="29"/>
      <c r="C332" s="30">
        <v>44769</v>
      </c>
      <c r="D332">
        <v>45.409999847412102</v>
      </c>
      <c r="E332" s="20">
        <f t="shared" si="10"/>
        <v>2.4593866428099229E-2</v>
      </c>
      <c r="G332" s="29">
        <v>44769</v>
      </c>
      <c r="H332" s="31">
        <v>16641.80078125</v>
      </c>
      <c r="I332" s="20">
        <f t="shared" si="11"/>
        <v>9.5821774414374099E-3</v>
      </c>
    </row>
    <row r="333" spans="2:9" ht="14.25" customHeight="1" x14ac:dyDescent="0.35">
      <c r="B333" s="29"/>
      <c r="C333" s="30">
        <v>44770</v>
      </c>
      <c r="D333">
        <v>45.240001678466797</v>
      </c>
      <c r="E333" s="20">
        <f t="shared" si="10"/>
        <v>-3.7436284852794053E-3</v>
      </c>
      <c r="G333" s="29">
        <v>44770</v>
      </c>
      <c r="H333" s="31">
        <v>16929.599609375</v>
      </c>
      <c r="I333" s="20">
        <f t="shared" si="11"/>
        <v>1.7293731123692903E-2</v>
      </c>
    </row>
    <row r="334" spans="2:9" ht="14.25" customHeight="1" x14ac:dyDescent="0.35">
      <c r="B334" s="29"/>
      <c r="C334" s="30">
        <v>44771</v>
      </c>
      <c r="D334">
        <v>44.459999084472699</v>
      </c>
      <c r="E334" s="20">
        <f t="shared" si="10"/>
        <v>-1.7241436009171534E-2</v>
      </c>
      <c r="G334" s="29">
        <v>44771</v>
      </c>
      <c r="H334" s="31">
        <v>17158.25</v>
      </c>
      <c r="I334" s="20">
        <f t="shared" si="11"/>
        <v>1.3505953826479256E-2</v>
      </c>
    </row>
    <row r="335" spans="2:9" ht="14.25" customHeight="1" x14ac:dyDescent="0.35">
      <c r="B335" s="29"/>
      <c r="C335" s="30">
        <v>44774</v>
      </c>
      <c r="D335">
        <v>45.0200004577637</v>
      </c>
      <c r="E335" s="20">
        <f t="shared" si="10"/>
        <v>1.2595622690567652E-2</v>
      </c>
      <c r="G335" s="29">
        <v>44774</v>
      </c>
      <c r="H335" s="31">
        <v>17340.05078125</v>
      </c>
      <c r="I335" s="20">
        <f t="shared" si="11"/>
        <v>1.059553166843938E-2</v>
      </c>
    </row>
    <row r="336" spans="2:9" ht="14.25" customHeight="1" x14ac:dyDescent="0.35">
      <c r="B336" s="29"/>
      <c r="C336" s="30">
        <v>44775</v>
      </c>
      <c r="D336">
        <v>46.639999389648402</v>
      </c>
      <c r="E336" s="20">
        <f t="shared" si="10"/>
        <v>3.5983983016715695E-2</v>
      </c>
      <c r="G336" s="29">
        <v>44775</v>
      </c>
      <c r="H336" s="31">
        <v>17345.44921875</v>
      </c>
      <c r="I336" s="20">
        <f t="shared" si="11"/>
        <v>3.1132766380577117E-4</v>
      </c>
    </row>
    <row r="337" spans="2:9" ht="14.25" customHeight="1" x14ac:dyDescent="0.35">
      <c r="B337" s="29"/>
      <c r="C337" s="30">
        <v>44776</v>
      </c>
      <c r="D337">
        <v>46.389999389648402</v>
      </c>
      <c r="E337" s="20">
        <f t="shared" si="10"/>
        <v>-5.3602059020499623E-3</v>
      </c>
      <c r="G337" s="29">
        <v>44776</v>
      </c>
      <c r="H337" s="31">
        <v>17388.150390625</v>
      </c>
      <c r="I337" s="20">
        <f t="shared" si="11"/>
        <v>2.4618083588657416E-3</v>
      </c>
    </row>
    <row r="338" spans="2:9" ht="14.25" customHeight="1" x14ac:dyDescent="0.35">
      <c r="B338" s="29"/>
      <c r="C338" s="30">
        <v>44777</v>
      </c>
      <c r="D338">
        <v>44.919998168945298</v>
      </c>
      <c r="E338" s="20">
        <f t="shared" si="10"/>
        <v>-3.1687890494586299E-2</v>
      </c>
      <c r="G338" s="29">
        <v>44777</v>
      </c>
      <c r="H338" s="31">
        <v>17382</v>
      </c>
      <c r="I338" s="20">
        <f t="shared" si="11"/>
        <v>-3.537116074356043E-4</v>
      </c>
    </row>
    <row r="339" spans="2:9" ht="14.25" customHeight="1" x14ac:dyDescent="0.35">
      <c r="B339" s="29"/>
      <c r="C339" s="30">
        <v>44778</v>
      </c>
      <c r="D339">
        <v>44.25</v>
      </c>
      <c r="E339" s="20">
        <f t="shared" si="10"/>
        <v>-1.4915365010154663E-2</v>
      </c>
      <c r="G339" s="29">
        <v>44778</v>
      </c>
      <c r="H339" s="31">
        <v>17397.5</v>
      </c>
      <c r="I339" s="20">
        <f t="shared" si="11"/>
        <v>8.9172707398458174E-4</v>
      </c>
    </row>
    <row r="340" spans="2:9" ht="14.25" customHeight="1" x14ac:dyDescent="0.35">
      <c r="B340" s="29"/>
      <c r="C340" s="30">
        <v>44781</v>
      </c>
      <c r="D340">
        <v>45.009998321533203</v>
      </c>
      <c r="E340" s="20">
        <f t="shared" si="10"/>
        <v>1.7175103311484818E-2</v>
      </c>
      <c r="G340" s="29">
        <v>44781</v>
      </c>
      <c r="H340" s="31">
        <v>17525.099609375</v>
      </c>
      <c r="I340" s="20">
        <f t="shared" si="11"/>
        <v>7.3343646716482252E-3</v>
      </c>
    </row>
    <row r="341" spans="2:9" ht="14.25" customHeight="1" x14ac:dyDescent="0.35">
      <c r="B341" s="29"/>
      <c r="C341" s="30">
        <v>44783</v>
      </c>
      <c r="D341">
        <v>45.099998474121101</v>
      </c>
      <c r="E341" s="20">
        <f t="shared" si="10"/>
        <v>1.9995591189533729E-3</v>
      </c>
      <c r="G341" s="29">
        <v>44783</v>
      </c>
      <c r="H341" s="31">
        <v>17534.75</v>
      </c>
      <c r="I341" s="20">
        <f t="shared" si="11"/>
        <v>5.5066109979982946E-4</v>
      </c>
    </row>
    <row r="342" spans="2:9" ht="14.25" customHeight="1" x14ac:dyDescent="0.35">
      <c r="B342" s="29"/>
      <c r="C342" s="30">
        <v>44784</v>
      </c>
      <c r="D342">
        <v>46.180000305175803</v>
      </c>
      <c r="E342" s="20">
        <f t="shared" si="10"/>
        <v>2.3946826332475801E-2</v>
      </c>
      <c r="G342" s="29">
        <v>44784</v>
      </c>
      <c r="H342" s="31">
        <v>17659</v>
      </c>
      <c r="I342" s="20">
        <f t="shared" si="11"/>
        <v>7.0859293688247619E-3</v>
      </c>
    </row>
    <row r="343" spans="2:9" ht="14.25" customHeight="1" x14ac:dyDescent="0.35">
      <c r="B343" s="29"/>
      <c r="C343" s="30">
        <v>44785</v>
      </c>
      <c r="D343">
        <v>46.209999084472699</v>
      </c>
      <c r="E343" s="20">
        <f t="shared" si="10"/>
        <v>6.4960543738961578E-4</v>
      </c>
      <c r="G343" s="29">
        <v>44785</v>
      </c>
      <c r="H343" s="31">
        <v>17698.150390625</v>
      </c>
      <c r="I343" s="20">
        <f t="shared" si="11"/>
        <v>2.2170219505634522E-3</v>
      </c>
    </row>
    <row r="344" spans="2:9" ht="14.25" customHeight="1" x14ac:dyDescent="0.35">
      <c r="B344" s="29"/>
      <c r="C344" s="30">
        <v>44789</v>
      </c>
      <c r="D344">
        <v>46.430000305175803</v>
      </c>
      <c r="E344" s="20">
        <f t="shared" si="10"/>
        <v>4.7609007803903558E-3</v>
      </c>
      <c r="G344" s="29">
        <v>44789</v>
      </c>
      <c r="H344" s="31">
        <v>17825.25</v>
      </c>
      <c r="I344" s="20">
        <f t="shared" si="11"/>
        <v>7.18151934353133E-3</v>
      </c>
    </row>
    <row r="345" spans="2:9" ht="14.25" customHeight="1" x14ac:dyDescent="0.35">
      <c r="B345" s="29"/>
      <c r="C345" s="30">
        <v>44790</v>
      </c>
      <c r="D345">
        <v>47.840000152587898</v>
      </c>
      <c r="E345" s="20">
        <f t="shared" si="10"/>
        <v>3.0368292874099225E-2</v>
      </c>
      <c r="G345" s="29">
        <v>44790</v>
      </c>
      <c r="H345" s="31">
        <v>17944.25</v>
      </c>
      <c r="I345" s="20">
        <f t="shared" si="11"/>
        <v>6.675923198833116E-3</v>
      </c>
    </row>
    <row r="346" spans="2:9" ht="14.25" customHeight="1" x14ac:dyDescent="0.35">
      <c r="B346" s="29"/>
      <c r="C346" s="30">
        <v>44791</v>
      </c>
      <c r="D346">
        <v>47.990001678466797</v>
      </c>
      <c r="E346" s="20">
        <f t="shared" si="10"/>
        <v>3.1354833904778914E-3</v>
      </c>
      <c r="G346" s="29">
        <v>44791</v>
      </c>
      <c r="H346" s="31">
        <v>17956.5</v>
      </c>
      <c r="I346" s="20">
        <f t="shared" si="11"/>
        <v>6.8266993605193866E-4</v>
      </c>
    </row>
    <row r="347" spans="2:9" ht="14.25" customHeight="1" x14ac:dyDescent="0.35">
      <c r="B347" s="29"/>
      <c r="C347" s="30">
        <v>44792</v>
      </c>
      <c r="D347">
        <v>46.130001068115199</v>
      </c>
      <c r="E347" s="20">
        <f t="shared" si="10"/>
        <v>-3.8758085961605286E-2</v>
      </c>
      <c r="G347" s="29">
        <v>44792</v>
      </c>
      <c r="H347" s="31">
        <v>17758.44921875</v>
      </c>
      <c r="I347" s="20">
        <f t="shared" si="11"/>
        <v>-1.1029475746944004E-2</v>
      </c>
    </row>
    <row r="348" spans="2:9" ht="14.25" customHeight="1" x14ac:dyDescent="0.35">
      <c r="B348" s="29"/>
      <c r="C348" s="30">
        <v>44795</v>
      </c>
      <c r="D348">
        <v>44.409999847412102</v>
      </c>
      <c r="E348" s="20">
        <f t="shared" si="10"/>
        <v>-3.7285956663286358E-2</v>
      </c>
      <c r="G348" s="29">
        <v>44795</v>
      </c>
      <c r="H348" s="31">
        <v>17490.69921875</v>
      </c>
      <c r="I348" s="20">
        <f t="shared" si="11"/>
        <v>-1.5077330047338822E-2</v>
      </c>
    </row>
    <row r="349" spans="2:9" ht="14.25" customHeight="1" x14ac:dyDescent="0.35">
      <c r="B349" s="29"/>
      <c r="C349" s="30">
        <v>44796</v>
      </c>
      <c r="D349">
        <v>45.819999694824197</v>
      </c>
      <c r="E349" s="20">
        <f t="shared" si="10"/>
        <v>3.1749602617804552E-2</v>
      </c>
      <c r="G349" s="29">
        <v>44796</v>
      </c>
      <c r="H349" s="31">
        <v>17577.5</v>
      </c>
      <c r="I349" s="20">
        <f t="shared" si="11"/>
        <v>4.9626821755044369E-3</v>
      </c>
    </row>
    <row r="350" spans="2:9" ht="14.25" customHeight="1" x14ac:dyDescent="0.35">
      <c r="B350" s="29"/>
      <c r="C350" s="30">
        <v>44797</v>
      </c>
      <c r="D350">
        <v>46.419998168945298</v>
      </c>
      <c r="E350" s="20">
        <f t="shared" si="10"/>
        <v>1.3094685249176822E-2</v>
      </c>
      <c r="G350" s="29">
        <v>44797</v>
      </c>
      <c r="H350" s="31">
        <v>17604.94921875</v>
      </c>
      <c r="I350" s="20">
        <f t="shared" si="11"/>
        <v>1.5616110795050491E-3</v>
      </c>
    </row>
    <row r="351" spans="2:9" ht="14.25" customHeight="1" x14ac:dyDescent="0.35">
      <c r="B351" s="29"/>
      <c r="C351" s="30">
        <v>44798</v>
      </c>
      <c r="D351">
        <v>47.75</v>
      </c>
      <c r="E351" s="20">
        <f t="shared" si="10"/>
        <v>2.8651483918938736E-2</v>
      </c>
      <c r="G351" s="29">
        <v>44798</v>
      </c>
      <c r="H351" s="31">
        <v>17522.44921875</v>
      </c>
      <c r="I351" s="20">
        <f t="shared" si="11"/>
        <v>-4.686182219266732E-3</v>
      </c>
    </row>
    <row r="352" spans="2:9" ht="14.25" customHeight="1" x14ac:dyDescent="0.35">
      <c r="B352" s="29"/>
      <c r="C352" s="30">
        <v>44799</v>
      </c>
      <c r="D352">
        <v>47.900001525878899</v>
      </c>
      <c r="E352" s="20">
        <f t="shared" si="10"/>
        <v>3.1413932121235424E-3</v>
      </c>
      <c r="G352" s="29">
        <v>44799</v>
      </c>
      <c r="H352" s="31">
        <v>17558.900390625</v>
      </c>
      <c r="I352" s="20">
        <f t="shared" si="11"/>
        <v>2.0802555293466174E-3</v>
      </c>
    </row>
    <row r="353" spans="2:9" ht="14.25" customHeight="1" x14ac:dyDescent="0.35">
      <c r="B353" s="29"/>
      <c r="C353" s="30">
        <v>44802</v>
      </c>
      <c r="D353">
        <v>47</v>
      </c>
      <c r="E353" s="20">
        <f t="shared" si="10"/>
        <v>-1.8789175307075009E-2</v>
      </c>
      <c r="G353" s="29">
        <v>44802</v>
      </c>
      <c r="H353" s="31">
        <v>17312.900390625</v>
      </c>
      <c r="I353" s="20">
        <f t="shared" si="11"/>
        <v>-1.400998892455382E-2</v>
      </c>
    </row>
    <row r="354" spans="2:9" ht="14.25" customHeight="1" x14ac:dyDescent="0.35">
      <c r="B354" s="29"/>
      <c r="C354" s="30">
        <v>44803</v>
      </c>
      <c r="D354">
        <v>48.220001220703097</v>
      </c>
      <c r="E354" s="20">
        <f t="shared" si="10"/>
        <v>2.5957472780916948E-2</v>
      </c>
      <c r="G354" s="29">
        <v>44803</v>
      </c>
      <c r="H354" s="31">
        <v>17759.30078125</v>
      </c>
      <c r="I354" s="20">
        <f t="shared" si="11"/>
        <v>2.5784263789025638E-2</v>
      </c>
    </row>
    <row r="355" spans="2:9" ht="14.25" customHeight="1" x14ac:dyDescent="0.35">
      <c r="B355" s="29"/>
      <c r="C355" s="30">
        <v>44805</v>
      </c>
      <c r="D355">
        <v>48.900001525878899</v>
      </c>
      <c r="E355" s="20">
        <f t="shared" si="10"/>
        <v>1.4102038323546262E-2</v>
      </c>
      <c r="G355" s="29">
        <v>44805</v>
      </c>
      <c r="H355" s="31">
        <v>17542.80078125</v>
      </c>
      <c r="I355" s="20">
        <f t="shared" si="11"/>
        <v>-1.2190795272107639E-2</v>
      </c>
    </row>
    <row r="356" spans="2:9" ht="14.25" customHeight="1" x14ac:dyDescent="0.35">
      <c r="B356" s="29"/>
      <c r="C356" s="30">
        <v>44806</v>
      </c>
      <c r="D356">
        <v>48.759998321533203</v>
      </c>
      <c r="E356" s="20">
        <f t="shared" si="10"/>
        <v>-2.8630511242745751E-3</v>
      </c>
      <c r="G356" s="29">
        <v>44806</v>
      </c>
      <c r="H356" s="31">
        <v>17539.44921875</v>
      </c>
      <c r="I356" s="20">
        <f t="shared" si="11"/>
        <v>-1.9105059344812252E-4</v>
      </c>
    </row>
    <row r="357" spans="2:9" ht="14.25" customHeight="1" x14ac:dyDescent="0.35">
      <c r="B357" s="29"/>
      <c r="C357" s="30">
        <v>44809</v>
      </c>
      <c r="D357">
        <v>49.060001373291001</v>
      </c>
      <c r="E357" s="20">
        <f t="shared" si="10"/>
        <v>6.1526468844301024E-3</v>
      </c>
      <c r="G357" s="29">
        <v>44809</v>
      </c>
      <c r="H357" s="31">
        <v>17665.80078125</v>
      </c>
      <c r="I357" s="20">
        <f t="shared" si="11"/>
        <v>7.2038500710117975E-3</v>
      </c>
    </row>
    <row r="358" spans="2:9" ht="14.25" customHeight="1" x14ac:dyDescent="0.35">
      <c r="B358" s="29"/>
      <c r="C358" s="30">
        <v>44810</v>
      </c>
      <c r="D358">
        <v>48.860000610351598</v>
      </c>
      <c r="E358" s="20">
        <f t="shared" si="10"/>
        <v>-4.0766562849769263E-3</v>
      </c>
      <c r="G358" s="29">
        <v>44810</v>
      </c>
      <c r="H358" s="31">
        <v>17655.599609375</v>
      </c>
      <c r="I358" s="20">
        <f t="shared" si="11"/>
        <v>-5.7745312546642362E-4</v>
      </c>
    </row>
    <row r="359" spans="2:9" ht="14.25" customHeight="1" x14ac:dyDescent="0.35">
      <c r="B359" s="29"/>
      <c r="C359" s="30">
        <v>44811</v>
      </c>
      <c r="D359">
        <v>48.240001678466797</v>
      </c>
      <c r="E359" s="20">
        <f t="shared" si="10"/>
        <v>-1.268929439500348E-2</v>
      </c>
      <c r="G359" s="29">
        <v>44811</v>
      </c>
      <c r="H359" s="31">
        <v>17624.400390625</v>
      </c>
      <c r="I359" s="20">
        <f t="shared" si="11"/>
        <v>-1.7671004916442166E-3</v>
      </c>
    </row>
    <row r="360" spans="2:9" ht="14.25" customHeight="1" x14ac:dyDescent="0.35">
      <c r="B360" s="29"/>
      <c r="C360" s="30">
        <v>44812</v>
      </c>
      <c r="D360">
        <v>49</v>
      </c>
      <c r="E360" s="20">
        <f t="shared" si="10"/>
        <v>1.5754525188427772E-2</v>
      </c>
      <c r="G360" s="29">
        <v>44812</v>
      </c>
      <c r="H360" s="31">
        <v>17798.75</v>
      </c>
      <c r="I360" s="20">
        <f t="shared" si="11"/>
        <v>9.8925129655895866E-3</v>
      </c>
    </row>
    <row r="361" spans="2:9" ht="14.25" customHeight="1" x14ac:dyDescent="0.35">
      <c r="B361" s="29"/>
      <c r="C361" s="30">
        <v>44813</v>
      </c>
      <c r="D361">
        <v>48.709999084472699</v>
      </c>
      <c r="E361" s="20">
        <f t="shared" si="10"/>
        <v>-5.9183860311694102E-3</v>
      </c>
      <c r="G361" s="29">
        <v>44813</v>
      </c>
      <c r="H361" s="31">
        <v>17833.349609375</v>
      </c>
      <c r="I361" s="20">
        <f t="shared" si="11"/>
        <v>1.943934791769085E-3</v>
      </c>
    </row>
    <row r="362" spans="2:9" ht="14.25" customHeight="1" x14ac:dyDescent="0.35">
      <c r="B362" s="29"/>
      <c r="C362" s="30">
        <v>44816</v>
      </c>
      <c r="D362">
        <v>49.419998168945298</v>
      </c>
      <c r="E362" s="20">
        <f t="shared" si="10"/>
        <v>1.4576043888675129E-2</v>
      </c>
      <c r="G362" s="29">
        <v>44816</v>
      </c>
      <c r="H362" s="31">
        <v>17936.349609375</v>
      </c>
      <c r="I362" s="20">
        <f t="shared" si="11"/>
        <v>5.77569566324505E-3</v>
      </c>
    </row>
    <row r="363" spans="2:9" ht="14.25" customHeight="1" x14ac:dyDescent="0.35">
      <c r="B363" s="29"/>
      <c r="C363" s="30">
        <v>44817</v>
      </c>
      <c r="D363">
        <v>49.380001068115199</v>
      </c>
      <c r="E363" s="20">
        <f t="shared" si="10"/>
        <v>-8.093302774590743E-4</v>
      </c>
      <c r="G363" s="29">
        <v>44817</v>
      </c>
      <c r="H363" s="31">
        <v>18070.05078125</v>
      </c>
      <c r="I363" s="20">
        <f t="shared" si="11"/>
        <v>7.4542019299800475E-3</v>
      </c>
    </row>
    <row r="364" spans="2:9" ht="14.25" customHeight="1" x14ac:dyDescent="0.35">
      <c r="B364" s="29"/>
      <c r="C364" s="30">
        <v>44818</v>
      </c>
      <c r="D364">
        <v>51.060001373291001</v>
      </c>
      <c r="E364" s="20">
        <f t="shared" si="10"/>
        <v>3.4021876647155107E-2</v>
      </c>
      <c r="G364" s="29">
        <v>44818</v>
      </c>
      <c r="H364" s="31">
        <v>18003.75</v>
      </c>
      <c r="I364" s="20">
        <f t="shared" si="11"/>
        <v>-3.6690976717561625E-3</v>
      </c>
    </row>
    <row r="365" spans="2:9" ht="14.25" customHeight="1" x14ac:dyDescent="0.35">
      <c r="B365" s="29"/>
      <c r="C365" s="30">
        <v>44819</v>
      </c>
      <c r="D365">
        <v>50.490001678466797</v>
      </c>
      <c r="E365" s="20">
        <f t="shared" si="10"/>
        <v>-1.1163330973241336E-2</v>
      </c>
      <c r="G365" s="29">
        <v>44819</v>
      </c>
      <c r="H365" s="31">
        <v>17877.400390625</v>
      </c>
      <c r="I365" s="20">
        <f t="shared" si="11"/>
        <v>-7.0179606679164064E-3</v>
      </c>
    </row>
    <row r="366" spans="2:9" ht="14.25" customHeight="1" x14ac:dyDescent="0.35">
      <c r="B366" s="29"/>
      <c r="C366" s="30">
        <v>44820</v>
      </c>
      <c r="D366">
        <v>48.869998931884801</v>
      </c>
      <c r="E366" s="20">
        <f t="shared" si="10"/>
        <v>-3.2085614829220767E-2</v>
      </c>
      <c r="G366" s="29">
        <v>44820</v>
      </c>
      <c r="H366" s="31">
        <v>17530.849609375</v>
      </c>
      <c r="I366" s="20">
        <f t="shared" si="11"/>
        <v>-1.9384853148544628E-2</v>
      </c>
    </row>
    <row r="367" spans="2:9" ht="14.25" customHeight="1" x14ac:dyDescent="0.35">
      <c r="B367" s="29"/>
      <c r="C367" s="30">
        <v>44823</v>
      </c>
      <c r="D367">
        <v>49.389999389648402</v>
      </c>
      <c r="E367" s="20">
        <f t="shared" si="10"/>
        <v>1.0640484328399097E-2</v>
      </c>
      <c r="G367" s="29">
        <v>44823</v>
      </c>
      <c r="H367" s="31">
        <v>17622.25</v>
      </c>
      <c r="I367" s="20">
        <f t="shared" si="11"/>
        <v>5.2136885924867933E-3</v>
      </c>
    </row>
    <row r="368" spans="2:9" ht="14.25" customHeight="1" x14ac:dyDescent="0.35">
      <c r="B368" s="29"/>
      <c r="C368" s="30">
        <v>44824</v>
      </c>
      <c r="D368">
        <v>49.740001678466797</v>
      </c>
      <c r="E368" s="20">
        <f t="shared" si="10"/>
        <v>7.0865011772353152E-3</v>
      </c>
      <c r="G368" s="29">
        <v>44824</v>
      </c>
      <c r="H368" s="31">
        <v>17816.25</v>
      </c>
      <c r="I368" s="20">
        <f t="shared" si="11"/>
        <v>1.1008809885230319E-2</v>
      </c>
    </row>
    <row r="369" spans="2:9" ht="14.25" customHeight="1" x14ac:dyDescent="0.35">
      <c r="B369" s="29"/>
      <c r="C369" s="30">
        <v>44825</v>
      </c>
      <c r="D369">
        <v>49.490001678466797</v>
      </c>
      <c r="E369" s="20">
        <f t="shared" si="10"/>
        <v>-5.026135737108927E-3</v>
      </c>
      <c r="G369" s="29">
        <v>44825</v>
      </c>
      <c r="H369" s="31">
        <v>17718.349609375</v>
      </c>
      <c r="I369" s="20">
        <f t="shared" si="11"/>
        <v>-5.4950054374517648E-3</v>
      </c>
    </row>
    <row r="370" spans="2:9" ht="14.25" customHeight="1" x14ac:dyDescent="0.35">
      <c r="B370" s="29"/>
      <c r="C370" s="30">
        <v>44826</v>
      </c>
      <c r="D370">
        <v>48.590000152587898</v>
      </c>
      <c r="E370" s="20">
        <f t="shared" si="10"/>
        <v>-1.8185522233887731E-2</v>
      </c>
      <c r="G370" s="29">
        <v>44826</v>
      </c>
      <c r="H370" s="31">
        <v>17629.80078125</v>
      </c>
      <c r="I370" s="20">
        <f t="shared" si="11"/>
        <v>-4.9975776569025207E-3</v>
      </c>
    </row>
    <row r="371" spans="2:9" ht="14.25" customHeight="1" x14ac:dyDescent="0.35">
      <c r="B371" s="29"/>
      <c r="C371" s="30">
        <v>44827</v>
      </c>
      <c r="D371">
        <v>45.819999694824197</v>
      </c>
      <c r="E371" s="20">
        <f t="shared" si="10"/>
        <v>-5.7007623977465054E-2</v>
      </c>
      <c r="G371" s="29">
        <v>44827</v>
      </c>
      <c r="H371" s="31">
        <v>17327.349609375</v>
      </c>
      <c r="I371" s="20">
        <f t="shared" si="11"/>
        <v>-1.7155677232420515E-2</v>
      </c>
    </row>
    <row r="372" spans="2:9" ht="14.25" customHeight="1" x14ac:dyDescent="0.35">
      <c r="B372" s="29"/>
      <c r="C372" s="30">
        <v>44830</v>
      </c>
      <c r="D372">
        <v>43.430000305175803</v>
      </c>
      <c r="E372" s="20">
        <f t="shared" si="10"/>
        <v>-5.2160615573255187E-2</v>
      </c>
      <c r="G372" s="29">
        <v>44830</v>
      </c>
      <c r="H372" s="31">
        <v>17016.30078125</v>
      </c>
      <c r="I372" s="20">
        <f t="shared" si="11"/>
        <v>-1.7951321762256493E-2</v>
      </c>
    </row>
    <row r="373" spans="2:9" ht="14.25" customHeight="1" x14ac:dyDescent="0.35">
      <c r="B373" s="29"/>
      <c r="C373" s="30">
        <v>44831</v>
      </c>
      <c r="D373">
        <v>42.849998474121101</v>
      </c>
      <c r="E373" s="20">
        <f t="shared" si="10"/>
        <v>-1.3354865921692834E-2</v>
      </c>
      <c r="G373" s="29">
        <v>44831</v>
      </c>
      <c r="H373" s="31">
        <v>17007.400390625</v>
      </c>
      <c r="I373" s="20">
        <f t="shared" si="11"/>
        <v>-5.2305085220444639E-4</v>
      </c>
    </row>
    <row r="374" spans="2:9" ht="14.25" customHeight="1" x14ac:dyDescent="0.35">
      <c r="B374" s="29"/>
      <c r="C374" s="30">
        <v>44832</v>
      </c>
      <c r="D374">
        <v>42</v>
      </c>
      <c r="E374" s="20">
        <f t="shared" si="10"/>
        <v>-1.9836604536507752E-2</v>
      </c>
      <c r="G374" s="29">
        <v>44832</v>
      </c>
      <c r="H374" s="31">
        <v>16858.599609375</v>
      </c>
      <c r="I374" s="20">
        <f t="shared" si="11"/>
        <v>-8.7491784653946029E-3</v>
      </c>
    </row>
    <row r="375" spans="2:9" ht="14.25" customHeight="1" x14ac:dyDescent="0.35">
      <c r="B375" s="29"/>
      <c r="C375" s="30">
        <v>44833</v>
      </c>
      <c r="D375">
        <v>43.080001831054702</v>
      </c>
      <c r="E375" s="20">
        <f t="shared" si="10"/>
        <v>2.571432931082623E-2</v>
      </c>
      <c r="G375" s="29">
        <v>44833</v>
      </c>
      <c r="H375" s="31">
        <v>16818.099609375</v>
      </c>
      <c r="I375" s="20">
        <f t="shared" si="11"/>
        <v>-2.4023347691037229E-3</v>
      </c>
    </row>
    <row r="376" spans="2:9" ht="14.25" customHeight="1" x14ac:dyDescent="0.35">
      <c r="B376" s="29"/>
      <c r="C376" s="30">
        <v>44834</v>
      </c>
      <c r="D376">
        <v>45.75</v>
      </c>
      <c r="E376" s="20">
        <f t="shared" si="10"/>
        <v>6.1977670739572721E-2</v>
      </c>
      <c r="G376" s="29">
        <v>44834</v>
      </c>
      <c r="H376" s="31">
        <v>17094.349609375</v>
      </c>
      <c r="I376" s="20">
        <f t="shared" si="11"/>
        <v>1.6425755966269134E-2</v>
      </c>
    </row>
    <row r="377" spans="2:9" ht="14.25" customHeight="1" x14ac:dyDescent="0.35">
      <c r="B377" s="29"/>
      <c r="C377" s="30">
        <v>44837</v>
      </c>
      <c r="D377">
        <v>44.470001220703097</v>
      </c>
      <c r="E377" s="20">
        <f t="shared" si="10"/>
        <v>-2.7978115394467835E-2</v>
      </c>
      <c r="G377" s="29">
        <v>44837</v>
      </c>
      <c r="H377" s="31">
        <v>16887.349609375</v>
      </c>
      <c r="I377" s="20">
        <f t="shared" si="11"/>
        <v>-1.2109264448790473E-2</v>
      </c>
    </row>
    <row r="378" spans="2:9" ht="14.25" customHeight="1" x14ac:dyDescent="0.35">
      <c r="B378" s="29"/>
      <c r="C378" s="30">
        <v>44838</v>
      </c>
      <c r="D378">
        <v>45.439998626708999</v>
      </c>
      <c r="E378" s="20">
        <f t="shared" si="10"/>
        <v>2.1812398906666048E-2</v>
      </c>
      <c r="G378" s="29">
        <v>44838</v>
      </c>
      <c r="H378" s="31">
        <v>17274.30078125</v>
      </c>
      <c r="I378" s="20">
        <f t="shared" si="11"/>
        <v>2.2913670932719031E-2</v>
      </c>
    </row>
    <row r="379" spans="2:9" ht="14.25" customHeight="1" x14ac:dyDescent="0.35">
      <c r="B379" s="29"/>
      <c r="C379" s="30">
        <v>44840</v>
      </c>
      <c r="D379">
        <v>45.409999847412102</v>
      </c>
      <c r="E379" s="20">
        <f t="shared" si="10"/>
        <v>-6.6018442349299389E-4</v>
      </c>
      <c r="G379" s="29">
        <v>44840</v>
      </c>
      <c r="H379" s="31">
        <v>17331.80078125</v>
      </c>
      <c r="I379" s="20">
        <f t="shared" si="11"/>
        <v>3.3286441360574244E-3</v>
      </c>
    </row>
    <row r="380" spans="2:9" ht="14.25" customHeight="1" x14ac:dyDescent="0.35">
      <c r="B380" s="29"/>
      <c r="C380" s="30">
        <v>44841</v>
      </c>
      <c r="D380">
        <v>45.810001373291001</v>
      </c>
      <c r="E380" s="20">
        <f t="shared" si="10"/>
        <v>8.8086660916757327E-3</v>
      </c>
      <c r="G380" s="29">
        <v>44841</v>
      </c>
      <c r="H380" s="31">
        <v>17314.650390625</v>
      </c>
      <c r="I380" s="20">
        <f t="shared" si="11"/>
        <v>-9.8953310400115763E-4</v>
      </c>
    </row>
    <row r="381" spans="2:9" ht="14.25" customHeight="1" x14ac:dyDescent="0.35">
      <c r="B381" s="29"/>
      <c r="C381" s="30">
        <v>44844</v>
      </c>
      <c r="D381">
        <v>45.529998779296903</v>
      </c>
      <c r="E381" s="20">
        <f t="shared" si="10"/>
        <v>-6.112259017685826E-3</v>
      </c>
      <c r="G381" s="29">
        <v>44844</v>
      </c>
      <c r="H381" s="31">
        <v>17241</v>
      </c>
      <c r="I381" s="20">
        <f t="shared" si="11"/>
        <v>-4.253645841147213E-3</v>
      </c>
    </row>
    <row r="382" spans="2:9" ht="14.25" customHeight="1" x14ac:dyDescent="0.35">
      <c r="B382" s="29"/>
      <c r="C382" s="30">
        <v>44845</v>
      </c>
      <c r="D382">
        <v>44.540000915527301</v>
      </c>
      <c r="E382" s="20">
        <f t="shared" si="10"/>
        <v>-2.1743858781295807E-2</v>
      </c>
      <c r="G382" s="29">
        <v>44845</v>
      </c>
      <c r="H382" s="31">
        <v>16983.55078125</v>
      </c>
      <c r="I382" s="20">
        <f t="shared" si="11"/>
        <v>-1.4932383199930399E-2</v>
      </c>
    </row>
    <row r="383" spans="2:9" ht="14.25" customHeight="1" x14ac:dyDescent="0.35">
      <c r="B383" s="29"/>
      <c r="C383" s="30">
        <v>44846</v>
      </c>
      <c r="D383">
        <v>45.200000762939503</v>
      </c>
      <c r="E383" s="20">
        <f t="shared" si="10"/>
        <v>1.4818137266407556E-2</v>
      </c>
      <c r="G383" s="29">
        <v>44846</v>
      </c>
      <c r="H383" s="31">
        <v>17123.599609375</v>
      </c>
      <c r="I383" s="20">
        <f t="shared" si="11"/>
        <v>8.2461453396197471E-3</v>
      </c>
    </row>
    <row r="384" spans="2:9" ht="14.25" customHeight="1" x14ac:dyDescent="0.35">
      <c r="B384" s="29"/>
      <c r="C384" s="30">
        <v>44847</v>
      </c>
      <c r="D384">
        <v>44.700000762939503</v>
      </c>
      <c r="E384" s="20">
        <f t="shared" si="10"/>
        <v>-1.1061946715938138E-2</v>
      </c>
      <c r="G384" s="29">
        <v>44847</v>
      </c>
      <c r="H384" s="31">
        <v>17014.349609375</v>
      </c>
      <c r="I384" s="20">
        <f t="shared" si="11"/>
        <v>-6.3800837728176449E-3</v>
      </c>
    </row>
    <row r="385" spans="2:9" ht="14.25" customHeight="1" x14ac:dyDescent="0.35">
      <c r="B385" s="29"/>
      <c r="C385" s="30">
        <v>44848</v>
      </c>
      <c r="D385">
        <v>45.349998474121101</v>
      </c>
      <c r="E385" s="20">
        <f t="shared" si="10"/>
        <v>1.4541335572425922E-2</v>
      </c>
      <c r="G385" s="29">
        <v>44848</v>
      </c>
      <c r="H385" s="31">
        <v>17185.69921875</v>
      </c>
      <c r="I385" s="20">
        <f t="shared" si="11"/>
        <v>1.0070888003887344E-2</v>
      </c>
    </row>
    <row r="386" spans="2:9" ht="14.25" customHeight="1" x14ac:dyDescent="0.35">
      <c r="B386" s="29"/>
      <c r="C386" s="30">
        <v>44851</v>
      </c>
      <c r="D386">
        <v>47.4799995422363</v>
      </c>
      <c r="E386" s="20">
        <f t="shared" si="10"/>
        <v>4.696805159388661E-2</v>
      </c>
      <c r="G386" s="29">
        <v>44851</v>
      </c>
      <c r="H386" s="31">
        <v>17311.80078125</v>
      </c>
      <c r="I386" s="20">
        <f t="shared" si="11"/>
        <v>7.3375869608156676E-3</v>
      </c>
    </row>
    <row r="387" spans="2:9" ht="14.25" customHeight="1" x14ac:dyDescent="0.35">
      <c r="B387" s="29"/>
      <c r="C387" s="30">
        <v>44852</v>
      </c>
      <c r="D387">
        <v>50.049999237060597</v>
      </c>
      <c r="E387" s="20">
        <f t="shared" si="10"/>
        <v>5.4128048011839777E-2</v>
      </c>
      <c r="G387" s="29">
        <v>44852</v>
      </c>
      <c r="H387" s="31">
        <v>17486.94921875</v>
      </c>
      <c r="I387" s="20">
        <f t="shared" si="11"/>
        <v>1.0117285874136163E-2</v>
      </c>
    </row>
    <row r="388" spans="2:9" ht="14.25" customHeight="1" x14ac:dyDescent="0.35">
      <c r="B388" s="29"/>
      <c r="C388" s="30">
        <v>44853</v>
      </c>
      <c r="D388">
        <v>49.799999237060597</v>
      </c>
      <c r="E388" s="20">
        <f t="shared" si="10"/>
        <v>-4.9950050711465776E-3</v>
      </c>
      <c r="G388" s="29">
        <v>44853</v>
      </c>
      <c r="H388" s="31">
        <v>17512.25</v>
      </c>
      <c r="I388" s="20">
        <f t="shared" si="11"/>
        <v>1.4468379208691124E-3</v>
      </c>
    </row>
    <row r="389" spans="2:9" ht="14.25" customHeight="1" x14ac:dyDescent="0.35">
      <c r="B389" s="29"/>
      <c r="C389" s="30">
        <v>44854</v>
      </c>
      <c r="D389">
        <v>51.779998779296903</v>
      </c>
      <c r="E389" s="20">
        <f t="shared" ref="E389:E452" si="12">(D389-D388)/D388</f>
        <v>3.97590275616473E-2</v>
      </c>
      <c r="G389" s="29">
        <v>44854</v>
      </c>
      <c r="H389" s="31">
        <v>17563.94921875</v>
      </c>
      <c r="I389" s="20">
        <f t="shared" ref="I389:I452" si="13">(H389-H388)/H388</f>
        <v>2.9521745492441004E-3</v>
      </c>
    </row>
    <row r="390" spans="2:9" ht="14.25" customHeight="1" x14ac:dyDescent="0.35">
      <c r="B390" s="29"/>
      <c r="C390" s="30">
        <v>44855</v>
      </c>
      <c r="D390">
        <v>53.709999084472699</v>
      </c>
      <c r="E390" s="20">
        <f t="shared" si="12"/>
        <v>3.7273085181057666E-2</v>
      </c>
      <c r="G390" s="29">
        <v>44855</v>
      </c>
      <c r="H390" s="31">
        <v>17576.30078125</v>
      </c>
      <c r="I390" s="20">
        <f t="shared" si="13"/>
        <v>7.0323378564624668E-4</v>
      </c>
    </row>
    <row r="391" spans="2:9" ht="14.25" customHeight="1" x14ac:dyDescent="0.35">
      <c r="B391" s="29"/>
      <c r="C391" s="30">
        <v>44858</v>
      </c>
      <c r="D391">
        <v>54.099998474121101</v>
      </c>
      <c r="E391" s="20">
        <f t="shared" si="12"/>
        <v>7.2612064102817852E-3</v>
      </c>
      <c r="G391" s="29">
        <v>44858</v>
      </c>
      <c r="H391" s="31">
        <v>17730.75</v>
      </c>
      <c r="I391" s="20">
        <f t="shared" si="13"/>
        <v>8.7873563767617655E-3</v>
      </c>
    </row>
    <row r="392" spans="2:9" ht="14.25" customHeight="1" x14ac:dyDescent="0.35">
      <c r="B392" s="29"/>
      <c r="C392" s="30">
        <v>44859</v>
      </c>
      <c r="D392">
        <v>56.840000152587898</v>
      </c>
      <c r="E392" s="20">
        <f t="shared" si="12"/>
        <v>5.0646982546172989E-2</v>
      </c>
      <c r="G392" s="29">
        <v>44859</v>
      </c>
      <c r="H392" s="31">
        <v>17656.349609375</v>
      </c>
      <c r="I392" s="20">
        <f t="shared" si="13"/>
        <v>-4.1961220267050185E-3</v>
      </c>
    </row>
    <row r="393" spans="2:9" ht="14.25" customHeight="1" x14ac:dyDescent="0.35">
      <c r="B393" s="29"/>
      <c r="C393" s="30">
        <v>44861</v>
      </c>
      <c r="D393">
        <v>57.919998168945298</v>
      </c>
      <c r="E393" s="20">
        <f t="shared" si="12"/>
        <v>1.9000668780051522E-2</v>
      </c>
      <c r="G393" s="29">
        <v>44861</v>
      </c>
      <c r="H393" s="31">
        <v>17736.94921875</v>
      </c>
      <c r="I393" s="20">
        <f t="shared" si="13"/>
        <v>4.5649078749666347E-3</v>
      </c>
    </row>
    <row r="394" spans="2:9" ht="14.25" customHeight="1" x14ac:dyDescent="0.35">
      <c r="B394" s="29"/>
      <c r="C394" s="30">
        <v>44862</v>
      </c>
      <c r="D394">
        <v>57.569999694824197</v>
      </c>
      <c r="E394" s="20">
        <f t="shared" si="12"/>
        <v>-6.0427915259976296E-3</v>
      </c>
      <c r="G394" s="29">
        <v>44862</v>
      </c>
      <c r="H394" s="31">
        <v>17786.80078125</v>
      </c>
      <c r="I394" s="20">
        <f t="shared" si="13"/>
        <v>2.8106052447453111E-3</v>
      </c>
    </row>
    <row r="395" spans="2:9" ht="14.25" customHeight="1" x14ac:dyDescent="0.35">
      <c r="B395" s="29"/>
      <c r="C395" s="30">
        <v>44865</v>
      </c>
      <c r="D395">
        <v>58.080001831054702</v>
      </c>
      <c r="E395" s="20">
        <f t="shared" si="12"/>
        <v>8.8588177685252935E-3</v>
      </c>
      <c r="G395" s="29">
        <v>44865</v>
      </c>
      <c r="H395" s="31">
        <v>18012.19921875</v>
      </c>
      <c r="I395" s="20">
        <f t="shared" si="13"/>
        <v>1.2672230395564126E-2</v>
      </c>
    </row>
    <row r="396" spans="2:9" ht="14.25" customHeight="1" x14ac:dyDescent="0.35">
      <c r="B396" s="29"/>
      <c r="C396" s="30">
        <v>44866</v>
      </c>
      <c r="D396">
        <v>58.400001525878899</v>
      </c>
      <c r="E396" s="20">
        <f t="shared" si="12"/>
        <v>5.5096364451747886E-3</v>
      </c>
      <c r="G396" s="29">
        <v>44866</v>
      </c>
      <c r="H396" s="31">
        <v>18145.400390625</v>
      </c>
      <c r="I396" s="20">
        <f t="shared" si="13"/>
        <v>7.3950532223928962E-3</v>
      </c>
    </row>
    <row r="397" spans="2:9" ht="14.25" customHeight="1" x14ac:dyDescent="0.35">
      <c r="B397" s="29"/>
      <c r="C397" s="30">
        <v>44867</v>
      </c>
      <c r="D397">
        <v>58.279998779296903</v>
      </c>
      <c r="E397" s="20">
        <f t="shared" si="12"/>
        <v>-2.054841497372542E-3</v>
      </c>
      <c r="G397" s="29">
        <v>44867</v>
      </c>
      <c r="H397" s="31">
        <v>18082.849609375</v>
      </c>
      <c r="I397" s="20">
        <f t="shared" si="13"/>
        <v>-3.4471976315450983E-3</v>
      </c>
    </row>
    <row r="398" spans="2:9" ht="14.25" customHeight="1" x14ac:dyDescent="0.35">
      <c r="B398" s="29"/>
      <c r="C398" s="30">
        <v>44868</v>
      </c>
      <c r="D398">
        <v>59.009998321533203</v>
      </c>
      <c r="E398" s="20">
        <f t="shared" si="12"/>
        <v>1.2525730225231596E-2</v>
      </c>
      <c r="G398" s="29">
        <v>44868</v>
      </c>
      <c r="H398" s="31">
        <v>18052.69921875</v>
      </c>
      <c r="I398" s="20">
        <f t="shared" si="13"/>
        <v>-1.6673473084335456E-3</v>
      </c>
    </row>
    <row r="399" spans="2:9" ht="14.25" customHeight="1" x14ac:dyDescent="0.35">
      <c r="B399" s="29"/>
      <c r="C399" s="30">
        <v>44869</v>
      </c>
      <c r="D399">
        <v>59.419998168945298</v>
      </c>
      <c r="E399" s="20">
        <f t="shared" si="12"/>
        <v>6.9479725313342884E-3</v>
      </c>
      <c r="G399" s="29">
        <v>44869</v>
      </c>
      <c r="H399" s="31">
        <v>18117.150390625</v>
      </c>
      <c r="I399" s="20">
        <f t="shared" si="13"/>
        <v>3.5701681556882833E-3</v>
      </c>
    </row>
    <row r="400" spans="2:9" ht="14.25" customHeight="1" x14ac:dyDescent="0.35">
      <c r="B400" s="29"/>
      <c r="C400" s="30">
        <v>44872</v>
      </c>
      <c r="D400">
        <v>61.889999389648402</v>
      </c>
      <c r="E400" s="20">
        <f t="shared" si="12"/>
        <v>4.1568517280668675E-2</v>
      </c>
      <c r="G400" s="29">
        <v>44872</v>
      </c>
      <c r="H400" s="31">
        <v>18202.80078125</v>
      </c>
      <c r="I400" s="20">
        <f t="shared" si="13"/>
        <v>4.7275862251119315E-3</v>
      </c>
    </row>
    <row r="401" spans="2:9" ht="14.25" customHeight="1" x14ac:dyDescent="0.35">
      <c r="B401" s="29"/>
      <c r="C401" s="30">
        <v>44874</v>
      </c>
      <c r="D401">
        <v>62.819999694824197</v>
      </c>
      <c r="E401" s="20">
        <f t="shared" si="12"/>
        <v>1.5026665282716831E-2</v>
      </c>
      <c r="G401" s="29">
        <v>44874</v>
      </c>
      <c r="H401" s="31">
        <v>18157</v>
      </c>
      <c r="I401" s="20">
        <f t="shared" si="13"/>
        <v>-2.5161392359563488E-3</v>
      </c>
    </row>
    <row r="402" spans="2:9" ht="14.25" customHeight="1" x14ac:dyDescent="0.35">
      <c r="B402" s="29"/>
      <c r="C402" s="30">
        <v>44875</v>
      </c>
      <c r="D402">
        <v>61.389999389648402</v>
      </c>
      <c r="E402" s="20">
        <f t="shared" si="12"/>
        <v>-2.2763456098736892E-2</v>
      </c>
      <c r="G402" s="29">
        <v>44875</v>
      </c>
      <c r="H402" s="31">
        <v>18028.19921875</v>
      </c>
      <c r="I402" s="20">
        <f t="shared" si="13"/>
        <v>-7.093725904609792E-3</v>
      </c>
    </row>
    <row r="403" spans="2:9" ht="14.25" customHeight="1" x14ac:dyDescent="0.35">
      <c r="B403" s="29"/>
      <c r="C403" s="30">
        <v>44876</v>
      </c>
      <c r="D403">
        <v>60.889999389648402</v>
      </c>
      <c r="E403" s="20">
        <f t="shared" si="12"/>
        <v>-8.1446490466053033E-3</v>
      </c>
      <c r="G403" s="29">
        <v>44876</v>
      </c>
      <c r="H403" s="31">
        <v>18349.69921875</v>
      </c>
      <c r="I403" s="20">
        <f t="shared" si="13"/>
        <v>1.7833173247033349E-2</v>
      </c>
    </row>
    <row r="404" spans="2:9" ht="14.25" customHeight="1" x14ac:dyDescent="0.35">
      <c r="B404" s="29"/>
      <c r="C404" s="30">
        <v>44879</v>
      </c>
      <c r="D404">
        <v>60.840000152587898</v>
      </c>
      <c r="E404" s="20">
        <f t="shared" si="12"/>
        <v>-8.2114037710114278E-4</v>
      </c>
      <c r="G404" s="29">
        <v>44879</v>
      </c>
      <c r="H404" s="31">
        <v>18329.150390625</v>
      </c>
      <c r="I404" s="20">
        <f t="shared" si="13"/>
        <v>-1.1198455015547556E-3</v>
      </c>
    </row>
    <row r="405" spans="2:9" ht="14.25" customHeight="1" x14ac:dyDescent="0.35">
      <c r="B405" s="29"/>
      <c r="C405" s="30">
        <v>44880</v>
      </c>
      <c r="D405">
        <v>61.860000610351598</v>
      </c>
      <c r="E405" s="20">
        <f t="shared" si="12"/>
        <v>1.6765293478065737E-2</v>
      </c>
      <c r="G405" s="29">
        <v>44880</v>
      </c>
      <c r="H405" s="31">
        <v>18403.400390625</v>
      </c>
      <c r="I405" s="20">
        <f t="shared" si="13"/>
        <v>4.0509242609508738E-3</v>
      </c>
    </row>
    <row r="406" spans="2:9" ht="14.25" customHeight="1" x14ac:dyDescent="0.35">
      <c r="B406" s="29"/>
      <c r="C406" s="30">
        <v>44881</v>
      </c>
      <c r="D406">
        <v>61.409999847412102</v>
      </c>
      <c r="E406" s="20">
        <f t="shared" si="12"/>
        <v>-7.2745030471951374E-3</v>
      </c>
      <c r="G406" s="29">
        <v>44881</v>
      </c>
      <c r="H406" s="31">
        <v>18409.650390625</v>
      </c>
      <c r="I406" s="20">
        <f t="shared" si="13"/>
        <v>3.3961115159912808E-4</v>
      </c>
    </row>
    <row r="407" spans="2:9" ht="14.25" customHeight="1" x14ac:dyDescent="0.35">
      <c r="B407" s="29"/>
      <c r="C407" s="30">
        <v>44882</v>
      </c>
      <c r="D407">
        <v>61.450000762939503</v>
      </c>
      <c r="E407" s="20">
        <f t="shared" si="12"/>
        <v>6.5137462346185444E-4</v>
      </c>
      <c r="G407" s="29">
        <v>44882</v>
      </c>
      <c r="H407" s="31">
        <v>18343.900390625</v>
      </c>
      <c r="I407" s="20">
        <f t="shared" si="13"/>
        <v>-3.5714963948192506E-3</v>
      </c>
    </row>
    <row r="408" spans="2:9" ht="14.25" customHeight="1" x14ac:dyDescent="0.35">
      <c r="B408" s="29"/>
      <c r="C408" s="30">
        <v>44883</v>
      </c>
      <c r="D408">
        <v>61.889999389648402</v>
      </c>
      <c r="E408" s="20">
        <f t="shared" si="12"/>
        <v>7.1602704840690954E-3</v>
      </c>
      <c r="G408" s="29">
        <v>44883</v>
      </c>
      <c r="H408" s="31">
        <v>18307.650390625</v>
      </c>
      <c r="I408" s="20">
        <f t="shared" si="13"/>
        <v>-1.9761337135545203E-3</v>
      </c>
    </row>
    <row r="409" spans="2:9" ht="14.25" customHeight="1" x14ac:dyDescent="0.35">
      <c r="B409" s="29"/>
      <c r="C409" s="30">
        <v>44886</v>
      </c>
      <c r="D409">
        <v>62.790000915527301</v>
      </c>
      <c r="E409" s="20">
        <f t="shared" si="12"/>
        <v>1.4541954027380902E-2</v>
      </c>
      <c r="G409" s="29">
        <v>44886</v>
      </c>
      <c r="H409" s="31">
        <v>18159.94921875</v>
      </c>
      <c r="I409" s="20">
        <f t="shared" si="13"/>
        <v>-8.0677295405769262E-3</v>
      </c>
    </row>
    <row r="410" spans="2:9" ht="14.25" customHeight="1" x14ac:dyDescent="0.35">
      <c r="B410" s="29"/>
      <c r="C410" s="30">
        <v>44887</v>
      </c>
      <c r="D410">
        <v>63.740001678466797</v>
      </c>
      <c r="E410" s="20">
        <f t="shared" si="12"/>
        <v>1.5129809668541837E-2</v>
      </c>
      <c r="G410" s="29">
        <v>44887</v>
      </c>
      <c r="H410" s="31">
        <v>18244.19921875</v>
      </c>
      <c r="I410" s="20">
        <f t="shared" si="13"/>
        <v>4.6393301536885668E-3</v>
      </c>
    </row>
    <row r="411" spans="2:9" ht="14.25" customHeight="1" x14ac:dyDescent="0.35">
      <c r="B411" s="29"/>
      <c r="C411" s="30">
        <v>44888</v>
      </c>
      <c r="D411">
        <v>64.989997863769503</v>
      </c>
      <c r="E411" s="20">
        <f t="shared" si="12"/>
        <v>1.9610858995709607E-2</v>
      </c>
      <c r="G411" s="29">
        <v>44888</v>
      </c>
      <c r="H411" s="31">
        <v>18267.25</v>
      </c>
      <c r="I411" s="20">
        <f t="shared" si="13"/>
        <v>1.2634580983039343E-3</v>
      </c>
    </row>
    <row r="412" spans="2:9" ht="14.25" customHeight="1" x14ac:dyDescent="0.35">
      <c r="B412" s="29"/>
      <c r="C412" s="30">
        <v>44889</v>
      </c>
      <c r="D412">
        <v>65.709999084472699</v>
      </c>
      <c r="E412" s="20">
        <f t="shared" si="12"/>
        <v>1.1078646628246482E-2</v>
      </c>
      <c r="G412" s="29">
        <v>44889</v>
      </c>
      <c r="H412" s="31">
        <v>18484.099609375</v>
      </c>
      <c r="I412" s="20">
        <f t="shared" si="13"/>
        <v>1.1870949889830161E-2</v>
      </c>
    </row>
    <row r="413" spans="2:9" ht="14.25" customHeight="1" x14ac:dyDescent="0.35">
      <c r="B413" s="29"/>
      <c r="C413" s="30">
        <v>44890</v>
      </c>
      <c r="D413">
        <v>65.370002746582003</v>
      </c>
      <c r="E413" s="20">
        <f t="shared" si="12"/>
        <v>-5.1741948353038001E-3</v>
      </c>
      <c r="G413" s="29">
        <v>44890</v>
      </c>
      <c r="H413" s="31">
        <v>18512.75</v>
      </c>
      <c r="I413" s="20">
        <f t="shared" si="13"/>
        <v>1.5500019600883741E-3</v>
      </c>
    </row>
    <row r="414" spans="2:9" ht="14.25" customHeight="1" x14ac:dyDescent="0.35">
      <c r="B414" s="29"/>
      <c r="C414" s="30">
        <v>44893</v>
      </c>
      <c r="D414">
        <v>64.830001831054702</v>
      </c>
      <c r="E414" s="20">
        <f t="shared" si="12"/>
        <v>-8.2606836903572883E-3</v>
      </c>
      <c r="G414" s="29">
        <v>44893</v>
      </c>
      <c r="H414" s="31">
        <v>18562.75</v>
      </c>
      <c r="I414" s="20">
        <f t="shared" si="13"/>
        <v>2.7008413120687092E-3</v>
      </c>
    </row>
    <row r="415" spans="2:9" ht="14.25" customHeight="1" x14ac:dyDescent="0.35">
      <c r="B415" s="29"/>
      <c r="C415" s="30">
        <v>44894</v>
      </c>
      <c r="D415">
        <v>64.349998474121094</v>
      </c>
      <c r="E415" s="20">
        <f t="shared" si="12"/>
        <v>-7.4040312104954771E-3</v>
      </c>
      <c r="G415" s="29">
        <v>44894</v>
      </c>
      <c r="H415" s="31">
        <v>18618.05078125</v>
      </c>
      <c r="I415" s="20">
        <f t="shared" si="13"/>
        <v>2.9791265437502526E-3</v>
      </c>
    </row>
    <row r="416" spans="2:9" ht="14.25" customHeight="1" x14ac:dyDescent="0.35">
      <c r="B416" s="29"/>
      <c r="C416" s="30">
        <v>44895</v>
      </c>
      <c r="D416">
        <v>62.939998626708999</v>
      </c>
      <c r="E416" s="20">
        <f t="shared" si="12"/>
        <v>-2.1911420059771078E-2</v>
      </c>
      <c r="G416" s="29">
        <v>44895</v>
      </c>
      <c r="H416" s="31">
        <v>18758.349609375</v>
      </c>
      <c r="I416" s="20">
        <f t="shared" si="13"/>
        <v>7.5356346254191742E-3</v>
      </c>
    </row>
    <row r="417" spans="2:9" ht="14.25" customHeight="1" x14ac:dyDescent="0.35">
      <c r="B417" s="29"/>
      <c r="C417" s="30">
        <v>44896</v>
      </c>
      <c r="D417">
        <v>64.180000305175795</v>
      </c>
      <c r="E417" s="20">
        <f t="shared" si="12"/>
        <v>1.9701329925682493E-2</v>
      </c>
      <c r="G417" s="29">
        <v>44896</v>
      </c>
      <c r="H417" s="31">
        <v>18812.5</v>
      </c>
      <c r="I417" s="20">
        <f t="shared" si="13"/>
        <v>2.8867353340049093E-3</v>
      </c>
    </row>
    <row r="418" spans="2:9" ht="14.25" customHeight="1" x14ac:dyDescent="0.35">
      <c r="B418" s="29"/>
      <c r="C418" s="30">
        <v>44897</v>
      </c>
      <c r="D418">
        <v>63.830001831054702</v>
      </c>
      <c r="E418" s="20">
        <f t="shared" si="12"/>
        <v>-5.4533884770466123E-3</v>
      </c>
      <c r="G418" s="29">
        <v>44897</v>
      </c>
      <c r="H418" s="31">
        <v>18696.099609375</v>
      </c>
      <c r="I418" s="20">
        <f t="shared" si="13"/>
        <v>-6.1873961794019936E-3</v>
      </c>
    </row>
    <row r="419" spans="2:9" ht="14.25" customHeight="1" x14ac:dyDescent="0.35">
      <c r="B419" s="29"/>
      <c r="C419" s="30">
        <v>44900</v>
      </c>
      <c r="D419">
        <v>64.5</v>
      </c>
      <c r="E419" s="20">
        <f t="shared" si="12"/>
        <v>1.049660269035633E-2</v>
      </c>
      <c r="G419" s="29">
        <v>44900</v>
      </c>
      <c r="H419" s="31">
        <v>18701.05078125</v>
      </c>
      <c r="I419" s="20">
        <f t="shared" si="13"/>
        <v>2.6482378562624241E-4</v>
      </c>
    </row>
    <row r="420" spans="2:9" ht="14.25" customHeight="1" x14ac:dyDescent="0.35">
      <c r="B420" s="29"/>
      <c r="C420" s="30">
        <v>44901</v>
      </c>
      <c r="D420">
        <v>63.7299995422363</v>
      </c>
      <c r="E420" s="20">
        <f t="shared" si="12"/>
        <v>-1.1937991593235664E-2</v>
      </c>
      <c r="G420" s="29">
        <v>44901</v>
      </c>
      <c r="H420" s="31">
        <v>18642.75</v>
      </c>
      <c r="I420" s="20">
        <f t="shared" si="13"/>
        <v>-3.1175136590962781E-3</v>
      </c>
    </row>
    <row r="421" spans="2:9" ht="14.25" customHeight="1" x14ac:dyDescent="0.35">
      <c r="B421" s="29"/>
      <c r="C421" s="30">
        <v>44902</v>
      </c>
      <c r="D421">
        <v>62.779998779296903</v>
      </c>
      <c r="E421" s="20">
        <f t="shared" si="12"/>
        <v>-1.4906649454936754E-2</v>
      </c>
      <c r="G421" s="29">
        <v>44902</v>
      </c>
      <c r="H421" s="31">
        <v>18560.5</v>
      </c>
      <c r="I421" s="20">
        <f t="shared" si="13"/>
        <v>-4.4119027503989484E-3</v>
      </c>
    </row>
    <row r="422" spans="2:9" ht="14.25" customHeight="1" x14ac:dyDescent="0.35">
      <c r="B422" s="29"/>
      <c r="C422" s="30">
        <v>44903</v>
      </c>
      <c r="D422">
        <v>64.879997253417997</v>
      </c>
      <c r="E422" s="20">
        <f t="shared" si="12"/>
        <v>3.3450119702990735E-2</v>
      </c>
      <c r="G422" s="29">
        <v>44903</v>
      </c>
      <c r="H422" s="31">
        <v>18609.349609375</v>
      </c>
      <c r="I422" s="20">
        <f t="shared" si="13"/>
        <v>2.6319123609277765E-3</v>
      </c>
    </row>
    <row r="423" spans="2:9" ht="14.25" customHeight="1" x14ac:dyDescent="0.35">
      <c r="B423" s="29"/>
      <c r="C423" s="30">
        <v>44904</v>
      </c>
      <c r="D423">
        <v>63.509998321533203</v>
      </c>
      <c r="E423" s="20">
        <f t="shared" si="12"/>
        <v>-2.1115890719502459E-2</v>
      </c>
      <c r="G423" s="29">
        <v>44904</v>
      </c>
      <c r="H423" s="31">
        <v>18496.599609375</v>
      </c>
      <c r="I423" s="20">
        <f t="shared" si="13"/>
        <v>-6.058782405979353E-3</v>
      </c>
    </row>
    <row r="424" spans="2:9" ht="14.25" customHeight="1" x14ac:dyDescent="0.35">
      <c r="B424" s="29"/>
      <c r="C424" s="30">
        <v>44907</v>
      </c>
      <c r="D424">
        <v>64.099998474121094</v>
      </c>
      <c r="E424" s="20">
        <f t="shared" si="12"/>
        <v>9.2898782582371726E-3</v>
      </c>
      <c r="G424" s="29">
        <v>44907</v>
      </c>
      <c r="H424" s="31">
        <v>18497.150390625</v>
      </c>
      <c r="I424" s="20">
        <f t="shared" si="13"/>
        <v>2.9777432697458433E-5</v>
      </c>
    </row>
    <row r="425" spans="2:9" ht="14.25" customHeight="1" x14ac:dyDescent="0.35">
      <c r="B425" s="29"/>
      <c r="C425" s="30">
        <v>44908</v>
      </c>
      <c r="D425">
        <v>65.300003051757798</v>
      </c>
      <c r="E425" s="20">
        <f t="shared" si="12"/>
        <v>1.872082068958518E-2</v>
      </c>
      <c r="G425" s="29">
        <v>44908</v>
      </c>
      <c r="H425" s="31">
        <v>18608</v>
      </c>
      <c r="I425" s="20">
        <f t="shared" si="13"/>
        <v>5.9927938646799584E-3</v>
      </c>
    </row>
    <row r="426" spans="2:9" ht="14.25" customHeight="1" x14ac:dyDescent="0.35">
      <c r="B426" s="29"/>
      <c r="C426" s="30">
        <v>44909</v>
      </c>
      <c r="D426">
        <v>65.559997558593807</v>
      </c>
      <c r="E426" s="20">
        <f t="shared" si="12"/>
        <v>3.9815389691472578E-3</v>
      </c>
      <c r="G426" s="29">
        <v>44909</v>
      </c>
      <c r="H426" s="31">
        <v>18660.30078125</v>
      </c>
      <c r="I426" s="20">
        <f t="shared" si="13"/>
        <v>2.8106610731943251E-3</v>
      </c>
    </row>
    <row r="427" spans="2:9" ht="14.25" customHeight="1" x14ac:dyDescent="0.35">
      <c r="B427" s="29"/>
      <c r="C427" s="30">
        <v>44910</v>
      </c>
      <c r="D427">
        <v>64.099998474121094</v>
      </c>
      <c r="E427" s="20">
        <f t="shared" si="12"/>
        <v>-2.2269663496674915E-2</v>
      </c>
      <c r="G427" s="29">
        <v>44910</v>
      </c>
      <c r="H427" s="31">
        <v>18414.900390625</v>
      </c>
      <c r="I427" s="20">
        <f t="shared" si="13"/>
        <v>-1.3150934355333651E-2</v>
      </c>
    </row>
    <row r="428" spans="2:9" ht="14.25" customHeight="1" x14ac:dyDescent="0.35">
      <c r="B428" s="29"/>
      <c r="C428" s="30">
        <v>44911</v>
      </c>
      <c r="D428">
        <v>62.200000762939503</v>
      </c>
      <c r="E428" s="20">
        <f t="shared" si="12"/>
        <v>-2.9641150646028042E-2</v>
      </c>
      <c r="G428" s="29">
        <v>44911</v>
      </c>
      <c r="H428" s="31">
        <v>18269</v>
      </c>
      <c r="I428" s="20">
        <f t="shared" si="13"/>
        <v>-7.9229530179418008E-3</v>
      </c>
    </row>
    <row r="429" spans="2:9" ht="14.25" customHeight="1" x14ac:dyDescent="0.35">
      <c r="B429" s="29"/>
      <c r="C429" s="30">
        <v>44914</v>
      </c>
      <c r="D429">
        <v>63.590000152587898</v>
      </c>
      <c r="E429" s="20">
        <f t="shared" si="12"/>
        <v>2.2347256794192763E-2</v>
      </c>
      <c r="G429" s="29">
        <v>44914</v>
      </c>
      <c r="H429" s="31">
        <v>18420.44921875</v>
      </c>
      <c r="I429" s="20">
        <f t="shared" si="13"/>
        <v>8.2899566889265974E-3</v>
      </c>
    </row>
    <row r="430" spans="2:9" ht="14.25" customHeight="1" x14ac:dyDescent="0.35">
      <c r="B430" s="29"/>
      <c r="C430" s="30">
        <v>44915</v>
      </c>
      <c r="D430">
        <v>64.430000305175795</v>
      </c>
      <c r="E430" s="20">
        <f t="shared" si="12"/>
        <v>1.3209626522602116E-2</v>
      </c>
      <c r="G430" s="29">
        <v>44915</v>
      </c>
      <c r="H430" s="31">
        <v>18385.30078125</v>
      </c>
      <c r="I430" s="20">
        <f t="shared" si="13"/>
        <v>-1.9081205394395452E-3</v>
      </c>
    </row>
    <row r="431" spans="2:9" ht="14.25" customHeight="1" x14ac:dyDescent="0.35">
      <c r="B431" s="29"/>
      <c r="C431" s="30">
        <v>44916</v>
      </c>
      <c r="D431">
        <v>62.919998168945298</v>
      </c>
      <c r="E431" s="20">
        <f t="shared" si="12"/>
        <v>-2.3436320488565875E-2</v>
      </c>
      <c r="G431" s="29">
        <v>44916</v>
      </c>
      <c r="H431" s="31">
        <v>18199.099609375</v>
      </c>
      <c r="I431" s="20">
        <f t="shared" si="13"/>
        <v>-1.012771964355866E-2</v>
      </c>
    </row>
    <row r="432" spans="2:9" ht="14.25" customHeight="1" x14ac:dyDescent="0.35">
      <c r="B432" s="29"/>
      <c r="C432" s="30">
        <v>44917</v>
      </c>
      <c r="D432">
        <v>62.369998931884801</v>
      </c>
      <c r="E432" s="20">
        <f t="shared" si="12"/>
        <v>-8.741246870092154E-3</v>
      </c>
      <c r="G432" s="29">
        <v>44917</v>
      </c>
      <c r="H432" s="31">
        <v>18127.349609375</v>
      </c>
      <c r="I432" s="20">
        <f t="shared" si="13"/>
        <v>-3.9425027358517802E-3</v>
      </c>
    </row>
    <row r="433" spans="2:9" ht="14.25" customHeight="1" x14ac:dyDescent="0.35">
      <c r="B433" s="29"/>
      <c r="C433" s="30">
        <v>44918</v>
      </c>
      <c r="D433">
        <v>58.310001373291001</v>
      </c>
      <c r="E433" s="20">
        <f t="shared" si="12"/>
        <v>-6.5095360399601468E-2</v>
      </c>
      <c r="G433" s="29">
        <v>44918</v>
      </c>
      <c r="H433" s="31">
        <v>17806.80078125</v>
      </c>
      <c r="I433" s="20">
        <f t="shared" si="13"/>
        <v>-1.7683160254117921E-2</v>
      </c>
    </row>
    <row r="434" spans="2:9" ht="14.25" customHeight="1" x14ac:dyDescent="0.35">
      <c r="B434" s="29"/>
      <c r="C434" s="30">
        <v>44921</v>
      </c>
      <c r="D434">
        <v>60.919998168945298</v>
      </c>
      <c r="E434" s="20">
        <f t="shared" si="12"/>
        <v>4.4760705439629955E-2</v>
      </c>
      <c r="G434" s="29">
        <v>44921</v>
      </c>
      <c r="H434" s="31">
        <v>18014.599609375</v>
      </c>
      <c r="I434" s="20">
        <f t="shared" si="13"/>
        <v>1.1669632893506936E-2</v>
      </c>
    </row>
    <row r="435" spans="2:9" ht="14.25" customHeight="1" x14ac:dyDescent="0.35">
      <c r="B435" s="29"/>
      <c r="C435" s="30">
        <v>44922</v>
      </c>
      <c r="D435">
        <v>61.409999847412102</v>
      </c>
      <c r="E435" s="20">
        <f t="shared" si="12"/>
        <v>8.0433633157360827E-3</v>
      </c>
      <c r="G435" s="29">
        <v>44922</v>
      </c>
      <c r="H435" s="31">
        <v>18132.30078125</v>
      </c>
      <c r="I435" s="20">
        <f t="shared" si="13"/>
        <v>6.533654614990554E-3</v>
      </c>
    </row>
    <row r="436" spans="2:9" ht="14.25" customHeight="1" x14ac:dyDescent="0.35">
      <c r="B436" s="29"/>
      <c r="C436" s="30">
        <v>44923</v>
      </c>
      <c r="D436">
        <v>63.220001220703097</v>
      </c>
      <c r="E436" s="20">
        <f t="shared" si="12"/>
        <v>2.9474049467324175E-2</v>
      </c>
      <c r="G436" s="29">
        <v>44923</v>
      </c>
      <c r="H436" s="31">
        <v>18122.5</v>
      </c>
      <c r="I436" s="20">
        <f t="shared" si="13"/>
        <v>-5.405150382313676E-4</v>
      </c>
    </row>
    <row r="437" spans="2:9" ht="14.25" customHeight="1" x14ac:dyDescent="0.35">
      <c r="B437" s="29"/>
      <c r="C437" s="30">
        <v>44924</v>
      </c>
      <c r="D437">
        <v>64.230003356933594</v>
      </c>
      <c r="E437" s="20">
        <f t="shared" si="12"/>
        <v>1.5975990457585514E-2</v>
      </c>
      <c r="G437" s="29">
        <v>44924</v>
      </c>
      <c r="H437" s="31">
        <v>18191</v>
      </c>
      <c r="I437" s="20">
        <f t="shared" si="13"/>
        <v>3.7798317009242652E-3</v>
      </c>
    </row>
    <row r="438" spans="2:9" ht="14.25" customHeight="1" x14ac:dyDescent="0.35">
      <c r="B438" s="29"/>
      <c r="C438" s="30">
        <v>44925</v>
      </c>
      <c r="D438">
        <v>66.660003662109403</v>
      </c>
      <c r="E438" s="20">
        <f t="shared" si="12"/>
        <v>3.7832791190621856E-2</v>
      </c>
      <c r="G438" s="29">
        <v>44925</v>
      </c>
      <c r="H438" s="31">
        <v>18105.30078125</v>
      </c>
      <c r="I438" s="20">
        <f t="shared" si="13"/>
        <v>-4.7110779368918698E-3</v>
      </c>
    </row>
    <row r="439" spans="2:9" ht="14.25" customHeight="1" x14ac:dyDescent="0.35">
      <c r="B439" s="29"/>
      <c r="C439" s="30">
        <v>44928</v>
      </c>
      <c r="D439">
        <v>67.230003356933594</v>
      </c>
      <c r="E439" s="20">
        <f t="shared" si="12"/>
        <v>8.5508500376543957E-3</v>
      </c>
      <c r="G439" s="29">
        <v>44928</v>
      </c>
      <c r="H439" s="31">
        <v>18197.44921875</v>
      </c>
      <c r="I439" s="20">
        <f t="shared" si="13"/>
        <v>5.0895833553579895E-3</v>
      </c>
    </row>
    <row r="440" spans="2:9" ht="14.25" customHeight="1" x14ac:dyDescent="0.35">
      <c r="B440" s="29"/>
      <c r="C440" s="30">
        <v>44929</v>
      </c>
      <c r="D440">
        <v>67.360000610351605</v>
      </c>
      <c r="E440" s="20">
        <f t="shared" si="12"/>
        <v>1.93361961813147E-3</v>
      </c>
      <c r="G440" s="29">
        <v>44929</v>
      </c>
      <c r="H440" s="31">
        <v>18232.55078125</v>
      </c>
      <c r="I440" s="20">
        <f t="shared" si="13"/>
        <v>1.928927624858137E-3</v>
      </c>
    </row>
    <row r="441" spans="2:9" ht="14.25" customHeight="1" x14ac:dyDescent="0.35">
      <c r="B441" s="29"/>
      <c r="C441" s="30">
        <v>44930</v>
      </c>
      <c r="D441">
        <v>65.379997253417997</v>
      </c>
      <c r="E441" s="20">
        <f t="shared" si="12"/>
        <v>-2.9394348856780283E-2</v>
      </c>
      <c r="G441" s="29">
        <v>44930</v>
      </c>
      <c r="H441" s="31">
        <v>18042.94921875</v>
      </c>
      <c r="I441" s="20">
        <f t="shared" si="13"/>
        <v>-1.0399069487028801E-2</v>
      </c>
    </row>
    <row r="442" spans="2:9" ht="14.25" customHeight="1" x14ac:dyDescent="0.35">
      <c r="B442" s="29"/>
      <c r="C442" s="30">
        <v>44931</v>
      </c>
      <c r="D442">
        <v>65.5</v>
      </c>
      <c r="E442" s="20">
        <f t="shared" si="12"/>
        <v>1.8354657635861128E-3</v>
      </c>
      <c r="G442" s="29">
        <v>44931</v>
      </c>
      <c r="H442" s="31">
        <v>17992.150390625</v>
      </c>
      <c r="I442" s="20">
        <f t="shared" si="13"/>
        <v>-2.8154392892826255E-3</v>
      </c>
    </row>
    <row r="443" spans="2:9" ht="14.25" customHeight="1" x14ac:dyDescent="0.35">
      <c r="B443" s="29"/>
      <c r="C443" s="30">
        <v>44932</v>
      </c>
      <c r="D443">
        <v>64.089996337890597</v>
      </c>
      <c r="E443" s="20">
        <f t="shared" si="12"/>
        <v>-2.1526773467319137E-2</v>
      </c>
      <c r="G443" s="29">
        <v>44932</v>
      </c>
      <c r="H443" s="31">
        <v>17859.44921875</v>
      </c>
      <c r="I443" s="20">
        <f t="shared" si="13"/>
        <v>-7.3755037054462009E-3</v>
      </c>
    </row>
    <row r="444" spans="2:9" ht="14.25" customHeight="1" x14ac:dyDescent="0.35">
      <c r="B444" s="29"/>
      <c r="C444" s="30">
        <v>44935</v>
      </c>
      <c r="D444">
        <v>65.330001831054702</v>
      </c>
      <c r="E444" s="20">
        <f t="shared" si="12"/>
        <v>1.9347878982963872E-2</v>
      </c>
      <c r="G444" s="29">
        <v>44935</v>
      </c>
      <c r="H444" s="31">
        <v>18101.19921875</v>
      </c>
      <c r="I444" s="20">
        <f t="shared" si="13"/>
        <v>1.3536251708490276E-2</v>
      </c>
    </row>
    <row r="445" spans="2:9" ht="14.25" customHeight="1" x14ac:dyDescent="0.35">
      <c r="B445" s="29"/>
      <c r="C445" s="30">
        <v>44936</v>
      </c>
      <c r="D445">
        <v>63.459999084472699</v>
      </c>
      <c r="E445" s="20">
        <f t="shared" si="12"/>
        <v>-2.8623950622531508E-2</v>
      </c>
      <c r="G445" s="29">
        <v>44936</v>
      </c>
      <c r="H445" s="31">
        <v>17914.150390625</v>
      </c>
      <c r="I445" s="20">
        <f t="shared" si="13"/>
        <v>-1.0333504750958532E-2</v>
      </c>
    </row>
    <row r="446" spans="2:9" ht="14.25" customHeight="1" x14ac:dyDescent="0.35">
      <c r="B446" s="29"/>
      <c r="C446" s="30">
        <v>44937</v>
      </c>
      <c r="D446">
        <v>63.599998474121101</v>
      </c>
      <c r="E446" s="20">
        <f t="shared" si="12"/>
        <v>2.2061045015466575E-3</v>
      </c>
      <c r="G446" s="29">
        <v>44937</v>
      </c>
      <c r="H446" s="31">
        <v>17895.69921875</v>
      </c>
      <c r="I446" s="20">
        <f t="shared" si="13"/>
        <v>-1.0299775022909285E-3</v>
      </c>
    </row>
    <row r="447" spans="2:9" ht="14.25" customHeight="1" x14ac:dyDescent="0.35">
      <c r="B447" s="29"/>
      <c r="C447" s="30">
        <v>44938</v>
      </c>
      <c r="D447">
        <v>63.430000305175803</v>
      </c>
      <c r="E447" s="20">
        <f t="shared" si="12"/>
        <v>-2.6729272488028549E-3</v>
      </c>
      <c r="G447" s="29">
        <v>44938</v>
      </c>
      <c r="H447" s="31">
        <v>17858.19921875</v>
      </c>
      <c r="I447" s="20">
        <f t="shared" si="13"/>
        <v>-2.0954755408891671E-3</v>
      </c>
    </row>
    <row r="448" spans="2:9" ht="14.25" customHeight="1" x14ac:dyDescent="0.35">
      <c r="B448" s="29"/>
      <c r="C448" s="30">
        <v>44939</v>
      </c>
      <c r="D448">
        <v>64.919998168945298</v>
      </c>
      <c r="E448" s="20">
        <f t="shared" si="12"/>
        <v>2.3490428134964297E-2</v>
      </c>
      <c r="G448" s="29">
        <v>44939</v>
      </c>
      <c r="H448" s="31">
        <v>17956.599609375</v>
      </c>
      <c r="I448" s="20">
        <f t="shared" si="13"/>
        <v>5.5100959183883276E-3</v>
      </c>
    </row>
    <row r="449" spans="2:9" ht="14.25" customHeight="1" x14ac:dyDescent="0.35">
      <c r="B449" s="29"/>
      <c r="C449" s="30">
        <v>44942</v>
      </c>
      <c r="D449">
        <v>64.610000610351605</v>
      </c>
      <c r="E449" s="20">
        <f t="shared" si="12"/>
        <v>-4.7750703533134342E-3</v>
      </c>
      <c r="G449" s="29">
        <v>44942</v>
      </c>
      <c r="H449" s="31">
        <v>17894.849609375</v>
      </c>
      <c r="I449" s="20">
        <f t="shared" si="13"/>
        <v>-3.4388470725693972E-3</v>
      </c>
    </row>
    <row r="450" spans="2:9" ht="14.25" customHeight="1" x14ac:dyDescent="0.35">
      <c r="B450" s="29"/>
      <c r="C450" s="30">
        <v>44943</v>
      </c>
      <c r="D450">
        <v>63.919998168945298</v>
      </c>
      <c r="E450" s="20">
        <f t="shared" si="12"/>
        <v>-1.0679499069618596E-2</v>
      </c>
      <c r="G450" s="29">
        <v>44943</v>
      </c>
      <c r="H450" s="31">
        <v>18053.30078125</v>
      </c>
      <c r="I450" s="20">
        <f t="shared" si="13"/>
        <v>8.854568511824118E-3</v>
      </c>
    </row>
    <row r="451" spans="2:9" ht="14.25" customHeight="1" x14ac:dyDescent="0.35">
      <c r="B451" s="29"/>
      <c r="C451" s="30">
        <v>44944</v>
      </c>
      <c r="D451">
        <v>63.4799995422363</v>
      </c>
      <c r="E451" s="20">
        <f t="shared" si="12"/>
        <v>-6.883583218291865E-3</v>
      </c>
      <c r="G451" s="29">
        <v>44944</v>
      </c>
      <c r="H451" s="31">
        <v>18165.349609375</v>
      </c>
      <c r="I451" s="20">
        <f t="shared" si="13"/>
        <v>6.2065563235601173E-3</v>
      </c>
    </row>
    <row r="452" spans="2:9" ht="14.25" customHeight="1" x14ac:dyDescent="0.35">
      <c r="B452" s="29"/>
      <c r="C452" s="30">
        <v>44945</v>
      </c>
      <c r="D452">
        <v>64.029998779296903</v>
      </c>
      <c r="E452" s="20">
        <f t="shared" si="12"/>
        <v>8.6641342316750129E-3</v>
      </c>
      <c r="G452" s="29">
        <v>44945</v>
      </c>
      <c r="H452" s="31">
        <v>18107.849609375</v>
      </c>
      <c r="I452" s="20">
        <f t="shared" si="13"/>
        <v>-3.1653670992560848E-3</v>
      </c>
    </row>
    <row r="453" spans="2:9" ht="14.25" customHeight="1" x14ac:dyDescent="0.35">
      <c r="B453" s="29"/>
      <c r="C453" s="30">
        <v>44946</v>
      </c>
      <c r="D453">
        <v>63.790000915527301</v>
      </c>
      <c r="E453" s="20">
        <f t="shared" ref="E453:E516" si="14">(D453-D452)/D452</f>
        <v>-3.7482097195854053E-3</v>
      </c>
      <c r="G453" s="29">
        <v>44946</v>
      </c>
      <c r="H453" s="31">
        <v>18027.650390625</v>
      </c>
      <c r="I453" s="20">
        <f t="shared" ref="I453:I516" si="15">(H453-H452)/H452</f>
        <v>-4.4289753051891022E-3</v>
      </c>
    </row>
    <row r="454" spans="2:9" ht="14.25" customHeight="1" x14ac:dyDescent="0.35">
      <c r="B454" s="29"/>
      <c r="C454" s="30">
        <v>44949</v>
      </c>
      <c r="D454">
        <v>64.610000610351605</v>
      </c>
      <c r="E454" s="20">
        <f t="shared" si="14"/>
        <v>1.2854674448275569E-2</v>
      </c>
      <c r="G454" s="29">
        <v>44949</v>
      </c>
      <c r="H454" s="31">
        <v>18118.55078125</v>
      </c>
      <c r="I454" s="20">
        <f t="shared" si="15"/>
        <v>5.042276095628709E-3</v>
      </c>
    </row>
    <row r="455" spans="2:9" ht="14.25" customHeight="1" x14ac:dyDescent="0.35">
      <c r="B455" s="29"/>
      <c r="C455" s="30">
        <v>44950</v>
      </c>
      <c r="D455">
        <v>64.029998779296903</v>
      </c>
      <c r="E455" s="20">
        <f t="shared" si="14"/>
        <v>-8.9769668097135994E-3</v>
      </c>
      <c r="G455" s="29">
        <v>44950</v>
      </c>
      <c r="H455" s="31">
        <v>18118.30078125</v>
      </c>
      <c r="I455" s="20">
        <f t="shared" si="15"/>
        <v>-1.3798013043003017E-5</v>
      </c>
    </row>
    <row r="456" spans="2:9" ht="14.25" customHeight="1" x14ac:dyDescent="0.35">
      <c r="B456" s="29"/>
      <c r="C456" s="30">
        <v>44951</v>
      </c>
      <c r="D456">
        <v>61.209999084472699</v>
      </c>
      <c r="E456" s="20">
        <f t="shared" si="14"/>
        <v>-4.4041851453790866E-2</v>
      </c>
      <c r="G456" s="29">
        <v>44951</v>
      </c>
      <c r="H456" s="31">
        <v>17891.94921875</v>
      </c>
      <c r="I456" s="20">
        <f t="shared" si="15"/>
        <v>-1.2492979625012262E-2</v>
      </c>
    </row>
    <row r="457" spans="2:9" ht="14.25" customHeight="1" x14ac:dyDescent="0.35">
      <c r="B457" s="29"/>
      <c r="C457" s="30">
        <v>44953</v>
      </c>
      <c r="D457">
        <v>58.200000762939503</v>
      </c>
      <c r="E457" s="20">
        <f t="shared" si="14"/>
        <v>-4.9174944723969945E-2</v>
      </c>
      <c r="G457" s="29">
        <v>44953</v>
      </c>
      <c r="H457" s="31">
        <v>17604.349609375</v>
      </c>
      <c r="I457" s="20">
        <f t="shared" si="15"/>
        <v>-1.6074246906178778E-2</v>
      </c>
    </row>
    <row r="458" spans="2:9" ht="14.25" customHeight="1" x14ac:dyDescent="0.35">
      <c r="B458" s="29"/>
      <c r="C458" s="30">
        <v>44956</v>
      </c>
      <c r="D458">
        <v>58.430000305175803</v>
      </c>
      <c r="E458" s="20">
        <f t="shared" si="14"/>
        <v>3.9518821172036551E-3</v>
      </c>
      <c r="G458" s="29">
        <v>44956</v>
      </c>
      <c r="H458" s="31">
        <v>17648.94921875</v>
      </c>
      <c r="I458" s="20">
        <f t="shared" si="15"/>
        <v>2.5334426073456854E-3</v>
      </c>
    </row>
    <row r="459" spans="2:9" ht="14.25" customHeight="1" x14ac:dyDescent="0.35">
      <c r="B459" s="29"/>
      <c r="C459" s="30">
        <v>44957</v>
      </c>
      <c r="D459">
        <v>60.790000915527301</v>
      </c>
      <c r="E459" s="20">
        <f t="shared" si="14"/>
        <v>4.0390220743203503E-2</v>
      </c>
      <c r="G459" s="29">
        <v>44957</v>
      </c>
      <c r="H459" s="31">
        <v>17662.150390625</v>
      </c>
      <c r="I459" s="20">
        <f t="shared" si="15"/>
        <v>7.4798628016761802E-4</v>
      </c>
    </row>
    <row r="460" spans="2:9" ht="14.25" customHeight="1" x14ac:dyDescent="0.35">
      <c r="B460" s="29"/>
      <c r="C460" s="30">
        <v>44958</v>
      </c>
      <c r="D460">
        <v>56.889999389648402</v>
      </c>
      <c r="E460" s="20">
        <f t="shared" si="14"/>
        <v>-6.4155312833409417E-2</v>
      </c>
      <c r="G460" s="29">
        <v>44958</v>
      </c>
      <c r="H460" s="31">
        <v>17616.30078125</v>
      </c>
      <c r="I460" s="20">
        <f t="shared" si="15"/>
        <v>-2.5959245256645981E-3</v>
      </c>
    </row>
    <row r="461" spans="2:9" ht="14.25" customHeight="1" x14ac:dyDescent="0.35">
      <c r="B461" s="29"/>
      <c r="C461" s="30">
        <v>44959</v>
      </c>
      <c r="D461">
        <v>57.0200004577637</v>
      </c>
      <c r="E461" s="20">
        <f t="shared" si="14"/>
        <v>2.2851304185275327E-3</v>
      </c>
      <c r="G461" s="29">
        <v>44959</v>
      </c>
      <c r="H461" s="31">
        <v>17610.400390625</v>
      </c>
      <c r="I461" s="20">
        <f t="shared" si="15"/>
        <v>-3.3493925304000889E-4</v>
      </c>
    </row>
    <row r="462" spans="2:9" ht="14.25" customHeight="1" x14ac:dyDescent="0.35">
      <c r="B462" s="29"/>
      <c r="C462" s="30">
        <v>44960</v>
      </c>
      <c r="D462">
        <v>59.299999237060597</v>
      </c>
      <c r="E462" s="20">
        <f t="shared" si="14"/>
        <v>3.9985948105801139E-2</v>
      </c>
      <c r="G462" s="29">
        <v>44960</v>
      </c>
      <c r="H462" s="31">
        <v>17854.05078125</v>
      </c>
      <c r="I462" s="20">
        <f t="shared" si="15"/>
        <v>1.3835596307890234E-2</v>
      </c>
    </row>
    <row r="463" spans="2:9" ht="14.25" customHeight="1" x14ac:dyDescent="0.35">
      <c r="B463" s="29"/>
      <c r="C463" s="30">
        <v>44963</v>
      </c>
      <c r="D463">
        <v>58.930000305175803</v>
      </c>
      <c r="E463" s="20">
        <f t="shared" si="14"/>
        <v>-6.239442439209284E-3</v>
      </c>
      <c r="G463" s="29">
        <v>44963</v>
      </c>
      <c r="H463" s="31">
        <v>17764.599609375</v>
      </c>
      <c r="I463" s="20">
        <f t="shared" si="15"/>
        <v>-5.0101331608701366E-3</v>
      </c>
    </row>
    <row r="464" spans="2:9" ht="14.25" customHeight="1" x14ac:dyDescent="0.35">
      <c r="B464" s="29"/>
      <c r="C464" s="30">
        <v>44964</v>
      </c>
      <c r="D464">
        <v>58.950000762939503</v>
      </c>
      <c r="E464" s="20">
        <f t="shared" si="14"/>
        <v>3.3939347802690686E-4</v>
      </c>
      <c r="G464" s="29">
        <v>44964</v>
      </c>
      <c r="H464" s="31">
        <v>17721.5</v>
      </c>
      <c r="I464" s="20">
        <f t="shared" si="15"/>
        <v>-2.4261514654264895E-3</v>
      </c>
    </row>
    <row r="465" spans="2:9" ht="14.25" customHeight="1" x14ac:dyDescent="0.35">
      <c r="B465" s="29"/>
      <c r="C465" s="30">
        <v>44965</v>
      </c>
      <c r="D465">
        <v>59.130001068115199</v>
      </c>
      <c r="E465" s="20">
        <f t="shared" si="14"/>
        <v>3.0534402518423375E-3</v>
      </c>
      <c r="G465" s="29">
        <v>44965</v>
      </c>
      <c r="H465" s="31">
        <v>17871.69921875</v>
      </c>
      <c r="I465" s="20">
        <f t="shared" si="15"/>
        <v>8.4755364246818839E-3</v>
      </c>
    </row>
    <row r="466" spans="2:9" ht="14.25" customHeight="1" x14ac:dyDescent="0.35">
      <c r="B466" s="29"/>
      <c r="C466" s="30">
        <v>44966</v>
      </c>
      <c r="D466">
        <v>58.599998474121101</v>
      </c>
      <c r="E466" s="20">
        <f t="shared" si="14"/>
        <v>-8.9633449081720461E-3</v>
      </c>
      <c r="G466" s="29">
        <v>44966</v>
      </c>
      <c r="H466" s="31">
        <v>17893.44921875</v>
      </c>
      <c r="I466" s="20">
        <f t="shared" si="15"/>
        <v>1.2170079483645908E-3</v>
      </c>
    </row>
    <row r="467" spans="2:9" ht="14.25" customHeight="1" x14ac:dyDescent="0.35">
      <c r="B467" s="29"/>
      <c r="C467" s="30">
        <v>44967</v>
      </c>
      <c r="D467">
        <v>58.779998779296903</v>
      </c>
      <c r="E467" s="20">
        <f t="shared" si="14"/>
        <v>3.0716776427100797E-3</v>
      </c>
      <c r="G467" s="29">
        <v>44967</v>
      </c>
      <c r="H467" s="31">
        <v>17856.5</v>
      </c>
      <c r="I467" s="20">
        <f t="shared" si="15"/>
        <v>-2.0649578680046795E-3</v>
      </c>
    </row>
    <row r="468" spans="2:9" ht="14.25" customHeight="1" x14ac:dyDescent="0.35">
      <c r="B468" s="29"/>
      <c r="C468" s="30">
        <v>44970</v>
      </c>
      <c r="D468">
        <v>56.939998626708999</v>
      </c>
      <c r="E468" s="20">
        <f t="shared" si="14"/>
        <v>-3.1303167587611064E-2</v>
      </c>
      <c r="G468" s="29">
        <v>44970</v>
      </c>
      <c r="H468" s="31">
        <v>17770.900390625</v>
      </c>
      <c r="I468" s="20">
        <f t="shared" si="15"/>
        <v>-4.7937507000252013E-3</v>
      </c>
    </row>
    <row r="469" spans="2:9" ht="14.25" customHeight="1" x14ac:dyDescent="0.35">
      <c r="B469" s="29"/>
      <c r="C469" s="30">
        <v>44971</v>
      </c>
      <c r="D469">
        <v>58.130001068115199</v>
      </c>
      <c r="E469" s="20">
        <f t="shared" si="14"/>
        <v>2.089923551294226E-2</v>
      </c>
      <c r="G469" s="29">
        <v>44971</v>
      </c>
      <c r="H469" s="31">
        <v>17929.849609375</v>
      </c>
      <c r="I469" s="20">
        <f t="shared" si="15"/>
        <v>8.944353704995911E-3</v>
      </c>
    </row>
    <row r="470" spans="2:9" ht="14.25" customHeight="1" x14ac:dyDescent="0.35">
      <c r="B470" s="29"/>
      <c r="C470" s="30">
        <v>44972</v>
      </c>
      <c r="D470">
        <v>59.180000305175803</v>
      </c>
      <c r="E470" s="20">
        <f t="shared" si="14"/>
        <v>1.8062948869212E-2</v>
      </c>
      <c r="G470" s="29">
        <v>44972</v>
      </c>
      <c r="H470" s="31">
        <v>18015.849609375</v>
      </c>
      <c r="I470" s="20">
        <f t="shared" si="15"/>
        <v>4.796470794436172E-3</v>
      </c>
    </row>
    <row r="471" spans="2:9" ht="14.25" customHeight="1" x14ac:dyDescent="0.35">
      <c r="B471" s="29"/>
      <c r="C471" s="30">
        <v>44973</v>
      </c>
      <c r="D471">
        <v>58.990001678466797</v>
      </c>
      <c r="E471" s="20">
        <f t="shared" si="14"/>
        <v>-3.2105208808589458E-3</v>
      </c>
      <c r="G471" s="29">
        <v>44973</v>
      </c>
      <c r="H471" s="31">
        <v>18035.849609375</v>
      </c>
      <c r="I471" s="20">
        <f t="shared" si="15"/>
        <v>1.110133600892877E-3</v>
      </c>
    </row>
    <row r="472" spans="2:9" ht="14.25" customHeight="1" x14ac:dyDescent="0.35">
      <c r="B472" s="29"/>
      <c r="C472" s="30">
        <v>44974</v>
      </c>
      <c r="D472">
        <v>58.7299995422363</v>
      </c>
      <c r="E472" s="20">
        <f t="shared" si="14"/>
        <v>-4.4075627874648141E-3</v>
      </c>
      <c r="G472" s="29">
        <v>44974</v>
      </c>
      <c r="H472" s="31">
        <v>17944.19921875</v>
      </c>
      <c r="I472" s="20">
        <f t="shared" si="15"/>
        <v>-5.0815676893513411E-3</v>
      </c>
    </row>
    <row r="473" spans="2:9" ht="14.25" customHeight="1" x14ac:dyDescent="0.35">
      <c r="B473" s="29"/>
      <c r="C473" s="30">
        <v>44977</v>
      </c>
      <c r="D473">
        <v>57.799999237060597</v>
      </c>
      <c r="E473" s="20">
        <f t="shared" si="14"/>
        <v>-1.5835183252587693E-2</v>
      </c>
      <c r="G473" s="29">
        <v>44977</v>
      </c>
      <c r="H473" s="31">
        <v>17844.599609375</v>
      </c>
      <c r="I473" s="20">
        <f t="shared" si="15"/>
        <v>-5.5505184801408012E-3</v>
      </c>
    </row>
    <row r="474" spans="2:9" ht="14.25" customHeight="1" x14ac:dyDescent="0.35">
      <c r="B474" s="29"/>
      <c r="C474" s="30">
        <v>44978</v>
      </c>
      <c r="D474">
        <v>55.790000915527301</v>
      </c>
      <c r="E474" s="20">
        <f t="shared" si="14"/>
        <v>-3.4775057924992345E-2</v>
      </c>
      <c r="G474" s="29">
        <v>44978</v>
      </c>
      <c r="H474" s="31">
        <v>17826.69921875</v>
      </c>
      <c r="I474" s="20">
        <f t="shared" si="15"/>
        <v>-1.0031264929920697E-3</v>
      </c>
    </row>
    <row r="475" spans="2:9" ht="14.25" customHeight="1" x14ac:dyDescent="0.35">
      <c r="B475" s="29"/>
      <c r="C475" s="30">
        <v>44979</v>
      </c>
      <c r="D475">
        <v>54.830001831054702</v>
      </c>
      <c r="E475" s="20">
        <f t="shared" si="14"/>
        <v>-1.7207368143373078E-2</v>
      </c>
      <c r="G475" s="29">
        <v>44979</v>
      </c>
      <c r="H475" s="31">
        <v>17554.30078125</v>
      </c>
      <c r="I475" s="20">
        <f t="shared" si="15"/>
        <v>-1.5280363131582609E-2</v>
      </c>
    </row>
    <row r="476" spans="2:9" ht="14.25" customHeight="1" x14ac:dyDescent="0.35">
      <c r="B476" s="29"/>
      <c r="C476" s="30">
        <v>44980</v>
      </c>
      <c r="D476">
        <v>54.759998321533203</v>
      </c>
      <c r="E476" s="20">
        <f t="shared" si="14"/>
        <v>-1.2767373186890884E-3</v>
      </c>
      <c r="G476" s="29">
        <v>44980</v>
      </c>
      <c r="H476" s="31">
        <v>17511.25</v>
      </c>
      <c r="I476" s="20">
        <f t="shared" si="15"/>
        <v>-2.4524349779846064E-3</v>
      </c>
    </row>
    <row r="477" spans="2:9" ht="14.25" customHeight="1" x14ac:dyDescent="0.35">
      <c r="B477" s="29"/>
      <c r="C477" s="30">
        <v>44981</v>
      </c>
      <c r="D477">
        <v>54.220001220703097</v>
      </c>
      <c r="E477" s="20">
        <f t="shared" si="14"/>
        <v>-9.8611599229681528E-3</v>
      </c>
      <c r="G477" s="29">
        <v>44981</v>
      </c>
      <c r="H477" s="31">
        <v>17465.80078125</v>
      </c>
      <c r="I477" s="20">
        <f t="shared" si="15"/>
        <v>-2.5954297237490184E-3</v>
      </c>
    </row>
    <row r="478" spans="2:9" ht="14.25" customHeight="1" x14ac:dyDescent="0.35">
      <c r="B478" s="29"/>
      <c r="C478" s="30">
        <v>44984</v>
      </c>
      <c r="D478">
        <v>55.220001220703097</v>
      </c>
      <c r="E478" s="20">
        <f t="shared" si="14"/>
        <v>1.8443378411768921E-2</v>
      </c>
      <c r="G478" s="29">
        <v>44984</v>
      </c>
      <c r="H478" s="31">
        <v>17392.69921875</v>
      </c>
      <c r="I478" s="20">
        <f t="shared" si="15"/>
        <v>-4.1854114458053631E-3</v>
      </c>
    </row>
    <row r="479" spans="2:9" ht="14.25" customHeight="1" x14ac:dyDescent="0.35">
      <c r="B479" s="29"/>
      <c r="C479" s="30">
        <v>44985</v>
      </c>
      <c r="D479">
        <v>55.909999847412102</v>
      </c>
      <c r="E479" s="20">
        <f t="shared" si="14"/>
        <v>1.2495447509159258E-2</v>
      </c>
      <c r="G479" s="29">
        <v>44985</v>
      </c>
      <c r="H479" s="31">
        <v>17303.94921875</v>
      </c>
      <c r="I479" s="20">
        <f t="shared" si="15"/>
        <v>-5.1027157362857215E-3</v>
      </c>
    </row>
    <row r="480" spans="2:9" ht="14.25" customHeight="1" x14ac:dyDescent="0.35">
      <c r="B480" s="29"/>
      <c r="C480" s="30">
        <v>44986</v>
      </c>
      <c r="D480">
        <v>57.759998321533203</v>
      </c>
      <c r="E480" s="20">
        <f t="shared" si="14"/>
        <v>3.3088865662136674E-2</v>
      </c>
      <c r="G480" s="29">
        <v>44986</v>
      </c>
      <c r="H480" s="31">
        <v>17450.900390625</v>
      </c>
      <c r="I480" s="20">
        <f t="shared" si="15"/>
        <v>8.4923487706360379E-3</v>
      </c>
    </row>
    <row r="481" spans="2:9" ht="14.25" customHeight="1" x14ac:dyDescent="0.35">
      <c r="B481" s="29"/>
      <c r="C481" s="30">
        <v>44987</v>
      </c>
      <c r="D481">
        <v>58.080001831054702</v>
      </c>
      <c r="E481" s="20">
        <f t="shared" si="14"/>
        <v>5.5402271263951842E-3</v>
      </c>
      <c r="G481" s="29">
        <v>44987</v>
      </c>
      <c r="H481" s="31">
        <v>17321.900390625</v>
      </c>
      <c r="I481" s="20">
        <f t="shared" si="15"/>
        <v>-7.3921687198043708E-3</v>
      </c>
    </row>
    <row r="482" spans="2:9" ht="14.25" customHeight="1" x14ac:dyDescent="0.35">
      <c r="B482" s="29"/>
      <c r="C482" s="30">
        <v>44988</v>
      </c>
      <c r="D482">
        <v>61.040000915527301</v>
      </c>
      <c r="E482" s="20">
        <f t="shared" si="14"/>
        <v>5.0964169957892845E-2</v>
      </c>
      <c r="G482" s="29">
        <v>44988</v>
      </c>
      <c r="H482" s="31">
        <v>17594.349609375</v>
      </c>
      <c r="I482" s="20">
        <f t="shared" si="15"/>
        <v>1.5728598629827915E-2</v>
      </c>
    </row>
    <row r="483" spans="2:9" ht="14.25" customHeight="1" x14ac:dyDescent="0.35">
      <c r="B483" s="29"/>
      <c r="C483" s="30">
        <v>44991</v>
      </c>
      <c r="D483">
        <v>61.130001068115199</v>
      </c>
      <c r="E483" s="20">
        <f t="shared" si="14"/>
        <v>1.4744454658912624E-3</v>
      </c>
      <c r="G483" s="29">
        <v>44991</v>
      </c>
      <c r="H483" s="31">
        <v>17711.44921875</v>
      </c>
      <c r="I483" s="20">
        <f t="shared" si="15"/>
        <v>6.6555236183669141E-3</v>
      </c>
    </row>
    <row r="484" spans="2:9" ht="14.25" customHeight="1" x14ac:dyDescent="0.35">
      <c r="B484" s="29"/>
      <c r="C484" s="30">
        <v>44993</v>
      </c>
      <c r="D484">
        <v>62.299999237060597</v>
      </c>
      <c r="E484" s="20">
        <f t="shared" si="14"/>
        <v>1.9139508400166823E-2</v>
      </c>
      <c r="G484" s="29">
        <v>44993</v>
      </c>
      <c r="H484" s="31">
        <v>17754.400390625</v>
      </c>
      <c r="I484" s="20">
        <f t="shared" si="15"/>
        <v>2.4250512391459354E-3</v>
      </c>
    </row>
    <row r="485" spans="2:9" ht="14.25" customHeight="1" x14ac:dyDescent="0.35">
      <c r="B485" s="29"/>
      <c r="C485" s="30">
        <v>44994</v>
      </c>
      <c r="D485">
        <v>62.069999694824197</v>
      </c>
      <c r="E485" s="20">
        <f t="shared" si="14"/>
        <v>-3.6918065016536732E-3</v>
      </c>
      <c r="G485" s="29">
        <v>44994</v>
      </c>
      <c r="H485" s="31">
        <v>17589.599609375</v>
      </c>
      <c r="I485" s="20">
        <f t="shared" si="15"/>
        <v>-9.2822498999752812E-3</v>
      </c>
    </row>
    <row r="486" spans="2:9" ht="14.25" customHeight="1" x14ac:dyDescent="0.35">
      <c r="B486" s="29"/>
      <c r="C486" s="30">
        <v>44995</v>
      </c>
      <c r="D486">
        <v>59.639999389648402</v>
      </c>
      <c r="E486" s="20">
        <f t="shared" si="14"/>
        <v>-3.9149352619997267E-2</v>
      </c>
      <c r="G486" s="29">
        <v>44995</v>
      </c>
      <c r="H486" s="31">
        <v>17412.900390625</v>
      </c>
      <c r="I486" s="20">
        <f t="shared" si="15"/>
        <v>-1.0045664635585105E-2</v>
      </c>
    </row>
    <row r="487" spans="2:9" ht="14.25" customHeight="1" x14ac:dyDescent="0.35">
      <c r="B487" s="29"/>
      <c r="C487" s="30">
        <v>44998</v>
      </c>
      <c r="D487">
        <v>57.709999084472699</v>
      </c>
      <c r="E487" s="20">
        <f t="shared" si="14"/>
        <v>-3.2360837104748352E-2</v>
      </c>
      <c r="G487" s="29">
        <v>44998</v>
      </c>
      <c r="H487" s="31">
        <v>17154.30078125</v>
      </c>
      <c r="I487" s="20">
        <f t="shared" si="15"/>
        <v>-1.4851035931626214E-2</v>
      </c>
    </row>
    <row r="488" spans="2:9" ht="14.25" customHeight="1" x14ac:dyDescent="0.35">
      <c r="B488" s="29"/>
      <c r="C488" s="30">
        <v>44999</v>
      </c>
      <c r="D488">
        <v>57.259998321533203</v>
      </c>
      <c r="E488" s="20">
        <f t="shared" si="14"/>
        <v>-7.79762207725579E-3</v>
      </c>
      <c r="G488" s="29">
        <v>44999</v>
      </c>
      <c r="H488" s="31">
        <v>17043.30078125</v>
      </c>
      <c r="I488" s="20">
        <f t="shared" si="15"/>
        <v>-6.470680525861203E-3</v>
      </c>
    </row>
    <row r="489" spans="2:9" ht="14.25" customHeight="1" x14ac:dyDescent="0.35">
      <c r="B489" s="29"/>
      <c r="C489" s="30">
        <v>45000</v>
      </c>
      <c r="D489">
        <v>56.2299995422363</v>
      </c>
      <c r="E489" s="20">
        <f t="shared" si="14"/>
        <v>-1.7988103553778171E-2</v>
      </c>
      <c r="G489" s="29">
        <v>45000</v>
      </c>
      <c r="H489" s="31">
        <v>16972.150390625</v>
      </c>
      <c r="I489" s="20">
        <f t="shared" si="15"/>
        <v>-4.1746837386848982E-3</v>
      </c>
    </row>
    <row r="490" spans="2:9" ht="14.25" customHeight="1" x14ac:dyDescent="0.35">
      <c r="B490" s="29"/>
      <c r="C490" s="30">
        <v>45001</v>
      </c>
      <c r="D490">
        <v>56.330001831054702</v>
      </c>
      <c r="E490" s="20">
        <f t="shared" si="14"/>
        <v>1.7784508204252577E-3</v>
      </c>
      <c r="G490" s="29">
        <v>45001</v>
      </c>
      <c r="H490" s="31">
        <v>16985.599609375</v>
      </c>
      <c r="I490" s="20">
        <f t="shared" si="15"/>
        <v>7.9242868113100259E-4</v>
      </c>
    </row>
    <row r="491" spans="2:9" ht="14.25" customHeight="1" x14ac:dyDescent="0.35">
      <c r="B491" s="29"/>
      <c r="C491" s="30">
        <v>45002</v>
      </c>
      <c r="D491">
        <v>56.349998474121101</v>
      </c>
      <c r="E491" s="20">
        <f t="shared" si="14"/>
        <v>3.54990989106892E-4</v>
      </c>
      <c r="G491" s="29">
        <v>45002</v>
      </c>
      <c r="H491" s="31">
        <v>17100.05078125</v>
      </c>
      <c r="I491" s="20">
        <f t="shared" si="15"/>
        <v>6.7381296219787279E-3</v>
      </c>
    </row>
    <row r="492" spans="2:9" ht="14.25" customHeight="1" x14ac:dyDescent="0.35">
      <c r="B492" s="29"/>
      <c r="C492" s="30">
        <v>45005</v>
      </c>
      <c r="D492">
        <v>55.599998474121101</v>
      </c>
      <c r="E492" s="20">
        <f t="shared" si="14"/>
        <v>-1.3309672055172098E-2</v>
      </c>
      <c r="G492" s="29">
        <v>45005</v>
      </c>
      <c r="H492" s="31">
        <v>16988.400390625</v>
      </c>
      <c r="I492" s="20">
        <f t="shared" si="15"/>
        <v>-6.5292432199922654E-3</v>
      </c>
    </row>
    <row r="493" spans="2:9" ht="14.25" customHeight="1" x14ac:dyDescent="0.35">
      <c r="B493" s="29"/>
      <c r="C493" s="30">
        <v>45006</v>
      </c>
      <c r="D493">
        <v>56.799999237060597</v>
      </c>
      <c r="E493" s="20">
        <f t="shared" si="14"/>
        <v>2.1582748127197047E-2</v>
      </c>
      <c r="G493" s="29">
        <v>45006</v>
      </c>
      <c r="H493" s="31">
        <v>17107.5</v>
      </c>
      <c r="I493" s="20">
        <f t="shared" si="15"/>
        <v>7.0106429467441077E-3</v>
      </c>
    </row>
    <row r="494" spans="2:9" ht="14.25" customHeight="1" x14ac:dyDescent="0.35">
      <c r="B494" s="29"/>
      <c r="C494" s="30">
        <v>45007</v>
      </c>
      <c r="D494">
        <v>56.970001220703097</v>
      </c>
      <c r="E494" s="20">
        <f t="shared" si="14"/>
        <v>2.9929927099642964E-3</v>
      </c>
      <c r="G494" s="29">
        <v>45007</v>
      </c>
      <c r="H494" s="31">
        <v>17151.900390625</v>
      </c>
      <c r="I494" s="20">
        <f t="shared" si="15"/>
        <v>2.5953757489405233E-3</v>
      </c>
    </row>
    <row r="495" spans="2:9" ht="14.25" customHeight="1" x14ac:dyDescent="0.35">
      <c r="B495" s="29"/>
      <c r="C495" s="30">
        <v>45008</v>
      </c>
      <c r="D495">
        <v>56.119998931884801</v>
      </c>
      <c r="E495" s="20">
        <f t="shared" si="14"/>
        <v>-1.4920173259701488E-2</v>
      </c>
      <c r="G495" s="29">
        <v>45008</v>
      </c>
      <c r="H495" s="31">
        <v>17076.900390625</v>
      </c>
      <c r="I495" s="20">
        <f t="shared" si="15"/>
        <v>-4.3726933046436068E-3</v>
      </c>
    </row>
    <row r="496" spans="2:9" ht="14.25" customHeight="1" x14ac:dyDescent="0.35">
      <c r="B496" s="29"/>
      <c r="C496" s="30">
        <v>45009</v>
      </c>
      <c r="D496">
        <v>54.759998321533203</v>
      </c>
      <c r="E496" s="20">
        <f t="shared" si="14"/>
        <v>-2.4233796084035707E-2</v>
      </c>
      <c r="G496" s="29">
        <v>45009</v>
      </c>
      <c r="H496" s="31">
        <v>16945.05078125</v>
      </c>
      <c r="I496" s="20">
        <f t="shared" si="15"/>
        <v>-7.7209333285906939E-3</v>
      </c>
    </row>
    <row r="497" spans="2:9" ht="14.25" customHeight="1" x14ac:dyDescent="0.35">
      <c r="B497" s="29"/>
      <c r="C497" s="30">
        <v>45012</v>
      </c>
      <c r="D497">
        <v>55.439998626708999</v>
      </c>
      <c r="E497" s="20">
        <f t="shared" si="14"/>
        <v>1.241782918222625E-2</v>
      </c>
      <c r="G497" s="29">
        <v>45012</v>
      </c>
      <c r="H497" s="31">
        <v>16985.69921875</v>
      </c>
      <c r="I497" s="20">
        <f t="shared" si="15"/>
        <v>2.3988383407489234E-3</v>
      </c>
    </row>
    <row r="498" spans="2:9" ht="14.25" customHeight="1" x14ac:dyDescent="0.35">
      <c r="B498" s="29"/>
      <c r="C498" s="30">
        <v>45013</v>
      </c>
      <c r="D498">
        <v>55.029998779296903</v>
      </c>
      <c r="E498" s="20">
        <f t="shared" si="14"/>
        <v>-7.3953798262644975E-3</v>
      </c>
      <c r="G498" s="29">
        <v>45013</v>
      </c>
      <c r="H498" s="31">
        <v>16951.69921875</v>
      </c>
      <c r="I498" s="20">
        <f t="shared" si="15"/>
        <v>-2.0016838613548761E-3</v>
      </c>
    </row>
    <row r="499" spans="2:9" ht="14.25" customHeight="1" x14ac:dyDescent="0.35">
      <c r="B499" s="29"/>
      <c r="C499" s="30">
        <v>45014</v>
      </c>
      <c r="D499">
        <v>56.209999084472699</v>
      </c>
      <c r="E499" s="20">
        <f t="shared" si="14"/>
        <v>2.1442855376179456E-2</v>
      </c>
      <c r="G499" s="29">
        <v>45014</v>
      </c>
      <c r="H499" s="31">
        <v>17080.69921875</v>
      </c>
      <c r="I499" s="20">
        <f t="shared" si="15"/>
        <v>7.6098565893214518E-3</v>
      </c>
    </row>
    <row r="500" spans="2:9" ht="14.25" customHeight="1" x14ac:dyDescent="0.35">
      <c r="B500" s="29"/>
      <c r="C500" s="30">
        <v>45016</v>
      </c>
      <c r="D500">
        <v>56.889999389648402</v>
      </c>
      <c r="E500" s="20">
        <f t="shared" si="14"/>
        <v>1.2097497175792421E-2</v>
      </c>
      <c r="G500" s="29">
        <v>45016</v>
      </c>
      <c r="H500" s="31">
        <v>17359.75</v>
      </c>
      <c r="I500" s="20">
        <f t="shared" si="15"/>
        <v>1.6337198944623856E-2</v>
      </c>
    </row>
    <row r="501" spans="2:9" ht="14.25" customHeight="1" x14ac:dyDescent="0.35">
      <c r="B501" s="29"/>
      <c r="C501" s="30">
        <v>45019</v>
      </c>
      <c r="D501">
        <v>57.439998626708999</v>
      </c>
      <c r="E501" s="20">
        <f t="shared" si="14"/>
        <v>9.6677666191129098E-3</v>
      </c>
      <c r="G501" s="29">
        <v>45019</v>
      </c>
      <c r="H501" s="31">
        <v>17398.05078125</v>
      </c>
      <c r="I501" s="20">
        <f t="shared" si="15"/>
        <v>2.2062979737611428E-3</v>
      </c>
    </row>
    <row r="502" spans="2:9" ht="14.25" customHeight="1" x14ac:dyDescent="0.35">
      <c r="B502" s="29"/>
      <c r="C502" s="30">
        <v>45021</v>
      </c>
      <c r="D502">
        <v>56.849998474121101</v>
      </c>
      <c r="E502" s="20">
        <f t="shared" si="14"/>
        <v>-1.0271590645783091E-2</v>
      </c>
      <c r="G502" s="29">
        <v>45021</v>
      </c>
      <c r="H502" s="31">
        <v>17557.05078125</v>
      </c>
      <c r="I502" s="20">
        <f t="shared" si="15"/>
        <v>9.1389548173612303E-3</v>
      </c>
    </row>
    <row r="503" spans="2:9" ht="14.25" customHeight="1" x14ac:dyDescent="0.35">
      <c r="B503" s="29"/>
      <c r="C503" s="30">
        <v>45022</v>
      </c>
      <c r="D503">
        <v>56.909999847412102</v>
      </c>
      <c r="E503" s="20">
        <f t="shared" si="14"/>
        <v>1.0554331556985857E-3</v>
      </c>
      <c r="G503" s="29">
        <v>45022</v>
      </c>
      <c r="H503" s="31">
        <v>17599.150390625</v>
      </c>
      <c r="I503" s="20">
        <f t="shared" si="15"/>
        <v>2.3978747854372074E-3</v>
      </c>
    </row>
    <row r="504" spans="2:9" ht="14.25" customHeight="1" x14ac:dyDescent="0.35">
      <c r="B504" s="29"/>
      <c r="C504" s="30">
        <v>45026</v>
      </c>
      <c r="D504">
        <v>56.659999847412102</v>
      </c>
      <c r="E504" s="20">
        <f t="shared" si="14"/>
        <v>-4.3929010836461701E-3</v>
      </c>
      <c r="G504" s="29">
        <v>45026</v>
      </c>
      <c r="H504" s="31">
        <v>17624.05078125</v>
      </c>
      <c r="I504" s="20">
        <f t="shared" si="15"/>
        <v>1.4148632219350965E-3</v>
      </c>
    </row>
    <row r="505" spans="2:9" ht="14.25" customHeight="1" x14ac:dyDescent="0.35">
      <c r="B505" s="29"/>
      <c r="C505" s="30">
        <v>45027</v>
      </c>
      <c r="D505">
        <v>57.580001831054702</v>
      </c>
      <c r="E505" s="20">
        <f t="shared" si="14"/>
        <v>1.6237239430289548E-2</v>
      </c>
      <c r="G505" s="29">
        <v>45027</v>
      </c>
      <c r="H505" s="31">
        <v>17722.30078125</v>
      </c>
      <c r="I505" s="20">
        <f t="shared" si="15"/>
        <v>5.574768321964148E-3</v>
      </c>
    </row>
    <row r="506" spans="2:9" ht="14.25" customHeight="1" x14ac:dyDescent="0.35">
      <c r="B506" s="29"/>
      <c r="C506" s="30">
        <v>45028</v>
      </c>
      <c r="D506">
        <v>57.220001220703097</v>
      </c>
      <c r="E506" s="20">
        <f t="shared" si="14"/>
        <v>-6.2521812939131498E-3</v>
      </c>
      <c r="G506" s="29">
        <v>45028</v>
      </c>
      <c r="H506" s="31">
        <v>17812.400390625</v>
      </c>
      <c r="I506" s="20">
        <f t="shared" si="15"/>
        <v>5.0839679614468796E-3</v>
      </c>
    </row>
    <row r="507" spans="2:9" ht="14.25" customHeight="1" x14ac:dyDescent="0.35">
      <c r="B507" s="29"/>
      <c r="C507" s="30">
        <v>45029</v>
      </c>
      <c r="D507">
        <v>58.25</v>
      </c>
      <c r="E507" s="20">
        <f t="shared" si="14"/>
        <v>1.800067733875255E-2</v>
      </c>
      <c r="G507" s="29">
        <v>45029</v>
      </c>
      <c r="H507" s="31">
        <v>17828</v>
      </c>
      <c r="I507" s="20">
        <f t="shared" si="15"/>
        <v>8.7577244127132723E-4</v>
      </c>
    </row>
    <row r="508" spans="2:9" ht="14.25" customHeight="1" x14ac:dyDescent="0.35">
      <c r="B508" s="29"/>
      <c r="C508" s="30">
        <v>45033</v>
      </c>
      <c r="D508">
        <v>59.490001678466797</v>
      </c>
      <c r="E508" s="20">
        <f t="shared" si="14"/>
        <v>2.1287582462949303E-2</v>
      </c>
      <c r="G508" s="29">
        <v>45033</v>
      </c>
      <c r="H508" s="31">
        <v>17706.849609375</v>
      </c>
      <c r="I508" s="20">
        <f t="shared" si="15"/>
        <v>-6.7955121508301549E-3</v>
      </c>
    </row>
    <row r="509" spans="2:9" ht="14.25" customHeight="1" x14ac:dyDescent="0.35">
      <c r="B509" s="29"/>
      <c r="C509" s="30">
        <v>45034</v>
      </c>
      <c r="D509">
        <v>59.840000152587898</v>
      </c>
      <c r="E509" s="20">
        <f t="shared" si="14"/>
        <v>5.8833159227794658E-3</v>
      </c>
      <c r="G509" s="29">
        <v>45034</v>
      </c>
      <c r="H509" s="31">
        <v>17660.150390625</v>
      </c>
      <c r="I509" s="20">
        <f t="shared" si="15"/>
        <v>-2.6373533282439362E-3</v>
      </c>
    </row>
    <row r="510" spans="2:9" ht="14.25" customHeight="1" x14ac:dyDescent="0.35">
      <c r="B510" s="29"/>
      <c r="C510" s="30">
        <v>45035</v>
      </c>
      <c r="D510">
        <v>59.009998321533203</v>
      </c>
      <c r="E510" s="20">
        <f t="shared" si="14"/>
        <v>-1.3870351419422574E-2</v>
      </c>
      <c r="G510" s="29">
        <v>45035</v>
      </c>
      <c r="H510" s="31">
        <v>17618.75</v>
      </c>
      <c r="I510" s="20">
        <f t="shared" si="15"/>
        <v>-2.3442830162407708E-3</v>
      </c>
    </row>
    <row r="511" spans="2:9" ht="14.25" customHeight="1" x14ac:dyDescent="0.35">
      <c r="B511" s="29"/>
      <c r="C511" s="30">
        <v>45036</v>
      </c>
      <c r="D511">
        <v>59.330001831054702</v>
      </c>
      <c r="E511" s="20">
        <f t="shared" si="14"/>
        <v>5.4228693208541717E-3</v>
      </c>
      <c r="G511" s="29">
        <v>45036</v>
      </c>
      <c r="H511" s="31">
        <v>17624.44921875</v>
      </c>
      <c r="I511" s="20">
        <f t="shared" si="15"/>
        <v>3.2347463639588507E-4</v>
      </c>
    </row>
    <row r="512" spans="2:9" ht="14.25" customHeight="1" x14ac:dyDescent="0.35">
      <c r="B512" s="29"/>
      <c r="C512" s="30">
        <v>45037</v>
      </c>
      <c r="D512">
        <v>59.060001373291001</v>
      </c>
      <c r="E512" s="20">
        <f t="shared" si="14"/>
        <v>-4.5508250367586505E-3</v>
      </c>
      <c r="G512" s="29">
        <v>45037</v>
      </c>
      <c r="H512" s="31">
        <v>17624.05078125</v>
      </c>
      <c r="I512" s="20">
        <f t="shared" si="15"/>
        <v>-2.2607089450268724E-5</v>
      </c>
    </row>
    <row r="513" spans="2:9" ht="14.25" customHeight="1" x14ac:dyDescent="0.35">
      <c r="B513" s="29"/>
      <c r="C513" s="30">
        <v>45040</v>
      </c>
      <c r="D513">
        <v>60.590000152587898</v>
      </c>
      <c r="E513" s="20">
        <f t="shared" si="14"/>
        <v>2.5905837177796195E-2</v>
      </c>
      <c r="G513" s="29">
        <v>45040</v>
      </c>
      <c r="H513" s="31">
        <v>17743.400390625</v>
      </c>
      <c r="I513" s="20">
        <f t="shared" si="15"/>
        <v>6.7719737565653465E-3</v>
      </c>
    </row>
    <row r="514" spans="2:9" ht="14.25" customHeight="1" x14ac:dyDescent="0.35">
      <c r="B514" s="29"/>
      <c r="C514" s="30">
        <v>45041</v>
      </c>
      <c r="D514">
        <v>61.540000915527301</v>
      </c>
      <c r="E514" s="20">
        <f t="shared" si="14"/>
        <v>1.5679167528419743E-2</v>
      </c>
      <c r="G514" s="29">
        <v>45041</v>
      </c>
      <c r="H514" s="31">
        <v>17769.25</v>
      </c>
      <c r="I514" s="20">
        <f t="shared" si="15"/>
        <v>1.4568576938982925E-3</v>
      </c>
    </row>
    <row r="515" spans="2:9" ht="14.25" customHeight="1" x14ac:dyDescent="0.35">
      <c r="B515" s="29"/>
      <c r="C515" s="30">
        <v>45042</v>
      </c>
      <c r="D515">
        <v>61.930000305175803</v>
      </c>
      <c r="E515" s="20">
        <f t="shared" si="14"/>
        <v>6.3373315542167921E-3</v>
      </c>
      <c r="G515" s="29">
        <v>45042</v>
      </c>
      <c r="H515" s="31">
        <v>17813.599609375</v>
      </c>
      <c r="I515" s="20">
        <f t="shared" si="15"/>
        <v>2.495862761512163E-3</v>
      </c>
    </row>
    <row r="516" spans="2:9" ht="14.25" customHeight="1" x14ac:dyDescent="0.35">
      <c r="B516" s="29"/>
      <c r="C516" s="30">
        <v>45043</v>
      </c>
      <c r="D516">
        <v>61.799999237060597</v>
      </c>
      <c r="E516" s="20">
        <f t="shared" si="14"/>
        <v>-2.099161431851973E-3</v>
      </c>
      <c r="G516" s="29">
        <v>45043</v>
      </c>
      <c r="H516" s="31">
        <v>17915.05078125</v>
      </c>
      <c r="I516" s="20">
        <f t="shared" si="15"/>
        <v>5.6951528101938445E-3</v>
      </c>
    </row>
    <row r="517" spans="2:9" ht="14.25" customHeight="1" x14ac:dyDescent="0.35">
      <c r="B517" s="29"/>
      <c r="C517" s="30">
        <v>45044</v>
      </c>
      <c r="D517">
        <v>63.490001678466797</v>
      </c>
      <c r="E517" s="20">
        <f t="shared" ref="E517:E580" si="16">(D517-D516)/D516</f>
        <v>2.734631815970524E-2</v>
      </c>
      <c r="G517" s="29">
        <v>45044</v>
      </c>
      <c r="H517" s="31">
        <v>18065</v>
      </c>
      <c r="I517" s="20">
        <f t="shared" ref="I517:I580" si="17">(H517-H516)/H516</f>
        <v>8.3700136036978338E-3</v>
      </c>
    </row>
    <row r="518" spans="2:9" ht="14.25" customHeight="1" x14ac:dyDescent="0.35">
      <c r="B518" s="29"/>
      <c r="C518" s="30">
        <v>45048</v>
      </c>
      <c r="D518">
        <v>64</v>
      </c>
      <c r="E518" s="20">
        <f t="shared" si="16"/>
        <v>8.0327344156642805E-3</v>
      </c>
      <c r="G518" s="29">
        <v>45048</v>
      </c>
      <c r="H518" s="31">
        <v>18147.650390625</v>
      </c>
      <c r="I518" s="20">
        <f t="shared" si="17"/>
        <v>4.5751669319125379E-3</v>
      </c>
    </row>
    <row r="519" spans="2:9" ht="14.25" customHeight="1" x14ac:dyDescent="0.35">
      <c r="B519" s="29"/>
      <c r="C519" s="30">
        <v>45049</v>
      </c>
      <c r="D519">
        <v>63.900001525878899</v>
      </c>
      <c r="E519" s="20">
        <f t="shared" si="16"/>
        <v>-1.5624761581422009E-3</v>
      </c>
      <c r="G519" s="29">
        <v>45049</v>
      </c>
      <c r="H519" s="31">
        <v>18089.849609375</v>
      </c>
      <c r="I519" s="20">
        <f t="shared" si="17"/>
        <v>-3.18502836487635E-3</v>
      </c>
    </row>
    <row r="520" spans="2:9" ht="14.25" customHeight="1" x14ac:dyDescent="0.35">
      <c r="B520" s="29"/>
      <c r="C520" s="30">
        <v>45050</v>
      </c>
      <c r="D520">
        <v>64.769996643066406</v>
      </c>
      <c r="E520" s="20">
        <f t="shared" si="16"/>
        <v>1.3614946735723743E-2</v>
      </c>
      <c r="G520" s="29">
        <v>45050</v>
      </c>
      <c r="H520" s="31">
        <v>18255.80078125</v>
      </c>
      <c r="I520" s="20">
        <f t="shared" si="17"/>
        <v>9.173717607303733E-3</v>
      </c>
    </row>
    <row r="521" spans="2:9" ht="14.25" customHeight="1" x14ac:dyDescent="0.35">
      <c r="B521" s="29"/>
      <c r="C521" s="30">
        <v>45051</v>
      </c>
      <c r="D521">
        <v>63.709999084472699</v>
      </c>
      <c r="E521" s="20">
        <f t="shared" si="16"/>
        <v>-1.6365564513383057E-2</v>
      </c>
      <c r="G521" s="29">
        <v>45051</v>
      </c>
      <c r="H521" s="31">
        <v>18069</v>
      </c>
      <c r="I521" s="20">
        <f t="shared" si="17"/>
        <v>-1.0232406865540384E-2</v>
      </c>
    </row>
    <row r="522" spans="2:9" ht="14.25" customHeight="1" x14ac:dyDescent="0.35">
      <c r="B522" s="29"/>
      <c r="C522" s="30">
        <v>45054</v>
      </c>
      <c r="D522">
        <v>62.639999389648402</v>
      </c>
      <c r="E522" s="20">
        <f t="shared" si="16"/>
        <v>-1.6794847122907519E-2</v>
      </c>
      <c r="G522" s="29">
        <v>45054</v>
      </c>
      <c r="H522" s="31">
        <v>18264.400390625</v>
      </c>
      <c r="I522" s="20">
        <f t="shared" si="17"/>
        <v>1.0814123118324201E-2</v>
      </c>
    </row>
    <row r="523" spans="2:9" ht="14.25" customHeight="1" x14ac:dyDescent="0.35">
      <c r="B523" s="29"/>
      <c r="C523" s="30">
        <v>45055</v>
      </c>
      <c r="D523">
        <v>60.569999694824197</v>
      </c>
      <c r="E523" s="20">
        <f t="shared" si="16"/>
        <v>-3.3045972461587907E-2</v>
      </c>
      <c r="G523" s="29">
        <v>45055</v>
      </c>
      <c r="H523" s="31">
        <v>18265.94921875</v>
      </c>
      <c r="I523" s="20">
        <f t="shared" si="17"/>
        <v>8.4800381719347525E-5</v>
      </c>
    </row>
    <row r="524" spans="2:9" ht="14.25" customHeight="1" x14ac:dyDescent="0.35">
      <c r="B524" s="29"/>
      <c r="C524" s="30">
        <v>45056</v>
      </c>
      <c r="D524">
        <v>60.159999847412102</v>
      </c>
      <c r="E524" s="20">
        <f t="shared" si="16"/>
        <v>-6.7690250863106788E-3</v>
      </c>
      <c r="G524" s="29">
        <v>45056</v>
      </c>
      <c r="H524" s="31">
        <v>18315.099609375</v>
      </c>
      <c r="I524" s="20">
        <f t="shared" si="17"/>
        <v>2.6908205008337105E-3</v>
      </c>
    </row>
    <row r="525" spans="2:9" ht="14.25" customHeight="1" x14ac:dyDescent="0.35">
      <c r="B525" s="29"/>
      <c r="C525" s="30">
        <v>45057</v>
      </c>
      <c r="D525">
        <v>60.220001220703097</v>
      </c>
      <c r="E525" s="20">
        <f t="shared" si="16"/>
        <v>9.973632553720059E-4</v>
      </c>
      <c r="G525" s="29">
        <v>45057</v>
      </c>
      <c r="H525" s="31">
        <v>18297</v>
      </c>
      <c r="I525" s="20">
        <f t="shared" si="17"/>
        <v>-9.8823428542727139E-4</v>
      </c>
    </row>
    <row r="526" spans="2:9" ht="14.25" customHeight="1" x14ac:dyDescent="0.35">
      <c r="B526" s="29"/>
      <c r="C526" s="30">
        <v>45058</v>
      </c>
      <c r="D526">
        <v>59.400001525878899</v>
      </c>
      <c r="E526" s="20">
        <f t="shared" si="16"/>
        <v>-1.3616733281338575E-2</v>
      </c>
      <c r="G526" s="29">
        <v>45058</v>
      </c>
      <c r="H526" s="31">
        <v>18314.80078125</v>
      </c>
      <c r="I526" s="20">
        <f t="shared" si="17"/>
        <v>9.7287977537301195E-4</v>
      </c>
    </row>
    <row r="527" spans="2:9" ht="14.25" customHeight="1" x14ac:dyDescent="0.35">
      <c r="B527" s="29"/>
      <c r="C527" s="30">
        <v>45061</v>
      </c>
      <c r="D527">
        <v>60.680000305175803</v>
      </c>
      <c r="E527" s="20">
        <f t="shared" si="16"/>
        <v>2.1548800444714536E-2</v>
      </c>
      <c r="G527" s="29">
        <v>45061</v>
      </c>
      <c r="H527" s="31">
        <v>18398.849609375</v>
      </c>
      <c r="I527" s="20">
        <f t="shared" si="17"/>
        <v>4.589120522186952E-3</v>
      </c>
    </row>
    <row r="528" spans="2:9" ht="14.25" customHeight="1" x14ac:dyDescent="0.35">
      <c r="B528" s="29"/>
      <c r="C528" s="30">
        <v>45062</v>
      </c>
      <c r="D528">
        <v>61.029998779296903</v>
      </c>
      <c r="E528" s="20">
        <f t="shared" si="16"/>
        <v>5.7679379097044462E-3</v>
      </c>
      <c r="G528" s="29">
        <v>45062</v>
      </c>
      <c r="H528" s="31">
        <v>18286.5</v>
      </c>
      <c r="I528" s="20">
        <f t="shared" si="17"/>
        <v>-6.1063388070606911E-3</v>
      </c>
    </row>
    <row r="529" spans="2:9" ht="14.25" customHeight="1" x14ac:dyDescent="0.35">
      <c r="B529" s="29"/>
      <c r="C529" s="30">
        <v>45063</v>
      </c>
      <c r="D529">
        <v>60.540000915527301</v>
      </c>
      <c r="E529" s="20">
        <f t="shared" si="16"/>
        <v>-8.0288034338913249E-3</v>
      </c>
      <c r="G529" s="29">
        <v>45063</v>
      </c>
      <c r="H529" s="31">
        <v>18181.75</v>
      </c>
      <c r="I529" s="20">
        <f t="shared" si="17"/>
        <v>-5.7282694884204198E-3</v>
      </c>
    </row>
    <row r="530" spans="2:9" ht="14.25" customHeight="1" x14ac:dyDescent="0.35">
      <c r="B530" s="29"/>
      <c r="C530" s="30">
        <v>45064</v>
      </c>
      <c r="D530">
        <v>59.029998779296903</v>
      </c>
      <c r="E530" s="20">
        <f t="shared" si="16"/>
        <v>-2.4942221892882598E-2</v>
      </c>
      <c r="G530" s="29">
        <v>45064</v>
      </c>
      <c r="H530" s="31">
        <v>18129.94921875</v>
      </c>
      <c r="I530" s="20">
        <f t="shared" si="17"/>
        <v>-2.8490536527011976E-3</v>
      </c>
    </row>
    <row r="531" spans="2:9" ht="14.25" customHeight="1" x14ac:dyDescent="0.35">
      <c r="B531" s="29"/>
      <c r="C531" s="30">
        <v>45065</v>
      </c>
      <c r="D531">
        <v>59.560001373291001</v>
      </c>
      <c r="E531" s="20">
        <f t="shared" si="16"/>
        <v>8.9785296451671513E-3</v>
      </c>
      <c r="G531" s="29">
        <v>45065</v>
      </c>
      <c r="H531" s="31">
        <v>18203.400390625</v>
      </c>
      <c r="I531" s="20">
        <f t="shared" si="17"/>
        <v>4.051372179191587E-3</v>
      </c>
    </row>
    <row r="532" spans="2:9" ht="14.25" customHeight="1" x14ac:dyDescent="0.35">
      <c r="B532" s="29"/>
      <c r="C532" s="30">
        <v>45068</v>
      </c>
      <c r="D532">
        <v>60.189998626708999</v>
      </c>
      <c r="E532" s="20">
        <f t="shared" si="16"/>
        <v>1.0577522479717608E-2</v>
      </c>
      <c r="G532" s="29">
        <v>45068</v>
      </c>
      <c r="H532" s="31">
        <v>18314.400390625</v>
      </c>
      <c r="I532" s="20">
        <f t="shared" si="17"/>
        <v>6.0977618257062847E-3</v>
      </c>
    </row>
    <row r="533" spans="2:9" ht="14.25" customHeight="1" x14ac:dyDescent="0.35">
      <c r="B533" s="29"/>
      <c r="C533" s="30">
        <v>45069</v>
      </c>
      <c r="D533">
        <v>60.409999847412102</v>
      </c>
      <c r="E533" s="20">
        <f t="shared" si="16"/>
        <v>3.6551125722318807E-3</v>
      </c>
      <c r="G533" s="29">
        <v>45069</v>
      </c>
      <c r="H533" s="31">
        <v>18348</v>
      </c>
      <c r="I533" s="20">
        <f t="shared" si="17"/>
        <v>1.8346005688616145E-3</v>
      </c>
    </row>
    <row r="534" spans="2:9" ht="14.25" customHeight="1" x14ac:dyDescent="0.35">
      <c r="B534" s="29"/>
      <c r="C534" s="30">
        <v>45070</v>
      </c>
      <c r="D534">
        <v>59.919998168945298</v>
      </c>
      <c r="E534" s="20">
        <f t="shared" si="16"/>
        <v>-8.1112676660235923E-3</v>
      </c>
      <c r="G534" s="29">
        <v>45070</v>
      </c>
      <c r="H534" s="31">
        <v>18285.400390625</v>
      </c>
      <c r="I534" s="20">
        <f t="shared" si="17"/>
        <v>-3.4117947119577064E-3</v>
      </c>
    </row>
    <row r="535" spans="2:9" ht="14.25" customHeight="1" x14ac:dyDescent="0.35">
      <c r="B535" s="29"/>
      <c r="C535" s="30">
        <v>45071</v>
      </c>
      <c r="D535">
        <v>59.930000305175803</v>
      </c>
      <c r="E535" s="20">
        <f t="shared" si="16"/>
        <v>1.6692484205862472E-4</v>
      </c>
      <c r="G535" s="29">
        <v>45071</v>
      </c>
      <c r="H535" s="31">
        <v>18321.150390625</v>
      </c>
      <c r="I535" s="20">
        <f t="shared" si="17"/>
        <v>1.955111686716424E-3</v>
      </c>
    </row>
    <row r="536" spans="2:9" ht="14.25" customHeight="1" x14ac:dyDescent="0.35">
      <c r="B536" s="29"/>
      <c r="C536" s="30">
        <v>45072</v>
      </c>
      <c r="D536">
        <v>61.340000152587898</v>
      </c>
      <c r="E536" s="20">
        <f t="shared" si="16"/>
        <v>2.3527446024229733E-2</v>
      </c>
      <c r="G536" s="29">
        <v>45072</v>
      </c>
      <c r="H536" s="31">
        <v>18499.349609375</v>
      </c>
      <c r="I536" s="20">
        <f t="shared" si="17"/>
        <v>9.7264208278747162E-3</v>
      </c>
    </row>
    <row r="537" spans="2:9" ht="14.25" customHeight="1" x14ac:dyDescent="0.35">
      <c r="B537" s="29"/>
      <c r="C537" s="30">
        <v>45075</v>
      </c>
      <c r="D537">
        <v>61.419998168945298</v>
      </c>
      <c r="E537" s="20">
        <f t="shared" si="16"/>
        <v>1.3041737228301179E-3</v>
      </c>
      <c r="G537" s="29">
        <v>45075</v>
      </c>
      <c r="H537" s="31">
        <v>18598.650390625</v>
      </c>
      <c r="I537" s="20">
        <f t="shared" si="17"/>
        <v>5.3677985089636282E-3</v>
      </c>
    </row>
    <row r="538" spans="2:9" ht="14.25" customHeight="1" x14ac:dyDescent="0.35">
      <c r="B538" s="29"/>
      <c r="C538" s="30">
        <v>45076</v>
      </c>
      <c r="D538">
        <v>61.540000915527301</v>
      </c>
      <c r="E538" s="20">
        <f t="shared" si="16"/>
        <v>1.953805766192251E-3</v>
      </c>
      <c r="G538" s="29">
        <v>45076</v>
      </c>
      <c r="H538" s="31">
        <v>18633.849609375</v>
      </c>
      <c r="I538" s="20">
        <f t="shared" si="17"/>
        <v>1.892568439683281E-3</v>
      </c>
    </row>
    <row r="539" spans="2:9" ht="14.25" customHeight="1" x14ac:dyDescent="0.35">
      <c r="B539" s="29"/>
      <c r="C539" s="30">
        <v>45077</v>
      </c>
      <c r="D539">
        <v>61.939998626708999</v>
      </c>
      <c r="E539" s="20">
        <f t="shared" si="16"/>
        <v>6.49980021499761E-3</v>
      </c>
      <c r="G539" s="29">
        <v>45077</v>
      </c>
      <c r="H539" s="31">
        <v>18534.400390625</v>
      </c>
      <c r="I539" s="20">
        <f t="shared" si="17"/>
        <v>-5.33701950132545E-3</v>
      </c>
    </row>
    <row r="540" spans="2:9" ht="14.25" customHeight="1" x14ac:dyDescent="0.35">
      <c r="B540" s="29"/>
      <c r="C540" s="30">
        <v>45078</v>
      </c>
      <c r="D540">
        <v>61.880001068115199</v>
      </c>
      <c r="E540" s="20">
        <f t="shared" si="16"/>
        <v>-9.6863997294194856E-4</v>
      </c>
      <c r="G540" s="29">
        <v>45078</v>
      </c>
      <c r="H540" s="31">
        <v>18487.75</v>
      </c>
      <c r="I540" s="20">
        <f t="shared" si="17"/>
        <v>-2.5169624936232909E-3</v>
      </c>
    </row>
    <row r="541" spans="2:9" ht="14.25" customHeight="1" x14ac:dyDescent="0.35">
      <c r="B541" s="29"/>
      <c r="C541" s="30">
        <v>45079</v>
      </c>
      <c r="D541">
        <v>62.75</v>
      </c>
      <c r="E541" s="20">
        <f t="shared" si="16"/>
        <v>1.4059452438068621E-2</v>
      </c>
      <c r="G541" s="29">
        <v>45079</v>
      </c>
      <c r="H541" s="31">
        <v>18534.099609375</v>
      </c>
      <c r="I541" s="20">
        <f t="shared" si="17"/>
        <v>2.5070443604548959E-3</v>
      </c>
    </row>
    <row r="542" spans="2:9" ht="14.25" customHeight="1" x14ac:dyDescent="0.35">
      <c r="B542" s="29"/>
      <c r="C542" s="30">
        <v>45082</v>
      </c>
      <c r="D542">
        <v>62.400001525878899</v>
      </c>
      <c r="E542" s="20">
        <f t="shared" si="16"/>
        <v>-5.577664926232683E-3</v>
      </c>
      <c r="G542" s="29">
        <v>45082</v>
      </c>
      <c r="H542" s="31">
        <v>18593.849609375</v>
      </c>
      <c r="I542" s="20">
        <f t="shared" si="17"/>
        <v>3.2237875731377309E-3</v>
      </c>
    </row>
    <row r="543" spans="2:9" ht="14.25" customHeight="1" x14ac:dyDescent="0.35">
      <c r="B543" s="29"/>
      <c r="C543" s="30">
        <v>45083</v>
      </c>
      <c r="D543">
        <v>62.349998474121101</v>
      </c>
      <c r="E543" s="20">
        <f t="shared" si="16"/>
        <v>-8.0133093806192821E-4</v>
      </c>
      <c r="G543" s="29">
        <v>45083</v>
      </c>
      <c r="H543" s="31">
        <v>18599</v>
      </c>
      <c r="I543" s="20">
        <f t="shared" si="17"/>
        <v>2.7699431442121478E-4</v>
      </c>
    </row>
    <row r="544" spans="2:9" ht="14.25" customHeight="1" x14ac:dyDescent="0.35">
      <c r="B544" s="29"/>
      <c r="C544" s="30">
        <v>45084</v>
      </c>
      <c r="D544">
        <v>63</v>
      </c>
      <c r="E544" s="20">
        <f t="shared" si="16"/>
        <v>1.0425044776042582E-2</v>
      </c>
      <c r="G544" s="29">
        <v>45084</v>
      </c>
      <c r="H544" s="31">
        <v>18726.400390625</v>
      </c>
      <c r="I544" s="20">
        <f t="shared" si="17"/>
        <v>6.8498516385289534E-3</v>
      </c>
    </row>
    <row r="545" spans="2:9" ht="14.25" customHeight="1" x14ac:dyDescent="0.35">
      <c r="B545" s="29"/>
      <c r="C545" s="30">
        <v>45085</v>
      </c>
      <c r="D545">
        <v>62.459999084472699</v>
      </c>
      <c r="E545" s="20">
        <f t="shared" si="16"/>
        <v>-8.5714431036079536E-3</v>
      </c>
      <c r="G545" s="29">
        <v>45085</v>
      </c>
      <c r="H545" s="31">
        <v>18634.55078125</v>
      </c>
      <c r="I545" s="20">
        <f t="shared" si="17"/>
        <v>-4.904819263662796E-3</v>
      </c>
    </row>
    <row r="546" spans="2:9" ht="14.25" customHeight="1" x14ac:dyDescent="0.35">
      <c r="B546" s="29"/>
      <c r="C546" s="30">
        <v>45086</v>
      </c>
      <c r="D546">
        <v>62.200000762939503</v>
      </c>
      <c r="E546" s="20">
        <f t="shared" si="16"/>
        <v>-4.1626372933750259E-3</v>
      </c>
      <c r="G546" s="29">
        <v>45086</v>
      </c>
      <c r="H546" s="31">
        <v>18563.400390625</v>
      </c>
      <c r="I546" s="20">
        <f t="shared" si="17"/>
        <v>-3.8181972541345725E-3</v>
      </c>
    </row>
    <row r="547" spans="2:9" ht="14.25" customHeight="1" x14ac:dyDescent="0.35">
      <c r="B547" s="29"/>
      <c r="C547" s="30">
        <v>45089</v>
      </c>
      <c r="D547">
        <v>62.9799995422363</v>
      </c>
      <c r="E547" s="20">
        <f t="shared" si="16"/>
        <v>1.2540173146774974E-2</v>
      </c>
      <c r="G547" s="29">
        <v>45089</v>
      </c>
      <c r="H547" s="31">
        <v>18601.5</v>
      </c>
      <c r="I547" s="20">
        <f t="shared" si="17"/>
        <v>2.0524046550351462E-3</v>
      </c>
    </row>
    <row r="548" spans="2:9" ht="14.25" customHeight="1" x14ac:dyDescent="0.35">
      <c r="B548" s="29"/>
      <c r="C548" s="30">
        <v>45090</v>
      </c>
      <c r="D548">
        <v>62.9799995422363</v>
      </c>
      <c r="E548" s="20">
        <f t="shared" si="16"/>
        <v>0</v>
      </c>
      <c r="G548" s="29">
        <v>45090</v>
      </c>
      <c r="H548" s="31">
        <v>18716.150390625</v>
      </c>
      <c r="I548" s="20">
        <f t="shared" si="17"/>
        <v>6.1635024393194094E-3</v>
      </c>
    </row>
    <row r="549" spans="2:9" ht="14.25" customHeight="1" x14ac:dyDescent="0.35">
      <c r="B549" s="29"/>
      <c r="C549" s="30">
        <v>45091</v>
      </c>
      <c r="D549">
        <v>60.889999389648402</v>
      </c>
      <c r="E549" s="20">
        <f t="shared" si="16"/>
        <v>-3.318514080309385E-2</v>
      </c>
      <c r="G549" s="29">
        <v>45091</v>
      </c>
      <c r="H549" s="31">
        <v>18755.900390625</v>
      </c>
      <c r="I549" s="20">
        <f t="shared" si="17"/>
        <v>2.1238341844010264E-3</v>
      </c>
    </row>
    <row r="550" spans="2:9" ht="14.25" customHeight="1" x14ac:dyDescent="0.35">
      <c r="B550" s="29"/>
      <c r="C550" s="30">
        <v>45092</v>
      </c>
      <c r="D550">
        <v>59.360000610351598</v>
      </c>
      <c r="E550" s="20">
        <f t="shared" si="16"/>
        <v>-2.5127258903486067E-2</v>
      </c>
      <c r="G550" s="29">
        <v>45092</v>
      </c>
      <c r="H550" s="31">
        <v>18688.099609375</v>
      </c>
      <c r="I550" s="20">
        <f t="shared" si="17"/>
        <v>-3.6149041015322157E-3</v>
      </c>
    </row>
    <row r="551" spans="2:9" ht="14.25" customHeight="1" x14ac:dyDescent="0.35">
      <c r="B551" s="29"/>
      <c r="C551" s="30">
        <v>45093</v>
      </c>
      <c r="D551">
        <v>60.75</v>
      </c>
      <c r="E551" s="20">
        <f t="shared" si="16"/>
        <v>2.3416431525541535E-2</v>
      </c>
      <c r="G551" s="29">
        <v>45093</v>
      </c>
      <c r="H551" s="31">
        <v>18826</v>
      </c>
      <c r="I551" s="20">
        <f t="shared" si="17"/>
        <v>7.3790483520229863E-3</v>
      </c>
    </row>
    <row r="552" spans="2:9" ht="14.25" customHeight="1" x14ac:dyDescent="0.35">
      <c r="B552" s="29"/>
      <c r="C552" s="30">
        <v>45096</v>
      </c>
      <c r="D552">
        <v>61</v>
      </c>
      <c r="E552" s="20">
        <f t="shared" si="16"/>
        <v>4.11522633744856E-3</v>
      </c>
      <c r="G552" s="29">
        <v>45096</v>
      </c>
      <c r="H552" s="31">
        <v>18755.44921875</v>
      </c>
      <c r="I552" s="20">
        <f t="shared" si="17"/>
        <v>-3.7475183921172844E-3</v>
      </c>
    </row>
    <row r="553" spans="2:9" ht="14.25" customHeight="1" x14ac:dyDescent="0.35">
      <c r="B553" s="29"/>
      <c r="C553" s="30">
        <v>45097</v>
      </c>
      <c r="D553">
        <v>61.279998779296903</v>
      </c>
      <c r="E553" s="20">
        <f t="shared" si="16"/>
        <v>4.5901439229000564E-3</v>
      </c>
      <c r="G553" s="29">
        <v>45097</v>
      </c>
      <c r="H553" s="31">
        <v>18816.69921875</v>
      </c>
      <c r="I553" s="20">
        <f t="shared" si="17"/>
        <v>3.2657175674986124E-3</v>
      </c>
    </row>
    <row r="554" spans="2:9" ht="14.25" customHeight="1" x14ac:dyDescent="0.35">
      <c r="B554" s="29"/>
      <c r="C554" s="30">
        <v>45098</v>
      </c>
      <c r="D554">
        <v>61.330001831054702</v>
      </c>
      <c r="E554" s="20">
        <f t="shared" si="16"/>
        <v>8.159767094298888E-4</v>
      </c>
      <c r="G554" s="29">
        <v>45098</v>
      </c>
      <c r="H554" s="31">
        <v>18856.849609375</v>
      </c>
      <c r="I554" s="20">
        <f t="shared" si="17"/>
        <v>2.133763746671995E-3</v>
      </c>
    </row>
    <row r="555" spans="2:9" ht="14.25" customHeight="1" x14ac:dyDescent="0.35">
      <c r="B555" s="29"/>
      <c r="C555" s="30">
        <v>45099</v>
      </c>
      <c r="D555">
        <v>60.180000305175803</v>
      </c>
      <c r="E555" s="20">
        <f t="shared" si="16"/>
        <v>-1.8751043397109292E-2</v>
      </c>
      <c r="G555" s="29">
        <v>45099</v>
      </c>
      <c r="H555" s="31">
        <v>18771.25</v>
      </c>
      <c r="I555" s="20">
        <f t="shared" si="17"/>
        <v>-4.5394438174042985E-3</v>
      </c>
    </row>
    <row r="556" spans="2:9" ht="14.25" customHeight="1" x14ac:dyDescent="0.35">
      <c r="B556" s="29"/>
      <c r="C556" s="30">
        <v>45100</v>
      </c>
      <c r="D556">
        <v>59.279998779296903</v>
      </c>
      <c r="E556" s="20">
        <f t="shared" si="16"/>
        <v>-1.4955159875622237E-2</v>
      </c>
      <c r="G556" s="29">
        <v>45100</v>
      </c>
      <c r="H556" s="31">
        <v>18665.5</v>
      </c>
      <c r="I556" s="20">
        <f t="shared" si="17"/>
        <v>-5.6336152360657917E-3</v>
      </c>
    </row>
    <row r="557" spans="2:9" ht="14.25" customHeight="1" x14ac:dyDescent="0.35">
      <c r="B557" s="29"/>
      <c r="C557" s="30">
        <v>45103</v>
      </c>
      <c r="D557">
        <v>58.75</v>
      </c>
      <c r="E557" s="20">
        <f t="shared" si="16"/>
        <v>-8.9406003746747981E-3</v>
      </c>
      <c r="G557" s="29">
        <v>45103</v>
      </c>
      <c r="H557" s="31">
        <v>18691.19921875</v>
      </c>
      <c r="I557" s="20">
        <f t="shared" si="17"/>
        <v>1.3768299134767352E-3</v>
      </c>
    </row>
    <row r="558" spans="2:9" ht="14.25" customHeight="1" x14ac:dyDescent="0.35">
      <c r="B558" s="29"/>
      <c r="C558" s="30">
        <v>45104</v>
      </c>
      <c r="D558">
        <v>59.209999084472699</v>
      </c>
      <c r="E558" s="20">
        <f t="shared" si="16"/>
        <v>7.8297716505991294E-3</v>
      </c>
      <c r="G558" s="29">
        <v>45104</v>
      </c>
      <c r="H558" s="31">
        <v>18817.400390625</v>
      </c>
      <c r="I558" s="20">
        <f t="shared" si="17"/>
        <v>6.7519034171120394E-3</v>
      </c>
    </row>
    <row r="559" spans="2:9" ht="14.25" customHeight="1" x14ac:dyDescent="0.35">
      <c r="B559" s="29"/>
      <c r="C559" s="30">
        <v>45105</v>
      </c>
      <c r="D559">
        <v>59.319999694824197</v>
      </c>
      <c r="E559" s="20">
        <f t="shared" si="16"/>
        <v>1.8578046284811588E-3</v>
      </c>
      <c r="G559" s="29">
        <v>45105</v>
      </c>
      <c r="H559" s="31">
        <v>18972.099609375</v>
      </c>
      <c r="I559" s="20">
        <f t="shared" si="17"/>
        <v>8.2210728123249463E-3</v>
      </c>
    </row>
    <row r="560" spans="2:9" ht="14.25" customHeight="1" x14ac:dyDescent="0.35">
      <c r="B560" s="29"/>
      <c r="C560" s="30">
        <v>45107</v>
      </c>
      <c r="D560">
        <v>60.369998931884801</v>
      </c>
      <c r="E560" s="20">
        <f t="shared" si="16"/>
        <v>1.7700594107592664E-2</v>
      </c>
      <c r="G560" s="29">
        <v>45107</v>
      </c>
      <c r="H560" s="31">
        <v>19189.05078125</v>
      </c>
      <c r="I560" s="20">
        <f t="shared" si="17"/>
        <v>1.143527476356883E-2</v>
      </c>
    </row>
    <row r="561" spans="2:9" ht="14.25" customHeight="1" x14ac:dyDescent="0.35">
      <c r="B561" s="29"/>
      <c r="C561" s="30">
        <v>45110</v>
      </c>
      <c r="D561">
        <v>63.700000762939503</v>
      </c>
      <c r="E561" s="20">
        <f t="shared" si="16"/>
        <v>5.5159878912900556E-2</v>
      </c>
      <c r="G561" s="29">
        <v>45110</v>
      </c>
      <c r="H561" s="31">
        <v>19322.55078125</v>
      </c>
      <c r="I561" s="20">
        <f t="shared" si="17"/>
        <v>6.9570924336937751E-3</v>
      </c>
    </row>
    <row r="562" spans="2:9" ht="14.25" customHeight="1" x14ac:dyDescent="0.35">
      <c r="B562" s="29"/>
      <c r="C562" s="30">
        <v>45111</v>
      </c>
      <c r="D562">
        <v>64.330001831054702</v>
      </c>
      <c r="E562" s="20">
        <f t="shared" si="16"/>
        <v>9.8901265395546414E-3</v>
      </c>
      <c r="G562" s="29">
        <v>45111</v>
      </c>
      <c r="H562" s="31">
        <v>19389</v>
      </c>
      <c r="I562" s="20">
        <f t="shared" si="17"/>
        <v>3.4389465191355714E-3</v>
      </c>
    </row>
    <row r="563" spans="2:9" ht="14.25" customHeight="1" x14ac:dyDescent="0.35">
      <c r="B563" s="29"/>
      <c r="C563" s="30">
        <v>45112</v>
      </c>
      <c r="D563">
        <v>64.419998168945298</v>
      </c>
      <c r="E563" s="20">
        <f t="shared" si="16"/>
        <v>1.398979252743495E-3</v>
      </c>
      <c r="G563" s="29">
        <v>45112</v>
      </c>
      <c r="H563" s="31">
        <v>19398.5</v>
      </c>
      <c r="I563" s="20">
        <f t="shared" si="17"/>
        <v>4.8996853886224153E-4</v>
      </c>
    </row>
    <row r="564" spans="2:9" ht="14.25" customHeight="1" x14ac:dyDescent="0.35">
      <c r="B564" s="29"/>
      <c r="C564" s="30">
        <v>45113</v>
      </c>
      <c r="D564">
        <v>65.169998168945298</v>
      </c>
      <c r="E564" s="20">
        <f t="shared" si="16"/>
        <v>1.1642347428093372E-2</v>
      </c>
      <c r="G564" s="29">
        <v>45113</v>
      </c>
      <c r="H564" s="31">
        <v>19497.30078125</v>
      </c>
      <c r="I564" s="20">
        <f t="shared" si="17"/>
        <v>5.0932175812562824E-3</v>
      </c>
    </row>
    <row r="565" spans="2:9" ht="14.25" customHeight="1" x14ac:dyDescent="0.35">
      <c r="B565" s="29"/>
      <c r="C565" s="30">
        <v>45114</v>
      </c>
      <c r="D565">
        <v>66.739997863769503</v>
      </c>
      <c r="E565" s="20">
        <f t="shared" si="16"/>
        <v>2.409083533736139E-2</v>
      </c>
      <c r="G565" s="29">
        <v>45114</v>
      </c>
      <c r="H565" s="31">
        <v>19331.80078125</v>
      </c>
      <c r="I565" s="20">
        <f t="shared" si="17"/>
        <v>-8.4883544577184066E-3</v>
      </c>
    </row>
    <row r="566" spans="2:9" ht="14.25" customHeight="1" x14ac:dyDescent="0.35">
      <c r="B566" s="29"/>
      <c r="C566" s="30">
        <v>45117</v>
      </c>
      <c r="D566">
        <v>66.800003051757798</v>
      </c>
      <c r="E566" s="20">
        <f t="shared" si="16"/>
        <v>8.9908885089835908E-4</v>
      </c>
      <c r="G566" s="29">
        <v>45117</v>
      </c>
      <c r="H566" s="31">
        <v>19355.900390625</v>
      </c>
      <c r="I566" s="20">
        <f t="shared" si="17"/>
        <v>1.2466303397029789E-3</v>
      </c>
    </row>
    <row r="567" spans="2:9" ht="14.25" customHeight="1" x14ac:dyDescent="0.35">
      <c r="B567" s="29"/>
      <c r="C567" s="30">
        <v>45118</v>
      </c>
      <c r="D567">
        <v>66.459999084472699</v>
      </c>
      <c r="E567" s="20">
        <f t="shared" si="16"/>
        <v>-5.0898795172458072E-3</v>
      </c>
      <c r="G567" s="29">
        <v>45118</v>
      </c>
      <c r="H567" s="31">
        <v>19439.400390625</v>
      </c>
      <c r="I567" s="20">
        <f t="shared" si="17"/>
        <v>4.3139300324382271E-3</v>
      </c>
    </row>
    <row r="568" spans="2:9" ht="14.25" customHeight="1" x14ac:dyDescent="0.35">
      <c r="B568" s="29"/>
      <c r="C568" s="30">
        <v>45119</v>
      </c>
      <c r="D568">
        <v>66.25</v>
      </c>
      <c r="E568" s="20">
        <f t="shared" si="16"/>
        <v>-3.1597816335474757E-3</v>
      </c>
      <c r="G568" s="29">
        <v>45119</v>
      </c>
      <c r="H568" s="31">
        <v>19384.30078125</v>
      </c>
      <c r="I568" s="20">
        <f t="shared" si="17"/>
        <v>-2.8344294714755078E-3</v>
      </c>
    </row>
    <row r="569" spans="2:9" ht="14.25" customHeight="1" x14ac:dyDescent="0.35">
      <c r="B569" s="29"/>
      <c r="C569" s="30">
        <v>45120</v>
      </c>
      <c r="D569">
        <v>64.339996337890597</v>
      </c>
      <c r="E569" s="20">
        <f t="shared" si="16"/>
        <v>-2.8830243956368354E-2</v>
      </c>
      <c r="G569" s="29">
        <v>45120</v>
      </c>
      <c r="H569" s="31">
        <v>19413.75</v>
      </c>
      <c r="I569" s="20">
        <f t="shared" si="17"/>
        <v>1.5192303855749891E-3</v>
      </c>
    </row>
    <row r="570" spans="2:9" ht="14.25" customHeight="1" x14ac:dyDescent="0.35">
      <c r="B570" s="29"/>
      <c r="C570" s="30">
        <v>45121</v>
      </c>
      <c r="D570">
        <v>65.319999694824205</v>
      </c>
      <c r="E570" s="20">
        <f t="shared" si="16"/>
        <v>1.5231635261323014E-2</v>
      </c>
      <c r="G570" s="29">
        <v>45121</v>
      </c>
      <c r="H570" s="31">
        <v>19564.5</v>
      </c>
      <c r="I570" s="20">
        <f t="shared" si="17"/>
        <v>7.7651149314274673E-3</v>
      </c>
    </row>
    <row r="571" spans="2:9" ht="14.25" customHeight="1" x14ac:dyDescent="0.35">
      <c r="B571" s="29"/>
      <c r="C571" s="30">
        <v>45124</v>
      </c>
      <c r="D571">
        <v>66.739997863769503</v>
      </c>
      <c r="E571" s="20">
        <f t="shared" si="16"/>
        <v>2.1739102504279642E-2</v>
      </c>
      <c r="G571" s="29">
        <v>45124</v>
      </c>
      <c r="H571" s="31">
        <v>19711.44921875</v>
      </c>
      <c r="I571" s="20">
        <f t="shared" si="17"/>
        <v>7.5110132510414268E-3</v>
      </c>
    </row>
    <row r="572" spans="2:9" ht="14.25" customHeight="1" x14ac:dyDescent="0.35">
      <c r="B572" s="29"/>
      <c r="C572" s="30">
        <v>45125</v>
      </c>
      <c r="D572">
        <v>65.690002441406307</v>
      </c>
      <c r="E572" s="20">
        <f t="shared" si="16"/>
        <v>-1.5732625951029536E-2</v>
      </c>
      <c r="G572" s="29">
        <v>45125</v>
      </c>
      <c r="H572" s="31">
        <v>19749.25</v>
      </c>
      <c r="I572" s="20">
        <f t="shared" si="17"/>
        <v>1.917706853032551E-3</v>
      </c>
    </row>
    <row r="573" spans="2:9" ht="14.25" customHeight="1" x14ac:dyDescent="0.35">
      <c r="B573" s="29"/>
      <c r="C573" s="30">
        <v>45126</v>
      </c>
      <c r="D573">
        <v>67.690002441406307</v>
      </c>
      <c r="E573" s="20">
        <f t="shared" si="16"/>
        <v>3.0446033272474689E-2</v>
      </c>
      <c r="G573" s="29">
        <v>45126</v>
      </c>
      <c r="H573" s="31">
        <v>19833.150390625</v>
      </c>
      <c r="I573" s="20">
        <f t="shared" si="17"/>
        <v>4.248282371482461E-3</v>
      </c>
    </row>
    <row r="574" spans="2:9" ht="14.25" customHeight="1" x14ac:dyDescent="0.35">
      <c r="B574" s="29"/>
      <c r="C574" s="30">
        <v>45127</v>
      </c>
      <c r="D574">
        <v>68</v>
      </c>
      <c r="E574" s="20">
        <f t="shared" si="16"/>
        <v>4.5796653480997089E-3</v>
      </c>
      <c r="G574" s="29">
        <v>45127</v>
      </c>
      <c r="H574" s="31">
        <v>19979.150390625</v>
      </c>
      <c r="I574" s="20">
        <f t="shared" si="17"/>
        <v>7.3614124394989332E-3</v>
      </c>
    </row>
    <row r="575" spans="2:9" ht="14.25" customHeight="1" x14ac:dyDescent="0.35">
      <c r="B575" s="29"/>
      <c r="C575" s="30">
        <v>45128</v>
      </c>
      <c r="D575">
        <v>67.629997253417997</v>
      </c>
      <c r="E575" s="20">
        <f t="shared" si="16"/>
        <v>-5.4412168615000419E-3</v>
      </c>
      <c r="G575" s="29">
        <v>45128</v>
      </c>
      <c r="H575" s="31">
        <v>19745</v>
      </c>
      <c r="I575" s="20">
        <f t="shared" si="17"/>
        <v>-1.1719737128305142E-2</v>
      </c>
    </row>
    <row r="576" spans="2:9" ht="14.25" customHeight="1" x14ac:dyDescent="0.35">
      <c r="B576" s="29"/>
      <c r="C576" s="30">
        <v>45131</v>
      </c>
      <c r="D576">
        <v>67.940002441406307</v>
      </c>
      <c r="E576" s="20">
        <f t="shared" si="16"/>
        <v>4.5838414990123652E-3</v>
      </c>
      <c r="G576" s="29">
        <v>45131</v>
      </c>
      <c r="H576" s="31">
        <v>19672.349609375</v>
      </c>
      <c r="I576" s="20">
        <f t="shared" si="17"/>
        <v>-3.6794322929855658E-3</v>
      </c>
    </row>
    <row r="577" spans="2:9" ht="14.25" customHeight="1" x14ac:dyDescent="0.35">
      <c r="B577" s="29"/>
      <c r="C577" s="30">
        <v>45132</v>
      </c>
      <c r="D577">
        <v>66.569999694824205</v>
      </c>
      <c r="E577" s="20">
        <f t="shared" si="16"/>
        <v>-2.0164891041380778E-2</v>
      </c>
      <c r="G577" s="29">
        <v>45132</v>
      </c>
      <c r="H577" s="31">
        <v>19680.599609375</v>
      </c>
      <c r="I577" s="20">
        <f t="shared" si="17"/>
        <v>4.193703428322768E-4</v>
      </c>
    </row>
    <row r="578" spans="2:9" ht="14.25" customHeight="1" x14ac:dyDescent="0.35">
      <c r="B578" s="29"/>
      <c r="C578" s="30">
        <v>45133</v>
      </c>
      <c r="D578">
        <v>67.459999084472699</v>
      </c>
      <c r="E578" s="20">
        <f t="shared" si="16"/>
        <v>1.3369376501855258E-2</v>
      </c>
      <c r="G578" s="29">
        <v>45133</v>
      </c>
      <c r="H578" s="31">
        <v>19778.30078125</v>
      </c>
      <c r="I578" s="20">
        <f t="shared" si="17"/>
        <v>4.9643391875346787E-3</v>
      </c>
    </row>
    <row r="579" spans="2:9" ht="14.25" customHeight="1" x14ac:dyDescent="0.35">
      <c r="B579" s="29"/>
      <c r="C579" s="30">
        <v>45134</v>
      </c>
      <c r="D579">
        <v>68.959999084472699</v>
      </c>
      <c r="E579" s="20">
        <f t="shared" si="16"/>
        <v>2.223539905658338E-2</v>
      </c>
      <c r="G579" s="29">
        <v>45134</v>
      </c>
      <c r="H579" s="31">
        <v>19659.900390625</v>
      </c>
      <c r="I579" s="20">
        <f t="shared" si="17"/>
        <v>-5.9863783008722669E-3</v>
      </c>
    </row>
    <row r="580" spans="2:9" ht="14.25" customHeight="1" x14ac:dyDescent="0.35">
      <c r="B580" s="29"/>
      <c r="C580" s="30">
        <v>45135</v>
      </c>
      <c r="D580">
        <v>68.650001525878906</v>
      </c>
      <c r="E580" s="20">
        <f t="shared" si="16"/>
        <v>-4.4953242852288971E-3</v>
      </c>
      <c r="G580" s="29">
        <v>45135</v>
      </c>
      <c r="H580" s="31">
        <v>19646.05078125</v>
      </c>
      <c r="I580" s="20">
        <f t="shared" si="17"/>
        <v>-7.0445979378432207E-4</v>
      </c>
    </row>
    <row r="581" spans="2:9" ht="14.25" customHeight="1" x14ac:dyDescent="0.35">
      <c r="B581" s="29"/>
      <c r="C581" s="30">
        <v>45138</v>
      </c>
      <c r="D581">
        <v>68.870002746582003</v>
      </c>
      <c r="E581" s="20">
        <f t="shared" ref="E581:E644" si="18">(D581-D580)/D580</f>
        <v>3.2046790358797443E-3</v>
      </c>
      <c r="G581" s="29">
        <v>45138</v>
      </c>
      <c r="H581" s="31">
        <v>19753.80078125</v>
      </c>
      <c r="I581" s="20">
        <f t="shared" ref="I581:I644" si="19">(H581-H580)/H580</f>
        <v>5.4845628365592716E-3</v>
      </c>
    </row>
    <row r="582" spans="2:9" ht="14.25" customHeight="1" x14ac:dyDescent="0.35">
      <c r="B582" s="29"/>
      <c r="C582" s="30">
        <v>45139</v>
      </c>
      <c r="D582">
        <v>68.129997253417997</v>
      </c>
      <c r="E582" s="20">
        <f t="shared" si="18"/>
        <v>-1.0744960993931888E-2</v>
      </c>
      <c r="G582" s="29">
        <v>45139</v>
      </c>
      <c r="H582" s="31">
        <v>19733.55078125</v>
      </c>
      <c r="I582" s="20">
        <f t="shared" si="19"/>
        <v>-1.0251191770254656E-3</v>
      </c>
    </row>
    <row r="583" spans="2:9" ht="14.25" customHeight="1" x14ac:dyDescent="0.35">
      <c r="B583" s="29"/>
      <c r="C583" s="30">
        <v>45140</v>
      </c>
      <c r="D583">
        <v>65.449996948242202</v>
      </c>
      <c r="E583" s="20">
        <f t="shared" si="18"/>
        <v>-3.9336568519255932E-2</v>
      </c>
      <c r="G583" s="29">
        <v>45140</v>
      </c>
      <c r="H583" s="31">
        <v>19526.55078125</v>
      </c>
      <c r="I583" s="20">
        <f t="shared" si="19"/>
        <v>-1.0489749274959822E-2</v>
      </c>
    </row>
    <row r="584" spans="2:9" ht="14.25" customHeight="1" x14ac:dyDescent="0.35">
      <c r="B584" s="29"/>
      <c r="C584" s="30">
        <v>45141</v>
      </c>
      <c r="D584">
        <v>65.449996948242202</v>
      </c>
      <c r="E584" s="20">
        <f t="shared" si="18"/>
        <v>0</v>
      </c>
      <c r="G584" s="29">
        <v>45141</v>
      </c>
      <c r="H584" s="31">
        <v>19381.650390625</v>
      </c>
      <c r="I584" s="20">
        <f t="shared" si="19"/>
        <v>-7.4206854169113091E-3</v>
      </c>
    </row>
    <row r="585" spans="2:9" ht="14.25" customHeight="1" x14ac:dyDescent="0.35">
      <c r="B585" s="29"/>
      <c r="C585" s="30">
        <v>45142</v>
      </c>
      <c r="D585">
        <v>65.75</v>
      </c>
      <c r="E585" s="20">
        <f t="shared" si="18"/>
        <v>4.5836984835162086E-3</v>
      </c>
      <c r="G585" s="29">
        <v>45142</v>
      </c>
      <c r="H585" s="31">
        <v>19517</v>
      </c>
      <c r="I585" s="20">
        <f t="shared" si="19"/>
        <v>6.9833892701144417E-3</v>
      </c>
    </row>
    <row r="586" spans="2:9" ht="14.25" customHeight="1" x14ac:dyDescent="0.35">
      <c r="B586" s="29"/>
      <c r="C586" s="30">
        <v>45145</v>
      </c>
      <c r="D586">
        <v>65.730003356933594</v>
      </c>
      <c r="E586" s="20">
        <f t="shared" si="18"/>
        <v>-3.0413145348146388E-4</v>
      </c>
      <c r="G586" s="29">
        <v>45145</v>
      </c>
      <c r="H586" s="31">
        <v>19597.30078125</v>
      </c>
      <c r="I586" s="20">
        <f t="shared" si="19"/>
        <v>4.1144018676026028E-3</v>
      </c>
    </row>
    <row r="587" spans="2:9" ht="14.25" customHeight="1" x14ac:dyDescent="0.35">
      <c r="B587" s="29"/>
      <c r="C587" s="30">
        <v>45146</v>
      </c>
      <c r="D587">
        <v>67.75</v>
      </c>
      <c r="E587" s="20">
        <f t="shared" si="18"/>
        <v>3.0731728889426945E-2</v>
      </c>
      <c r="G587" s="29">
        <v>45146</v>
      </c>
      <c r="H587" s="31">
        <v>19570.849609375</v>
      </c>
      <c r="I587" s="20">
        <f t="shared" si="19"/>
        <v>-1.349735464605796E-3</v>
      </c>
    </row>
    <row r="588" spans="2:9" ht="14.25" customHeight="1" x14ac:dyDescent="0.35">
      <c r="B588" s="29"/>
      <c r="C588" s="30">
        <v>45147</v>
      </c>
      <c r="D588">
        <v>67.220001220703097</v>
      </c>
      <c r="E588" s="20">
        <f t="shared" si="18"/>
        <v>-7.8228602110244055E-3</v>
      </c>
      <c r="G588" s="29">
        <v>45147</v>
      </c>
      <c r="H588" s="31">
        <v>19632.55078125</v>
      </c>
      <c r="I588" s="20">
        <f t="shared" si="19"/>
        <v>3.1527078847636415E-3</v>
      </c>
    </row>
    <row r="589" spans="2:9" ht="14.25" customHeight="1" x14ac:dyDescent="0.35">
      <c r="B589" s="29"/>
      <c r="C589" s="30">
        <v>45148</v>
      </c>
      <c r="D589">
        <v>66.25</v>
      </c>
      <c r="E589" s="20">
        <f t="shared" si="18"/>
        <v>-1.4430246996251851E-2</v>
      </c>
      <c r="G589" s="29">
        <v>45148</v>
      </c>
      <c r="H589" s="31">
        <v>19543.099609375</v>
      </c>
      <c r="I589" s="20">
        <f t="shared" si="19"/>
        <v>-4.5562684580156563E-3</v>
      </c>
    </row>
    <row r="590" spans="2:9" ht="14.25" customHeight="1" x14ac:dyDescent="0.35">
      <c r="B590" s="29"/>
      <c r="C590" s="30">
        <v>45149</v>
      </c>
      <c r="D590">
        <v>66.419998168945298</v>
      </c>
      <c r="E590" s="20">
        <f t="shared" si="18"/>
        <v>2.5660100972875214E-3</v>
      </c>
      <c r="G590" s="29">
        <v>45149</v>
      </c>
      <c r="H590" s="31">
        <v>19428.30078125</v>
      </c>
      <c r="I590" s="20">
        <f t="shared" si="19"/>
        <v>-5.8741361615907628E-3</v>
      </c>
    </row>
    <row r="591" spans="2:9" ht="14.25" customHeight="1" x14ac:dyDescent="0.35">
      <c r="B591" s="29"/>
      <c r="C591" s="30">
        <v>45152</v>
      </c>
      <c r="D591">
        <v>65.910003662109403</v>
      </c>
      <c r="E591" s="20">
        <f t="shared" si="18"/>
        <v>-7.6783276256448775E-3</v>
      </c>
      <c r="G591" s="29">
        <v>45152</v>
      </c>
      <c r="H591" s="31">
        <v>19434.55078125</v>
      </c>
      <c r="I591" s="20">
        <f t="shared" si="19"/>
        <v>3.2169565781232879E-4</v>
      </c>
    </row>
    <row r="592" spans="2:9" ht="14.25" customHeight="1" x14ac:dyDescent="0.35">
      <c r="B592" s="29"/>
      <c r="C592" s="30">
        <v>45154</v>
      </c>
      <c r="D592">
        <v>65.599998474121094</v>
      </c>
      <c r="E592" s="20">
        <f t="shared" si="18"/>
        <v>-4.7034618534929117E-3</v>
      </c>
      <c r="G592" s="29">
        <v>45154</v>
      </c>
      <c r="H592" s="31">
        <v>19465</v>
      </c>
      <c r="I592" s="20">
        <f t="shared" si="19"/>
        <v>1.5667570139761961E-3</v>
      </c>
    </row>
    <row r="593" spans="2:9" ht="14.25" customHeight="1" x14ac:dyDescent="0.35">
      <c r="B593" s="29"/>
      <c r="C593" s="30">
        <v>45155</v>
      </c>
      <c r="D593">
        <v>65.970001220703097</v>
      </c>
      <c r="E593" s="20">
        <f t="shared" si="18"/>
        <v>5.6402859022621358E-3</v>
      </c>
      <c r="G593" s="29">
        <v>45155</v>
      </c>
      <c r="H593" s="31">
        <v>19365.25</v>
      </c>
      <c r="I593" s="20">
        <f t="shared" si="19"/>
        <v>-5.124582584125353E-3</v>
      </c>
    </row>
    <row r="594" spans="2:9" ht="14.25" customHeight="1" x14ac:dyDescent="0.35">
      <c r="B594" s="29"/>
      <c r="C594" s="30">
        <v>45156</v>
      </c>
      <c r="D594">
        <v>65.650001525878906</v>
      </c>
      <c r="E594" s="20">
        <f t="shared" si="18"/>
        <v>-4.8506849917075053E-3</v>
      </c>
      <c r="G594" s="29">
        <v>45156</v>
      </c>
      <c r="H594" s="31">
        <v>19310.150390625</v>
      </c>
      <c r="I594" s="20">
        <f t="shared" si="19"/>
        <v>-2.8452826260957128E-3</v>
      </c>
    </row>
    <row r="595" spans="2:9" ht="14.25" customHeight="1" x14ac:dyDescent="0.35">
      <c r="B595" s="29"/>
      <c r="C595" s="30">
        <v>45159</v>
      </c>
      <c r="D595">
        <v>65.629997253417997</v>
      </c>
      <c r="E595" s="20">
        <f t="shared" si="18"/>
        <v>-3.0471092149211138E-4</v>
      </c>
      <c r="G595" s="29">
        <v>45159</v>
      </c>
      <c r="H595" s="31">
        <v>19393.599609375</v>
      </c>
      <c r="I595" s="20">
        <f t="shared" si="19"/>
        <v>4.3215209131936255E-3</v>
      </c>
    </row>
    <row r="596" spans="2:9" ht="14.25" customHeight="1" x14ac:dyDescent="0.35">
      <c r="B596" s="29"/>
      <c r="C596" s="30">
        <v>45160</v>
      </c>
      <c r="D596">
        <v>65.230003356933594</v>
      </c>
      <c r="E596" s="20">
        <f t="shared" si="18"/>
        <v>-6.0946809877181858E-3</v>
      </c>
      <c r="G596" s="29">
        <v>45160</v>
      </c>
      <c r="H596" s="31">
        <v>19396.44921875</v>
      </c>
      <c r="I596" s="20">
        <f t="shared" si="19"/>
        <v>1.4693555773021523E-4</v>
      </c>
    </row>
    <row r="597" spans="2:9" ht="14.25" customHeight="1" x14ac:dyDescent="0.35">
      <c r="B597" s="29"/>
      <c r="C597" s="30">
        <v>45161</v>
      </c>
      <c r="D597">
        <v>66.519996643066406</v>
      </c>
      <c r="E597" s="20">
        <f t="shared" si="18"/>
        <v>1.9776072662055035E-2</v>
      </c>
      <c r="G597" s="29">
        <v>45161</v>
      </c>
      <c r="H597" s="31">
        <v>19444</v>
      </c>
      <c r="I597" s="20">
        <f t="shared" si="19"/>
        <v>2.4515199000461384E-3</v>
      </c>
    </row>
    <row r="598" spans="2:9" ht="14.25" customHeight="1" x14ac:dyDescent="0.35">
      <c r="B598" s="29"/>
      <c r="C598" s="30">
        <v>45162</v>
      </c>
      <c r="D598">
        <v>66.360000610351605</v>
      </c>
      <c r="E598" s="20">
        <f t="shared" si="18"/>
        <v>-2.4052321225045943E-3</v>
      </c>
      <c r="G598" s="29">
        <v>45162</v>
      </c>
      <c r="H598" s="31">
        <v>19386.69921875</v>
      </c>
      <c r="I598" s="20">
        <f t="shared" si="19"/>
        <v>-2.9469646806212714E-3</v>
      </c>
    </row>
    <row r="599" spans="2:9" ht="14.25" customHeight="1" x14ac:dyDescent="0.35">
      <c r="B599" s="29"/>
      <c r="C599" s="30">
        <v>45163</v>
      </c>
      <c r="D599">
        <v>65.120002746582003</v>
      </c>
      <c r="E599" s="20">
        <f t="shared" si="18"/>
        <v>-1.8685923031413792E-2</v>
      </c>
      <c r="G599" s="29">
        <v>45163</v>
      </c>
      <c r="H599" s="31">
        <v>19265.80078125</v>
      </c>
      <c r="I599" s="20">
        <f t="shared" si="19"/>
        <v>-6.2361537740819812E-3</v>
      </c>
    </row>
    <row r="600" spans="2:9" ht="14.25" customHeight="1" x14ac:dyDescent="0.35">
      <c r="B600" s="29"/>
      <c r="C600" s="30">
        <v>45166</v>
      </c>
      <c r="D600">
        <v>65.330001831054702</v>
      </c>
      <c r="E600" s="20">
        <f t="shared" si="18"/>
        <v>3.2248015297223131E-3</v>
      </c>
      <c r="G600" s="29">
        <v>45166</v>
      </c>
      <c r="H600" s="31">
        <v>19306.05078125</v>
      </c>
      <c r="I600" s="20">
        <f t="shared" si="19"/>
        <v>2.089194238900902E-3</v>
      </c>
    </row>
    <row r="601" spans="2:9" ht="14.25" customHeight="1" x14ac:dyDescent="0.35">
      <c r="B601" s="29"/>
      <c r="C601" s="30">
        <v>45167</v>
      </c>
      <c r="D601">
        <v>65.319999694824205</v>
      </c>
      <c r="E601" s="20">
        <f t="shared" si="18"/>
        <v>-1.5310172891718247E-4</v>
      </c>
      <c r="G601" s="29">
        <v>45167</v>
      </c>
      <c r="H601" s="31">
        <v>19342.650390625</v>
      </c>
      <c r="I601" s="20">
        <f t="shared" si="19"/>
        <v>1.8957584743610782E-3</v>
      </c>
    </row>
    <row r="602" spans="2:9" ht="14.25" customHeight="1" x14ac:dyDescent="0.35">
      <c r="B602" s="29"/>
      <c r="C602" s="30">
        <v>45168</v>
      </c>
      <c r="D602">
        <v>65.110000610351605</v>
      </c>
      <c r="E602" s="20">
        <f t="shared" si="18"/>
        <v>-3.2149278238474827E-3</v>
      </c>
      <c r="G602" s="29">
        <v>45168</v>
      </c>
      <c r="H602" s="31">
        <v>19347.44921875</v>
      </c>
      <c r="I602" s="20">
        <f t="shared" si="19"/>
        <v>2.4809568637635602E-4</v>
      </c>
    </row>
    <row r="603" spans="2:9" ht="14.25" customHeight="1" x14ac:dyDescent="0.35">
      <c r="B603" s="29"/>
      <c r="C603" s="30">
        <v>45169</v>
      </c>
      <c r="D603">
        <v>64.080001831054702</v>
      </c>
      <c r="E603" s="20">
        <f t="shared" si="18"/>
        <v>-1.5819363686707562E-2</v>
      </c>
      <c r="G603" s="29">
        <v>45169</v>
      </c>
      <c r="H603" s="31">
        <v>19253.80078125</v>
      </c>
      <c r="I603" s="20">
        <f t="shared" si="19"/>
        <v>-4.8403506033882458E-3</v>
      </c>
    </row>
    <row r="604" spans="2:9" ht="14.25" customHeight="1" x14ac:dyDescent="0.35">
      <c r="B604" s="29"/>
      <c r="C604" s="30">
        <v>45170</v>
      </c>
      <c r="D604">
        <v>65.680000305175795</v>
      </c>
      <c r="E604" s="20">
        <f t="shared" si="18"/>
        <v>2.496876448816979E-2</v>
      </c>
      <c r="G604" s="29">
        <v>45170</v>
      </c>
      <c r="H604" s="31">
        <v>19435.30078125</v>
      </c>
      <c r="I604" s="20">
        <f t="shared" si="19"/>
        <v>9.4267101889176502E-3</v>
      </c>
    </row>
    <row r="605" spans="2:9" ht="14.25" customHeight="1" x14ac:dyDescent="0.35">
      <c r="B605" s="29"/>
      <c r="C605" s="30">
        <v>45173</v>
      </c>
      <c r="D605">
        <v>67.309997558593807</v>
      </c>
      <c r="E605" s="20">
        <f t="shared" si="18"/>
        <v>2.4817254047569827E-2</v>
      </c>
      <c r="G605" s="29">
        <v>45173</v>
      </c>
      <c r="H605" s="31">
        <v>19528.80078125</v>
      </c>
      <c r="I605" s="20">
        <f t="shared" si="19"/>
        <v>4.8108337016426897E-3</v>
      </c>
    </row>
    <row r="606" spans="2:9" ht="14.25" customHeight="1" x14ac:dyDescent="0.35">
      <c r="B606" s="29"/>
      <c r="C606" s="30">
        <v>45174</v>
      </c>
      <c r="D606">
        <v>67.690002441406307</v>
      </c>
      <c r="E606" s="20">
        <f t="shared" si="18"/>
        <v>5.6455934719311669E-3</v>
      </c>
      <c r="G606" s="29">
        <v>45174</v>
      </c>
      <c r="H606" s="31">
        <v>19574.900390625</v>
      </c>
      <c r="I606" s="20">
        <f t="shared" si="19"/>
        <v>2.3605960187407502E-3</v>
      </c>
    </row>
    <row r="607" spans="2:9" ht="14.25" customHeight="1" x14ac:dyDescent="0.35">
      <c r="B607" s="29"/>
      <c r="C607" s="30">
        <v>45175</v>
      </c>
      <c r="D607">
        <v>66.839996337890597</v>
      </c>
      <c r="E607" s="20">
        <f t="shared" si="18"/>
        <v>-1.2557335985494918E-2</v>
      </c>
      <c r="G607" s="29">
        <v>45175</v>
      </c>
      <c r="H607" s="31">
        <v>19611.05078125</v>
      </c>
      <c r="I607" s="20">
        <f t="shared" si="19"/>
        <v>1.8467726478094107E-3</v>
      </c>
    </row>
    <row r="608" spans="2:9" ht="14.25" customHeight="1" x14ac:dyDescent="0.35">
      <c r="B608" s="29"/>
      <c r="C608" s="30">
        <v>45176</v>
      </c>
      <c r="D608">
        <v>67.730003356933594</v>
      </c>
      <c r="E608" s="20">
        <f t="shared" si="18"/>
        <v>1.3315485754125715E-2</v>
      </c>
      <c r="G608" s="29">
        <v>45176</v>
      </c>
      <c r="H608" s="31">
        <v>19727.05078125</v>
      </c>
      <c r="I608" s="20">
        <f t="shared" si="19"/>
        <v>5.9150323607803238E-3</v>
      </c>
    </row>
    <row r="609" spans="2:9" ht="14.25" customHeight="1" x14ac:dyDescent="0.35">
      <c r="B609" s="29"/>
      <c r="C609" s="30">
        <v>45177</v>
      </c>
      <c r="D609">
        <v>67.819999694824205</v>
      </c>
      <c r="E609" s="20">
        <f t="shared" si="18"/>
        <v>1.3287514163602616E-3</v>
      </c>
      <c r="G609" s="29">
        <v>45177</v>
      </c>
      <c r="H609" s="31">
        <v>19819.94921875</v>
      </c>
      <c r="I609" s="20">
        <f t="shared" si="19"/>
        <v>4.7091903665750848E-3</v>
      </c>
    </row>
    <row r="610" spans="2:9" ht="14.25" customHeight="1" x14ac:dyDescent="0.35">
      <c r="B610" s="29"/>
      <c r="C610" s="30">
        <v>45180</v>
      </c>
      <c r="D610">
        <v>71.989997863769503</v>
      </c>
      <c r="E610" s="20">
        <f t="shared" si="18"/>
        <v>6.1486260508838347E-2</v>
      </c>
      <c r="G610" s="29">
        <v>45180</v>
      </c>
      <c r="H610" s="31">
        <v>19996.349609375</v>
      </c>
      <c r="I610" s="20">
        <f t="shared" si="19"/>
        <v>8.9001434200508597E-3</v>
      </c>
    </row>
    <row r="611" spans="2:9" ht="14.25" customHeight="1" x14ac:dyDescent="0.35">
      <c r="B611" s="29"/>
      <c r="C611" s="30">
        <v>45181</v>
      </c>
      <c r="D611">
        <v>69.760002136230497</v>
      </c>
      <c r="E611" s="20">
        <f t="shared" si="18"/>
        <v>-3.0976466088510589E-2</v>
      </c>
      <c r="G611" s="29">
        <v>45181</v>
      </c>
      <c r="H611" s="31">
        <v>19993.19921875</v>
      </c>
      <c r="I611" s="20">
        <f t="shared" si="19"/>
        <v>-1.5754828688947231E-4</v>
      </c>
    </row>
    <row r="612" spans="2:9" ht="14.25" customHeight="1" x14ac:dyDescent="0.35">
      <c r="B612" s="29"/>
      <c r="C612" s="30">
        <v>45182</v>
      </c>
      <c r="D612">
        <v>72.949996948242202</v>
      </c>
      <c r="E612" s="20">
        <f t="shared" si="18"/>
        <v>4.5728135239763011E-2</v>
      </c>
      <c r="G612" s="29">
        <v>45182</v>
      </c>
      <c r="H612" s="31">
        <v>20070</v>
      </c>
      <c r="I612" s="20">
        <f t="shared" si="19"/>
        <v>3.8413452699443307E-3</v>
      </c>
    </row>
    <row r="613" spans="2:9" ht="14.25" customHeight="1" x14ac:dyDescent="0.35">
      <c r="B613" s="29"/>
      <c r="C613" s="30">
        <v>45183</v>
      </c>
      <c r="D613">
        <v>73</v>
      </c>
      <c r="E613" s="20">
        <f t="shared" si="18"/>
        <v>6.8544282179031893E-4</v>
      </c>
      <c r="G613" s="29">
        <v>45183</v>
      </c>
      <c r="H613" s="31">
        <v>20103.099609375</v>
      </c>
      <c r="I613" s="20">
        <f t="shared" si="19"/>
        <v>1.6492082399103139E-3</v>
      </c>
    </row>
    <row r="614" spans="2:9" ht="14.25" customHeight="1" x14ac:dyDescent="0.35">
      <c r="B614" s="29"/>
      <c r="C614" s="30">
        <v>45184</v>
      </c>
      <c r="D614">
        <v>72.970001220703097</v>
      </c>
      <c r="E614" s="20">
        <f t="shared" si="18"/>
        <v>-4.1094218214936192E-4</v>
      </c>
      <c r="G614" s="29">
        <v>45184</v>
      </c>
      <c r="H614" s="31">
        <v>20192.349609375</v>
      </c>
      <c r="I614" s="20">
        <f t="shared" si="19"/>
        <v>4.439613877174375E-3</v>
      </c>
    </row>
    <row r="615" spans="2:9" ht="14.25" customHeight="1" x14ac:dyDescent="0.35">
      <c r="B615" s="29"/>
      <c r="C615" s="30">
        <v>45187</v>
      </c>
      <c r="D615">
        <v>74.449996948242202</v>
      </c>
      <c r="E615" s="20">
        <f t="shared" si="18"/>
        <v>2.02822489075031E-2</v>
      </c>
      <c r="G615" s="29">
        <v>45187</v>
      </c>
      <c r="H615" s="31">
        <v>20133.30078125</v>
      </c>
      <c r="I615" s="20">
        <f t="shared" si="19"/>
        <v>-2.9243168460982138E-3</v>
      </c>
    </row>
    <row r="616" spans="2:9" ht="14.25" customHeight="1" x14ac:dyDescent="0.35">
      <c r="B616" s="29"/>
      <c r="C616" s="30">
        <v>45189</v>
      </c>
      <c r="D616">
        <v>74.199996948242202</v>
      </c>
      <c r="E616" s="20">
        <f t="shared" si="18"/>
        <v>-3.3579584989613972E-3</v>
      </c>
      <c r="G616" s="29">
        <v>45189</v>
      </c>
      <c r="H616" s="31">
        <v>19901.400390625</v>
      </c>
      <c r="I616" s="20">
        <f t="shared" si="19"/>
        <v>-1.1518249945432057E-2</v>
      </c>
    </row>
    <row r="617" spans="2:9" ht="14.25" customHeight="1" x14ac:dyDescent="0.35">
      <c r="B617" s="29"/>
      <c r="C617" s="30">
        <v>45190</v>
      </c>
      <c r="D617">
        <v>72.889999389648395</v>
      </c>
      <c r="E617" s="20">
        <f t="shared" si="18"/>
        <v>-1.7654954345989911E-2</v>
      </c>
      <c r="G617" s="29">
        <v>45190</v>
      </c>
      <c r="H617" s="31">
        <v>19742.349609375</v>
      </c>
      <c r="I617" s="20">
        <f t="shared" si="19"/>
        <v>-7.9919391664982752E-3</v>
      </c>
    </row>
    <row r="618" spans="2:9" ht="14.25" customHeight="1" x14ac:dyDescent="0.35">
      <c r="B618" s="29"/>
      <c r="C618" s="30">
        <v>45191</v>
      </c>
      <c r="D618">
        <v>76.589996337890597</v>
      </c>
      <c r="E618" s="20">
        <f t="shared" si="18"/>
        <v>5.076137987686228E-2</v>
      </c>
      <c r="G618" s="29">
        <v>45191</v>
      </c>
      <c r="H618" s="31">
        <v>19674.25</v>
      </c>
      <c r="I618" s="20">
        <f t="shared" si="19"/>
        <v>-3.4494176591149876E-3</v>
      </c>
    </row>
    <row r="619" spans="2:9" ht="14.25" customHeight="1" x14ac:dyDescent="0.35">
      <c r="B619" s="29"/>
      <c r="C619" s="30">
        <v>45194</v>
      </c>
      <c r="D619">
        <v>75.010002136230497</v>
      </c>
      <c r="E619" s="20">
        <f t="shared" si="18"/>
        <v>-2.0629250257300832E-2</v>
      </c>
      <c r="G619" s="29">
        <v>45194</v>
      </c>
      <c r="H619" s="31">
        <v>19674.55078125</v>
      </c>
      <c r="I619" s="20">
        <f t="shared" si="19"/>
        <v>1.5288066889462116E-5</v>
      </c>
    </row>
    <row r="620" spans="2:9" ht="14.25" customHeight="1" x14ac:dyDescent="0.35">
      <c r="B620" s="29"/>
      <c r="C620" s="30">
        <v>45195</v>
      </c>
      <c r="D620">
        <v>74.010002136230497</v>
      </c>
      <c r="E620" s="20">
        <f t="shared" si="18"/>
        <v>-1.3331555412887944E-2</v>
      </c>
      <c r="G620" s="29">
        <v>45195</v>
      </c>
      <c r="H620" s="31">
        <v>19664.69921875</v>
      </c>
      <c r="I620" s="20">
        <f t="shared" si="19"/>
        <v>-5.0072617207548218E-4</v>
      </c>
    </row>
    <row r="621" spans="2:9" ht="14.25" customHeight="1" x14ac:dyDescent="0.35">
      <c r="B621" s="29"/>
      <c r="C621" s="30">
        <v>45196</v>
      </c>
      <c r="D621">
        <v>74.849998474121094</v>
      </c>
      <c r="E621" s="20">
        <f t="shared" si="18"/>
        <v>1.134976778333842E-2</v>
      </c>
      <c r="G621" s="29">
        <v>45196</v>
      </c>
      <c r="H621" s="31">
        <v>19716.44921875</v>
      </c>
      <c r="I621" s="20">
        <f t="shared" si="19"/>
        <v>2.6316191986632139E-3</v>
      </c>
    </row>
    <row r="622" spans="2:9" ht="14.25" customHeight="1" x14ac:dyDescent="0.35">
      <c r="B622" s="29"/>
      <c r="C622" s="30">
        <v>45197</v>
      </c>
      <c r="D622">
        <v>74.910003662109403</v>
      </c>
      <c r="E622" s="20">
        <f t="shared" si="18"/>
        <v>8.0167253455664506E-4</v>
      </c>
      <c r="G622" s="29">
        <v>45197</v>
      </c>
      <c r="H622" s="31">
        <v>19523.55078125</v>
      </c>
      <c r="I622" s="20">
        <f t="shared" si="19"/>
        <v>-9.7836296667737181E-3</v>
      </c>
    </row>
    <row r="623" spans="2:9" ht="14.25" customHeight="1" x14ac:dyDescent="0.35">
      <c r="B623" s="29"/>
      <c r="C623" s="30">
        <v>45198</v>
      </c>
      <c r="D623">
        <v>75.25</v>
      </c>
      <c r="E623" s="20">
        <f t="shared" si="18"/>
        <v>4.5387307605028434E-3</v>
      </c>
      <c r="G623" s="29">
        <v>45198</v>
      </c>
      <c r="H623" s="31">
        <v>19638.30078125</v>
      </c>
      <c r="I623" s="20">
        <f t="shared" si="19"/>
        <v>5.8775169171687482E-3</v>
      </c>
    </row>
    <row r="624" spans="2:9" ht="14.25" customHeight="1" x14ac:dyDescent="0.35">
      <c r="B624" s="29"/>
      <c r="C624" s="30">
        <v>45202</v>
      </c>
      <c r="D624">
        <v>76.889999389648395</v>
      </c>
      <c r="E624" s="20">
        <f t="shared" si="18"/>
        <v>2.1794011822570031E-2</v>
      </c>
      <c r="G624" s="29">
        <v>45202</v>
      </c>
      <c r="H624" s="31">
        <v>19528.75</v>
      </c>
      <c r="I624" s="20">
        <f t="shared" si="19"/>
        <v>-5.5784246544688561E-3</v>
      </c>
    </row>
    <row r="625" spans="2:9" ht="14.25" customHeight="1" x14ac:dyDescent="0.35">
      <c r="B625" s="29"/>
      <c r="C625" s="30">
        <v>45203</v>
      </c>
      <c r="D625">
        <v>74.639999389648395</v>
      </c>
      <c r="E625" s="20">
        <f t="shared" si="18"/>
        <v>-2.9262583142937504E-2</v>
      </c>
      <c r="G625" s="29">
        <v>45203</v>
      </c>
      <c r="H625" s="31">
        <v>19436.099609375</v>
      </c>
      <c r="I625" s="20">
        <f t="shared" si="19"/>
        <v>-4.7443072713307301E-3</v>
      </c>
    </row>
    <row r="626" spans="2:9" ht="14.25" customHeight="1" x14ac:dyDescent="0.35">
      <c r="B626" s="29"/>
      <c r="C626" s="30">
        <v>45204</v>
      </c>
      <c r="D626">
        <v>74.260002136230497</v>
      </c>
      <c r="E626" s="20">
        <f t="shared" si="18"/>
        <v>-5.0910672096093077E-3</v>
      </c>
      <c r="G626" s="29">
        <v>45204</v>
      </c>
      <c r="H626" s="31">
        <v>19545.75</v>
      </c>
      <c r="I626" s="20">
        <f t="shared" si="19"/>
        <v>5.6415841052857201E-3</v>
      </c>
    </row>
    <row r="627" spans="2:9" ht="14.25" customHeight="1" x14ac:dyDescent="0.35">
      <c r="B627" s="29"/>
      <c r="C627" s="30">
        <v>45205</v>
      </c>
      <c r="D627">
        <v>75.059997558593807</v>
      </c>
      <c r="E627" s="20">
        <f t="shared" si="18"/>
        <v>1.0772897917451072E-2</v>
      </c>
      <c r="G627" s="29">
        <v>45205</v>
      </c>
      <c r="H627" s="31">
        <v>19653.5</v>
      </c>
      <c r="I627" s="20">
        <f t="shared" si="19"/>
        <v>5.512707366051443E-3</v>
      </c>
    </row>
    <row r="628" spans="2:9" ht="14.25" customHeight="1" x14ac:dyDescent="0.35">
      <c r="B628" s="29"/>
      <c r="C628" s="30">
        <v>45208</v>
      </c>
      <c r="D628">
        <v>73.069999694824205</v>
      </c>
      <c r="E628" s="20">
        <f t="shared" si="18"/>
        <v>-2.6512096036456139E-2</v>
      </c>
      <c r="G628" s="29">
        <v>45208</v>
      </c>
      <c r="H628" s="31">
        <v>19512.349609375</v>
      </c>
      <c r="I628" s="20">
        <f t="shared" si="19"/>
        <v>-7.181946758847025E-3</v>
      </c>
    </row>
    <row r="629" spans="2:9" ht="14.25" customHeight="1" x14ac:dyDescent="0.35">
      <c r="B629" s="29"/>
      <c r="C629" s="30">
        <v>45209</v>
      </c>
      <c r="D629">
        <v>74.5</v>
      </c>
      <c r="E629" s="20">
        <f t="shared" si="18"/>
        <v>1.9570279336912154E-2</v>
      </c>
      <c r="G629" s="29">
        <v>45209</v>
      </c>
      <c r="H629" s="31">
        <v>19689.849609375</v>
      </c>
      <c r="I629" s="20">
        <f t="shared" si="19"/>
        <v>9.0968029762401072E-3</v>
      </c>
    </row>
    <row r="630" spans="2:9" ht="14.25" customHeight="1" x14ac:dyDescent="0.35">
      <c r="B630" s="29"/>
      <c r="C630" s="30">
        <v>45210</v>
      </c>
      <c r="D630">
        <v>73.970001220703097</v>
      </c>
      <c r="E630" s="20">
        <f t="shared" si="18"/>
        <v>-7.1140775744550798E-3</v>
      </c>
      <c r="G630" s="29">
        <v>45210</v>
      </c>
      <c r="H630" s="31">
        <v>19811.349609375</v>
      </c>
      <c r="I630" s="20">
        <f t="shared" si="19"/>
        <v>6.1706921287072586E-3</v>
      </c>
    </row>
    <row r="631" spans="2:9" ht="14.25" customHeight="1" x14ac:dyDescent="0.35">
      <c r="B631" s="29"/>
      <c r="C631" s="30">
        <v>45211</v>
      </c>
      <c r="D631">
        <v>73.860000610351605</v>
      </c>
      <c r="E631" s="20">
        <f t="shared" si="18"/>
        <v>-1.4870975873487471E-3</v>
      </c>
      <c r="G631" s="29">
        <v>45211</v>
      </c>
      <c r="H631" s="31">
        <v>19794</v>
      </c>
      <c r="I631" s="20">
        <f t="shared" si="19"/>
        <v>-8.7574091200681898E-4</v>
      </c>
    </row>
    <row r="632" spans="2:9" ht="14.25" customHeight="1" x14ac:dyDescent="0.35">
      <c r="B632" s="29"/>
      <c r="C632" s="30">
        <v>45212</v>
      </c>
      <c r="D632">
        <v>73.309997558593807</v>
      </c>
      <c r="E632" s="20">
        <f t="shared" si="18"/>
        <v>-7.446561700687482E-3</v>
      </c>
      <c r="G632" s="29">
        <v>45212</v>
      </c>
      <c r="H632" s="31">
        <v>19751.05078125</v>
      </c>
      <c r="I632" s="20">
        <f t="shared" si="19"/>
        <v>-2.1698099802970596E-3</v>
      </c>
    </row>
    <row r="633" spans="2:9" ht="14.25" customHeight="1" x14ac:dyDescent="0.35">
      <c r="B633" s="29"/>
      <c r="C633" s="30">
        <v>45215</v>
      </c>
      <c r="D633">
        <v>74.269996643066406</v>
      </c>
      <c r="E633" s="20">
        <f t="shared" si="18"/>
        <v>1.309506365356662E-2</v>
      </c>
      <c r="G633" s="29">
        <v>45215</v>
      </c>
      <c r="H633" s="31">
        <v>19731.75</v>
      </c>
      <c r="I633" s="20">
        <f t="shared" si="19"/>
        <v>-9.7720275562870559E-4</v>
      </c>
    </row>
    <row r="634" spans="2:9" ht="14.25" customHeight="1" x14ac:dyDescent="0.35">
      <c r="B634" s="29"/>
      <c r="C634" s="30">
        <v>45216</v>
      </c>
      <c r="D634">
        <v>75.510002136230497</v>
      </c>
      <c r="E634" s="20">
        <f t="shared" si="18"/>
        <v>1.6695914221235578E-2</v>
      </c>
      <c r="G634" s="29">
        <v>45216</v>
      </c>
      <c r="H634" s="31">
        <v>19811.5</v>
      </c>
      <c r="I634" s="20">
        <f t="shared" si="19"/>
        <v>4.0417094276990126E-3</v>
      </c>
    </row>
    <row r="635" spans="2:9" ht="14.25" customHeight="1" x14ac:dyDescent="0.35">
      <c r="B635" s="29"/>
      <c r="C635" s="30">
        <v>45217</v>
      </c>
      <c r="D635">
        <v>74.370002746582003</v>
      </c>
      <c r="E635" s="20">
        <f t="shared" si="18"/>
        <v>-1.5097329590744517E-2</v>
      </c>
      <c r="G635" s="29">
        <v>45217</v>
      </c>
      <c r="H635" s="31">
        <v>19671.099609375</v>
      </c>
      <c r="I635" s="20">
        <f t="shared" si="19"/>
        <v>-7.0868127413371024E-3</v>
      </c>
    </row>
    <row r="636" spans="2:9" ht="14.25" customHeight="1" x14ac:dyDescent="0.35">
      <c r="B636" s="29"/>
      <c r="C636" s="30">
        <v>45218</v>
      </c>
      <c r="D636">
        <v>74.790000915527301</v>
      </c>
      <c r="E636" s="20">
        <f t="shared" si="18"/>
        <v>5.6474136538148933E-3</v>
      </c>
      <c r="G636" s="29">
        <v>45218</v>
      </c>
      <c r="H636" s="31">
        <v>19624.69921875</v>
      </c>
      <c r="I636" s="20">
        <f t="shared" si="19"/>
        <v>-2.3588102112444267E-3</v>
      </c>
    </row>
    <row r="637" spans="2:9" ht="14.25" customHeight="1" x14ac:dyDescent="0.35">
      <c r="B637" s="29"/>
      <c r="C637" s="30">
        <v>45219</v>
      </c>
      <c r="D637">
        <v>73.860000610351605</v>
      </c>
      <c r="E637" s="20">
        <f t="shared" si="18"/>
        <v>-1.2434821417185151E-2</v>
      </c>
      <c r="G637" s="29">
        <v>45219</v>
      </c>
      <c r="H637" s="31">
        <v>19542.650390625</v>
      </c>
      <c r="I637" s="20">
        <f t="shared" si="19"/>
        <v>-4.1808960845936532E-3</v>
      </c>
    </row>
    <row r="638" spans="2:9" ht="14.25" customHeight="1" x14ac:dyDescent="0.35">
      <c r="B638" s="29"/>
      <c r="C638" s="30">
        <v>45222</v>
      </c>
      <c r="D638">
        <v>71.110000610351605</v>
      </c>
      <c r="E638" s="20">
        <f t="shared" si="18"/>
        <v>-3.7232601912740609E-2</v>
      </c>
      <c r="G638" s="29">
        <v>45222</v>
      </c>
      <c r="H638" s="31">
        <v>19281.75</v>
      </c>
      <c r="I638" s="20">
        <f t="shared" si="19"/>
        <v>-1.3350307425555702E-2</v>
      </c>
    </row>
    <row r="639" spans="2:9" ht="14.25" customHeight="1" x14ac:dyDescent="0.35">
      <c r="B639" s="29"/>
      <c r="C639" s="30">
        <v>45224</v>
      </c>
      <c r="D639">
        <v>70.75</v>
      </c>
      <c r="E639" s="20">
        <f t="shared" si="18"/>
        <v>-5.0625876425488209E-3</v>
      </c>
      <c r="G639" s="29">
        <v>45224</v>
      </c>
      <c r="H639" s="31">
        <v>19122.150390625</v>
      </c>
      <c r="I639" s="20">
        <f t="shared" si="19"/>
        <v>-8.2772367329210263E-3</v>
      </c>
    </row>
    <row r="640" spans="2:9" ht="14.25" customHeight="1" x14ac:dyDescent="0.35">
      <c r="B640" s="29"/>
      <c r="C640" s="30">
        <v>45225</v>
      </c>
      <c r="D640">
        <v>71.870002746582003</v>
      </c>
      <c r="E640" s="20">
        <f t="shared" si="18"/>
        <v>1.5830427513526542E-2</v>
      </c>
      <c r="G640" s="29">
        <v>45225</v>
      </c>
      <c r="H640" s="31">
        <v>18857.25</v>
      </c>
      <c r="I640" s="20">
        <f t="shared" si="19"/>
        <v>-1.385306491234754E-2</v>
      </c>
    </row>
    <row r="641" spans="2:9" ht="14.25" customHeight="1" x14ac:dyDescent="0.35">
      <c r="B641" s="29"/>
      <c r="C641" s="30">
        <v>45226</v>
      </c>
      <c r="D641">
        <v>76.160003662109403</v>
      </c>
      <c r="E641" s="20">
        <f t="shared" si="18"/>
        <v>5.9691119404213809E-2</v>
      </c>
      <c r="G641" s="29">
        <v>45226</v>
      </c>
      <c r="H641" s="31">
        <v>19047.25</v>
      </c>
      <c r="I641" s="20">
        <f t="shared" si="19"/>
        <v>1.007570032746026E-2</v>
      </c>
    </row>
    <row r="642" spans="2:9" ht="14.25" customHeight="1" x14ac:dyDescent="0.35">
      <c r="B642" s="29"/>
      <c r="C642" s="30">
        <v>45229</v>
      </c>
      <c r="D642">
        <v>76.519996643066406</v>
      </c>
      <c r="E642" s="20">
        <f t="shared" si="18"/>
        <v>4.7267983672131053E-3</v>
      </c>
      <c r="G642" s="29">
        <v>45229</v>
      </c>
      <c r="H642" s="31">
        <v>19140.900390625</v>
      </c>
      <c r="I642" s="20">
        <f t="shared" si="19"/>
        <v>4.9167407696649118E-3</v>
      </c>
    </row>
    <row r="643" spans="2:9" ht="14.25" customHeight="1" x14ac:dyDescent="0.35">
      <c r="B643" s="29"/>
      <c r="C643" s="30">
        <v>45230</v>
      </c>
      <c r="D643">
        <v>76.870002746582003</v>
      </c>
      <c r="E643" s="20">
        <f t="shared" si="18"/>
        <v>4.5740475545003982E-3</v>
      </c>
      <c r="G643" s="29">
        <v>45230</v>
      </c>
      <c r="H643" s="31">
        <v>19079.599609375</v>
      </c>
      <c r="I643" s="20">
        <f t="shared" si="19"/>
        <v>-3.2026069828995319E-3</v>
      </c>
    </row>
    <row r="644" spans="2:9" ht="14.25" customHeight="1" x14ac:dyDescent="0.35">
      <c r="B644" s="29"/>
      <c r="C644" s="30">
        <v>45231</v>
      </c>
      <c r="D644">
        <v>76.660003662109403</v>
      </c>
      <c r="E644" s="20">
        <f t="shared" si="18"/>
        <v>-2.7318729929658673E-3</v>
      </c>
      <c r="G644" s="29">
        <v>45231</v>
      </c>
      <c r="H644" s="31">
        <v>18989.150390625</v>
      </c>
      <c r="I644" s="20">
        <f t="shared" si="19"/>
        <v>-4.7406245729368791E-3</v>
      </c>
    </row>
    <row r="645" spans="2:9" ht="14.25" customHeight="1" x14ac:dyDescent="0.35">
      <c r="B645" s="29"/>
      <c r="C645" s="30">
        <v>45232</v>
      </c>
      <c r="D645">
        <v>77.629997253417997</v>
      </c>
      <c r="E645" s="20">
        <f t="shared" ref="E645:E708" si="20">(D645-D644)/D644</f>
        <v>1.2653189994406832E-2</v>
      </c>
      <c r="G645" s="29">
        <v>45232</v>
      </c>
      <c r="H645" s="31">
        <v>19133.25</v>
      </c>
      <c r="I645" s="20">
        <f t="shared" ref="I645:I708" si="21">(H645-H644)/H644</f>
        <v>7.5885232572670764E-3</v>
      </c>
    </row>
    <row r="646" spans="2:9" ht="14.25" customHeight="1" x14ac:dyDescent="0.35">
      <c r="B646" s="29"/>
      <c r="C646" s="30">
        <v>45233</v>
      </c>
      <c r="D646">
        <v>77.5</v>
      </c>
      <c r="E646" s="20">
        <f t="shared" si="20"/>
        <v>-1.6745750098847707E-3</v>
      </c>
      <c r="G646" s="29">
        <v>45233</v>
      </c>
      <c r="H646" s="31">
        <v>19230.599609375</v>
      </c>
      <c r="I646" s="20">
        <f t="shared" si="21"/>
        <v>5.0879808383311777E-3</v>
      </c>
    </row>
    <row r="647" spans="2:9" ht="14.25" customHeight="1" x14ac:dyDescent="0.35">
      <c r="B647" s="29"/>
      <c r="C647" s="30">
        <v>45236</v>
      </c>
      <c r="D647">
        <v>76.980003356933594</v>
      </c>
      <c r="E647" s="20">
        <f t="shared" si="20"/>
        <v>-6.7096341040826617E-3</v>
      </c>
      <c r="G647" s="29">
        <v>45236</v>
      </c>
      <c r="H647" s="31">
        <v>19411.75</v>
      </c>
      <c r="I647" s="20">
        <f t="shared" si="21"/>
        <v>9.4199033989916994E-3</v>
      </c>
    </row>
    <row r="648" spans="2:9" ht="14.25" customHeight="1" x14ac:dyDescent="0.35">
      <c r="B648" s="29"/>
      <c r="C648" s="30">
        <v>45237</v>
      </c>
      <c r="D648">
        <v>77.510002136230497</v>
      </c>
      <c r="E648" s="20">
        <f t="shared" si="20"/>
        <v>6.884889012532972E-3</v>
      </c>
      <c r="G648" s="29">
        <v>45237</v>
      </c>
      <c r="H648" s="31">
        <v>19406.69921875</v>
      </c>
      <c r="I648" s="20">
        <f t="shared" si="21"/>
        <v>-2.6019195847875644E-4</v>
      </c>
    </row>
    <row r="649" spans="2:9" ht="14.25" customHeight="1" x14ac:dyDescent="0.35">
      <c r="B649" s="29"/>
      <c r="C649" s="30">
        <v>45238</v>
      </c>
      <c r="D649">
        <v>77</v>
      </c>
      <c r="E649" s="20">
        <f t="shared" si="20"/>
        <v>-6.5798235346984577E-3</v>
      </c>
      <c r="G649" s="29">
        <v>45238</v>
      </c>
      <c r="H649" s="31">
        <v>19443.5</v>
      </c>
      <c r="I649" s="20">
        <f t="shared" si="21"/>
        <v>1.8962926582818634E-3</v>
      </c>
    </row>
    <row r="650" spans="2:9" ht="14.25" customHeight="1" x14ac:dyDescent="0.35">
      <c r="B650" s="29"/>
      <c r="C650" s="30">
        <v>45239</v>
      </c>
      <c r="D650">
        <v>76.800003051757798</v>
      </c>
      <c r="E650" s="20">
        <f t="shared" si="20"/>
        <v>-2.5973629641844378E-3</v>
      </c>
      <c r="G650" s="29">
        <v>45239</v>
      </c>
      <c r="H650" s="31">
        <v>19395.30078125</v>
      </c>
      <c r="I650" s="20">
        <f t="shared" si="21"/>
        <v>-2.4789373698151053E-3</v>
      </c>
    </row>
    <row r="651" spans="2:9" ht="14.25" customHeight="1" x14ac:dyDescent="0.35">
      <c r="B651" s="29"/>
      <c r="C651" s="30">
        <v>45240</v>
      </c>
      <c r="D651">
        <v>77.480003356933594</v>
      </c>
      <c r="E651" s="20">
        <f t="shared" si="20"/>
        <v>8.8541702884767214E-3</v>
      </c>
      <c r="G651" s="29">
        <v>45240</v>
      </c>
      <c r="H651" s="31">
        <v>19425.349609375</v>
      </c>
      <c r="I651" s="20">
        <f t="shared" si="21"/>
        <v>1.5492839458333678E-3</v>
      </c>
    </row>
    <row r="652" spans="2:9" ht="14.25" customHeight="1" x14ac:dyDescent="0.35">
      <c r="B652" s="29"/>
      <c r="C652" s="30">
        <v>45243</v>
      </c>
      <c r="D652">
        <v>80.889999389648395</v>
      </c>
      <c r="E652" s="20">
        <f t="shared" si="20"/>
        <v>4.4011304658902607E-2</v>
      </c>
      <c r="G652" s="29">
        <v>45243</v>
      </c>
      <c r="H652" s="31">
        <v>19443.55078125</v>
      </c>
      <c r="I652" s="20">
        <f t="shared" si="21"/>
        <v>9.3698040143461864E-4</v>
      </c>
    </row>
    <row r="653" spans="2:9" ht="14.25" customHeight="1" x14ac:dyDescent="0.35">
      <c r="B653" s="29"/>
      <c r="C653" s="30">
        <v>45245</v>
      </c>
      <c r="D653">
        <v>81.480003356933594</v>
      </c>
      <c r="E653" s="20">
        <f t="shared" si="20"/>
        <v>7.2939049540987205E-3</v>
      </c>
      <c r="G653" s="29">
        <v>45245</v>
      </c>
      <c r="H653" s="31">
        <v>19675.44921875</v>
      </c>
      <c r="I653" s="20">
        <f t="shared" si="21"/>
        <v>1.1926753508604336E-2</v>
      </c>
    </row>
    <row r="654" spans="2:9" ht="14.25" customHeight="1" x14ac:dyDescent="0.35">
      <c r="B654" s="29"/>
      <c r="C654" s="30">
        <v>45246</v>
      </c>
      <c r="D654">
        <v>81.190002441406307</v>
      </c>
      <c r="E654" s="20">
        <f t="shared" si="20"/>
        <v>-3.559166710596473E-3</v>
      </c>
      <c r="G654" s="29">
        <v>45246</v>
      </c>
      <c r="H654" s="31">
        <v>19765.19921875</v>
      </c>
      <c r="I654" s="20">
        <f t="shared" si="21"/>
        <v>4.5615222809993819E-3</v>
      </c>
    </row>
    <row r="655" spans="2:9" ht="14.25" customHeight="1" x14ac:dyDescent="0.35">
      <c r="B655" s="29"/>
      <c r="C655" s="30">
        <v>45247</v>
      </c>
      <c r="D655">
        <v>79.559997558593807</v>
      </c>
      <c r="E655" s="20">
        <f t="shared" si="20"/>
        <v>-2.0076423621108421E-2</v>
      </c>
      <c r="G655" s="29">
        <v>45247</v>
      </c>
      <c r="H655" s="31">
        <v>19731.80078125</v>
      </c>
      <c r="I655" s="20">
        <f t="shared" si="21"/>
        <v>-1.6897597201204532E-3</v>
      </c>
    </row>
    <row r="656" spans="2:9" ht="14.25" customHeight="1" x14ac:dyDescent="0.35">
      <c r="B656" s="29"/>
      <c r="C656" s="30">
        <v>45250</v>
      </c>
      <c r="D656">
        <v>79.830001831054702</v>
      </c>
      <c r="E656" s="20">
        <f t="shared" si="20"/>
        <v>3.3937189636292276E-3</v>
      </c>
      <c r="G656" s="29">
        <v>45250</v>
      </c>
      <c r="H656" s="31">
        <v>19694</v>
      </c>
      <c r="I656" s="20">
        <f t="shared" si="21"/>
        <v>-1.9157289123818803E-3</v>
      </c>
    </row>
    <row r="657" spans="2:9" ht="14.25" customHeight="1" x14ac:dyDescent="0.35">
      <c r="B657" s="29"/>
      <c r="C657" s="30">
        <v>45251</v>
      </c>
      <c r="D657">
        <v>79.440002441406307</v>
      </c>
      <c r="E657" s="20">
        <f t="shared" si="20"/>
        <v>-4.8853736778530429E-3</v>
      </c>
      <c r="G657" s="29">
        <v>45251</v>
      </c>
      <c r="H657" s="31">
        <v>19783.400390625</v>
      </c>
      <c r="I657" s="20">
        <f t="shared" si="21"/>
        <v>4.5394734754239871E-3</v>
      </c>
    </row>
    <row r="658" spans="2:9" ht="14.25" customHeight="1" x14ac:dyDescent="0.35">
      <c r="B658" s="29"/>
      <c r="C658" s="30">
        <v>45252</v>
      </c>
      <c r="D658">
        <v>78.930000305175795</v>
      </c>
      <c r="E658" s="20">
        <f t="shared" si="20"/>
        <v>-6.4199662708555542E-3</v>
      </c>
      <c r="G658" s="29">
        <v>45252</v>
      </c>
      <c r="H658" s="31">
        <v>19811.849609375</v>
      </c>
      <c r="I658" s="20">
        <f t="shared" si="21"/>
        <v>1.438034826585301E-3</v>
      </c>
    </row>
    <row r="659" spans="2:9" ht="14.25" customHeight="1" x14ac:dyDescent="0.35">
      <c r="B659" s="29"/>
      <c r="C659" s="30">
        <v>45253</v>
      </c>
      <c r="D659">
        <v>78.650001525878906</v>
      </c>
      <c r="E659" s="20">
        <f t="shared" si="20"/>
        <v>-3.5474316256721011E-3</v>
      </c>
      <c r="G659" s="29">
        <v>45253</v>
      </c>
      <c r="H659" s="31">
        <v>19802</v>
      </c>
      <c r="I659" s="20">
        <f t="shared" si="21"/>
        <v>-4.9715748752398909E-4</v>
      </c>
    </row>
    <row r="660" spans="2:9" ht="14.25" customHeight="1" x14ac:dyDescent="0.35">
      <c r="B660" s="29"/>
      <c r="C660" s="30">
        <v>45254</v>
      </c>
      <c r="D660">
        <v>77.959999084472699</v>
      </c>
      <c r="E660" s="20">
        <f t="shared" si="20"/>
        <v>-8.773076007877377E-3</v>
      </c>
      <c r="G660" s="29">
        <v>45254</v>
      </c>
      <c r="H660" s="31">
        <v>19794.69921875</v>
      </c>
      <c r="I660" s="20">
        <f t="shared" si="21"/>
        <v>-3.6868908443591557E-4</v>
      </c>
    </row>
    <row r="661" spans="2:9" ht="14.25" customHeight="1" x14ac:dyDescent="0.35">
      <c r="B661" s="29"/>
      <c r="C661" s="30">
        <v>45258</v>
      </c>
      <c r="D661">
        <v>79.220001220703097</v>
      </c>
      <c r="E661" s="20">
        <f t="shared" si="20"/>
        <v>1.616216201933425E-2</v>
      </c>
      <c r="G661" s="29">
        <v>45258</v>
      </c>
      <c r="H661" s="31">
        <v>19889.69921875</v>
      </c>
      <c r="I661" s="20">
        <f t="shared" si="21"/>
        <v>4.7992646389905125E-3</v>
      </c>
    </row>
    <row r="662" spans="2:9" ht="14.25" customHeight="1" x14ac:dyDescent="0.35">
      <c r="B662" s="29"/>
      <c r="C662" s="30">
        <v>45259</v>
      </c>
      <c r="D662">
        <v>80.550003051757798</v>
      </c>
      <c r="E662" s="20">
        <f t="shared" si="20"/>
        <v>1.6788712579660039E-2</v>
      </c>
      <c r="G662" s="29">
        <v>45259</v>
      </c>
      <c r="H662" s="31">
        <v>20096.599609375</v>
      </c>
      <c r="I662" s="20">
        <f t="shared" si="21"/>
        <v>1.0402389113554579E-2</v>
      </c>
    </row>
    <row r="663" spans="2:9" ht="14.25" customHeight="1" x14ac:dyDescent="0.35">
      <c r="B663" s="29"/>
      <c r="C663" s="30">
        <v>45260</v>
      </c>
      <c r="D663">
        <v>80.610000610351605</v>
      </c>
      <c r="E663" s="20">
        <f t="shared" si="20"/>
        <v>7.4484861974809756E-4</v>
      </c>
      <c r="G663" s="29">
        <v>45260</v>
      </c>
      <c r="H663" s="31">
        <v>20133.150390625</v>
      </c>
      <c r="I663" s="20">
        <f t="shared" si="21"/>
        <v>1.8187545137212753E-3</v>
      </c>
    </row>
    <row r="664" spans="2:9" ht="14.25" customHeight="1" x14ac:dyDescent="0.35">
      <c r="B664" s="29"/>
      <c r="C664" s="30">
        <v>45261</v>
      </c>
      <c r="D664">
        <v>82.059997558593807</v>
      </c>
      <c r="E664" s="20">
        <f t="shared" si="20"/>
        <v>1.7987804704916465E-2</v>
      </c>
      <c r="G664" s="29">
        <v>45261</v>
      </c>
      <c r="H664" s="31">
        <v>20267.900390625</v>
      </c>
      <c r="I664" s="20">
        <f t="shared" si="21"/>
        <v>6.6929416105065368E-3</v>
      </c>
    </row>
    <row r="665" spans="2:9" ht="14.25" customHeight="1" x14ac:dyDescent="0.35">
      <c r="B665" s="29"/>
      <c r="C665" s="30">
        <v>45264</v>
      </c>
      <c r="D665">
        <v>85.389999389648395</v>
      </c>
      <c r="E665" s="20">
        <f t="shared" si="20"/>
        <v>4.0580086889191611E-2</v>
      </c>
      <c r="G665" s="29">
        <v>45264</v>
      </c>
      <c r="H665" s="31">
        <v>20686.80078125</v>
      </c>
      <c r="I665" s="20">
        <f t="shared" si="21"/>
        <v>2.0668169003769332E-2</v>
      </c>
    </row>
    <row r="666" spans="2:9" ht="14.25" customHeight="1" x14ac:dyDescent="0.35">
      <c r="B666" s="29"/>
      <c r="C666" s="30">
        <v>45265</v>
      </c>
      <c r="D666">
        <v>86.910003662109403</v>
      </c>
      <c r="E666" s="20">
        <f t="shared" si="20"/>
        <v>1.7800729398357095E-2</v>
      </c>
      <c r="G666" s="29">
        <v>45265</v>
      </c>
      <c r="H666" s="31">
        <v>20855.099609375</v>
      </c>
      <c r="I666" s="20">
        <f t="shared" si="21"/>
        <v>8.1355657602475619E-3</v>
      </c>
    </row>
    <row r="667" spans="2:9" ht="14.25" customHeight="1" x14ac:dyDescent="0.35">
      <c r="B667" s="29"/>
      <c r="C667" s="30">
        <v>45266</v>
      </c>
      <c r="D667">
        <v>87.489997863769503</v>
      </c>
      <c r="E667" s="20">
        <f t="shared" si="20"/>
        <v>6.6735033623403521E-3</v>
      </c>
      <c r="G667" s="29">
        <v>45266</v>
      </c>
      <c r="H667" s="31">
        <v>20937.69921875</v>
      </c>
      <c r="I667" s="20">
        <f t="shared" si="21"/>
        <v>3.9606432442005199E-3</v>
      </c>
    </row>
    <row r="668" spans="2:9" ht="14.25" customHeight="1" x14ac:dyDescent="0.35">
      <c r="B668" s="29"/>
      <c r="C668" s="30">
        <v>45267</v>
      </c>
      <c r="D668">
        <v>87.120002746582003</v>
      </c>
      <c r="E668" s="20">
        <f t="shared" si="20"/>
        <v>-4.228999042423325E-3</v>
      </c>
      <c r="G668" s="29">
        <v>45267</v>
      </c>
      <c r="H668" s="31">
        <v>20901.150390625</v>
      </c>
      <c r="I668" s="20">
        <f t="shared" si="21"/>
        <v>-1.7455990623969808E-3</v>
      </c>
    </row>
    <row r="669" spans="2:9" ht="14.25" customHeight="1" x14ac:dyDescent="0.35">
      <c r="B669" s="29"/>
      <c r="C669" s="30">
        <v>45268</v>
      </c>
      <c r="D669">
        <v>87.709999084472699</v>
      </c>
      <c r="E669" s="20">
        <f t="shared" si="20"/>
        <v>6.7722258871696778E-3</v>
      </c>
      <c r="G669" s="29">
        <v>45268</v>
      </c>
      <c r="H669" s="31">
        <v>20969.400390625</v>
      </c>
      <c r="I669" s="20">
        <f t="shared" si="21"/>
        <v>3.2653705047073797E-3</v>
      </c>
    </row>
    <row r="670" spans="2:9" ht="14.25" customHeight="1" x14ac:dyDescent="0.35">
      <c r="B670" s="29"/>
      <c r="C670" s="30">
        <v>45271</v>
      </c>
      <c r="D670">
        <v>89.339996337890597</v>
      </c>
      <c r="E670" s="20">
        <f t="shared" si="20"/>
        <v>1.8583938780435537E-2</v>
      </c>
      <c r="G670" s="29">
        <v>45271</v>
      </c>
      <c r="H670" s="31">
        <v>20997.099609375</v>
      </c>
      <c r="I670" s="20">
        <f t="shared" si="21"/>
        <v>1.3209351833628857E-3</v>
      </c>
    </row>
    <row r="671" spans="2:9" ht="14.25" customHeight="1" x14ac:dyDescent="0.35">
      <c r="B671" s="29"/>
      <c r="C671" s="30">
        <v>45272</v>
      </c>
      <c r="D671">
        <v>88.910003662109403</v>
      </c>
      <c r="E671" s="20">
        <f t="shared" si="20"/>
        <v>-4.812991867102036E-3</v>
      </c>
      <c r="G671" s="29">
        <v>45272</v>
      </c>
      <c r="H671" s="31">
        <v>20906.400390625</v>
      </c>
      <c r="I671" s="20">
        <f t="shared" si="21"/>
        <v>-4.3196070141755995E-3</v>
      </c>
    </row>
    <row r="672" spans="2:9" ht="14.25" customHeight="1" x14ac:dyDescent="0.35">
      <c r="B672" s="29"/>
      <c r="C672" s="30">
        <v>45273</v>
      </c>
      <c r="D672">
        <v>89.849998474121094</v>
      </c>
      <c r="E672" s="20">
        <f t="shared" si="20"/>
        <v>1.0572430247377057E-2</v>
      </c>
      <c r="G672" s="29">
        <v>45273</v>
      </c>
      <c r="H672" s="31">
        <v>20926.349609375</v>
      </c>
      <c r="I672" s="20">
        <f t="shared" si="21"/>
        <v>9.5421585625738684E-4</v>
      </c>
    </row>
    <row r="673" spans="2:9" ht="14.25" customHeight="1" x14ac:dyDescent="0.35">
      <c r="B673" s="29"/>
      <c r="C673" s="30">
        <v>45274</v>
      </c>
      <c r="D673">
        <v>89.639999389648395</v>
      </c>
      <c r="E673" s="20">
        <f t="shared" si="20"/>
        <v>-2.3372185647079734E-3</v>
      </c>
      <c r="G673" s="29">
        <v>45274</v>
      </c>
      <c r="H673" s="31">
        <v>21182.69921875</v>
      </c>
      <c r="I673" s="20">
        <f t="shared" si="21"/>
        <v>1.2250087289956937E-2</v>
      </c>
    </row>
    <row r="674" spans="2:9" ht="14.25" customHeight="1" x14ac:dyDescent="0.35">
      <c r="B674" s="29"/>
      <c r="C674" s="30">
        <v>45275</v>
      </c>
      <c r="D674">
        <v>89.830001831054702</v>
      </c>
      <c r="E674" s="20">
        <f t="shared" si="20"/>
        <v>2.1196167190988208E-3</v>
      </c>
      <c r="G674" s="29">
        <v>45275</v>
      </c>
      <c r="H674" s="31">
        <v>21456.650390625</v>
      </c>
      <c r="I674" s="20">
        <f t="shared" si="21"/>
        <v>1.2932779200891942E-2</v>
      </c>
    </row>
    <row r="675" spans="2:9" ht="14.25" customHeight="1" x14ac:dyDescent="0.35">
      <c r="B675" s="29"/>
      <c r="C675" s="30">
        <v>45278</v>
      </c>
      <c r="D675">
        <v>88.360000610351605</v>
      </c>
      <c r="E675" s="20">
        <f t="shared" si="20"/>
        <v>-1.6364256826664224E-2</v>
      </c>
      <c r="G675" s="29">
        <v>45278</v>
      </c>
      <c r="H675" s="31">
        <v>21418.650390625</v>
      </c>
      <c r="I675" s="20">
        <f t="shared" si="21"/>
        <v>-1.7710126840955215E-3</v>
      </c>
    </row>
    <row r="676" spans="2:9" ht="14.25" customHeight="1" x14ac:dyDescent="0.35">
      <c r="B676" s="29"/>
      <c r="C676" s="30">
        <v>45279</v>
      </c>
      <c r="D676">
        <v>89.190002441406307</v>
      </c>
      <c r="E676" s="20">
        <f t="shared" si="20"/>
        <v>9.3934113322930966E-3</v>
      </c>
      <c r="G676" s="29">
        <v>45279</v>
      </c>
      <c r="H676" s="31">
        <v>21453.099609375</v>
      </c>
      <c r="I676" s="20">
        <f t="shared" si="21"/>
        <v>1.6083748565725931E-3</v>
      </c>
    </row>
    <row r="677" spans="2:9" ht="14.25" customHeight="1" x14ac:dyDescent="0.35">
      <c r="B677" s="29"/>
      <c r="C677" s="30">
        <v>45280</v>
      </c>
      <c r="D677">
        <v>85.190002441406307</v>
      </c>
      <c r="E677" s="20">
        <f t="shared" si="20"/>
        <v>-4.4848075911062053E-2</v>
      </c>
      <c r="G677" s="29">
        <v>45280</v>
      </c>
      <c r="H677" s="31">
        <v>21150.150390625</v>
      </c>
      <c r="I677" s="20">
        <f t="shared" si="21"/>
        <v>-1.412146609423336E-2</v>
      </c>
    </row>
    <row r="678" spans="2:9" ht="14.25" customHeight="1" x14ac:dyDescent="0.35">
      <c r="B678" s="29"/>
      <c r="C678" s="30">
        <v>45281</v>
      </c>
      <c r="D678">
        <v>86.389999389648395</v>
      </c>
      <c r="E678" s="20">
        <f t="shared" si="20"/>
        <v>1.4086124120813896E-2</v>
      </c>
      <c r="G678" s="29">
        <v>45281</v>
      </c>
      <c r="H678" s="31">
        <v>21255.05078125</v>
      </c>
      <c r="I678" s="20">
        <f t="shared" si="21"/>
        <v>4.9597940765233554E-3</v>
      </c>
    </row>
    <row r="679" spans="2:9" ht="14.25" customHeight="1" x14ac:dyDescent="0.35">
      <c r="B679" s="29"/>
      <c r="C679" s="30">
        <v>45282</v>
      </c>
      <c r="D679">
        <v>85.209999084472699</v>
      </c>
      <c r="E679" s="20">
        <f t="shared" si="20"/>
        <v>-1.3658991937868776E-2</v>
      </c>
      <c r="G679" s="29">
        <v>45282</v>
      </c>
      <c r="H679" s="31">
        <v>21349.400390625</v>
      </c>
      <c r="I679" s="20">
        <f t="shared" si="21"/>
        <v>4.4389265566107177E-3</v>
      </c>
    </row>
    <row r="680" spans="2:9" ht="14.25" customHeight="1" x14ac:dyDescent="0.35">
      <c r="B680" s="29"/>
      <c r="C680" s="30">
        <v>45286</v>
      </c>
      <c r="D680">
        <v>85.080001831054702</v>
      </c>
      <c r="E680" s="20">
        <f t="shared" si="20"/>
        <v>-1.5256103135164309E-3</v>
      </c>
      <c r="G680" s="29">
        <v>45286</v>
      </c>
      <c r="H680" s="31">
        <v>21441.349609375</v>
      </c>
      <c r="I680" s="20">
        <f t="shared" si="21"/>
        <v>4.3068759341071223E-3</v>
      </c>
    </row>
    <row r="681" spans="2:9" ht="14.25" customHeight="1" x14ac:dyDescent="0.35">
      <c r="B681" s="29"/>
      <c r="C681" s="30">
        <v>45287</v>
      </c>
      <c r="D681">
        <v>86.5</v>
      </c>
      <c r="E681" s="20">
        <f t="shared" si="20"/>
        <v>1.6690152073163104E-2</v>
      </c>
      <c r="G681" s="29">
        <v>45287</v>
      </c>
      <c r="H681" s="31">
        <v>21654.75</v>
      </c>
      <c r="I681" s="20">
        <f t="shared" si="21"/>
        <v>9.9527499207276091E-3</v>
      </c>
    </row>
    <row r="682" spans="2:9" ht="14.25" customHeight="1" x14ac:dyDescent="0.35">
      <c r="B682" s="29"/>
      <c r="C682" s="30">
        <v>45288</v>
      </c>
      <c r="D682">
        <v>88.220001220703097</v>
      </c>
      <c r="E682" s="20">
        <f t="shared" si="20"/>
        <v>1.9884407175758342E-2</v>
      </c>
      <c r="G682" s="29">
        <v>45288</v>
      </c>
      <c r="H682" s="31">
        <v>21778.69921875</v>
      </c>
      <c r="I682" s="20">
        <f t="shared" si="21"/>
        <v>5.7238813077962114E-3</v>
      </c>
    </row>
    <row r="683" spans="2:9" ht="14.25" customHeight="1" x14ac:dyDescent="0.35">
      <c r="B683" s="29"/>
      <c r="C683" s="30">
        <v>45289</v>
      </c>
      <c r="D683">
        <v>87.5</v>
      </c>
      <c r="E683" s="20">
        <f t="shared" si="20"/>
        <v>-8.1614283693087243E-3</v>
      </c>
      <c r="G683" s="29">
        <v>45289</v>
      </c>
      <c r="H683" s="31">
        <v>21731.400390625</v>
      </c>
      <c r="I683" s="20">
        <f t="shared" si="21"/>
        <v>-2.171793074045436E-3</v>
      </c>
    </row>
    <row r="684" spans="2:9" ht="14.25" customHeight="1" x14ac:dyDescent="0.35">
      <c r="B684" s="29"/>
      <c r="C684" s="30">
        <v>45292</v>
      </c>
      <c r="D684">
        <v>88.480003356933594</v>
      </c>
      <c r="E684" s="20">
        <f t="shared" si="20"/>
        <v>1.1200038364955357E-2</v>
      </c>
      <c r="G684" s="29">
        <v>45292</v>
      </c>
      <c r="H684" s="31">
        <v>21741.900390625</v>
      </c>
      <c r="I684" s="20">
        <f t="shared" si="21"/>
        <v>4.8317180721265139E-4</v>
      </c>
    </row>
    <row r="685" spans="2:9" ht="14.25" customHeight="1" x14ac:dyDescent="0.35">
      <c r="B685" s="29"/>
      <c r="C685" s="30">
        <v>45293</v>
      </c>
      <c r="D685">
        <v>88.790000915527301</v>
      </c>
      <c r="E685" s="20">
        <f t="shared" si="20"/>
        <v>3.5035889108543405E-3</v>
      </c>
      <c r="G685" s="29">
        <v>45293</v>
      </c>
      <c r="H685" s="31">
        <v>21665.80078125</v>
      </c>
      <c r="I685" s="20">
        <f t="shared" si="21"/>
        <v>-3.5001360510240297E-3</v>
      </c>
    </row>
    <row r="686" spans="2:9" ht="14.25" customHeight="1" x14ac:dyDescent="0.35">
      <c r="B686" s="29"/>
      <c r="C686" s="30">
        <v>45294</v>
      </c>
      <c r="D686">
        <v>91.650001525878906</v>
      </c>
      <c r="E686" s="20">
        <f t="shared" si="20"/>
        <v>3.2210841095412779E-2</v>
      </c>
      <c r="G686" s="29">
        <v>45294</v>
      </c>
      <c r="H686" s="31">
        <v>21517.349609375</v>
      </c>
      <c r="I686" s="20">
        <f t="shared" si="21"/>
        <v>-6.8518663756694607E-3</v>
      </c>
    </row>
    <row r="687" spans="2:9" ht="14.25" customHeight="1" x14ac:dyDescent="0.35">
      <c r="B687" s="29"/>
      <c r="C687" s="30">
        <v>45295</v>
      </c>
      <c r="D687">
        <v>93.059997558593807</v>
      </c>
      <c r="E687" s="20">
        <f t="shared" si="20"/>
        <v>1.5384571841133737E-2</v>
      </c>
      <c r="G687" s="29">
        <v>45295</v>
      </c>
      <c r="H687" s="31">
        <v>21658.599609375</v>
      </c>
      <c r="I687" s="20">
        <f t="shared" si="21"/>
        <v>6.5644701863494422E-3</v>
      </c>
    </row>
    <row r="688" spans="2:9" ht="14.25" customHeight="1" x14ac:dyDescent="0.35">
      <c r="B688" s="29"/>
      <c r="C688" s="30">
        <v>45296</v>
      </c>
      <c r="D688">
        <v>92.389999389648395</v>
      </c>
      <c r="E688" s="20">
        <f t="shared" si="20"/>
        <v>-7.1996366486422681E-3</v>
      </c>
      <c r="G688" s="29">
        <v>45296</v>
      </c>
      <c r="H688" s="31">
        <v>21710.80078125</v>
      </c>
      <c r="I688" s="20">
        <f t="shared" si="21"/>
        <v>2.4101822286056087E-3</v>
      </c>
    </row>
    <row r="689" spans="2:9" ht="14.25" customHeight="1" x14ac:dyDescent="0.35">
      <c r="B689" s="29"/>
      <c r="C689" s="30">
        <v>45299</v>
      </c>
      <c r="D689">
        <v>90.099998474121094</v>
      </c>
      <c r="E689" s="20">
        <f t="shared" si="20"/>
        <v>-2.4786242349341098E-2</v>
      </c>
      <c r="G689" s="29">
        <v>45299</v>
      </c>
      <c r="H689" s="31">
        <v>21513</v>
      </c>
      <c r="I689" s="20">
        <f t="shared" si="21"/>
        <v>-9.1107086856430358E-3</v>
      </c>
    </row>
    <row r="690" spans="2:9" ht="14.25" customHeight="1" x14ac:dyDescent="0.35">
      <c r="B690" s="29"/>
      <c r="C690" s="30">
        <v>45300</v>
      </c>
      <c r="D690">
        <v>90.080001831054702</v>
      </c>
      <c r="E690" s="20">
        <f t="shared" si="20"/>
        <v>-2.2193832857983411E-4</v>
      </c>
      <c r="G690" s="29">
        <v>45300</v>
      </c>
      <c r="H690" s="31">
        <v>21544.849609375</v>
      </c>
      <c r="I690" s="20">
        <f t="shared" si="21"/>
        <v>1.4804820050667038E-3</v>
      </c>
    </row>
    <row r="691" spans="2:9" ht="14.25" customHeight="1" x14ac:dyDescent="0.35">
      <c r="B691" s="29"/>
      <c r="C691" s="30">
        <v>45301</v>
      </c>
      <c r="D691">
        <v>89.75</v>
      </c>
      <c r="E691" s="20">
        <f t="shared" si="20"/>
        <v>-3.6634305544711366E-3</v>
      </c>
      <c r="G691" s="29">
        <v>45301</v>
      </c>
      <c r="H691" s="31">
        <v>21618.69921875</v>
      </c>
      <c r="I691" s="20">
        <f t="shared" si="21"/>
        <v>3.4277152411806657E-3</v>
      </c>
    </row>
    <row r="692" spans="2:9" ht="14.25" customHeight="1" x14ac:dyDescent="0.35">
      <c r="B692" s="29"/>
      <c r="C692" s="30">
        <v>45302</v>
      </c>
      <c r="D692">
        <v>90.900001525878906</v>
      </c>
      <c r="E692" s="20">
        <f t="shared" si="20"/>
        <v>1.2813387474973886E-2</v>
      </c>
      <c r="G692" s="29">
        <v>45302</v>
      </c>
      <c r="H692" s="31">
        <v>21647.19921875</v>
      </c>
      <c r="I692" s="20">
        <f t="shared" si="21"/>
        <v>1.3183031833516521E-3</v>
      </c>
    </row>
    <row r="693" spans="2:9" ht="14.25" customHeight="1" x14ac:dyDescent="0.35">
      <c r="B693" s="29"/>
      <c r="C693" s="30">
        <v>45303</v>
      </c>
      <c r="D693">
        <v>92.449996948242202</v>
      </c>
      <c r="E693" s="20">
        <f t="shared" si="20"/>
        <v>1.7051654525242415E-2</v>
      </c>
      <c r="G693" s="29">
        <v>45303</v>
      </c>
      <c r="H693" s="31">
        <v>21894.55078125</v>
      </c>
      <c r="I693" s="20">
        <f t="shared" si="21"/>
        <v>1.1426492637705911E-2</v>
      </c>
    </row>
    <row r="694" spans="2:9" ht="14.25" customHeight="1" x14ac:dyDescent="0.35">
      <c r="B694" s="29"/>
      <c r="C694" s="30">
        <v>45306</v>
      </c>
      <c r="D694">
        <v>93.080001831054702</v>
      </c>
      <c r="E694" s="20">
        <f t="shared" si="20"/>
        <v>6.8145473619129048E-3</v>
      </c>
      <c r="G694" s="29">
        <v>45306</v>
      </c>
      <c r="H694" s="31">
        <v>22097.44921875</v>
      </c>
      <c r="I694" s="20">
        <f t="shared" si="21"/>
        <v>9.2670746948486215E-3</v>
      </c>
    </row>
    <row r="695" spans="2:9" ht="14.25" customHeight="1" x14ac:dyDescent="0.35">
      <c r="B695" s="29"/>
      <c r="C695" s="30">
        <v>45307</v>
      </c>
      <c r="D695">
        <v>92.989997863769503</v>
      </c>
      <c r="E695" s="20">
        <f t="shared" si="20"/>
        <v>-9.6695278808181604E-4</v>
      </c>
      <c r="G695" s="29">
        <v>45307</v>
      </c>
      <c r="H695" s="31">
        <v>22032.30078125</v>
      </c>
      <c r="I695" s="20">
        <f t="shared" si="21"/>
        <v>-2.9482333845447023E-3</v>
      </c>
    </row>
    <row r="696" spans="2:9" ht="14.25" customHeight="1" x14ac:dyDescent="0.35">
      <c r="B696" s="29"/>
      <c r="C696" s="30">
        <v>45308</v>
      </c>
      <c r="D696">
        <v>91.360000610351605</v>
      </c>
      <c r="E696" s="20">
        <f t="shared" si="20"/>
        <v>-1.7528737400401347E-2</v>
      </c>
      <c r="G696" s="29">
        <v>45308</v>
      </c>
      <c r="H696" s="31">
        <v>21571.94921875</v>
      </c>
      <c r="I696" s="20">
        <f t="shared" si="21"/>
        <v>-2.0894393512082492E-2</v>
      </c>
    </row>
    <row r="697" spans="2:9" ht="14.25" customHeight="1" x14ac:dyDescent="0.35">
      <c r="B697" s="29"/>
      <c r="C697" s="30">
        <v>45309</v>
      </c>
      <c r="D697">
        <v>91.650001525878906</v>
      </c>
      <c r="E697" s="20">
        <f t="shared" si="20"/>
        <v>3.1742656916580883E-3</v>
      </c>
      <c r="G697" s="29">
        <v>45309</v>
      </c>
      <c r="H697" s="31">
        <v>21462.25</v>
      </c>
      <c r="I697" s="20">
        <f t="shared" si="21"/>
        <v>-5.0852715087355742E-3</v>
      </c>
    </row>
    <row r="698" spans="2:9" ht="14.25" customHeight="1" x14ac:dyDescent="0.35">
      <c r="B698" s="29"/>
      <c r="C698" s="30">
        <v>45310</v>
      </c>
      <c r="D698">
        <v>93.330001831054702</v>
      </c>
      <c r="E698" s="20">
        <f t="shared" si="20"/>
        <v>1.8330608589258116E-2</v>
      </c>
      <c r="G698" s="29">
        <v>45310</v>
      </c>
      <c r="H698" s="31">
        <v>21622.400390625</v>
      </c>
      <c r="I698" s="20">
        <f t="shared" si="21"/>
        <v>7.4619571864552878E-3</v>
      </c>
    </row>
    <row r="699" spans="2:9" ht="14.25" customHeight="1" x14ac:dyDescent="0.35">
      <c r="B699" s="29"/>
      <c r="C699" s="30">
        <v>45314</v>
      </c>
      <c r="D699">
        <v>91.180000305175795</v>
      </c>
      <c r="E699" s="20">
        <f t="shared" si="20"/>
        <v>-2.3036552916508281E-2</v>
      </c>
      <c r="G699" s="29">
        <v>45314</v>
      </c>
      <c r="H699" s="31">
        <v>21238.80078125</v>
      </c>
      <c r="I699" s="20">
        <f t="shared" si="21"/>
        <v>-1.7740842942734536E-2</v>
      </c>
    </row>
    <row r="700" spans="2:9" ht="14.25" customHeight="1" x14ac:dyDescent="0.35">
      <c r="B700" s="29"/>
      <c r="C700" s="30">
        <v>45315</v>
      </c>
      <c r="D700">
        <v>90.860000610351605</v>
      </c>
      <c r="E700" s="20">
        <f t="shared" si="20"/>
        <v>-3.5095382074266748E-3</v>
      </c>
      <c r="G700" s="29">
        <v>45315</v>
      </c>
      <c r="H700" s="31">
        <v>21453.94921875</v>
      </c>
      <c r="I700" s="20">
        <f t="shared" si="21"/>
        <v>1.0129971071150917E-2</v>
      </c>
    </row>
    <row r="701" spans="2:9" ht="14.25" customHeight="1" x14ac:dyDescent="0.35">
      <c r="B701" s="29"/>
      <c r="C701" s="30">
        <v>45316</v>
      </c>
      <c r="D701">
        <v>93.059997558593807</v>
      </c>
      <c r="E701" s="20">
        <f t="shared" si="20"/>
        <v>2.4213041310408686E-2</v>
      </c>
      <c r="G701" s="29">
        <v>45316</v>
      </c>
      <c r="H701" s="31">
        <v>21352.599609375</v>
      </c>
      <c r="I701" s="20">
        <f t="shared" si="21"/>
        <v>-4.7240537554001476E-3</v>
      </c>
    </row>
    <row r="702" spans="2:9" ht="14.25" customHeight="1" x14ac:dyDescent="0.35">
      <c r="B702" s="29"/>
      <c r="C702" s="30">
        <v>45320</v>
      </c>
      <c r="D702">
        <v>94.910003662109403</v>
      </c>
      <c r="E702" s="20">
        <f t="shared" si="20"/>
        <v>1.9879713647647245E-2</v>
      </c>
      <c r="G702" s="29">
        <v>45320</v>
      </c>
      <c r="H702" s="31">
        <v>21737.599609375</v>
      </c>
      <c r="I702" s="20">
        <f t="shared" si="21"/>
        <v>1.8030591452244681E-2</v>
      </c>
    </row>
    <row r="703" spans="2:9" ht="14.25" customHeight="1" x14ac:dyDescent="0.35">
      <c r="B703" s="29"/>
      <c r="C703" s="30">
        <v>45321</v>
      </c>
      <c r="D703">
        <v>95.470001220703097</v>
      </c>
      <c r="E703" s="20">
        <f t="shared" si="20"/>
        <v>5.9003006741770794E-3</v>
      </c>
      <c r="G703" s="29">
        <v>45321</v>
      </c>
      <c r="H703" s="31">
        <v>21522.099609375</v>
      </c>
      <c r="I703" s="20">
        <f t="shared" si="21"/>
        <v>-9.9136981024831768E-3</v>
      </c>
    </row>
    <row r="704" spans="2:9" ht="14.25" customHeight="1" x14ac:dyDescent="0.35">
      <c r="B704" s="29"/>
      <c r="C704" s="30">
        <v>45322</v>
      </c>
      <c r="D704">
        <v>96.400001525878906</v>
      </c>
      <c r="E704" s="20">
        <f t="shared" si="20"/>
        <v>9.7412830552487204E-3</v>
      </c>
      <c r="G704" s="29">
        <v>45322</v>
      </c>
      <c r="H704" s="31">
        <v>21725.69921875</v>
      </c>
      <c r="I704" s="20">
        <f t="shared" si="21"/>
        <v>9.4600254190029057E-3</v>
      </c>
    </row>
    <row r="705" spans="2:9" ht="14.25" customHeight="1" x14ac:dyDescent="0.35">
      <c r="B705" s="29"/>
      <c r="C705" s="30">
        <v>45323</v>
      </c>
      <c r="D705">
        <v>100.300003051758</v>
      </c>
      <c r="E705" s="20">
        <f t="shared" si="20"/>
        <v>4.0456446723521292E-2</v>
      </c>
      <c r="G705" s="29">
        <v>45323</v>
      </c>
      <c r="H705" s="31">
        <v>21697.44921875</v>
      </c>
      <c r="I705" s="20">
        <f t="shared" si="21"/>
        <v>-1.3003033741542051E-3</v>
      </c>
    </row>
    <row r="706" spans="2:9" ht="14.25" customHeight="1" x14ac:dyDescent="0.35">
      <c r="B706" s="29"/>
      <c r="C706" s="30">
        <v>45324</v>
      </c>
      <c r="D706">
        <v>102.870002746582</v>
      </c>
      <c r="E706" s="20">
        <f t="shared" si="20"/>
        <v>2.5623126785926455E-2</v>
      </c>
      <c r="G706" s="29">
        <v>45324</v>
      </c>
      <c r="H706" s="31">
        <v>21853.80078125</v>
      </c>
      <c r="I706" s="20">
        <f t="shared" si="21"/>
        <v>7.2059881750933062E-3</v>
      </c>
    </row>
    <row r="707" spans="2:9" ht="14.25" customHeight="1" x14ac:dyDescent="0.35">
      <c r="B707" s="29"/>
      <c r="C707" s="30">
        <v>45327</v>
      </c>
      <c r="D707">
        <v>104.050003051758</v>
      </c>
      <c r="E707" s="20">
        <f t="shared" si="20"/>
        <v>1.147079103402864E-2</v>
      </c>
      <c r="G707" s="29">
        <v>45327</v>
      </c>
      <c r="H707" s="31">
        <v>21771.69921875</v>
      </c>
      <c r="I707" s="20">
        <f t="shared" si="21"/>
        <v>-3.7568550808077758E-3</v>
      </c>
    </row>
    <row r="708" spans="2:9" ht="14.25" customHeight="1" x14ac:dyDescent="0.35">
      <c r="B708" s="29"/>
      <c r="C708" s="30">
        <v>45328</v>
      </c>
      <c r="D708">
        <v>104.290000915527</v>
      </c>
      <c r="E708" s="20">
        <f t="shared" si="20"/>
        <v>2.306562774915272E-3</v>
      </c>
      <c r="G708" s="29">
        <v>45328</v>
      </c>
      <c r="H708" s="31">
        <v>21929.400390625</v>
      </c>
      <c r="I708" s="20">
        <f t="shared" si="21"/>
        <v>7.243402101531249E-3</v>
      </c>
    </row>
    <row r="709" spans="2:9" ht="14.25" customHeight="1" x14ac:dyDescent="0.35">
      <c r="B709" s="29"/>
      <c r="C709" s="30">
        <v>45329</v>
      </c>
      <c r="D709">
        <v>110.43000030517599</v>
      </c>
      <c r="E709" s="20">
        <f t="shared" ref="E709:E772" si="22">(D709-D708)/D708</f>
        <v>5.8874286468002614E-2</v>
      </c>
      <c r="G709" s="29">
        <v>45329</v>
      </c>
      <c r="H709" s="31">
        <v>21930.5</v>
      </c>
      <c r="I709" s="20">
        <f t="shared" ref="I709:I772" si="23">(H709-H708)/H708</f>
        <v>5.0143157378351857E-5</v>
      </c>
    </row>
    <row r="710" spans="2:9" ht="14.25" customHeight="1" x14ac:dyDescent="0.35">
      <c r="B710" s="29"/>
      <c r="C710" s="30">
        <v>45330</v>
      </c>
      <c r="D710">
        <v>113.84999847412099</v>
      </c>
      <c r="E710" s="20">
        <f t="shared" si="22"/>
        <v>3.0969828484050999E-2</v>
      </c>
      <c r="G710" s="29">
        <v>45330</v>
      </c>
      <c r="H710" s="31">
        <v>21717.94921875</v>
      </c>
      <c r="I710" s="20">
        <f t="shared" si="23"/>
        <v>-9.6920171108729851E-3</v>
      </c>
    </row>
    <row r="711" spans="2:9" ht="14.25" customHeight="1" x14ac:dyDescent="0.35">
      <c r="B711" s="29"/>
      <c r="C711" s="30">
        <v>45331</v>
      </c>
      <c r="D711">
        <v>114.199996948242</v>
      </c>
      <c r="E711" s="20">
        <f t="shared" si="22"/>
        <v>3.0742071041886393E-3</v>
      </c>
      <c r="G711" s="29">
        <v>45331</v>
      </c>
      <c r="H711" s="31">
        <v>21782.5</v>
      </c>
      <c r="I711" s="20">
        <f t="shared" si="23"/>
        <v>2.9722318898448593E-3</v>
      </c>
    </row>
    <row r="712" spans="2:9" ht="14.25" customHeight="1" x14ac:dyDescent="0.35">
      <c r="B712" s="29"/>
      <c r="C712" s="30">
        <v>45334</v>
      </c>
      <c r="D712">
        <v>109.15000152587901</v>
      </c>
      <c r="E712" s="20">
        <f t="shared" si="22"/>
        <v>-4.4220626596441749E-2</v>
      </c>
      <c r="G712" s="29">
        <v>45334</v>
      </c>
      <c r="H712" s="31">
        <v>21616.05078125</v>
      </c>
      <c r="I712" s="20">
        <f t="shared" si="23"/>
        <v>-7.6414194307356824E-3</v>
      </c>
    </row>
    <row r="713" spans="2:9" ht="14.25" customHeight="1" x14ac:dyDescent="0.35">
      <c r="B713" s="29"/>
      <c r="C713" s="30">
        <v>45335</v>
      </c>
      <c r="D713">
        <v>110.44000244140599</v>
      </c>
      <c r="E713" s="20">
        <f t="shared" si="22"/>
        <v>1.1818606481843564E-2</v>
      </c>
      <c r="G713" s="29">
        <v>45335</v>
      </c>
      <c r="H713" s="31">
        <v>21743.25</v>
      </c>
      <c r="I713" s="20">
        <f t="shared" si="23"/>
        <v>5.8844800115076526E-3</v>
      </c>
    </row>
    <row r="714" spans="2:9" ht="14.25" customHeight="1" x14ac:dyDescent="0.35">
      <c r="B714" s="29"/>
      <c r="C714" s="30">
        <v>45336</v>
      </c>
      <c r="D714">
        <v>113.290000915527</v>
      </c>
      <c r="E714" s="20">
        <f t="shared" si="22"/>
        <v>2.5805853052503117E-2</v>
      </c>
      <c r="G714" s="29">
        <v>45336</v>
      </c>
      <c r="H714" s="31">
        <v>21840.05078125</v>
      </c>
      <c r="I714" s="20">
        <f t="shared" si="23"/>
        <v>4.4519922849619994E-3</v>
      </c>
    </row>
    <row r="715" spans="2:9" ht="14.25" customHeight="1" x14ac:dyDescent="0.35">
      <c r="B715" s="29"/>
      <c r="C715" s="30">
        <v>45337</v>
      </c>
      <c r="D715">
        <v>117.41000366210901</v>
      </c>
      <c r="E715" s="20">
        <f t="shared" si="22"/>
        <v>3.6366870096982536E-2</v>
      </c>
      <c r="G715" s="29">
        <v>45337</v>
      </c>
      <c r="H715" s="31">
        <v>21910.75</v>
      </c>
      <c r="I715" s="20">
        <f t="shared" si="23"/>
        <v>3.2371361888359849E-3</v>
      </c>
    </row>
    <row r="716" spans="2:9" ht="14.25" customHeight="1" x14ac:dyDescent="0.35">
      <c r="B716" s="29"/>
      <c r="C716" s="30">
        <v>45338</v>
      </c>
      <c r="D716">
        <v>117.169998168945</v>
      </c>
      <c r="E716" s="20">
        <f t="shared" si="22"/>
        <v>-2.0441656219917239E-3</v>
      </c>
      <c r="G716" s="29">
        <v>45338</v>
      </c>
      <c r="H716" s="31">
        <v>22040.69921875</v>
      </c>
      <c r="I716" s="20">
        <f t="shared" si="23"/>
        <v>5.9308430222607626E-3</v>
      </c>
    </row>
    <row r="717" spans="2:9" ht="14.25" customHeight="1" x14ac:dyDescent="0.35">
      <c r="B717" s="29"/>
      <c r="C717" s="30">
        <v>45341</v>
      </c>
      <c r="D717">
        <v>114.56999969482401</v>
      </c>
      <c r="E717" s="20">
        <f t="shared" si="22"/>
        <v>-2.2189967694393152E-2</v>
      </c>
      <c r="G717" s="29">
        <v>45341</v>
      </c>
      <c r="H717" s="31">
        <v>22122.25</v>
      </c>
      <c r="I717" s="20">
        <f t="shared" si="23"/>
        <v>3.7000088082788604E-3</v>
      </c>
    </row>
    <row r="718" spans="2:9" ht="14.25" customHeight="1" x14ac:dyDescent="0.35">
      <c r="B718" s="29"/>
      <c r="C718" s="30">
        <v>45342</v>
      </c>
      <c r="D718">
        <v>113.800003051758</v>
      </c>
      <c r="E718" s="20">
        <f t="shared" si="22"/>
        <v>-6.7207527722529525E-3</v>
      </c>
      <c r="G718" s="29">
        <v>45342</v>
      </c>
      <c r="H718" s="31">
        <v>22196.94921875</v>
      </c>
      <c r="I718" s="20">
        <f t="shared" si="23"/>
        <v>3.3766555730090748E-3</v>
      </c>
    </row>
    <row r="719" spans="2:9" ht="14.25" customHeight="1" x14ac:dyDescent="0.35">
      <c r="B719" s="29"/>
      <c r="C719" s="30">
        <v>45343</v>
      </c>
      <c r="D719">
        <v>113.470001220703</v>
      </c>
      <c r="E719" s="20">
        <f t="shared" si="22"/>
        <v>-2.8998402654252147E-3</v>
      </c>
      <c r="G719" s="29">
        <v>45343</v>
      </c>
      <c r="H719" s="31">
        <v>22055.05078125</v>
      </c>
      <c r="I719" s="20">
        <f t="shared" si="23"/>
        <v>-6.3927000103301077E-3</v>
      </c>
    </row>
    <row r="720" spans="2:9" ht="14.25" customHeight="1" x14ac:dyDescent="0.35">
      <c r="B720" s="29"/>
      <c r="C720" s="30">
        <v>45344</v>
      </c>
      <c r="D720">
        <v>116.44000244140599</v>
      </c>
      <c r="E720" s="20">
        <f t="shared" si="22"/>
        <v>2.6174329679667881E-2</v>
      </c>
      <c r="G720" s="29">
        <v>45344</v>
      </c>
      <c r="H720" s="31">
        <v>22217.44921875</v>
      </c>
      <c r="I720" s="20">
        <f t="shared" si="23"/>
        <v>7.3633218581415499E-3</v>
      </c>
    </row>
    <row r="721" spans="2:9" ht="14.25" customHeight="1" x14ac:dyDescent="0.35">
      <c r="B721" s="29"/>
      <c r="C721" s="30">
        <v>45345</v>
      </c>
      <c r="D721">
        <v>116.08999633789099</v>
      </c>
      <c r="E721" s="20">
        <f t="shared" si="22"/>
        <v>-3.0058922722122666E-3</v>
      </c>
      <c r="G721" s="29">
        <v>45345</v>
      </c>
      <c r="H721" s="31">
        <v>22212.69921875</v>
      </c>
      <c r="I721" s="20">
        <f t="shared" si="23"/>
        <v>-2.1379592019012364E-4</v>
      </c>
    </row>
    <row r="722" spans="2:9" ht="14.25" customHeight="1" x14ac:dyDescent="0.35">
      <c r="B722" s="29"/>
      <c r="C722" s="30">
        <v>45348</v>
      </c>
      <c r="D722">
        <v>114.65000152587901</v>
      </c>
      <c r="E722" s="20">
        <f t="shared" si="22"/>
        <v>-1.240412488101685E-2</v>
      </c>
      <c r="G722" s="29">
        <v>45348</v>
      </c>
      <c r="H722" s="31">
        <v>22122.05078125</v>
      </c>
      <c r="I722" s="20">
        <f t="shared" si="23"/>
        <v>-4.0809285088361791E-3</v>
      </c>
    </row>
    <row r="723" spans="2:9" ht="14.25" customHeight="1" x14ac:dyDescent="0.35">
      <c r="B723" s="29"/>
      <c r="C723" s="30">
        <v>45349</v>
      </c>
      <c r="D723">
        <v>114.379997253418</v>
      </c>
      <c r="E723" s="20">
        <f t="shared" si="22"/>
        <v>-2.3550306922591946E-3</v>
      </c>
      <c r="G723" s="29">
        <v>45349</v>
      </c>
      <c r="H723" s="31">
        <v>22198.349609375</v>
      </c>
      <c r="I723" s="20">
        <f t="shared" si="23"/>
        <v>3.4489943486464033E-3</v>
      </c>
    </row>
    <row r="724" spans="2:9" ht="14.25" customHeight="1" x14ac:dyDescent="0.35">
      <c r="B724" s="29"/>
      <c r="C724" s="30">
        <v>45350</v>
      </c>
      <c r="D724">
        <v>110.08999633789099</v>
      </c>
      <c r="E724" s="20">
        <f t="shared" si="22"/>
        <v>-3.7506565995295171E-2</v>
      </c>
      <c r="G724" s="29">
        <v>45350</v>
      </c>
      <c r="H724" s="31">
        <v>21951.150390625</v>
      </c>
      <c r="I724" s="20">
        <f t="shared" si="23"/>
        <v>-1.1135927809948569E-2</v>
      </c>
    </row>
    <row r="725" spans="2:9" ht="14.25" customHeight="1" x14ac:dyDescent="0.35">
      <c r="B725" s="29"/>
      <c r="C725" s="30">
        <v>45351</v>
      </c>
      <c r="D725">
        <v>112.889999389648</v>
      </c>
      <c r="E725" s="20">
        <f t="shared" si="22"/>
        <v>2.5433764600765019E-2</v>
      </c>
      <c r="G725" s="29">
        <v>45351</v>
      </c>
      <c r="H725" s="31">
        <v>21982.80078125</v>
      </c>
      <c r="I725" s="20">
        <f t="shared" si="23"/>
        <v>1.4418556686904846E-3</v>
      </c>
    </row>
    <row r="726" spans="2:9" ht="14.25" customHeight="1" x14ac:dyDescent="0.35">
      <c r="B726" s="29"/>
      <c r="C726" s="30">
        <v>45352</v>
      </c>
      <c r="D726">
        <v>115.73000335693401</v>
      </c>
      <c r="E726" s="20">
        <f t="shared" si="22"/>
        <v>2.5157267983353687E-2</v>
      </c>
      <c r="G726" s="29">
        <v>45352</v>
      </c>
      <c r="H726" s="31">
        <v>22338.75</v>
      </c>
      <c r="I726" s="20">
        <f t="shared" si="23"/>
        <v>1.6192168700068607E-2</v>
      </c>
    </row>
    <row r="727" spans="2:9" ht="14.25" customHeight="1" x14ac:dyDescent="0.35">
      <c r="B727" s="29"/>
      <c r="C727" s="30">
        <v>45355</v>
      </c>
      <c r="D727">
        <v>118.379997253418</v>
      </c>
      <c r="E727" s="20">
        <f t="shared" si="22"/>
        <v>2.289807154252723E-2</v>
      </c>
      <c r="G727" s="29">
        <v>45355</v>
      </c>
      <c r="H727" s="31">
        <v>22405.599609375</v>
      </c>
      <c r="I727" s="20">
        <f t="shared" si="23"/>
        <v>2.9925402887359411E-3</v>
      </c>
    </row>
    <row r="728" spans="2:9" ht="14.25" customHeight="1" x14ac:dyDescent="0.35">
      <c r="B728" s="29"/>
      <c r="C728" s="30">
        <v>45356</v>
      </c>
      <c r="D728">
        <v>120.48999786377</v>
      </c>
      <c r="E728" s="20">
        <f t="shared" si="22"/>
        <v>1.7823962318862789E-2</v>
      </c>
      <c r="G728" s="29">
        <v>45356</v>
      </c>
      <c r="H728" s="31">
        <v>22356.30078125</v>
      </c>
      <c r="I728" s="20">
        <f t="shared" si="23"/>
        <v>-2.2002905070379049E-3</v>
      </c>
    </row>
    <row r="729" spans="2:9" ht="14.25" customHeight="1" x14ac:dyDescent="0.35">
      <c r="B729" s="29"/>
      <c r="C729" s="30">
        <v>45357</v>
      </c>
      <c r="D729">
        <v>120</v>
      </c>
      <c r="E729" s="20">
        <f t="shared" si="22"/>
        <v>-4.0667098718352385E-3</v>
      </c>
      <c r="G729" s="29">
        <v>45357</v>
      </c>
      <c r="H729" s="31">
        <v>22474.05078125</v>
      </c>
      <c r="I729" s="20">
        <f t="shared" si="23"/>
        <v>5.2669715420341689E-3</v>
      </c>
    </row>
    <row r="730" spans="2:9" ht="14.25" customHeight="1" x14ac:dyDescent="0.35">
      <c r="B730" s="29"/>
      <c r="C730" s="30">
        <v>45358</v>
      </c>
      <c r="D730">
        <v>119.58999633789099</v>
      </c>
      <c r="E730" s="20">
        <f t="shared" si="22"/>
        <v>-3.4166971842417128E-3</v>
      </c>
      <c r="G730" s="29">
        <v>45358</v>
      </c>
      <c r="H730" s="31">
        <v>22493.55078125</v>
      </c>
      <c r="I730" s="20">
        <f t="shared" si="23"/>
        <v>8.6766734621195941E-4</v>
      </c>
    </row>
    <row r="731" spans="2:9" ht="14.25" customHeight="1" x14ac:dyDescent="0.35">
      <c r="B731" s="29"/>
      <c r="C731" s="30">
        <v>45362</v>
      </c>
      <c r="D731">
        <v>117.25</v>
      </c>
      <c r="E731" s="20">
        <f t="shared" si="22"/>
        <v>-1.9566823392815742E-2</v>
      </c>
      <c r="G731" s="29">
        <v>45362</v>
      </c>
      <c r="H731" s="31">
        <v>22332.650390625</v>
      </c>
      <c r="I731" s="20">
        <f t="shared" si="23"/>
        <v>-7.1531788017711326E-3</v>
      </c>
    </row>
    <row r="732" spans="2:9" ht="14.25" customHeight="1" x14ac:dyDescent="0.35">
      <c r="B732" s="29"/>
      <c r="C732" s="30">
        <v>45363</v>
      </c>
      <c r="D732">
        <v>113.379997253418</v>
      </c>
      <c r="E732" s="20">
        <f t="shared" si="22"/>
        <v>-3.3006420013492563E-2</v>
      </c>
      <c r="G732" s="29">
        <v>45363</v>
      </c>
      <c r="H732" s="31">
        <v>22335.69921875</v>
      </c>
      <c r="I732" s="20">
        <f t="shared" si="23"/>
        <v>1.3651886684617893E-4</v>
      </c>
    </row>
    <row r="733" spans="2:9" ht="14.25" customHeight="1" x14ac:dyDescent="0.35">
      <c r="B733" s="29"/>
      <c r="C733" s="30">
        <v>45364</v>
      </c>
      <c r="D733">
        <v>107.290000915527</v>
      </c>
      <c r="E733" s="20">
        <f t="shared" si="22"/>
        <v>-5.3713145928898871E-2</v>
      </c>
      <c r="G733" s="29">
        <v>45364</v>
      </c>
      <c r="H733" s="31">
        <v>21997.69921875</v>
      </c>
      <c r="I733" s="20">
        <f t="shared" si="23"/>
        <v>-1.5132725270416491E-2</v>
      </c>
    </row>
    <row r="734" spans="2:9" ht="14.25" customHeight="1" x14ac:dyDescent="0.35">
      <c r="B734" s="29"/>
      <c r="C734" s="30">
        <v>45365</v>
      </c>
      <c r="D734">
        <v>109.40000152587901</v>
      </c>
      <c r="E734" s="20">
        <f t="shared" si="22"/>
        <v>1.966633043477441E-2</v>
      </c>
      <c r="G734" s="29">
        <v>45365</v>
      </c>
      <c r="H734" s="31">
        <v>22146.650390625</v>
      </c>
      <c r="I734" s="20">
        <f t="shared" si="23"/>
        <v>6.7712159528047237E-3</v>
      </c>
    </row>
    <row r="735" spans="2:9" ht="14.25" customHeight="1" x14ac:dyDescent="0.35">
      <c r="B735" s="29"/>
      <c r="C735" s="30">
        <v>45366</v>
      </c>
      <c r="D735">
        <v>109.830001831055</v>
      </c>
      <c r="E735" s="20">
        <f t="shared" si="22"/>
        <v>3.9305328992548152E-3</v>
      </c>
      <c r="G735" s="29">
        <v>45366</v>
      </c>
      <c r="H735" s="31">
        <v>22023.349609375</v>
      </c>
      <c r="I735" s="20">
        <f t="shared" si="23"/>
        <v>-5.5674686273186943E-3</v>
      </c>
    </row>
    <row r="736" spans="2:9" ht="14.25" customHeight="1" x14ac:dyDescent="0.35">
      <c r="B736" s="29"/>
      <c r="C736" s="30">
        <v>45369</v>
      </c>
      <c r="D736">
        <v>110.610000610352</v>
      </c>
      <c r="E736" s="20">
        <f t="shared" si="22"/>
        <v>7.1018734980704901E-3</v>
      </c>
      <c r="G736" s="29">
        <v>45369</v>
      </c>
      <c r="H736" s="31">
        <v>22055.69921875</v>
      </c>
      <c r="I736" s="20">
        <f t="shared" si="23"/>
        <v>1.4688778023679591E-3</v>
      </c>
    </row>
    <row r="737" spans="2:9" ht="14.25" customHeight="1" x14ac:dyDescent="0.35">
      <c r="B737" s="29"/>
      <c r="C737" s="30">
        <v>45370</v>
      </c>
      <c r="D737">
        <v>109.68000030517599</v>
      </c>
      <c r="E737" s="20">
        <f t="shared" si="22"/>
        <v>-8.4079224305597718E-3</v>
      </c>
      <c r="G737" s="29">
        <v>45370</v>
      </c>
      <c r="H737" s="31">
        <v>21817.44921875</v>
      </c>
      <c r="I737" s="20">
        <f t="shared" si="23"/>
        <v>-1.080219664028873E-2</v>
      </c>
    </row>
    <row r="738" spans="2:9" ht="14.25" customHeight="1" x14ac:dyDescent="0.35">
      <c r="B738" s="29"/>
      <c r="C738" s="30">
        <v>45371</v>
      </c>
      <c r="D738">
        <v>110.209999084473</v>
      </c>
      <c r="E738" s="20">
        <f t="shared" si="22"/>
        <v>4.8322280983071012E-3</v>
      </c>
      <c r="G738" s="29">
        <v>45371</v>
      </c>
      <c r="H738" s="31">
        <v>21839.099609375</v>
      </c>
      <c r="I738" s="20">
        <f t="shared" si="23"/>
        <v>9.9234289068006964E-4</v>
      </c>
    </row>
    <row r="739" spans="2:9" ht="14.25" customHeight="1" x14ac:dyDescent="0.35">
      <c r="B739" s="29"/>
      <c r="C739" s="30">
        <v>45372</v>
      </c>
      <c r="D739">
        <v>112.779998779297</v>
      </c>
      <c r="E739" s="20">
        <f t="shared" si="22"/>
        <v>2.3319115472037796E-2</v>
      </c>
      <c r="G739" s="29">
        <v>45372</v>
      </c>
      <c r="H739" s="31">
        <v>22011.94921875</v>
      </c>
      <c r="I739" s="20">
        <f t="shared" si="23"/>
        <v>7.9146856998078725E-3</v>
      </c>
    </row>
    <row r="740" spans="2:9" ht="14.25" customHeight="1" x14ac:dyDescent="0.35">
      <c r="B740" s="29"/>
      <c r="C740" s="30">
        <v>45373</v>
      </c>
      <c r="D740">
        <v>114.629997253418</v>
      </c>
      <c r="E740" s="20">
        <f t="shared" si="22"/>
        <v>1.6403604310559702E-2</v>
      </c>
      <c r="G740" s="29">
        <v>45373</v>
      </c>
      <c r="H740" s="31">
        <v>22096.75</v>
      </c>
      <c r="I740" s="20">
        <f t="shared" si="23"/>
        <v>3.8524885010077091E-3</v>
      </c>
    </row>
    <row r="741" spans="2:9" ht="14.25" customHeight="1" x14ac:dyDescent="0.35">
      <c r="B741" s="29"/>
      <c r="C741" s="30">
        <v>45377</v>
      </c>
      <c r="D741">
        <v>114.370002746582</v>
      </c>
      <c r="E741" s="20">
        <f t="shared" si="22"/>
        <v>-2.2681192799927589E-3</v>
      </c>
      <c r="G741" s="29">
        <v>45377</v>
      </c>
      <c r="H741" s="31">
        <v>22004.69921875</v>
      </c>
      <c r="I741" s="20">
        <f t="shared" si="23"/>
        <v>-4.1658063402989125E-3</v>
      </c>
    </row>
    <row r="742" spans="2:9" ht="14.25" customHeight="1" x14ac:dyDescent="0.35">
      <c r="B742" s="29"/>
      <c r="C742" s="30">
        <v>45378</v>
      </c>
      <c r="D742">
        <v>112.84999847412099</v>
      </c>
      <c r="E742" s="20">
        <f t="shared" si="22"/>
        <v>-1.3290235515942004E-2</v>
      </c>
      <c r="G742" s="29">
        <v>45378</v>
      </c>
      <c r="H742" s="31">
        <v>22123.650390625</v>
      </c>
      <c r="I742" s="20">
        <f t="shared" si="23"/>
        <v>5.40571678315161E-3</v>
      </c>
    </row>
    <row r="743" spans="2:9" ht="14.25" customHeight="1" x14ac:dyDescent="0.35">
      <c r="B743" s="29"/>
      <c r="C743" s="30">
        <v>45379</v>
      </c>
      <c r="D743">
        <v>116.209999084473</v>
      </c>
      <c r="E743" s="20">
        <f t="shared" si="22"/>
        <v>2.9774042142521832E-2</v>
      </c>
      <c r="G743" s="29">
        <v>45379</v>
      </c>
      <c r="H743" s="31">
        <v>22326.900390625</v>
      </c>
      <c r="I743" s="20">
        <f t="shared" si="23"/>
        <v>9.1870010785438973E-3</v>
      </c>
    </row>
    <row r="744" spans="2:9" ht="14.25" customHeight="1" x14ac:dyDescent="0.35">
      <c r="B744" s="29"/>
      <c r="C744" s="30">
        <v>45383</v>
      </c>
      <c r="D744">
        <v>117.80999755859401</v>
      </c>
      <c r="E744" s="20">
        <f t="shared" si="22"/>
        <v>1.3768165276018721E-2</v>
      </c>
      <c r="G744" s="29">
        <v>45383</v>
      </c>
      <c r="H744" s="31">
        <v>22462</v>
      </c>
      <c r="I744" s="20">
        <f t="shared" si="23"/>
        <v>6.0509791780917303E-3</v>
      </c>
    </row>
    <row r="745" spans="2:9" ht="14.25" customHeight="1" x14ac:dyDescent="0.35">
      <c r="B745" s="29"/>
      <c r="C745" s="30">
        <v>45384</v>
      </c>
      <c r="D745">
        <v>118.94000244140599</v>
      </c>
      <c r="E745" s="20">
        <f t="shared" si="22"/>
        <v>9.5917571193392896E-3</v>
      </c>
      <c r="G745" s="29">
        <v>45384</v>
      </c>
      <c r="H745" s="31">
        <v>22453.30078125</v>
      </c>
      <c r="I745" s="20">
        <f t="shared" si="23"/>
        <v>-3.872860275131333E-4</v>
      </c>
    </row>
    <row r="746" spans="2:9" ht="14.25" customHeight="1" x14ac:dyDescent="0.35">
      <c r="B746" s="29"/>
      <c r="C746" s="30">
        <v>45385</v>
      </c>
      <c r="D746">
        <v>121.389999389648</v>
      </c>
      <c r="E746" s="20">
        <f t="shared" si="22"/>
        <v>2.0598595072746504E-2</v>
      </c>
      <c r="G746" s="29">
        <v>45385</v>
      </c>
      <c r="H746" s="31">
        <v>22434.650390625</v>
      </c>
      <c r="I746" s="20">
        <f t="shared" si="23"/>
        <v>-8.3063024036868183E-4</v>
      </c>
    </row>
    <row r="747" spans="2:9" ht="14.25" customHeight="1" x14ac:dyDescent="0.35">
      <c r="B747" s="29"/>
      <c r="C747" s="30">
        <v>45386</v>
      </c>
      <c r="D747">
        <v>121.48000335693401</v>
      </c>
      <c r="E747" s="20">
        <f t="shared" si="22"/>
        <v>7.4144466379892193E-4</v>
      </c>
      <c r="G747" s="29">
        <v>45386</v>
      </c>
      <c r="H747" s="31">
        <v>22514.650390625</v>
      </c>
      <c r="I747" s="20">
        <f t="shared" si="23"/>
        <v>3.5659124883635554E-3</v>
      </c>
    </row>
    <row r="748" spans="2:9" ht="14.25" customHeight="1" x14ac:dyDescent="0.35">
      <c r="B748" s="29"/>
      <c r="C748" s="30">
        <v>45387</v>
      </c>
      <c r="D748">
        <v>123</v>
      </c>
      <c r="E748" s="20">
        <f t="shared" si="22"/>
        <v>1.2512319732161364E-2</v>
      </c>
      <c r="G748" s="29">
        <v>45387</v>
      </c>
      <c r="H748" s="31">
        <v>22513.69921875</v>
      </c>
      <c r="I748" s="20">
        <f t="shared" si="23"/>
        <v>-4.2246797462867275E-5</v>
      </c>
    </row>
    <row r="749" spans="2:9" ht="14.25" customHeight="1" x14ac:dyDescent="0.35">
      <c r="B749" s="29"/>
      <c r="C749" s="30">
        <v>45390</v>
      </c>
      <c r="D749">
        <v>122.48999786377</v>
      </c>
      <c r="E749" s="20">
        <f t="shared" si="22"/>
        <v>-4.1463588311382096E-3</v>
      </c>
      <c r="G749" s="29">
        <v>45390</v>
      </c>
      <c r="H749" s="31">
        <v>22666.30078125</v>
      </c>
      <c r="I749" s="20">
        <f t="shared" si="23"/>
        <v>6.7781647528145621E-3</v>
      </c>
    </row>
    <row r="750" spans="2:9" ht="14.25" customHeight="1" x14ac:dyDescent="0.35">
      <c r="B750" s="29"/>
      <c r="C750" s="30">
        <v>45391</v>
      </c>
      <c r="D750">
        <v>121.629997253418</v>
      </c>
      <c r="E750" s="20">
        <f t="shared" si="22"/>
        <v>-7.0209864099146447E-3</v>
      </c>
      <c r="G750" s="29">
        <v>45391</v>
      </c>
      <c r="H750" s="31">
        <v>22642.75</v>
      </c>
      <c r="I750" s="20">
        <f t="shared" si="23"/>
        <v>-1.0390218270412109E-3</v>
      </c>
    </row>
    <row r="751" spans="2:9" ht="14.25" customHeight="1" x14ac:dyDescent="0.35">
      <c r="B751" s="29"/>
      <c r="C751" s="30">
        <v>45392</v>
      </c>
      <c r="D751">
        <v>122.580001831055</v>
      </c>
      <c r="E751" s="20">
        <f t="shared" si="22"/>
        <v>7.8106108615430912E-3</v>
      </c>
      <c r="G751" s="29">
        <v>45392</v>
      </c>
      <c r="H751" s="31">
        <v>22753.80078125</v>
      </c>
      <c r="I751" s="20">
        <f t="shared" si="23"/>
        <v>4.9044741142308243E-3</v>
      </c>
    </row>
    <row r="752" spans="2:9" ht="14.25" customHeight="1" x14ac:dyDescent="0.35">
      <c r="B752" s="29"/>
      <c r="C752" s="30">
        <v>45394</v>
      </c>
      <c r="D752">
        <v>121.169998168945</v>
      </c>
      <c r="E752" s="20">
        <f t="shared" si="22"/>
        <v>-1.150272182287391E-2</v>
      </c>
      <c r="G752" s="29">
        <v>45394</v>
      </c>
      <c r="H752" s="31">
        <v>22519.400390625</v>
      </c>
      <c r="I752" s="20">
        <f t="shared" si="23"/>
        <v>-1.0301592814249954E-2</v>
      </c>
    </row>
    <row r="753" spans="2:9" ht="14.25" customHeight="1" x14ac:dyDescent="0.35">
      <c r="B753" s="29"/>
      <c r="C753" s="30">
        <v>45397</v>
      </c>
      <c r="D753">
        <v>118.620002746582</v>
      </c>
      <c r="E753" s="20">
        <f t="shared" si="22"/>
        <v>-2.1044775611926539E-2</v>
      </c>
      <c r="G753" s="29">
        <v>45397</v>
      </c>
      <c r="H753" s="31">
        <v>22272.5</v>
      </c>
      <c r="I753" s="20">
        <f t="shared" si="23"/>
        <v>-1.0963897188301094E-2</v>
      </c>
    </row>
    <row r="754" spans="2:9" ht="14.25" customHeight="1" x14ac:dyDescent="0.35">
      <c r="B754" s="29"/>
      <c r="C754" s="30">
        <v>45398</v>
      </c>
      <c r="D754">
        <v>116.80999755859401</v>
      </c>
      <c r="E754" s="20">
        <f t="shared" si="22"/>
        <v>-1.5258853027131225E-2</v>
      </c>
      <c r="G754" s="29">
        <v>45398</v>
      </c>
      <c r="H754" s="31">
        <v>22147.900390625</v>
      </c>
      <c r="I754" s="20">
        <f t="shared" si="23"/>
        <v>-5.5943252609720511E-3</v>
      </c>
    </row>
    <row r="755" spans="2:9" ht="14.25" customHeight="1" x14ac:dyDescent="0.35">
      <c r="B755" s="29"/>
      <c r="C755" s="30">
        <v>45400</v>
      </c>
      <c r="D755">
        <v>116.69000244140599</v>
      </c>
      <c r="E755" s="20">
        <f t="shared" si="22"/>
        <v>-1.0272675258624149E-3</v>
      </c>
      <c r="G755" s="29">
        <v>45400</v>
      </c>
      <c r="H755" s="31">
        <v>21995.849609375</v>
      </c>
      <c r="I755" s="20">
        <f t="shared" si="23"/>
        <v>-6.8652458503182393E-3</v>
      </c>
    </row>
    <row r="756" spans="2:9" ht="14.25" customHeight="1" x14ac:dyDescent="0.35">
      <c r="B756" s="29"/>
      <c r="C756" s="30">
        <v>45401</v>
      </c>
      <c r="D756">
        <v>115.75</v>
      </c>
      <c r="E756" s="20">
        <f t="shared" si="22"/>
        <v>-8.0555525044058614E-3</v>
      </c>
      <c r="G756" s="29">
        <v>45401</v>
      </c>
      <c r="H756" s="31">
        <v>22147</v>
      </c>
      <c r="I756" s="20">
        <f t="shared" si="23"/>
        <v>6.8717686886064708E-3</v>
      </c>
    </row>
    <row r="757" spans="2:9" ht="14.25" customHeight="1" x14ac:dyDescent="0.35">
      <c r="B757" s="29"/>
      <c r="C757" s="30">
        <v>45404</v>
      </c>
      <c r="D757">
        <v>119.959999084473</v>
      </c>
      <c r="E757" s="20">
        <f t="shared" si="22"/>
        <v>3.6371482371256994E-2</v>
      </c>
      <c r="G757" s="29">
        <v>45404</v>
      </c>
      <c r="H757" s="31">
        <v>22336.400390625</v>
      </c>
      <c r="I757" s="20">
        <f t="shared" si="23"/>
        <v>8.5519659829773782E-3</v>
      </c>
    </row>
    <row r="758" spans="2:9" ht="14.25" customHeight="1" x14ac:dyDescent="0.35">
      <c r="B758" s="29"/>
      <c r="C758" s="30">
        <v>45405</v>
      </c>
      <c r="D758">
        <v>120.31999969482401</v>
      </c>
      <c r="E758" s="20">
        <f t="shared" si="22"/>
        <v>3.001005444302349E-3</v>
      </c>
      <c r="G758" s="29">
        <v>45405</v>
      </c>
      <c r="H758" s="31">
        <v>22368</v>
      </c>
      <c r="I758" s="20">
        <f t="shared" si="23"/>
        <v>1.4147135985377009E-3</v>
      </c>
    </row>
    <row r="759" spans="2:9" ht="14.25" customHeight="1" x14ac:dyDescent="0.35">
      <c r="B759" s="29"/>
      <c r="C759" s="30">
        <v>45406</v>
      </c>
      <c r="D759">
        <v>119.389999389648</v>
      </c>
      <c r="E759" s="20">
        <f t="shared" si="22"/>
        <v>-7.7293908538466852E-3</v>
      </c>
      <c r="G759" s="29">
        <v>45406</v>
      </c>
      <c r="H759" s="31">
        <v>22402.400390625</v>
      </c>
      <c r="I759" s="20">
        <f t="shared" si="23"/>
        <v>1.5379287654238199E-3</v>
      </c>
    </row>
    <row r="760" spans="2:9" ht="14.25" customHeight="1" x14ac:dyDescent="0.35">
      <c r="B760" s="29"/>
      <c r="C760" s="30">
        <v>45407</v>
      </c>
      <c r="D760">
        <v>123.370002746582</v>
      </c>
      <c r="E760" s="20">
        <f t="shared" si="22"/>
        <v>3.3336153591429718E-2</v>
      </c>
      <c r="G760" s="29">
        <v>45407</v>
      </c>
      <c r="H760" s="31">
        <v>22570.349609375</v>
      </c>
      <c r="I760" s="20">
        <f t="shared" si="23"/>
        <v>7.4969296067167743E-3</v>
      </c>
    </row>
    <row r="761" spans="2:9" ht="14.25" customHeight="1" x14ac:dyDescent="0.35">
      <c r="B761" s="29"/>
      <c r="C761" s="30">
        <v>45408</v>
      </c>
      <c r="D761">
        <v>123.51999664306599</v>
      </c>
      <c r="E761" s="20">
        <f t="shared" si="22"/>
        <v>1.2158052455595566E-3</v>
      </c>
      <c r="G761" s="29">
        <v>45408</v>
      </c>
      <c r="H761" s="31">
        <v>22419.94921875</v>
      </c>
      <c r="I761" s="20">
        <f t="shared" si="23"/>
        <v>-6.6636269808832953E-3</v>
      </c>
    </row>
    <row r="762" spans="2:9" ht="14.25" customHeight="1" x14ac:dyDescent="0.35">
      <c r="B762" s="29"/>
      <c r="C762" s="30">
        <v>45411</v>
      </c>
      <c r="D762">
        <v>124.169998168945</v>
      </c>
      <c r="E762" s="20">
        <f t="shared" si="22"/>
        <v>5.2623181957922654E-3</v>
      </c>
      <c r="G762" s="29">
        <v>45411</v>
      </c>
      <c r="H762" s="31">
        <v>22643.400390625</v>
      </c>
      <c r="I762" s="20">
        <f t="shared" si="23"/>
        <v>9.9666225688025117E-3</v>
      </c>
    </row>
    <row r="763" spans="2:9" ht="14.25" customHeight="1" x14ac:dyDescent="0.35">
      <c r="B763" s="29"/>
      <c r="C763" s="30">
        <v>45412</v>
      </c>
      <c r="D763">
        <v>124.389999389648</v>
      </c>
      <c r="E763" s="20">
        <f t="shared" si="22"/>
        <v>1.7717743734171976E-3</v>
      </c>
      <c r="G763" s="29">
        <v>45412</v>
      </c>
      <c r="H763" s="31">
        <v>22604.849609375</v>
      </c>
      <c r="I763" s="20">
        <f t="shared" si="23"/>
        <v>-1.7025173156396201E-3</v>
      </c>
    </row>
    <row r="764" spans="2:9" ht="14.25" customHeight="1" x14ac:dyDescent="0.35">
      <c r="B764" s="29"/>
      <c r="C764" s="30">
        <v>45414</v>
      </c>
      <c r="D764">
        <v>125.720001220703</v>
      </c>
      <c r="E764" s="20">
        <f t="shared" si="22"/>
        <v>1.0692192600538639E-2</v>
      </c>
      <c r="G764" s="29">
        <v>45414</v>
      </c>
      <c r="H764" s="31">
        <v>22648.19921875</v>
      </c>
      <c r="I764" s="20">
        <f t="shared" si="23"/>
        <v>1.9177127972141625E-3</v>
      </c>
    </row>
    <row r="765" spans="2:9" ht="14.25" customHeight="1" x14ac:dyDescent="0.35">
      <c r="B765" s="29"/>
      <c r="C765" s="30">
        <v>45415</v>
      </c>
      <c r="D765">
        <v>125.129997253418</v>
      </c>
      <c r="E765" s="20">
        <f t="shared" si="22"/>
        <v>-4.6930000123786252E-3</v>
      </c>
      <c r="G765" s="29">
        <v>45415</v>
      </c>
      <c r="H765" s="31">
        <v>22475.849609375</v>
      </c>
      <c r="I765" s="20">
        <f t="shared" si="23"/>
        <v>-7.6098592965534824E-3</v>
      </c>
    </row>
    <row r="766" spans="2:9" ht="14.25" customHeight="1" x14ac:dyDescent="0.35">
      <c r="B766" s="29"/>
      <c r="C766" s="30">
        <v>45418</v>
      </c>
      <c r="D766">
        <v>118.360000610352</v>
      </c>
      <c r="E766" s="20">
        <f t="shared" si="22"/>
        <v>-5.4103706478592348E-2</v>
      </c>
      <c r="G766" s="29">
        <v>45418</v>
      </c>
      <c r="H766" s="31">
        <v>22442.69921875</v>
      </c>
      <c r="I766" s="20">
        <f t="shared" si="23"/>
        <v>-1.4749338156797639E-3</v>
      </c>
    </row>
    <row r="767" spans="2:9" ht="14.25" customHeight="1" x14ac:dyDescent="0.35">
      <c r="B767" s="29"/>
      <c r="C767" s="30">
        <v>45419</v>
      </c>
      <c r="D767">
        <v>115.34999847412099</v>
      </c>
      <c r="E767" s="20">
        <f t="shared" si="22"/>
        <v>-2.5430906731236939E-2</v>
      </c>
      <c r="G767" s="29">
        <v>45419</v>
      </c>
      <c r="H767" s="31">
        <v>22302.5</v>
      </c>
      <c r="I767" s="20">
        <f t="shared" si="23"/>
        <v>-6.2469855957820357E-3</v>
      </c>
    </row>
    <row r="768" spans="2:9" ht="14.25" customHeight="1" x14ac:dyDescent="0.35">
      <c r="B768" s="29"/>
      <c r="C768" s="30">
        <v>45420</v>
      </c>
      <c r="D768">
        <v>111.540000915527</v>
      </c>
      <c r="E768" s="20">
        <f t="shared" si="22"/>
        <v>-3.3029888244417896E-2</v>
      </c>
      <c r="G768" s="29">
        <v>45420</v>
      </c>
      <c r="H768" s="31">
        <v>22302.5</v>
      </c>
      <c r="I768" s="20">
        <f t="shared" si="23"/>
        <v>0</v>
      </c>
    </row>
    <row r="769" spans="2:9" ht="14.25" customHeight="1" x14ac:dyDescent="0.35">
      <c r="B769" s="29"/>
      <c r="C769" s="30">
        <v>45421</v>
      </c>
      <c r="D769">
        <v>109.09999847412099</v>
      </c>
      <c r="E769" s="20">
        <f t="shared" si="22"/>
        <v>-2.1875582045708466E-2</v>
      </c>
      <c r="G769" s="29">
        <v>45421</v>
      </c>
      <c r="H769" s="31">
        <v>21957.5</v>
      </c>
      <c r="I769" s="20">
        <f t="shared" si="23"/>
        <v>-1.5469117811904494E-2</v>
      </c>
    </row>
    <row r="770" spans="2:9" ht="14.25" customHeight="1" x14ac:dyDescent="0.35">
      <c r="B770" s="29"/>
      <c r="C770" s="30">
        <v>45422</v>
      </c>
      <c r="D770">
        <v>109.629997253418</v>
      </c>
      <c r="E770" s="20">
        <f t="shared" si="22"/>
        <v>4.8579173850558845E-3</v>
      </c>
      <c r="G770" s="29">
        <v>45422</v>
      </c>
      <c r="H770" s="31">
        <v>22055.19921875</v>
      </c>
      <c r="I770" s="20">
        <f t="shared" si="23"/>
        <v>4.4494691449390869E-3</v>
      </c>
    </row>
    <row r="771" spans="2:9" ht="14.25" customHeight="1" x14ac:dyDescent="0.35">
      <c r="B771" s="29"/>
      <c r="C771" s="30">
        <v>45425</v>
      </c>
      <c r="D771">
        <v>109.870002746582</v>
      </c>
      <c r="E771" s="20">
        <f t="shared" si="22"/>
        <v>2.189231954546299E-3</v>
      </c>
      <c r="G771" s="29">
        <v>45425</v>
      </c>
      <c r="H771" s="31">
        <v>22104.05078125</v>
      </c>
      <c r="I771" s="20">
        <f t="shared" si="23"/>
        <v>2.214968090538459E-3</v>
      </c>
    </row>
    <row r="772" spans="2:9" ht="14.25" customHeight="1" x14ac:dyDescent="0.35">
      <c r="B772" s="29"/>
      <c r="C772" s="30">
        <v>45426</v>
      </c>
      <c r="D772">
        <v>113.30999755859401</v>
      </c>
      <c r="E772" s="20">
        <f t="shared" si="22"/>
        <v>3.1309681678505459E-2</v>
      </c>
      <c r="G772" s="29">
        <v>45426</v>
      </c>
      <c r="H772" s="31">
        <v>22217.849609375</v>
      </c>
      <c r="I772" s="20">
        <f t="shared" si="23"/>
        <v>5.1483245877054842E-3</v>
      </c>
    </row>
    <row r="773" spans="2:9" ht="14.25" customHeight="1" x14ac:dyDescent="0.35">
      <c r="B773" s="29"/>
      <c r="C773" s="30">
        <v>45427</v>
      </c>
      <c r="D773">
        <v>119</v>
      </c>
      <c r="E773" s="20">
        <f t="shared" ref="E773:E836" si="24">(D773-D772)/D772</f>
        <v>5.0216243614899236E-2</v>
      </c>
      <c r="G773" s="29">
        <v>45427</v>
      </c>
      <c r="H773" s="31">
        <v>22200.55078125</v>
      </c>
      <c r="I773" s="20">
        <f t="shared" ref="I773:I836" si="25">(H773-H772)/H772</f>
        <v>-7.7860046895360301E-4</v>
      </c>
    </row>
    <row r="774" spans="2:9" ht="14.25" customHeight="1" x14ac:dyDescent="0.35">
      <c r="B774" s="29"/>
      <c r="C774" s="30">
        <v>45428</v>
      </c>
      <c r="D774">
        <v>113.699996948242</v>
      </c>
      <c r="E774" s="20">
        <f t="shared" si="24"/>
        <v>-4.4537840771075608E-2</v>
      </c>
      <c r="G774" s="29">
        <v>45428</v>
      </c>
      <c r="H774" s="31">
        <v>22403.849609375</v>
      </c>
      <c r="I774" s="20">
        <f t="shared" si="25"/>
        <v>9.1573776762647191E-3</v>
      </c>
    </row>
    <row r="775" spans="2:9" ht="14.25" customHeight="1" x14ac:dyDescent="0.35">
      <c r="B775" s="29"/>
      <c r="C775" s="30">
        <v>45429</v>
      </c>
      <c r="D775">
        <v>113.800003051758</v>
      </c>
      <c r="E775" s="20">
        <f t="shared" si="24"/>
        <v>8.7956118030081221E-4</v>
      </c>
      <c r="G775" s="29">
        <v>45429</v>
      </c>
      <c r="H775" s="31">
        <v>22466.099609375</v>
      </c>
      <c r="I775" s="20">
        <f t="shared" si="25"/>
        <v>2.7785403439751347E-3</v>
      </c>
    </row>
    <row r="776" spans="2:9" ht="14.25" customHeight="1" x14ac:dyDescent="0.35">
      <c r="B776" s="29"/>
      <c r="C776" s="30">
        <v>45433</v>
      </c>
      <c r="D776">
        <v>116.199996948242</v>
      </c>
      <c r="E776" s="20">
        <f t="shared" si="24"/>
        <v>2.1089576732194384E-2</v>
      </c>
      <c r="G776" s="29">
        <v>45433</v>
      </c>
      <c r="H776" s="31">
        <v>22529.05078125</v>
      </c>
      <c r="I776" s="20">
        <f t="shared" si="25"/>
        <v>2.8020516676036979E-3</v>
      </c>
    </row>
    <row r="777" spans="2:9" ht="14.25" customHeight="1" x14ac:dyDescent="0.35">
      <c r="B777" s="29"/>
      <c r="C777" s="30">
        <v>45434</v>
      </c>
      <c r="D777">
        <v>116</v>
      </c>
      <c r="E777" s="20">
        <f t="shared" si="24"/>
        <v>-1.721144178093961E-3</v>
      </c>
      <c r="G777" s="29">
        <v>45434</v>
      </c>
      <c r="H777" s="31">
        <v>22597.80078125</v>
      </c>
      <c r="I777" s="20">
        <f t="shared" si="25"/>
        <v>3.051615474950138E-3</v>
      </c>
    </row>
    <row r="778" spans="2:9" ht="14.25" customHeight="1" x14ac:dyDescent="0.35">
      <c r="B778" s="29"/>
      <c r="C778" s="30">
        <v>45435</v>
      </c>
      <c r="D778">
        <v>117.699996948242</v>
      </c>
      <c r="E778" s="20">
        <f t="shared" si="24"/>
        <v>1.4655146105534507E-2</v>
      </c>
      <c r="G778" s="29">
        <v>45435</v>
      </c>
      <c r="H778" s="31">
        <v>22967.650390625</v>
      </c>
      <c r="I778" s="20">
        <f t="shared" si="25"/>
        <v>1.6366619608483058E-2</v>
      </c>
    </row>
    <row r="779" spans="2:9" ht="14.25" customHeight="1" x14ac:dyDescent="0.35">
      <c r="B779" s="29"/>
      <c r="C779" s="30">
        <v>45436</v>
      </c>
      <c r="D779">
        <v>117.199996948242</v>
      </c>
      <c r="E779" s="20">
        <f t="shared" si="24"/>
        <v>-4.2480884703835001E-3</v>
      </c>
      <c r="G779" s="29">
        <v>45436</v>
      </c>
      <c r="H779" s="31">
        <v>22957.099609375</v>
      </c>
      <c r="I779" s="20">
        <f t="shared" si="25"/>
        <v>-4.5937573371922485E-4</v>
      </c>
    </row>
    <row r="780" spans="2:9" ht="14.25" customHeight="1" x14ac:dyDescent="0.35">
      <c r="B780" s="29"/>
      <c r="C780" s="30">
        <v>45439</v>
      </c>
      <c r="D780">
        <v>117</v>
      </c>
      <c r="E780" s="20">
        <f t="shared" si="24"/>
        <v>-1.706458647181754E-3</v>
      </c>
      <c r="G780" s="29">
        <v>45439</v>
      </c>
      <c r="H780" s="31">
        <v>22932.44921875</v>
      </c>
      <c r="I780" s="20">
        <f t="shared" si="25"/>
        <v>-1.0737589261900274E-3</v>
      </c>
    </row>
    <row r="781" spans="2:9" ht="14.25" customHeight="1" x14ac:dyDescent="0.35">
      <c r="B781" s="29"/>
      <c r="C781" s="30">
        <v>45440</v>
      </c>
      <c r="D781">
        <v>115.949996948242</v>
      </c>
      <c r="E781" s="20">
        <f t="shared" si="24"/>
        <v>-8.9743850577606605E-3</v>
      </c>
      <c r="G781" s="29">
        <v>45440</v>
      </c>
      <c r="H781" s="31">
        <v>22888.150390625</v>
      </c>
      <c r="I781" s="20">
        <f t="shared" si="25"/>
        <v>-1.9317094176221025E-3</v>
      </c>
    </row>
    <row r="782" spans="2:9" ht="14.25" customHeight="1" x14ac:dyDescent="0.35">
      <c r="B782" s="29"/>
      <c r="C782" s="30">
        <v>45441</v>
      </c>
      <c r="D782">
        <v>116.550003051758</v>
      </c>
      <c r="E782" s="20">
        <f t="shared" si="24"/>
        <v>5.1746970186107586E-3</v>
      </c>
      <c r="G782" s="29">
        <v>45441</v>
      </c>
      <c r="H782" s="31">
        <v>22704.69921875</v>
      </c>
      <c r="I782" s="20">
        <f t="shared" si="25"/>
        <v>-8.0151156272610692E-3</v>
      </c>
    </row>
    <row r="783" spans="2:9" ht="14.25" customHeight="1" x14ac:dyDescent="0.35">
      <c r="B783" s="29"/>
      <c r="C783" s="30">
        <v>45442</v>
      </c>
      <c r="D783">
        <v>115.050003051758</v>
      </c>
      <c r="E783" s="20">
        <f t="shared" si="24"/>
        <v>-1.2870012533023049E-2</v>
      </c>
      <c r="G783" s="29">
        <v>45442</v>
      </c>
      <c r="H783" s="31">
        <v>22488.650390625</v>
      </c>
      <c r="I783" s="20">
        <f t="shared" si="25"/>
        <v>-9.5155996581792416E-3</v>
      </c>
    </row>
    <row r="784" spans="2:9" ht="14.25" customHeight="1" x14ac:dyDescent="0.35">
      <c r="B784" s="29"/>
      <c r="C784" s="30">
        <v>45443</v>
      </c>
      <c r="D784">
        <v>118</v>
      </c>
      <c r="E784" s="20">
        <f t="shared" si="24"/>
        <v>2.5640998435392269E-2</v>
      </c>
      <c r="G784" s="29">
        <v>45443</v>
      </c>
      <c r="H784" s="31">
        <v>22530.69921875</v>
      </c>
      <c r="I784" s="20">
        <f t="shared" si="25"/>
        <v>1.869779973213919E-3</v>
      </c>
    </row>
    <row r="785" spans="2:9" ht="14.25" customHeight="1" x14ac:dyDescent="0.35">
      <c r="B785" s="29"/>
      <c r="C785" s="30">
        <v>45446</v>
      </c>
      <c r="D785">
        <v>128.25</v>
      </c>
      <c r="E785" s="20">
        <f t="shared" si="24"/>
        <v>8.6864406779661021E-2</v>
      </c>
      <c r="G785" s="29">
        <v>45446</v>
      </c>
      <c r="H785" s="31">
        <v>23263.900390625</v>
      </c>
      <c r="I785" s="20">
        <f t="shared" si="25"/>
        <v>3.2542317695352818E-2</v>
      </c>
    </row>
    <row r="786" spans="2:9" ht="14.25" customHeight="1" x14ac:dyDescent="0.35">
      <c r="B786" s="29"/>
      <c r="C786" s="30">
        <v>45447</v>
      </c>
      <c r="D786">
        <v>109.84999847412099</v>
      </c>
      <c r="E786" s="20">
        <f t="shared" si="24"/>
        <v>-0.14346979747274077</v>
      </c>
      <c r="G786" s="29">
        <v>45447</v>
      </c>
      <c r="H786" s="31">
        <v>21884.5</v>
      </c>
      <c r="I786" s="20">
        <f t="shared" si="25"/>
        <v>-5.9293599416410735E-2</v>
      </c>
    </row>
    <row r="787" spans="2:9" ht="14.25" customHeight="1" x14ac:dyDescent="0.35">
      <c r="B787" s="29"/>
      <c r="C787" s="30">
        <v>45448</v>
      </c>
      <c r="D787">
        <v>115.199996948242</v>
      </c>
      <c r="E787" s="20">
        <f t="shared" si="24"/>
        <v>4.8702763299367617E-2</v>
      </c>
      <c r="G787" s="29">
        <v>45448</v>
      </c>
      <c r="H787" s="31">
        <v>22620.349609375</v>
      </c>
      <c r="I787" s="20">
        <f t="shared" si="25"/>
        <v>3.362423676003564E-2</v>
      </c>
    </row>
    <row r="788" spans="2:9" ht="14.25" customHeight="1" x14ac:dyDescent="0.35">
      <c r="B788" s="29"/>
      <c r="C788" s="30">
        <v>45449</v>
      </c>
      <c r="D788">
        <v>118</v>
      </c>
      <c r="E788" s="20">
        <f t="shared" si="24"/>
        <v>2.4305582690388485E-2</v>
      </c>
      <c r="G788" s="29">
        <v>45449</v>
      </c>
      <c r="H788" s="31">
        <v>22821.400390625</v>
      </c>
      <c r="I788" s="20">
        <f t="shared" si="25"/>
        <v>8.8880492442377883E-3</v>
      </c>
    </row>
    <row r="789" spans="2:9" ht="14.25" customHeight="1" x14ac:dyDescent="0.35">
      <c r="B789" s="29"/>
      <c r="C789" s="30">
        <v>45450</v>
      </c>
      <c r="D789">
        <v>118.90000152587901</v>
      </c>
      <c r="E789" s="20">
        <f t="shared" si="24"/>
        <v>7.6271315752458116E-3</v>
      </c>
      <c r="G789" s="29">
        <v>45450</v>
      </c>
      <c r="H789" s="31">
        <v>23290.150390625</v>
      </c>
      <c r="I789" s="20">
        <f t="shared" si="25"/>
        <v>2.0539931466807E-2</v>
      </c>
    </row>
    <row r="790" spans="2:9" ht="14.25" customHeight="1" x14ac:dyDescent="0.35">
      <c r="B790" s="29"/>
      <c r="C790" s="30">
        <v>45453</v>
      </c>
      <c r="D790">
        <v>121.029998779297</v>
      </c>
      <c r="E790" s="20">
        <f t="shared" si="24"/>
        <v>1.7914190295064004E-2</v>
      </c>
      <c r="G790" s="29">
        <v>45453</v>
      </c>
      <c r="H790" s="31">
        <v>23259.19921875</v>
      </c>
      <c r="I790" s="20">
        <f t="shared" si="25"/>
        <v>-1.328938257412833E-3</v>
      </c>
    </row>
    <row r="791" spans="2:9" ht="14.25" customHeight="1" x14ac:dyDescent="0.35">
      <c r="B791" s="29"/>
      <c r="C791" s="30">
        <v>45454</v>
      </c>
      <c r="D791">
        <v>121.23000335693401</v>
      </c>
      <c r="E791" s="20">
        <f t="shared" si="24"/>
        <v>1.6525206944909521E-3</v>
      </c>
      <c r="G791" s="29">
        <v>45454</v>
      </c>
      <c r="H791" s="31">
        <v>23264.849609375</v>
      </c>
      <c r="I791" s="20">
        <f t="shared" si="25"/>
        <v>2.4293143421915555E-4</v>
      </c>
    </row>
    <row r="792" spans="2:9" ht="14.25" customHeight="1" x14ac:dyDescent="0.35">
      <c r="B792" s="29"/>
      <c r="C792" s="30">
        <v>45455</v>
      </c>
      <c r="D792">
        <v>122.790000915527</v>
      </c>
      <c r="E792" s="20">
        <f t="shared" si="24"/>
        <v>1.2868081459999146E-2</v>
      </c>
      <c r="G792" s="29">
        <v>45455</v>
      </c>
      <c r="H792" s="31">
        <v>23322.94921875</v>
      </c>
      <c r="I792" s="20">
        <f t="shared" si="25"/>
        <v>2.4973129141392641E-3</v>
      </c>
    </row>
    <row r="793" spans="2:9" ht="14.25" customHeight="1" x14ac:dyDescent="0.35">
      <c r="B793" s="29"/>
      <c r="C793" s="30">
        <v>45456</v>
      </c>
      <c r="D793">
        <v>121.919998168945</v>
      </c>
      <c r="E793" s="20">
        <f t="shared" si="24"/>
        <v>-7.0852898452254147E-3</v>
      </c>
      <c r="G793" s="29">
        <v>45456</v>
      </c>
      <c r="H793" s="31">
        <v>23398.900390625</v>
      </c>
      <c r="I793" s="20">
        <f t="shared" si="25"/>
        <v>3.2564994745150257E-3</v>
      </c>
    </row>
    <row r="794" spans="2:9" ht="14.25" customHeight="1" x14ac:dyDescent="0.35">
      <c r="B794" s="29"/>
      <c r="C794" s="30">
        <v>45457</v>
      </c>
      <c r="D794">
        <v>120.80999755859401</v>
      </c>
      <c r="E794" s="20">
        <f t="shared" si="24"/>
        <v>-9.104335851554575E-3</v>
      </c>
      <c r="G794" s="29">
        <v>45457</v>
      </c>
      <c r="H794" s="31">
        <v>23465.599609375</v>
      </c>
      <c r="I794" s="20">
        <f t="shared" si="25"/>
        <v>2.8505279152657831E-3</v>
      </c>
    </row>
    <row r="795" spans="2:9" ht="14.25" customHeight="1" x14ac:dyDescent="0.35">
      <c r="B795" s="29"/>
      <c r="C795" s="30">
        <v>45461</v>
      </c>
      <c r="D795">
        <v>121.879997253418</v>
      </c>
      <c r="E795" s="20">
        <f t="shared" si="24"/>
        <v>8.8568803612882399E-3</v>
      </c>
      <c r="G795" s="29">
        <v>45461</v>
      </c>
      <c r="H795" s="31">
        <v>23557.900390625</v>
      </c>
      <c r="I795" s="20">
        <f t="shared" si="25"/>
        <v>3.9334507869606666E-3</v>
      </c>
    </row>
    <row r="796" spans="2:9" ht="14.25" customHeight="1" x14ac:dyDescent="0.35">
      <c r="B796" s="29"/>
      <c r="C796" s="30">
        <v>45462</v>
      </c>
      <c r="D796">
        <v>121.16000366210901</v>
      </c>
      <c r="E796" s="20">
        <f t="shared" si="24"/>
        <v>-5.9073975019210967E-3</v>
      </c>
      <c r="G796" s="29">
        <v>45462</v>
      </c>
      <c r="H796" s="31">
        <v>23516</v>
      </c>
      <c r="I796" s="20">
        <f t="shared" si="25"/>
        <v>-1.7786131162042989E-3</v>
      </c>
    </row>
    <row r="797" spans="2:9" ht="14.25" customHeight="1" x14ac:dyDescent="0.35">
      <c r="B797" s="29"/>
      <c r="C797" s="30">
        <v>45463</v>
      </c>
      <c r="D797">
        <v>121.199996948242</v>
      </c>
      <c r="E797" s="20">
        <f t="shared" si="24"/>
        <v>3.3008653783579033E-4</v>
      </c>
      <c r="G797" s="29">
        <v>45463</v>
      </c>
      <c r="H797" s="31">
        <v>23567</v>
      </c>
      <c r="I797" s="20">
        <f t="shared" si="25"/>
        <v>2.1687361796223848E-3</v>
      </c>
    </row>
    <row r="798" spans="2:9" ht="14.25" customHeight="1" x14ac:dyDescent="0.35">
      <c r="B798" s="29"/>
      <c r="C798" s="30">
        <v>45464</v>
      </c>
      <c r="D798">
        <v>119.120002746582</v>
      </c>
      <c r="E798" s="20">
        <f t="shared" si="24"/>
        <v>-1.7161668762650659E-2</v>
      </c>
      <c r="G798" s="29">
        <v>45464</v>
      </c>
      <c r="H798" s="31">
        <v>23501.099609375</v>
      </c>
      <c r="I798" s="20">
        <f t="shared" si="25"/>
        <v>-2.7962995130903384E-3</v>
      </c>
    </row>
    <row r="799" spans="2:9" ht="14.25" customHeight="1" x14ac:dyDescent="0.35">
      <c r="B799" s="29"/>
      <c r="C799" s="30">
        <v>45467</v>
      </c>
      <c r="D799">
        <v>118.26999664306599</v>
      </c>
      <c r="E799" s="20">
        <f t="shared" si="24"/>
        <v>-7.1357125916486647E-3</v>
      </c>
      <c r="G799" s="29">
        <v>45467</v>
      </c>
      <c r="H799" s="31">
        <v>23537.849609375</v>
      </c>
      <c r="I799" s="20">
        <f t="shared" si="25"/>
        <v>1.5637566161091365E-3</v>
      </c>
    </row>
    <row r="800" spans="2:9" ht="14.25" customHeight="1" x14ac:dyDescent="0.35">
      <c r="B800" s="29"/>
      <c r="C800" s="30">
        <v>45468</v>
      </c>
      <c r="D800">
        <v>118.050003051758</v>
      </c>
      <c r="E800" s="20">
        <f t="shared" si="24"/>
        <v>-1.8600963689204165E-3</v>
      </c>
      <c r="G800" s="29">
        <v>45468</v>
      </c>
      <c r="H800" s="31">
        <v>23721.30078125</v>
      </c>
      <c r="I800" s="20">
        <f t="shared" si="25"/>
        <v>7.7938798539154731E-3</v>
      </c>
    </row>
    <row r="801" spans="2:9" ht="14.25" customHeight="1" x14ac:dyDescent="0.35">
      <c r="B801" s="29"/>
      <c r="C801" s="30">
        <v>45469</v>
      </c>
      <c r="D801">
        <v>118.69000244140599</v>
      </c>
      <c r="E801" s="20">
        <f t="shared" si="24"/>
        <v>5.421426286345751E-3</v>
      </c>
      <c r="G801" s="29">
        <v>45469</v>
      </c>
      <c r="H801" s="31">
        <v>23868.80078125</v>
      </c>
      <c r="I801" s="20">
        <f t="shared" si="25"/>
        <v>6.2180401218380173E-3</v>
      </c>
    </row>
    <row r="802" spans="2:9" ht="14.25" customHeight="1" x14ac:dyDescent="0.35">
      <c r="B802" s="29"/>
      <c r="C802" s="30">
        <v>45470</v>
      </c>
      <c r="D802">
        <v>118.110000610352</v>
      </c>
      <c r="E802" s="20">
        <f t="shared" si="24"/>
        <v>-4.886694912154225E-3</v>
      </c>
      <c r="G802" s="29">
        <v>45470</v>
      </c>
      <c r="H802" s="31">
        <v>24044.5</v>
      </c>
      <c r="I802" s="20">
        <f t="shared" si="25"/>
        <v>7.3610408985448281E-3</v>
      </c>
    </row>
    <row r="803" spans="2:9" ht="14.25" customHeight="1" x14ac:dyDescent="0.35">
      <c r="B803" s="29"/>
      <c r="C803" s="30">
        <v>45471</v>
      </c>
      <c r="D803">
        <v>119.470001220703</v>
      </c>
      <c r="E803" s="20">
        <f t="shared" si="24"/>
        <v>1.1514694804190814E-2</v>
      </c>
      <c r="G803" s="29">
        <v>45471</v>
      </c>
      <c r="H803" s="31">
        <v>24010.599609375</v>
      </c>
      <c r="I803" s="20">
        <f t="shared" si="25"/>
        <v>-1.4099020825968517E-3</v>
      </c>
    </row>
    <row r="804" spans="2:9" ht="14.25" customHeight="1" x14ac:dyDescent="0.35">
      <c r="B804" s="29"/>
      <c r="C804" s="30">
        <v>45474</v>
      </c>
      <c r="D804">
        <v>118.360000610352</v>
      </c>
      <c r="E804" s="20">
        <f t="shared" si="24"/>
        <v>-9.2910404202677932E-3</v>
      </c>
      <c r="G804" s="29">
        <v>45474</v>
      </c>
      <c r="H804" s="31">
        <v>24141.94921875</v>
      </c>
      <c r="I804" s="20">
        <f t="shared" si="25"/>
        <v>5.4704843490753228E-3</v>
      </c>
    </row>
    <row r="805" spans="2:9" ht="14.25" customHeight="1" x14ac:dyDescent="0.35">
      <c r="B805" s="29"/>
      <c r="C805" s="30">
        <v>45475</v>
      </c>
      <c r="D805">
        <v>116.25</v>
      </c>
      <c r="E805" s="20">
        <f t="shared" si="24"/>
        <v>-1.7826973635276057E-2</v>
      </c>
      <c r="G805" s="29">
        <v>45475</v>
      </c>
      <c r="H805" s="31">
        <v>24123.849609375</v>
      </c>
      <c r="I805" s="20">
        <f t="shared" si="25"/>
        <v>-7.4971615634676354E-4</v>
      </c>
    </row>
    <row r="806" spans="2:9" ht="14.25" customHeight="1" x14ac:dyDescent="0.35">
      <c r="B806" s="29"/>
      <c r="C806" s="30">
        <v>45476</v>
      </c>
      <c r="D806">
        <v>117.050003051758</v>
      </c>
      <c r="E806" s="20">
        <f t="shared" si="24"/>
        <v>6.8817466817892234E-3</v>
      </c>
      <c r="G806" s="29">
        <v>45476</v>
      </c>
      <c r="H806" s="31">
        <v>24286.5</v>
      </c>
      <c r="I806" s="20">
        <f t="shared" si="25"/>
        <v>6.742306607722794E-3</v>
      </c>
    </row>
    <row r="807" spans="2:9" ht="14.25" customHeight="1" x14ac:dyDescent="0.35">
      <c r="B807" s="29"/>
      <c r="C807" s="30">
        <v>45477</v>
      </c>
      <c r="D807">
        <v>117.26999664306599</v>
      </c>
      <c r="E807" s="20">
        <f t="shared" si="24"/>
        <v>1.879483857943332E-3</v>
      </c>
      <c r="G807" s="29">
        <v>45477</v>
      </c>
      <c r="H807" s="31">
        <v>24302.150390625</v>
      </c>
      <c r="I807" s="20">
        <f t="shared" si="25"/>
        <v>6.4440700080291519E-4</v>
      </c>
    </row>
    <row r="808" spans="2:9" ht="14.25" customHeight="1" x14ac:dyDescent="0.35">
      <c r="B808" s="29"/>
      <c r="C808" s="30">
        <v>45478</v>
      </c>
      <c r="D808">
        <v>117.76000213623099</v>
      </c>
      <c r="E808" s="20">
        <f t="shared" si="24"/>
        <v>4.1784387071863516E-3</v>
      </c>
      <c r="G808" s="29">
        <v>45478</v>
      </c>
      <c r="H808" s="31">
        <v>24323.849609375</v>
      </c>
      <c r="I808" s="20">
        <f t="shared" si="25"/>
        <v>8.928929498506795E-4</v>
      </c>
    </row>
    <row r="809" spans="2:9" ht="14.25" customHeight="1" x14ac:dyDescent="0.35">
      <c r="B809" s="29"/>
      <c r="C809" s="30">
        <v>45481</v>
      </c>
      <c r="D809">
        <v>114.889999389648</v>
      </c>
      <c r="E809" s="20">
        <f t="shared" si="24"/>
        <v>-2.4371626142319757E-2</v>
      </c>
      <c r="G809" s="29">
        <v>45481</v>
      </c>
      <c r="H809" s="31">
        <v>24320.55078125</v>
      </c>
      <c r="I809" s="20">
        <f t="shared" si="25"/>
        <v>-1.3562113637343622E-4</v>
      </c>
    </row>
    <row r="810" spans="2:9" ht="14.25" customHeight="1" x14ac:dyDescent="0.35">
      <c r="B810" s="29"/>
      <c r="C810" s="30">
        <v>45482</v>
      </c>
      <c r="D810">
        <v>116</v>
      </c>
      <c r="E810" s="20">
        <f t="shared" si="24"/>
        <v>9.661420630593354E-3</v>
      </c>
      <c r="G810" s="29">
        <v>45482</v>
      </c>
      <c r="H810" s="31">
        <v>24433.19921875</v>
      </c>
      <c r="I810" s="20">
        <f t="shared" si="25"/>
        <v>4.631820986013468E-3</v>
      </c>
    </row>
    <row r="811" spans="2:9" ht="14.25" customHeight="1" x14ac:dyDescent="0.35">
      <c r="B811" s="29"/>
      <c r="C811" s="30">
        <v>45483</v>
      </c>
      <c r="D811">
        <v>114.76000213623099</v>
      </c>
      <c r="E811" s="20">
        <f t="shared" si="24"/>
        <v>-1.0689636756629357E-2</v>
      </c>
      <c r="G811" s="29">
        <v>45483</v>
      </c>
      <c r="H811" s="31">
        <v>24324.44921875</v>
      </c>
      <c r="I811" s="20">
        <f t="shared" si="25"/>
        <v>-4.4509111977667423E-3</v>
      </c>
    </row>
    <row r="812" spans="2:9" ht="14.25" customHeight="1" x14ac:dyDescent="0.35">
      <c r="B812" s="29"/>
      <c r="C812" s="30">
        <v>45484</v>
      </c>
      <c r="D812">
        <v>114.15000152587901</v>
      </c>
      <c r="E812" s="20">
        <f t="shared" si="24"/>
        <v>-5.315446139743535E-3</v>
      </c>
      <c r="G812" s="29">
        <v>45484</v>
      </c>
      <c r="H812" s="31">
        <v>24315.94921875</v>
      </c>
      <c r="I812" s="20">
        <f t="shared" si="25"/>
        <v>-3.4944265021417015E-4</v>
      </c>
    </row>
    <row r="813" spans="2:9" ht="14.25" customHeight="1" x14ac:dyDescent="0.35">
      <c r="B813" s="29"/>
      <c r="C813" s="30">
        <v>45485</v>
      </c>
      <c r="D813">
        <v>112.720001220703</v>
      </c>
      <c r="E813" s="20">
        <f t="shared" si="24"/>
        <v>-1.2527378765315325E-2</v>
      </c>
      <c r="G813" s="29">
        <v>45485</v>
      </c>
      <c r="H813" s="31">
        <v>24502.150390625</v>
      </c>
      <c r="I813" s="20">
        <f t="shared" si="25"/>
        <v>7.6575736443560468E-3</v>
      </c>
    </row>
    <row r="814" spans="2:9" ht="14.25" customHeight="1" x14ac:dyDescent="0.35">
      <c r="B814" s="29"/>
      <c r="C814" s="30">
        <v>45488</v>
      </c>
      <c r="D814">
        <v>117.25</v>
      </c>
      <c r="E814" s="20">
        <f t="shared" si="24"/>
        <v>4.0188065385373589E-2</v>
      </c>
      <c r="G814" s="29">
        <v>45488</v>
      </c>
      <c r="H814" s="31">
        <v>24586.69921875</v>
      </c>
      <c r="I814" s="20">
        <f t="shared" si="25"/>
        <v>3.4506697076412537E-3</v>
      </c>
    </row>
    <row r="815" spans="2:9" ht="14.25" customHeight="1" x14ac:dyDescent="0.35">
      <c r="B815" s="29"/>
      <c r="C815" s="30">
        <v>45489</v>
      </c>
      <c r="D815">
        <v>116.040000915527</v>
      </c>
      <c r="E815" s="20">
        <f t="shared" si="24"/>
        <v>-1.0319821615974391E-2</v>
      </c>
      <c r="G815" s="29">
        <v>45489</v>
      </c>
      <c r="H815" s="31">
        <v>24613</v>
      </c>
      <c r="I815" s="20">
        <f t="shared" si="25"/>
        <v>1.0697158254550424E-3</v>
      </c>
    </row>
    <row r="816" spans="2:9" ht="14.25" customHeight="1" x14ac:dyDescent="0.35">
      <c r="B816" s="29"/>
      <c r="C816" s="30">
        <v>45491</v>
      </c>
      <c r="D816">
        <v>115.76999664306599</v>
      </c>
      <c r="E816" s="20">
        <f t="shared" si="24"/>
        <v>-2.3268206681380677E-3</v>
      </c>
      <c r="G816" s="29">
        <v>45491</v>
      </c>
      <c r="H816" s="31">
        <v>24800.849609375</v>
      </c>
      <c r="I816" s="20">
        <f t="shared" si="25"/>
        <v>7.63212974342827E-3</v>
      </c>
    </row>
    <row r="817" spans="2:9" ht="14.25" customHeight="1" x14ac:dyDescent="0.35">
      <c r="B817" s="29"/>
      <c r="C817" s="30">
        <v>45492</v>
      </c>
      <c r="D817">
        <v>112.889999389648</v>
      </c>
      <c r="E817" s="20">
        <f t="shared" si="24"/>
        <v>-2.4876888113743362E-2</v>
      </c>
      <c r="G817" s="29">
        <v>45492</v>
      </c>
      <c r="H817" s="31">
        <v>24530.900390625</v>
      </c>
      <c r="I817" s="20">
        <f t="shared" si="25"/>
        <v>-1.0884676251089243E-2</v>
      </c>
    </row>
    <row r="818" spans="2:9" ht="14.25" customHeight="1" x14ac:dyDescent="0.35">
      <c r="B818" s="29"/>
      <c r="C818" s="30">
        <v>45495</v>
      </c>
      <c r="D818">
        <v>114.76000213623099</v>
      </c>
      <c r="E818" s="20">
        <f t="shared" si="24"/>
        <v>1.656482200986243E-2</v>
      </c>
      <c r="G818" s="29">
        <v>45495</v>
      </c>
      <c r="H818" s="31">
        <v>24509.25</v>
      </c>
      <c r="I818" s="20">
        <f t="shared" si="25"/>
        <v>-8.8257627238477363E-4</v>
      </c>
    </row>
    <row r="819" spans="2:9" ht="14.25" customHeight="1" x14ac:dyDescent="0.35">
      <c r="B819" s="29"/>
      <c r="C819" s="30">
        <v>45496</v>
      </c>
      <c r="D819">
        <v>112.860000610352</v>
      </c>
      <c r="E819" s="20">
        <f t="shared" si="24"/>
        <v>-1.6556304378798369E-2</v>
      </c>
      <c r="G819" s="29">
        <v>45496</v>
      </c>
      <c r="H819" s="31">
        <v>24479.05078125</v>
      </c>
      <c r="I819" s="20">
        <f t="shared" si="25"/>
        <v>-1.2321559717249609E-3</v>
      </c>
    </row>
    <row r="820" spans="2:9" ht="14.25" customHeight="1" x14ac:dyDescent="0.35">
      <c r="B820" s="29"/>
      <c r="C820" s="30">
        <v>45497</v>
      </c>
      <c r="D820">
        <v>112.459999084473</v>
      </c>
      <c r="E820" s="20">
        <f t="shared" si="24"/>
        <v>-3.5442275714671215E-3</v>
      </c>
      <c r="G820" s="29">
        <v>45497</v>
      </c>
      <c r="H820" s="31">
        <v>24413.5</v>
      </c>
      <c r="I820" s="20">
        <f t="shared" si="25"/>
        <v>-2.6778318259059845E-3</v>
      </c>
    </row>
    <row r="821" spans="2:9" ht="14.25" customHeight="1" x14ac:dyDescent="0.35">
      <c r="B821" s="29"/>
      <c r="C821" s="30">
        <v>45498</v>
      </c>
      <c r="D821">
        <v>111.889999389648</v>
      </c>
      <c r="E821" s="20">
        <f t="shared" si="24"/>
        <v>-5.0684661165331492E-3</v>
      </c>
      <c r="G821" s="29">
        <v>45498</v>
      </c>
      <c r="H821" s="31">
        <v>24406.099609375</v>
      </c>
      <c r="I821" s="20">
        <f t="shared" si="25"/>
        <v>-3.031269840457124E-4</v>
      </c>
    </row>
    <row r="822" spans="2:9" ht="14.25" customHeight="1" x14ac:dyDescent="0.35">
      <c r="B822" s="29"/>
      <c r="C822" s="30">
        <v>45499</v>
      </c>
      <c r="D822">
        <v>113.860000610352</v>
      </c>
      <c r="E822" s="20">
        <f t="shared" si="24"/>
        <v>1.7606588894898766E-2</v>
      </c>
      <c r="G822" s="29">
        <v>45499</v>
      </c>
      <c r="H822" s="31">
        <v>24834.849609375</v>
      </c>
      <c r="I822" s="20">
        <f t="shared" si="25"/>
        <v>1.756732976027461E-2</v>
      </c>
    </row>
    <row r="823" spans="2:9" ht="14.25" customHeight="1" x14ac:dyDescent="0.35">
      <c r="B823" s="29"/>
      <c r="C823" s="30">
        <v>45502</v>
      </c>
      <c r="D823">
        <v>115.91000366210901</v>
      </c>
      <c r="E823" s="20">
        <f t="shared" si="24"/>
        <v>1.8004593718319539E-2</v>
      </c>
      <c r="G823" s="29">
        <v>45502</v>
      </c>
      <c r="H823" s="31">
        <v>24836.099609375</v>
      </c>
      <c r="I823" s="20">
        <f t="shared" si="25"/>
        <v>5.0332497263367071E-5</v>
      </c>
    </row>
    <row r="824" spans="2:9" ht="14.25" customHeight="1" x14ac:dyDescent="0.35">
      <c r="B824" s="29"/>
      <c r="C824" s="30">
        <v>45503</v>
      </c>
      <c r="D824">
        <v>115.76999664306599</v>
      </c>
      <c r="E824" s="20">
        <f t="shared" si="24"/>
        <v>-1.207894181861541E-3</v>
      </c>
      <c r="G824" s="29">
        <v>45503</v>
      </c>
      <c r="H824" s="31">
        <v>24857.30078125</v>
      </c>
      <c r="I824" s="20">
        <f t="shared" si="25"/>
        <v>8.5364337430008915E-4</v>
      </c>
    </row>
    <row r="825" spans="2:9" ht="14.25" customHeight="1" x14ac:dyDescent="0.35">
      <c r="B825" s="29"/>
      <c r="C825" s="30">
        <v>45504</v>
      </c>
      <c r="D825">
        <v>114.709999084473</v>
      </c>
      <c r="E825" s="20">
        <f t="shared" si="24"/>
        <v>-9.1560645186948356E-3</v>
      </c>
      <c r="G825" s="29">
        <v>45504</v>
      </c>
      <c r="H825" s="31">
        <v>24951.150390625</v>
      </c>
      <c r="I825" s="20">
        <f t="shared" si="25"/>
        <v>3.7755350108564997E-3</v>
      </c>
    </row>
    <row r="826" spans="2:9" ht="14.25" customHeight="1" x14ac:dyDescent="0.35">
      <c r="B826" s="29"/>
      <c r="C826" s="30">
        <v>45505</v>
      </c>
      <c r="D826">
        <v>112.69000244140599</v>
      </c>
      <c r="E826" s="20">
        <f t="shared" si="24"/>
        <v>-1.7609595145925055E-2</v>
      </c>
      <c r="G826" s="29">
        <v>45505</v>
      </c>
      <c r="H826" s="31">
        <v>25010.900390625</v>
      </c>
      <c r="I826" s="20">
        <f t="shared" si="25"/>
        <v>2.3946791656728628E-3</v>
      </c>
    </row>
    <row r="827" spans="2:9" ht="14.25" customHeight="1" x14ac:dyDescent="0.35">
      <c r="B827" s="29"/>
      <c r="C827" s="30">
        <v>45506</v>
      </c>
      <c r="D827">
        <v>110.48999786377</v>
      </c>
      <c r="E827" s="20">
        <f t="shared" si="24"/>
        <v>-1.9522624278758914E-2</v>
      </c>
      <c r="G827" s="29">
        <v>45506</v>
      </c>
      <c r="H827" s="31">
        <v>24717.69921875</v>
      </c>
      <c r="I827" s="20">
        <f t="shared" si="25"/>
        <v>-1.1722935491954641E-2</v>
      </c>
    </row>
    <row r="828" spans="2:9" ht="14.25" customHeight="1" x14ac:dyDescent="0.35">
      <c r="B828" s="29"/>
      <c r="C828" s="30">
        <v>45509</v>
      </c>
      <c r="D828">
        <v>105.26000213623099</v>
      </c>
      <c r="E828" s="20">
        <f t="shared" si="24"/>
        <v>-4.7334562663195932E-2</v>
      </c>
      <c r="G828" s="29">
        <v>45509</v>
      </c>
      <c r="H828" s="31">
        <v>24055.599609375</v>
      </c>
      <c r="I828" s="20">
        <f t="shared" si="25"/>
        <v>-2.6786457894622889E-2</v>
      </c>
    </row>
    <row r="829" spans="2:9" ht="14.25" customHeight="1" x14ac:dyDescent="0.35">
      <c r="B829" s="29"/>
      <c r="C829" s="30">
        <v>45510</v>
      </c>
      <c r="D829">
        <v>105.029998779297</v>
      </c>
      <c r="E829" s="20">
        <f t="shared" si="24"/>
        <v>-2.1850973994501127E-3</v>
      </c>
      <c r="G829" s="29">
        <v>45510</v>
      </c>
      <c r="H829" s="31">
        <v>23992.55078125</v>
      </c>
      <c r="I829" s="20">
        <f t="shared" si="25"/>
        <v>-2.6209626510589443E-3</v>
      </c>
    </row>
    <row r="830" spans="2:9" ht="14.25" customHeight="1" x14ac:dyDescent="0.35">
      <c r="B830" s="29"/>
      <c r="C830" s="30">
        <v>45511</v>
      </c>
      <c r="D830">
        <v>108.220001220703</v>
      </c>
      <c r="E830" s="20">
        <f t="shared" si="24"/>
        <v>3.0372298186056839E-2</v>
      </c>
      <c r="G830" s="29">
        <v>45511</v>
      </c>
      <c r="H830" s="31">
        <v>24297.5</v>
      </c>
      <c r="I830" s="20">
        <f t="shared" si="25"/>
        <v>1.2710162480444369E-2</v>
      </c>
    </row>
    <row r="831" spans="2:9" ht="14.25" customHeight="1" x14ac:dyDescent="0.35">
      <c r="B831" s="29"/>
      <c r="C831" s="30">
        <v>45512</v>
      </c>
      <c r="D831">
        <v>107.15000152587901</v>
      </c>
      <c r="E831" s="20">
        <f t="shared" si="24"/>
        <v>-9.8872637475011915E-3</v>
      </c>
      <c r="G831" s="29">
        <v>45512</v>
      </c>
      <c r="H831" s="31">
        <v>24117</v>
      </c>
      <c r="I831" s="20">
        <f t="shared" si="25"/>
        <v>-7.428747813561066E-3</v>
      </c>
    </row>
    <row r="832" spans="2:9" ht="14.25" customHeight="1" x14ac:dyDescent="0.35">
      <c r="B832" s="29"/>
      <c r="C832" s="30">
        <v>45513</v>
      </c>
      <c r="D832">
        <v>110.65000152587901</v>
      </c>
      <c r="E832" s="20">
        <f t="shared" si="24"/>
        <v>3.2664488568902875E-2</v>
      </c>
      <c r="G832" s="29">
        <v>45513</v>
      </c>
      <c r="H832" s="31">
        <v>24367.5</v>
      </c>
      <c r="I832" s="20">
        <f t="shared" si="25"/>
        <v>1.0386864037815649E-2</v>
      </c>
    </row>
    <row r="833" spans="2:9" ht="14.25" customHeight="1" x14ac:dyDescent="0.35">
      <c r="B833" s="29"/>
      <c r="C833" s="30">
        <v>45516</v>
      </c>
      <c r="D833">
        <v>109.550003051758</v>
      </c>
      <c r="E833" s="20">
        <f t="shared" si="24"/>
        <v>-9.9412422860540046E-3</v>
      </c>
      <c r="G833" s="29">
        <v>45516</v>
      </c>
      <c r="H833" s="31">
        <v>24347</v>
      </c>
      <c r="I833" s="20">
        <f t="shared" si="25"/>
        <v>-8.412844977941931E-4</v>
      </c>
    </row>
    <row r="834" spans="2:9" ht="14.25" customHeight="1" x14ac:dyDescent="0.35">
      <c r="B834" s="29"/>
      <c r="C834" s="30">
        <v>45517</v>
      </c>
      <c r="D834">
        <v>106.69000244140599</v>
      </c>
      <c r="E834" s="20">
        <f t="shared" si="24"/>
        <v>-2.6106805391879057E-2</v>
      </c>
      <c r="G834" s="29">
        <v>45517</v>
      </c>
      <c r="H834" s="31">
        <v>24139</v>
      </c>
      <c r="I834" s="20">
        <f t="shared" si="25"/>
        <v>-8.5431469996303452E-3</v>
      </c>
    </row>
    <row r="835" spans="2:9" ht="14.25" customHeight="1" x14ac:dyDescent="0.35">
      <c r="B835" s="29"/>
      <c r="C835" s="30">
        <v>45518</v>
      </c>
      <c r="D835">
        <v>105.65000152587901</v>
      </c>
      <c r="E835" s="20">
        <f t="shared" si="24"/>
        <v>-9.7478760120767224E-3</v>
      </c>
      <c r="G835" s="29">
        <v>45518</v>
      </c>
      <c r="H835" s="31">
        <v>24143.75</v>
      </c>
      <c r="I835" s="20">
        <f t="shared" si="25"/>
        <v>1.9677699987571978E-4</v>
      </c>
    </row>
    <row r="836" spans="2:9" ht="14.25" customHeight="1" x14ac:dyDescent="0.35">
      <c r="B836" s="29"/>
      <c r="C836" s="30">
        <v>45520</v>
      </c>
      <c r="D836">
        <v>107.620002746582</v>
      </c>
      <c r="E836" s="20">
        <f t="shared" si="24"/>
        <v>1.8646485492197978E-2</v>
      </c>
      <c r="G836" s="29">
        <v>45520</v>
      </c>
      <c r="H836" s="31">
        <v>24541.150390625</v>
      </c>
      <c r="I836" s="20">
        <f t="shared" si="25"/>
        <v>1.6459762490292518E-2</v>
      </c>
    </row>
    <row r="837" spans="2:9" ht="14.25" customHeight="1" x14ac:dyDescent="0.35">
      <c r="B837" s="29"/>
      <c r="C837" s="30">
        <v>45523</v>
      </c>
      <c r="D837">
        <v>109.90000152587901</v>
      </c>
      <c r="E837" s="20">
        <f t="shared" ref="E837:E900" si="26">(D837-D836)/D836</f>
        <v>2.1185641340911558E-2</v>
      </c>
      <c r="G837" s="29">
        <v>45523</v>
      </c>
      <c r="H837" s="31">
        <v>24572.650390625</v>
      </c>
      <c r="I837" s="20">
        <f t="shared" ref="I837:I900" si="27">(H837-H836)/H836</f>
        <v>1.2835584110202657E-3</v>
      </c>
    </row>
    <row r="838" spans="2:9" ht="14.25" customHeight="1" x14ac:dyDescent="0.35">
      <c r="B838" s="29"/>
      <c r="C838" s="30">
        <v>45524</v>
      </c>
      <c r="D838">
        <v>111.360000610352</v>
      </c>
      <c r="E838" s="20">
        <f t="shared" si="26"/>
        <v>1.3284795852611522E-2</v>
      </c>
      <c r="G838" s="29">
        <v>45524</v>
      </c>
      <c r="H838" s="31">
        <v>24698.849609375</v>
      </c>
      <c r="I838" s="20">
        <f t="shared" si="27"/>
        <v>5.1357593399101852E-3</v>
      </c>
    </row>
    <row r="839" spans="2:9" ht="14.25" customHeight="1" x14ac:dyDescent="0.35">
      <c r="B839" s="29"/>
      <c r="C839" s="30">
        <v>45525</v>
      </c>
      <c r="D839">
        <v>111.629997253418</v>
      </c>
      <c r="E839" s="20">
        <f t="shared" si="26"/>
        <v>2.4245388073470906E-3</v>
      </c>
      <c r="G839" s="29">
        <v>45525</v>
      </c>
      <c r="H839" s="31">
        <v>24770.19921875</v>
      </c>
      <c r="I839" s="20">
        <f t="shared" si="27"/>
        <v>2.8887826964992596E-3</v>
      </c>
    </row>
    <row r="840" spans="2:9" ht="14.25" customHeight="1" x14ac:dyDescent="0.35">
      <c r="B840" s="29"/>
      <c r="C840" s="30">
        <v>45526</v>
      </c>
      <c r="D840">
        <v>112.330001831055</v>
      </c>
      <c r="E840" s="20">
        <f t="shared" si="26"/>
        <v>6.270756918929957E-3</v>
      </c>
      <c r="G840" s="29">
        <v>45526</v>
      </c>
      <c r="H840" s="31">
        <v>24811.5</v>
      </c>
      <c r="I840" s="20">
        <f t="shared" si="27"/>
        <v>1.667357653657345E-3</v>
      </c>
    </row>
    <row r="841" spans="2:9" ht="14.25" customHeight="1" x14ac:dyDescent="0.35">
      <c r="B841" s="29"/>
      <c r="C841" s="30">
        <v>45527</v>
      </c>
      <c r="D841">
        <v>112.09999847412099</v>
      </c>
      <c r="E841" s="20">
        <f t="shared" si="26"/>
        <v>-2.0475683538217358E-3</v>
      </c>
      <c r="G841" s="29">
        <v>45527</v>
      </c>
      <c r="H841" s="31">
        <v>24823.150390625</v>
      </c>
      <c r="I841" s="20">
        <f t="shared" si="27"/>
        <v>4.6955607782681415E-4</v>
      </c>
    </row>
    <row r="842" spans="2:9" ht="14.25" customHeight="1" x14ac:dyDescent="0.35">
      <c r="B842" s="29"/>
      <c r="C842" s="30">
        <v>45530</v>
      </c>
      <c r="D842">
        <v>111.41000366210901</v>
      </c>
      <c r="E842" s="20">
        <f t="shared" si="26"/>
        <v>-6.1551723586443985E-3</v>
      </c>
      <c r="G842" s="29">
        <v>45530</v>
      </c>
      <c r="H842" s="31">
        <v>25010.599609375</v>
      </c>
      <c r="I842" s="20">
        <f t="shared" si="27"/>
        <v>7.551387144670978E-3</v>
      </c>
    </row>
    <row r="843" spans="2:9" ht="14.25" customHeight="1" x14ac:dyDescent="0.35">
      <c r="B843" s="29"/>
      <c r="C843" s="30">
        <v>45531</v>
      </c>
      <c r="D843">
        <v>110.84999847412099</v>
      </c>
      <c r="E843" s="20">
        <f t="shared" si="26"/>
        <v>-5.0265251735062211E-3</v>
      </c>
      <c r="G843" s="29">
        <v>45531</v>
      </c>
      <c r="H843" s="31">
        <v>25017.75</v>
      </c>
      <c r="I843" s="20">
        <f t="shared" si="27"/>
        <v>2.8589441023715959E-4</v>
      </c>
    </row>
    <row r="844" spans="2:9" ht="14.25" customHeight="1" x14ac:dyDescent="0.35">
      <c r="B844" s="29"/>
      <c r="C844" s="30">
        <v>45532</v>
      </c>
      <c r="D844">
        <v>110.23000335693401</v>
      </c>
      <c r="E844" s="20">
        <f t="shared" si="26"/>
        <v>-5.5930999162957344E-3</v>
      </c>
      <c r="G844" s="29">
        <v>45532</v>
      </c>
      <c r="H844" s="31">
        <v>25052.349609375</v>
      </c>
      <c r="I844" s="20">
        <f t="shared" si="27"/>
        <v>1.3830024432652816E-3</v>
      </c>
    </row>
    <row r="845" spans="2:9" ht="14.25" customHeight="1" x14ac:dyDescent="0.35">
      <c r="B845" s="29"/>
      <c r="C845" s="30">
        <v>45533</v>
      </c>
      <c r="D845">
        <v>110.279998779297</v>
      </c>
      <c r="E845" s="20">
        <f t="shared" si="26"/>
        <v>4.5355548254051722E-4</v>
      </c>
      <c r="G845" s="29">
        <v>45533</v>
      </c>
      <c r="H845" s="31">
        <v>25151.94921875</v>
      </c>
      <c r="I845" s="20">
        <f t="shared" si="27"/>
        <v>3.9756594063228385E-3</v>
      </c>
    </row>
    <row r="846" spans="2:9" ht="14.25" customHeight="1" x14ac:dyDescent="0.35">
      <c r="B846" s="29"/>
      <c r="C846" s="30">
        <v>45534</v>
      </c>
      <c r="D846">
        <v>111.529998779297</v>
      </c>
      <c r="E846" s="20">
        <f t="shared" si="26"/>
        <v>1.1334784311175237E-2</v>
      </c>
      <c r="G846" s="29">
        <v>45534</v>
      </c>
      <c r="H846" s="31">
        <v>25235.900390625</v>
      </c>
      <c r="I846" s="20">
        <f t="shared" si="27"/>
        <v>3.3377600735777966E-3</v>
      </c>
    </row>
    <row r="847" spans="2:9" ht="14.25" customHeight="1" x14ac:dyDescent="0.35">
      <c r="B847" s="29"/>
      <c r="C847" s="30">
        <v>45537</v>
      </c>
      <c r="D847">
        <v>112.76999664306599</v>
      </c>
      <c r="E847" s="20">
        <f t="shared" si="26"/>
        <v>1.1118065788046692E-2</v>
      </c>
      <c r="G847" s="29">
        <v>45537</v>
      </c>
      <c r="H847" s="31">
        <v>25278.69921875</v>
      </c>
      <c r="I847" s="20">
        <f t="shared" si="27"/>
        <v>1.6959501132323192E-3</v>
      </c>
    </row>
    <row r="848" spans="2:9" ht="14.25" customHeight="1" x14ac:dyDescent="0.35">
      <c r="B848" s="29"/>
      <c r="C848" s="30">
        <v>45538</v>
      </c>
      <c r="D848">
        <v>111.419998168945</v>
      </c>
      <c r="E848" s="20">
        <f t="shared" si="26"/>
        <v>-1.1971255779974372E-2</v>
      </c>
      <c r="G848" s="29">
        <v>45538</v>
      </c>
      <c r="H848" s="31">
        <v>25279.849609375</v>
      </c>
      <c r="I848" s="20">
        <f t="shared" si="27"/>
        <v>4.5508299894905958E-5</v>
      </c>
    </row>
    <row r="849" spans="2:9" ht="14.25" customHeight="1" x14ac:dyDescent="0.35">
      <c r="B849" s="29"/>
      <c r="C849" s="30">
        <v>45539</v>
      </c>
      <c r="D849">
        <v>108.59999847412099</v>
      </c>
      <c r="E849" s="20">
        <f t="shared" si="26"/>
        <v>-2.5309636879979742E-2</v>
      </c>
      <c r="G849" s="29">
        <v>45539</v>
      </c>
      <c r="H849" s="31">
        <v>25198.69921875</v>
      </c>
      <c r="I849" s="20">
        <f t="shared" si="27"/>
        <v>-3.2100820170585776E-3</v>
      </c>
    </row>
    <row r="850" spans="2:9" ht="14.25" customHeight="1" x14ac:dyDescent="0.35">
      <c r="B850" s="29"/>
      <c r="C850" s="30">
        <v>45540</v>
      </c>
      <c r="D850">
        <v>108.199996948242</v>
      </c>
      <c r="E850" s="20">
        <f t="shared" si="26"/>
        <v>-3.6832553545045445E-3</v>
      </c>
      <c r="G850" s="29">
        <v>45540</v>
      </c>
      <c r="H850" s="31">
        <v>25145.099609375</v>
      </c>
      <c r="I850" s="20">
        <f t="shared" si="27"/>
        <v>-2.1270784221717794E-3</v>
      </c>
    </row>
    <row r="851" spans="2:9" ht="14.25" customHeight="1" x14ac:dyDescent="0.35">
      <c r="B851" s="29"/>
      <c r="C851" s="30">
        <v>45541</v>
      </c>
      <c r="D851">
        <v>103.379997253418</v>
      </c>
      <c r="E851" s="20">
        <f t="shared" si="26"/>
        <v>-4.4547133371266874E-2</v>
      </c>
      <c r="G851" s="29">
        <v>45541</v>
      </c>
      <c r="H851" s="31">
        <v>24852.150390625</v>
      </c>
      <c r="I851" s="20">
        <f t="shared" si="27"/>
        <v>-1.1650350298901897E-2</v>
      </c>
    </row>
    <row r="852" spans="2:9" ht="14.25" customHeight="1" x14ac:dyDescent="0.35">
      <c r="B852" s="29"/>
      <c r="C852" s="30">
        <v>45544</v>
      </c>
      <c r="D852">
        <v>104.01999664306599</v>
      </c>
      <c r="E852" s="20">
        <f t="shared" si="26"/>
        <v>6.1907468238671963E-3</v>
      </c>
      <c r="G852" s="29">
        <v>45544</v>
      </c>
      <c r="H852" s="31">
        <v>24936.400390625</v>
      </c>
      <c r="I852" s="20">
        <f t="shared" si="27"/>
        <v>3.3900486950127948E-3</v>
      </c>
    </row>
    <row r="853" spans="2:9" ht="14.25" customHeight="1" x14ac:dyDescent="0.35">
      <c r="B853" s="29"/>
      <c r="C853" s="30">
        <v>45545</v>
      </c>
      <c r="D853">
        <v>103.610000610352</v>
      </c>
      <c r="E853" s="20">
        <f t="shared" si="26"/>
        <v>-3.9415116895345674E-3</v>
      </c>
      <c r="G853" s="29">
        <v>45545</v>
      </c>
      <c r="H853" s="31">
        <v>25041.099609375</v>
      </c>
      <c r="I853" s="20">
        <f t="shared" si="27"/>
        <v>4.1986500501236075E-3</v>
      </c>
    </row>
    <row r="854" spans="2:9" ht="14.25" customHeight="1" x14ac:dyDescent="0.35">
      <c r="B854" s="29"/>
      <c r="C854" s="30">
        <v>45546</v>
      </c>
      <c r="D854">
        <v>101.75</v>
      </c>
      <c r="E854" s="20">
        <f t="shared" si="26"/>
        <v>-1.7951940926503231E-2</v>
      </c>
      <c r="G854" s="29">
        <v>45546</v>
      </c>
      <c r="H854" s="31">
        <v>24918.44921875</v>
      </c>
      <c r="I854" s="20">
        <f t="shared" si="27"/>
        <v>-4.8979634496195048E-3</v>
      </c>
    </row>
    <row r="855" spans="2:9" ht="14.25" customHeight="1" x14ac:dyDescent="0.35">
      <c r="B855" s="29"/>
      <c r="C855" s="30">
        <v>45547</v>
      </c>
      <c r="D855">
        <v>103.98999786377</v>
      </c>
      <c r="E855" s="20">
        <f t="shared" si="26"/>
        <v>2.2014721019852582E-2</v>
      </c>
      <c r="G855" s="29">
        <v>45547</v>
      </c>
      <c r="H855" s="31">
        <v>25388.900390625</v>
      </c>
      <c r="I855" s="20">
        <f t="shared" si="27"/>
        <v>1.8879632827271085E-2</v>
      </c>
    </row>
    <row r="856" spans="2:9" ht="14.25" customHeight="1" x14ac:dyDescent="0.35">
      <c r="B856" s="29"/>
      <c r="C856" s="30">
        <v>45548</v>
      </c>
      <c r="D856">
        <v>106.389999389648</v>
      </c>
      <c r="E856" s="20">
        <f t="shared" si="26"/>
        <v>2.3079157372635686E-2</v>
      </c>
      <c r="G856" s="29">
        <v>45548</v>
      </c>
      <c r="H856" s="31">
        <v>25356.5</v>
      </c>
      <c r="I856" s="20">
        <f t="shared" si="27"/>
        <v>-1.2761636040355664E-3</v>
      </c>
    </row>
    <row r="857" spans="2:9" ht="14.25" customHeight="1" x14ac:dyDescent="0.35">
      <c r="B857" s="29"/>
      <c r="C857" s="30">
        <v>45551</v>
      </c>
      <c r="D857">
        <v>106.69000244140599</v>
      </c>
      <c r="E857" s="20">
        <f t="shared" si="26"/>
        <v>2.8198425930923377E-3</v>
      </c>
      <c r="G857" s="29">
        <v>45551</v>
      </c>
      <c r="H857" s="31">
        <v>25383.75</v>
      </c>
      <c r="I857" s="20">
        <f t="shared" si="27"/>
        <v>1.0746751326089958E-3</v>
      </c>
    </row>
    <row r="858" spans="2:9" ht="14.25" customHeight="1" x14ac:dyDescent="0.35">
      <c r="B858" s="29"/>
      <c r="C858" s="30">
        <v>45552</v>
      </c>
      <c r="D858">
        <v>105.540000915527</v>
      </c>
      <c r="E858" s="20">
        <f t="shared" si="26"/>
        <v>-1.0778906172680715E-2</v>
      </c>
      <c r="G858" s="29">
        <v>45552</v>
      </c>
      <c r="H858" s="31">
        <v>25418.55078125</v>
      </c>
      <c r="I858" s="20">
        <f t="shared" si="27"/>
        <v>1.3709866056039789E-3</v>
      </c>
    </row>
    <row r="859" spans="2:9" ht="14.25" customHeight="1" x14ac:dyDescent="0.35">
      <c r="B859" s="29"/>
      <c r="C859" s="30">
        <v>45553</v>
      </c>
      <c r="D859">
        <v>105.449996948242</v>
      </c>
      <c r="E859" s="20">
        <f t="shared" si="26"/>
        <v>-8.5279483138377143E-4</v>
      </c>
      <c r="G859" s="29">
        <v>45553</v>
      </c>
      <c r="H859" s="31">
        <v>25377.55078125</v>
      </c>
      <c r="I859" s="20">
        <f t="shared" si="27"/>
        <v>-1.6129951842196943E-3</v>
      </c>
    </row>
    <row r="860" spans="2:9" ht="14.25" customHeight="1" x14ac:dyDescent="0.35">
      <c r="B860" s="29"/>
      <c r="C860" s="30">
        <v>45554</v>
      </c>
      <c r="D860">
        <v>104.709999084473</v>
      </c>
      <c r="E860" s="20">
        <f t="shared" si="26"/>
        <v>-7.0175238045025118E-3</v>
      </c>
      <c r="G860" s="29">
        <v>45554</v>
      </c>
      <c r="H860" s="31">
        <v>25415.80078125</v>
      </c>
      <c r="I860" s="20">
        <f t="shared" si="27"/>
        <v>1.5072376499098844E-3</v>
      </c>
    </row>
    <row r="861" spans="2:9" ht="14.25" customHeight="1" x14ac:dyDescent="0.35">
      <c r="B861" s="29"/>
      <c r="C861" s="30">
        <v>45555</v>
      </c>
      <c r="D861">
        <v>104.959999084473</v>
      </c>
      <c r="E861" s="20">
        <f t="shared" si="26"/>
        <v>2.3875465780332666E-3</v>
      </c>
      <c r="G861" s="29">
        <v>45555</v>
      </c>
      <c r="H861" s="31">
        <v>25790.94921875</v>
      </c>
      <c r="I861" s="20">
        <f t="shared" si="27"/>
        <v>1.4760441377741608E-2</v>
      </c>
    </row>
    <row r="862" spans="2:9" ht="14.25" customHeight="1" x14ac:dyDescent="0.35">
      <c r="B862" s="29"/>
      <c r="C862" s="30">
        <v>45558</v>
      </c>
      <c r="D862">
        <v>109.300003051758</v>
      </c>
      <c r="E862" s="20">
        <f t="shared" si="26"/>
        <v>4.13491235245926E-2</v>
      </c>
      <c r="G862" s="29">
        <v>45558</v>
      </c>
      <c r="H862" s="31">
        <v>25939.05078125</v>
      </c>
      <c r="I862" s="20">
        <f t="shared" si="27"/>
        <v>5.7423850996662926E-3</v>
      </c>
    </row>
    <row r="863" spans="2:9" ht="14.25" customHeight="1" x14ac:dyDescent="0.35">
      <c r="B863" s="29"/>
      <c r="C863" s="30">
        <v>45559</v>
      </c>
      <c r="D863">
        <v>109.290000915527</v>
      </c>
      <c r="E863" s="20">
        <f t="shared" si="26"/>
        <v>-9.1510850427498465E-5</v>
      </c>
      <c r="G863" s="29">
        <v>45559</v>
      </c>
      <c r="H863" s="31">
        <v>25940.400390625</v>
      </c>
      <c r="I863" s="20">
        <f t="shared" si="27"/>
        <v>5.2030021699003842E-5</v>
      </c>
    </row>
    <row r="864" spans="2:9" ht="14.25" customHeight="1" x14ac:dyDescent="0.35">
      <c r="B864" s="29"/>
      <c r="C864" s="30">
        <v>45560</v>
      </c>
      <c r="D864">
        <v>108.40000152587901</v>
      </c>
      <c r="E864" s="20">
        <f t="shared" si="26"/>
        <v>-8.143465844930314E-3</v>
      </c>
      <c r="G864" s="29">
        <v>45560</v>
      </c>
      <c r="H864" s="31">
        <v>26004.150390625</v>
      </c>
      <c r="I864" s="20">
        <f t="shared" si="27"/>
        <v>2.4575565157058869E-3</v>
      </c>
    </row>
    <row r="865" spans="2:9" ht="14.25" customHeight="1" x14ac:dyDescent="0.35">
      <c r="B865" s="29"/>
      <c r="C865" s="30">
        <v>45561</v>
      </c>
      <c r="D865">
        <v>110.169998168945</v>
      </c>
      <c r="E865" s="20">
        <f t="shared" si="26"/>
        <v>1.6328382086262534E-2</v>
      </c>
      <c r="G865" s="29">
        <v>45561</v>
      </c>
      <c r="H865" s="31">
        <v>26216.05078125</v>
      </c>
      <c r="I865" s="20">
        <f t="shared" si="27"/>
        <v>8.1487142414540942E-3</v>
      </c>
    </row>
    <row r="866" spans="2:9" ht="14.25" customHeight="1" x14ac:dyDescent="0.35">
      <c r="B866" s="29"/>
      <c r="C866" s="30">
        <v>45562</v>
      </c>
      <c r="D866">
        <v>113.09999847412099</v>
      </c>
      <c r="E866" s="20">
        <f t="shared" si="26"/>
        <v>2.6595265080088842E-2</v>
      </c>
      <c r="G866" s="29">
        <v>45562</v>
      </c>
      <c r="H866" s="31">
        <v>26178.94921875</v>
      </c>
      <c r="I866" s="20">
        <f t="shared" si="27"/>
        <v>-1.4152231703234049E-3</v>
      </c>
    </row>
    <row r="867" spans="2:9" ht="14.25" customHeight="1" x14ac:dyDescent="0.35">
      <c r="B867" s="29"/>
      <c r="C867" s="30">
        <v>45565</v>
      </c>
      <c r="D867">
        <v>111.330001831055</v>
      </c>
      <c r="E867" s="20">
        <f t="shared" si="26"/>
        <v>-1.564983790402965E-2</v>
      </c>
      <c r="G867" s="29">
        <v>45565</v>
      </c>
      <c r="H867" s="31">
        <v>25810.849609375</v>
      </c>
      <c r="I867" s="20">
        <f t="shared" si="27"/>
        <v>-1.406090085202343E-2</v>
      </c>
    </row>
    <row r="868" spans="2:9" ht="14.25" customHeight="1" x14ac:dyDescent="0.35">
      <c r="B868" s="29"/>
      <c r="C868" s="30">
        <v>45566</v>
      </c>
      <c r="D868">
        <v>110.48999786377</v>
      </c>
      <c r="E868" s="20">
        <f t="shared" si="26"/>
        <v>-7.5451715931858059E-3</v>
      </c>
      <c r="G868" s="29">
        <v>45566</v>
      </c>
      <c r="H868" s="31">
        <v>25796.900390625</v>
      </c>
      <c r="I868" s="20">
        <f t="shared" si="27"/>
        <v>-5.4044012347944466E-4</v>
      </c>
    </row>
    <row r="869" spans="2:9" ht="14.25" customHeight="1" x14ac:dyDescent="0.35">
      <c r="B869" s="29"/>
      <c r="C869" s="30">
        <v>45568</v>
      </c>
      <c r="D869">
        <v>107.959999084473</v>
      </c>
      <c r="E869" s="20">
        <f t="shared" si="26"/>
        <v>-2.289798921361548E-2</v>
      </c>
      <c r="G869" s="29">
        <v>45568</v>
      </c>
      <c r="H869" s="31">
        <v>25250.099609375</v>
      </c>
      <c r="I869" s="20">
        <f t="shared" si="27"/>
        <v>-2.1196375260987402E-2</v>
      </c>
    </row>
    <row r="870" spans="2:9" ht="14.25" customHeight="1" x14ac:dyDescent="0.35">
      <c r="B870" s="29"/>
      <c r="C870" s="30">
        <v>45569</v>
      </c>
      <c r="D870">
        <v>107.620002746582</v>
      </c>
      <c r="E870" s="20">
        <f t="shared" si="26"/>
        <v>-3.14928066667512E-3</v>
      </c>
      <c r="G870" s="29">
        <v>45569</v>
      </c>
      <c r="H870" s="31">
        <v>25014.599609375</v>
      </c>
      <c r="I870" s="20">
        <f t="shared" si="27"/>
        <v>-9.3266958801446562E-3</v>
      </c>
    </row>
    <row r="871" spans="2:9" ht="14.25" customHeight="1" x14ac:dyDescent="0.35">
      <c r="B871" s="29"/>
      <c r="C871" s="30">
        <v>45572</v>
      </c>
      <c r="D871">
        <v>103.48999786377</v>
      </c>
      <c r="E871" s="20">
        <f t="shared" si="26"/>
        <v>-3.8375810977603522E-2</v>
      </c>
      <c r="G871" s="29">
        <v>45572</v>
      </c>
      <c r="H871" s="31">
        <v>24795.75</v>
      </c>
      <c r="I871" s="20">
        <f t="shared" si="27"/>
        <v>-8.7488751686027114E-3</v>
      </c>
    </row>
    <row r="872" spans="2:9" ht="14.25" customHeight="1" x14ac:dyDescent="0.35">
      <c r="B872" s="29"/>
      <c r="C872" s="30">
        <v>45573</v>
      </c>
      <c r="D872">
        <v>104.949996948242</v>
      </c>
      <c r="E872" s="20">
        <f t="shared" si="26"/>
        <v>1.4107634695228089E-2</v>
      </c>
      <c r="G872" s="29">
        <v>45573</v>
      </c>
      <c r="H872" s="31">
        <v>25013.150390625</v>
      </c>
      <c r="I872" s="20">
        <f t="shared" si="27"/>
        <v>8.7676473034693451E-3</v>
      </c>
    </row>
    <row r="873" spans="2:9" ht="14.25" customHeight="1" x14ac:dyDescent="0.35">
      <c r="B873" s="29"/>
      <c r="C873" s="30">
        <v>45574</v>
      </c>
      <c r="D873">
        <v>104.40000152587901</v>
      </c>
      <c r="E873" s="20">
        <f t="shared" si="26"/>
        <v>-5.2405472925762661E-3</v>
      </c>
      <c r="G873" s="29">
        <v>45574</v>
      </c>
      <c r="H873" s="31">
        <v>24981.94921875</v>
      </c>
      <c r="I873" s="20">
        <f t="shared" si="27"/>
        <v>-1.2473907279865989E-3</v>
      </c>
    </row>
    <row r="874" spans="2:9" ht="14.25" customHeight="1" x14ac:dyDescent="0.35">
      <c r="B874" s="29"/>
      <c r="C874" s="30">
        <v>45575</v>
      </c>
      <c r="D874">
        <v>104.129997253418</v>
      </c>
      <c r="E874" s="20">
        <f t="shared" si="26"/>
        <v>-2.5862477827079248E-3</v>
      </c>
      <c r="G874" s="29">
        <v>45575</v>
      </c>
      <c r="H874" s="31">
        <v>24998.44921875</v>
      </c>
      <c r="I874" s="20">
        <f t="shared" si="27"/>
        <v>6.6047688495083712E-4</v>
      </c>
    </row>
    <row r="875" spans="2:9" ht="14.25" customHeight="1" x14ac:dyDescent="0.35">
      <c r="B875" s="29"/>
      <c r="C875" s="30">
        <v>45576</v>
      </c>
      <c r="D875">
        <v>104.05999755859401</v>
      </c>
      <c r="E875" s="20">
        <f t="shared" si="26"/>
        <v>-6.7223371430266395E-4</v>
      </c>
      <c r="G875" s="29">
        <v>45576</v>
      </c>
      <c r="H875" s="31">
        <v>24964.25</v>
      </c>
      <c r="I875" s="20">
        <f t="shared" si="27"/>
        <v>-1.3680536120756241E-3</v>
      </c>
    </row>
    <row r="876" spans="2:9" ht="14.25" customHeight="1" x14ac:dyDescent="0.35">
      <c r="B876" s="29"/>
      <c r="C876" s="30">
        <v>45579</v>
      </c>
      <c r="D876">
        <v>104.48999786377</v>
      </c>
      <c r="E876" s="20">
        <f t="shared" si="26"/>
        <v>4.1322344345998113E-3</v>
      </c>
      <c r="G876" s="29">
        <v>45579</v>
      </c>
      <c r="H876" s="31">
        <v>25127.94921875</v>
      </c>
      <c r="I876" s="20">
        <f t="shared" si="27"/>
        <v>6.5573457544288337E-3</v>
      </c>
    </row>
    <row r="877" spans="2:9" ht="14.25" customHeight="1" x14ac:dyDescent="0.35">
      <c r="B877" s="29"/>
      <c r="C877" s="30">
        <v>45580</v>
      </c>
      <c r="D877">
        <v>104.43000030517599</v>
      </c>
      <c r="E877" s="20">
        <f t="shared" si="26"/>
        <v>-5.7419427524755314E-4</v>
      </c>
      <c r="G877" s="29">
        <v>45580</v>
      </c>
      <c r="H877" s="31">
        <v>25057.349609375</v>
      </c>
      <c r="I877" s="20">
        <f t="shared" si="27"/>
        <v>-2.8096049048968912E-3</v>
      </c>
    </row>
    <row r="878" spans="2:9" ht="14.25" customHeight="1" x14ac:dyDescent="0.35">
      <c r="B878" s="29"/>
      <c r="C878" s="30">
        <v>45581</v>
      </c>
      <c r="D878">
        <v>104.370002746582</v>
      </c>
      <c r="E878" s="20">
        <f t="shared" si="26"/>
        <v>-5.7452416373322422E-4</v>
      </c>
      <c r="G878" s="29">
        <v>45581</v>
      </c>
      <c r="H878" s="31">
        <v>24971.30078125</v>
      </c>
      <c r="I878" s="20">
        <f t="shared" si="27"/>
        <v>-3.4340754096676505E-3</v>
      </c>
    </row>
    <row r="879" spans="2:9" ht="14.25" customHeight="1" x14ac:dyDescent="0.35">
      <c r="B879" s="29"/>
      <c r="C879" s="30">
        <v>45582</v>
      </c>
      <c r="D879">
        <v>102.5</v>
      </c>
      <c r="E879" s="20">
        <f t="shared" si="26"/>
        <v>-1.7917051809632566E-2</v>
      </c>
      <c r="G879" s="29">
        <v>45582</v>
      </c>
      <c r="H879" s="31">
        <v>24749.849609375</v>
      </c>
      <c r="I879" s="20">
        <f t="shared" si="27"/>
        <v>-8.8682273228345102E-3</v>
      </c>
    </row>
    <row r="880" spans="2:9" ht="14.25" customHeight="1" x14ac:dyDescent="0.35">
      <c r="B880" s="29"/>
      <c r="C880" s="30">
        <v>45583</v>
      </c>
      <c r="D880">
        <v>104.669998168945</v>
      </c>
      <c r="E880" s="20">
        <f t="shared" si="26"/>
        <v>2.1170713843365854E-2</v>
      </c>
      <c r="G880" s="29">
        <v>45583</v>
      </c>
      <c r="H880" s="31">
        <v>24854.05078125</v>
      </c>
      <c r="I880" s="20">
        <f t="shared" si="27"/>
        <v>4.2101739412400158E-3</v>
      </c>
    </row>
    <row r="881" spans="2:9" ht="14.25" customHeight="1" x14ac:dyDescent="0.35">
      <c r="B881" s="29"/>
      <c r="C881" s="30">
        <v>45586</v>
      </c>
      <c r="D881">
        <v>102.860000610352</v>
      </c>
      <c r="E881" s="20">
        <f t="shared" si="26"/>
        <v>-1.7292419893535575E-2</v>
      </c>
      <c r="G881" s="29">
        <v>45586</v>
      </c>
      <c r="H881" s="31">
        <v>24781.099609375</v>
      </c>
      <c r="I881" s="20">
        <f t="shared" si="27"/>
        <v>-2.9351823779983047E-3</v>
      </c>
    </row>
    <row r="882" spans="2:9" ht="14.25" customHeight="1" x14ac:dyDescent="0.35">
      <c r="B882" s="29"/>
      <c r="C882" s="30">
        <v>45587</v>
      </c>
      <c r="D882">
        <v>96.790000915527301</v>
      </c>
      <c r="E882" s="20">
        <f t="shared" si="26"/>
        <v>-5.9012246342664387E-2</v>
      </c>
      <c r="G882" s="29">
        <v>45587</v>
      </c>
      <c r="H882" s="31">
        <v>24472.099609375</v>
      </c>
      <c r="I882" s="20">
        <f t="shared" si="27"/>
        <v>-1.2469180337869326E-2</v>
      </c>
    </row>
    <row r="883" spans="2:9" ht="14.25" customHeight="1" x14ac:dyDescent="0.35">
      <c r="B883" s="29"/>
      <c r="C883" s="30">
        <v>45588</v>
      </c>
      <c r="D883">
        <v>97.690002441406307</v>
      </c>
      <c r="E883" s="20">
        <f t="shared" si="26"/>
        <v>9.2984969249506975E-3</v>
      </c>
      <c r="G883" s="29">
        <v>45588</v>
      </c>
      <c r="H883" s="31">
        <v>24435.5</v>
      </c>
      <c r="I883" s="20">
        <f t="shared" si="27"/>
        <v>-1.4955647434917714E-3</v>
      </c>
    </row>
    <row r="884" spans="2:9" ht="14.25" customHeight="1" x14ac:dyDescent="0.35">
      <c r="B884" s="29"/>
      <c r="C884" s="30">
        <v>45589</v>
      </c>
      <c r="D884">
        <v>98.190002441406307</v>
      </c>
      <c r="E884" s="20">
        <f t="shared" si="26"/>
        <v>5.1182310114066794E-3</v>
      </c>
      <c r="G884" s="29">
        <v>45589</v>
      </c>
      <c r="H884" s="31">
        <v>24399.400390625</v>
      </c>
      <c r="I884" s="20">
        <f t="shared" si="27"/>
        <v>-1.4773427748562542E-3</v>
      </c>
    </row>
    <row r="885" spans="2:9" ht="14.25" customHeight="1" x14ac:dyDescent="0.35">
      <c r="B885" s="29"/>
      <c r="C885" s="30">
        <v>45590</v>
      </c>
      <c r="D885">
        <v>94.239997863769503</v>
      </c>
      <c r="E885" s="20">
        <f t="shared" si="26"/>
        <v>-4.022817475734275E-2</v>
      </c>
      <c r="G885" s="29">
        <v>45590</v>
      </c>
      <c r="H885" s="31">
        <v>24180.80078125</v>
      </c>
      <c r="I885" s="20">
        <f t="shared" si="27"/>
        <v>-8.9592205494932031E-3</v>
      </c>
    </row>
    <row r="886" spans="2:9" ht="14.25" customHeight="1" x14ac:dyDescent="0.35">
      <c r="B886" s="29"/>
      <c r="C886" s="30">
        <v>45593</v>
      </c>
      <c r="D886">
        <v>100.69000244140599</v>
      </c>
      <c r="E886" s="20">
        <f t="shared" si="26"/>
        <v>6.8442325168135337E-2</v>
      </c>
      <c r="G886" s="29">
        <v>45593</v>
      </c>
      <c r="H886" s="31">
        <v>24339.150390625</v>
      </c>
      <c r="I886" s="20">
        <f t="shared" si="27"/>
        <v>6.5485676346080995E-3</v>
      </c>
    </row>
    <row r="887" spans="2:9" ht="14.25" customHeight="1" x14ac:dyDescent="0.35">
      <c r="B887" s="29"/>
      <c r="C887" s="30">
        <v>45594</v>
      </c>
      <c r="D887">
        <v>103.76000213623099</v>
      </c>
      <c r="E887" s="20">
        <f t="shared" si="26"/>
        <v>3.0489617840773309E-2</v>
      </c>
      <c r="G887" s="29">
        <v>45594</v>
      </c>
      <c r="H887" s="31">
        <v>24466.849609375</v>
      </c>
      <c r="I887" s="20">
        <f t="shared" si="27"/>
        <v>5.2466588480092318E-3</v>
      </c>
    </row>
    <row r="888" spans="2:9" ht="14.25" customHeight="1" x14ac:dyDescent="0.35">
      <c r="B888" s="29"/>
      <c r="C888" s="30">
        <v>45595</v>
      </c>
      <c r="D888">
        <v>103.360000610352</v>
      </c>
      <c r="E888" s="20">
        <f t="shared" si="26"/>
        <v>-3.8550647421326401E-3</v>
      </c>
      <c r="G888" s="29">
        <v>45595</v>
      </c>
      <c r="H888" s="31">
        <v>24340.849609375</v>
      </c>
      <c r="I888" s="20">
        <f t="shared" si="27"/>
        <v>-5.149825253829181E-3</v>
      </c>
    </row>
    <row r="889" spans="2:9" ht="14.25" customHeight="1" x14ac:dyDescent="0.35">
      <c r="B889" s="29"/>
      <c r="C889" s="30">
        <v>45596</v>
      </c>
      <c r="D889">
        <v>102.65000152587901</v>
      </c>
      <c r="E889" s="20">
        <f t="shared" si="26"/>
        <v>-6.8691861482234502E-3</v>
      </c>
      <c r="G889" s="29">
        <v>45596</v>
      </c>
      <c r="H889" s="31">
        <v>24205.349609375</v>
      </c>
      <c r="I889" s="20">
        <f t="shared" si="27"/>
        <v>-5.566773640794013E-3</v>
      </c>
    </row>
    <row r="890" spans="2:9" ht="14.25" customHeight="1" x14ac:dyDescent="0.35">
      <c r="B890" s="29"/>
      <c r="C890" s="30">
        <v>45597</v>
      </c>
      <c r="D890">
        <v>103.959999084473</v>
      </c>
      <c r="E890" s="20">
        <f t="shared" si="26"/>
        <v>1.2761788008972695E-2</v>
      </c>
      <c r="G890" s="29">
        <v>45597</v>
      </c>
      <c r="H890" s="31">
        <v>24304.349609375</v>
      </c>
      <c r="I890" s="20">
        <f t="shared" si="27"/>
        <v>4.0900049616162618E-3</v>
      </c>
    </row>
    <row r="891" spans="2:9" ht="14.25" customHeight="1" x14ac:dyDescent="0.35">
      <c r="B891" s="29"/>
      <c r="C891" s="30">
        <v>45600</v>
      </c>
      <c r="D891">
        <v>101.91000366210901</v>
      </c>
      <c r="E891" s="20">
        <f t="shared" si="26"/>
        <v>-1.9719078880505395E-2</v>
      </c>
      <c r="G891" s="29">
        <v>45600</v>
      </c>
      <c r="H891" s="31">
        <v>23995.349609375</v>
      </c>
      <c r="I891" s="20">
        <f t="shared" si="27"/>
        <v>-1.2713773664645128E-2</v>
      </c>
    </row>
    <row r="892" spans="2:9" ht="14.25" customHeight="1" x14ac:dyDescent="0.35">
      <c r="B892" s="29"/>
      <c r="C892" s="30">
        <v>45601</v>
      </c>
      <c r="D892">
        <v>103.669998168945</v>
      </c>
      <c r="E892" s="20">
        <f t="shared" si="26"/>
        <v>1.7270085797184354E-2</v>
      </c>
      <c r="G892" s="29">
        <v>45601</v>
      </c>
      <c r="H892" s="31">
        <v>24213.30078125</v>
      </c>
      <c r="I892" s="20">
        <f t="shared" si="27"/>
        <v>9.0830588186073483E-3</v>
      </c>
    </row>
    <row r="893" spans="2:9" ht="14.25" customHeight="1" x14ac:dyDescent="0.35">
      <c r="B893" s="29"/>
      <c r="C893" s="30">
        <v>45602</v>
      </c>
      <c r="D893">
        <v>105.25</v>
      </c>
      <c r="E893" s="20">
        <f t="shared" si="26"/>
        <v>1.5240685434180895E-2</v>
      </c>
      <c r="G893" s="29">
        <v>45602</v>
      </c>
      <c r="H893" s="31">
        <v>24484.05078125</v>
      </c>
      <c r="I893" s="20">
        <f t="shared" si="27"/>
        <v>1.1181870759630595E-2</v>
      </c>
    </row>
    <row r="894" spans="2:9" ht="14.25" customHeight="1" x14ac:dyDescent="0.35">
      <c r="B894" s="29"/>
      <c r="C894" s="30">
        <v>45603</v>
      </c>
      <c r="D894">
        <v>105.06999969482401</v>
      </c>
      <c r="E894" s="20">
        <f t="shared" si="26"/>
        <v>-1.7102166762564791E-3</v>
      </c>
      <c r="G894" s="29">
        <v>45603</v>
      </c>
      <c r="H894" s="31">
        <v>24199.349609375</v>
      </c>
      <c r="I894" s="20">
        <f t="shared" si="27"/>
        <v>-1.1628025706147672E-2</v>
      </c>
    </row>
    <row r="895" spans="2:9" ht="14.25" customHeight="1" x14ac:dyDescent="0.35">
      <c r="B895" s="29"/>
      <c r="C895" s="30">
        <v>45604</v>
      </c>
      <c r="D895">
        <v>103.69000244140599</v>
      </c>
      <c r="E895" s="20">
        <f t="shared" si="26"/>
        <v>-1.3134074973124734E-2</v>
      </c>
      <c r="G895" s="29">
        <v>45604</v>
      </c>
      <c r="H895" s="31">
        <v>24148.19921875</v>
      </c>
      <c r="I895" s="20">
        <f t="shared" si="27"/>
        <v>-2.1137093124678017E-3</v>
      </c>
    </row>
    <row r="896" spans="2:9" ht="14.25" customHeight="1" x14ac:dyDescent="0.35">
      <c r="B896" s="29"/>
      <c r="C896" s="30">
        <v>45607</v>
      </c>
      <c r="D896">
        <v>103.889999389648</v>
      </c>
      <c r="E896" s="20">
        <f t="shared" si="26"/>
        <v>1.9287968322213001E-3</v>
      </c>
      <c r="G896" s="29">
        <v>45607</v>
      </c>
      <c r="H896" s="31">
        <v>24141.30078125</v>
      </c>
      <c r="I896" s="20">
        <f t="shared" si="27"/>
        <v>-2.8567088740280355E-4</v>
      </c>
    </row>
    <row r="897" spans="2:9" ht="14.25" customHeight="1" x14ac:dyDescent="0.35">
      <c r="B897" s="29"/>
      <c r="C897" s="30">
        <v>45608</v>
      </c>
      <c r="D897">
        <v>101.5</v>
      </c>
      <c r="E897" s="20">
        <f t="shared" si="26"/>
        <v>-2.3005095809887414E-2</v>
      </c>
      <c r="G897" s="29">
        <v>45608</v>
      </c>
      <c r="H897" s="31">
        <v>23883.44921875</v>
      </c>
      <c r="I897" s="20">
        <f t="shared" si="27"/>
        <v>-1.0680930776533279E-2</v>
      </c>
    </row>
    <row r="898" spans="2:9" ht="14.25" customHeight="1" x14ac:dyDescent="0.35">
      <c r="B898" s="29"/>
      <c r="C898" s="30">
        <v>45609</v>
      </c>
      <c r="D898">
        <v>98.330001831054702</v>
      </c>
      <c r="E898" s="20">
        <f t="shared" si="26"/>
        <v>-3.123150905364826E-2</v>
      </c>
      <c r="G898" s="29">
        <v>45609</v>
      </c>
      <c r="H898" s="31">
        <v>23559.05078125</v>
      </c>
      <c r="I898" s="20">
        <f t="shared" si="27"/>
        <v>-1.3582562322921387E-2</v>
      </c>
    </row>
    <row r="899" spans="2:9" ht="14.25" customHeight="1" x14ac:dyDescent="0.35">
      <c r="B899" s="29"/>
      <c r="C899" s="30">
        <v>45610</v>
      </c>
      <c r="D899">
        <v>97.489997863769503</v>
      </c>
      <c r="E899" s="20">
        <f t="shared" si="26"/>
        <v>-8.5427026506970719E-3</v>
      </c>
      <c r="G899" s="29">
        <v>45610</v>
      </c>
      <c r="H899" s="31">
        <v>23532.69921875</v>
      </c>
      <c r="I899" s="20">
        <f t="shared" si="27"/>
        <v>-1.1185324376894032E-3</v>
      </c>
    </row>
    <row r="900" spans="2:9" ht="14.25" customHeight="1" x14ac:dyDescent="0.35">
      <c r="B900" s="29"/>
      <c r="C900" s="30">
        <v>45614</v>
      </c>
      <c r="D900">
        <v>98.180000305175795</v>
      </c>
      <c r="E900" s="20">
        <f t="shared" si="26"/>
        <v>7.0776741873611248E-3</v>
      </c>
      <c r="G900" s="29">
        <v>45614</v>
      </c>
      <c r="H900" s="31">
        <v>23453.80078125</v>
      </c>
      <c r="I900" s="20">
        <f t="shared" si="27"/>
        <v>-3.3527151631265739E-3</v>
      </c>
    </row>
    <row r="901" spans="2:9" ht="14.25" customHeight="1" x14ac:dyDescent="0.35">
      <c r="B901" s="29"/>
      <c r="C901" s="30">
        <v>45615</v>
      </c>
      <c r="D901">
        <v>97.809997558593807</v>
      </c>
      <c r="E901" s="20">
        <f t="shared" ref="E901:E964" si="28">(D901-D900)/D900</f>
        <v>-3.7686162704410079E-3</v>
      </c>
      <c r="G901" s="29">
        <v>45615</v>
      </c>
      <c r="H901" s="31">
        <v>23518.5</v>
      </c>
      <c r="I901" s="20">
        <f t="shared" ref="I901:I964" si="29">(H901-H900)/H900</f>
        <v>2.7585814066316875E-3</v>
      </c>
    </row>
    <row r="902" spans="2:9" ht="14.25" customHeight="1" x14ac:dyDescent="0.35">
      <c r="B902" s="29"/>
      <c r="C902" s="30">
        <v>45617</v>
      </c>
      <c r="D902">
        <v>94.459999084472699</v>
      </c>
      <c r="E902" s="20">
        <f t="shared" si="28"/>
        <v>-3.4250061933743185E-2</v>
      </c>
      <c r="G902" s="29">
        <v>45617</v>
      </c>
      <c r="H902" s="31">
        <v>23349.900390625</v>
      </c>
      <c r="I902" s="20">
        <f t="shared" si="29"/>
        <v>-7.1688079331164827E-3</v>
      </c>
    </row>
    <row r="903" spans="2:9" ht="14.25" customHeight="1" x14ac:dyDescent="0.35">
      <c r="B903" s="29"/>
      <c r="C903" s="30">
        <v>45618</v>
      </c>
      <c r="D903">
        <v>97.010002136230497</v>
      </c>
      <c r="E903" s="20">
        <f t="shared" si="28"/>
        <v>2.6995586242568224E-2</v>
      </c>
      <c r="G903" s="29">
        <v>45618</v>
      </c>
      <c r="H903" s="31">
        <v>23907.25</v>
      </c>
      <c r="I903" s="20">
        <f t="shared" si="29"/>
        <v>2.3869464111237762E-2</v>
      </c>
    </row>
    <row r="904" spans="2:9" ht="14.25" customHeight="1" x14ac:dyDescent="0.35">
      <c r="B904" s="29"/>
      <c r="C904" s="30">
        <v>45621</v>
      </c>
      <c r="D904">
        <v>100.98000335693401</v>
      </c>
      <c r="E904" s="20">
        <f t="shared" si="28"/>
        <v>4.0923627804156343E-2</v>
      </c>
      <c r="G904" s="29">
        <v>45621</v>
      </c>
      <c r="H904" s="31">
        <v>24221.900390625</v>
      </c>
      <c r="I904" s="20">
        <f t="shared" si="29"/>
        <v>1.3161295867362411E-2</v>
      </c>
    </row>
    <row r="905" spans="2:9" ht="14.25" customHeight="1" x14ac:dyDescent="0.35">
      <c r="B905" s="29"/>
      <c r="C905" s="30">
        <v>45622</v>
      </c>
      <c r="D905">
        <v>101.790000915527</v>
      </c>
      <c r="E905" s="20">
        <f t="shared" si="28"/>
        <v>8.0213659305387285E-3</v>
      </c>
      <c r="G905" s="29">
        <v>45622</v>
      </c>
      <c r="H905" s="31">
        <v>24194.5</v>
      </c>
      <c r="I905" s="20">
        <f t="shared" si="29"/>
        <v>-1.1312238174179439E-3</v>
      </c>
    </row>
    <row r="906" spans="2:9" ht="14.25" customHeight="1" x14ac:dyDescent="0.35">
      <c r="B906" s="29"/>
      <c r="C906" s="30">
        <v>45623</v>
      </c>
      <c r="D906">
        <v>101.55999755859401</v>
      </c>
      <c r="E906" s="20">
        <f t="shared" si="28"/>
        <v>-2.2595869423743396E-3</v>
      </c>
      <c r="G906" s="29">
        <v>45623</v>
      </c>
      <c r="H906" s="31">
        <v>24274.900390625</v>
      </c>
      <c r="I906" s="20">
        <f t="shared" si="29"/>
        <v>3.3230854378061129E-3</v>
      </c>
    </row>
    <row r="907" spans="2:9" ht="14.25" customHeight="1" x14ac:dyDescent="0.35">
      <c r="B907" s="29"/>
      <c r="C907" s="30">
        <v>45624</v>
      </c>
      <c r="D907">
        <v>102.90000152587901</v>
      </c>
      <c r="E907" s="20">
        <f t="shared" si="28"/>
        <v>1.3194210314074676E-2</v>
      </c>
      <c r="G907" s="29">
        <v>45624</v>
      </c>
      <c r="H907" s="31">
        <v>23914.150390625</v>
      </c>
      <c r="I907" s="20">
        <f t="shared" si="29"/>
        <v>-1.4861029054492934E-2</v>
      </c>
    </row>
    <row r="908" spans="2:9" ht="14.25" customHeight="1" x14ac:dyDescent="0.35">
      <c r="B908" s="29"/>
      <c r="C908" s="30">
        <v>45625</v>
      </c>
      <c r="D908">
        <v>102.01000213623099</v>
      </c>
      <c r="E908" s="20">
        <f t="shared" si="28"/>
        <v>-8.649167895533794E-3</v>
      </c>
      <c r="G908" s="29">
        <v>45625</v>
      </c>
      <c r="H908" s="31">
        <v>24131.099609375</v>
      </c>
      <c r="I908" s="20">
        <f t="shared" si="29"/>
        <v>9.0720019405351737E-3</v>
      </c>
    </row>
    <row r="909" spans="2:9" ht="14.25" customHeight="1" x14ac:dyDescent="0.35">
      <c r="B909" s="29"/>
      <c r="C909" s="30">
        <v>45628</v>
      </c>
      <c r="D909">
        <v>101.709999084473</v>
      </c>
      <c r="E909" s="20">
        <f t="shared" si="28"/>
        <v>-2.9409180028969421E-3</v>
      </c>
      <c r="G909" s="29">
        <v>45628</v>
      </c>
      <c r="H909" s="31">
        <v>24276.05078125</v>
      </c>
      <c r="I909" s="20">
        <f t="shared" si="29"/>
        <v>6.0068200049485541E-3</v>
      </c>
    </row>
    <row r="910" spans="2:9" ht="14.25" customHeight="1" x14ac:dyDescent="0.35">
      <c r="B910" s="29"/>
      <c r="C910" s="30">
        <v>45629</v>
      </c>
      <c r="D910">
        <v>105.120002746582</v>
      </c>
      <c r="E910" s="20">
        <f t="shared" si="28"/>
        <v>3.3526729847641649E-2</v>
      </c>
      <c r="G910" s="29">
        <v>45629</v>
      </c>
      <c r="H910" s="31">
        <v>24457.150390625</v>
      </c>
      <c r="I910" s="20">
        <f t="shared" si="29"/>
        <v>7.4600111445999777E-3</v>
      </c>
    </row>
    <row r="911" spans="2:9" ht="14.25" customHeight="1" x14ac:dyDescent="0.35">
      <c r="B911" s="29"/>
      <c r="C911" s="30">
        <v>45630</v>
      </c>
      <c r="D911">
        <v>108.629997253418</v>
      </c>
      <c r="E911" s="20">
        <f t="shared" si="28"/>
        <v>3.3390357830352345E-2</v>
      </c>
      <c r="G911" s="29">
        <v>45630</v>
      </c>
      <c r="H911" s="31">
        <v>24467.44921875</v>
      </c>
      <c r="I911" s="20">
        <f t="shared" si="29"/>
        <v>4.2109681465375389E-4</v>
      </c>
    </row>
    <row r="912" spans="2:9" ht="14.25" customHeight="1" x14ac:dyDescent="0.35">
      <c r="B912" s="29"/>
      <c r="C912" s="30">
        <v>45631</v>
      </c>
      <c r="D912">
        <v>108.169998168945</v>
      </c>
      <c r="E912" s="20">
        <f t="shared" si="28"/>
        <v>-4.2345493519611007E-3</v>
      </c>
      <c r="G912" s="29">
        <v>45631</v>
      </c>
      <c r="H912" s="31">
        <v>24708.400390625</v>
      </c>
      <c r="I912" s="20">
        <f t="shared" si="29"/>
        <v>9.8478255628851284E-3</v>
      </c>
    </row>
    <row r="913" spans="2:9" ht="14.25" customHeight="1" x14ac:dyDescent="0.35">
      <c r="B913" s="29"/>
      <c r="C913" s="30">
        <v>45632</v>
      </c>
      <c r="D913">
        <v>109.31999969482401</v>
      </c>
      <c r="E913" s="20">
        <f t="shared" si="28"/>
        <v>1.0631427802031383E-2</v>
      </c>
      <c r="G913" s="29">
        <v>45632</v>
      </c>
      <c r="H913" s="31">
        <v>24677.80078125</v>
      </c>
      <c r="I913" s="20">
        <f t="shared" si="29"/>
        <v>-1.2384293961259537E-3</v>
      </c>
    </row>
    <row r="914" spans="2:9" ht="14.25" customHeight="1" x14ac:dyDescent="0.35">
      <c r="B914" s="29"/>
      <c r="C914" s="30">
        <v>45635</v>
      </c>
      <c r="D914">
        <v>108.98999786377</v>
      </c>
      <c r="E914" s="20">
        <f t="shared" si="28"/>
        <v>-3.0186775702088667E-3</v>
      </c>
      <c r="G914" s="29">
        <v>45635</v>
      </c>
      <c r="H914" s="31">
        <v>24619</v>
      </c>
      <c r="I914" s="20">
        <f t="shared" si="29"/>
        <v>-2.3827399277279349E-3</v>
      </c>
    </row>
    <row r="915" spans="2:9" ht="14.25" customHeight="1" x14ac:dyDescent="0.35">
      <c r="B915" s="29"/>
      <c r="C915" s="30">
        <v>45636</v>
      </c>
      <c r="D915">
        <v>109.68000030517599</v>
      </c>
      <c r="E915" s="20">
        <f t="shared" si="28"/>
        <v>6.3308785662006322E-3</v>
      </c>
      <c r="G915" s="29">
        <v>45636</v>
      </c>
      <c r="H915" s="31">
        <v>24610.05078125</v>
      </c>
      <c r="I915" s="20">
        <f t="shared" si="29"/>
        <v>-3.6350862138998332E-4</v>
      </c>
    </row>
    <row r="916" spans="2:9" ht="14.25" customHeight="1" x14ac:dyDescent="0.35">
      <c r="B916" s="29"/>
      <c r="C916" s="30">
        <v>45637</v>
      </c>
      <c r="D916">
        <v>108.75</v>
      </c>
      <c r="E916" s="20">
        <f t="shared" si="28"/>
        <v>-8.4792150126581107E-3</v>
      </c>
      <c r="G916" s="29">
        <v>45637</v>
      </c>
      <c r="H916" s="31">
        <v>24641.80078125</v>
      </c>
      <c r="I916" s="20">
        <f t="shared" si="29"/>
        <v>1.2901233029632678E-3</v>
      </c>
    </row>
    <row r="917" spans="2:9" ht="14.25" customHeight="1" x14ac:dyDescent="0.35">
      <c r="B917" s="29"/>
      <c r="C917" s="30">
        <v>45638</v>
      </c>
      <c r="D917">
        <v>107.5</v>
      </c>
      <c r="E917" s="20">
        <f t="shared" si="28"/>
        <v>-1.1494252873563218E-2</v>
      </c>
      <c r="G917" s="29">
        <v>45638</v>
      </c>
      <c r="H917" s="31">
        <v>24548.69921875</v>
      </c>
      <c r="I917" s="20">
        <f t="shared" si="29"/>
        <v>-3.778196379659119E-3</v>
      </c>
    </row>
    <row r="918" spans="2:9" ht="14.25" customHeight="1" x14ac:dyDescent="0.35">
      <c r="B918" s="29"/>
      <c r="C918" s="30">
        <v>45639</v>
      </c>
      <c r="D918">
        <v>106.580001831055</v>
      </c>
      <c r="E918" s="20">
        <f t="shared" si="28"/>
        <v>-8.5581225018139528E-3</v>
      </c>
      <c r="G918" s="29">
        <v>45639</v>
      </c>
      <c r="H918" s="31">
        <v>24768.30078125</v>
      </c>
      <c r="I918" s="20">
        <f t="shared" si="29"/>
        <v>8.9455478085890185E-3</v>
      </c>
    </row>
    <row r="919" spans="2:9" ht="14.25" customHeight="1" x14ac:dyDescent="0.35">
      <c r="B919" s="29"/>
      <c r="C919" s="30">
        <v>45642</v>
      </c>
      <c r="D919">
        <v>107.33999633789099</v>
      </c>
      <c r="E919" s="20">
        <f t="shared" si="28"/>
        <v>7.1307421071421786E-3</v>
      </c>
      <c r="G919" s="29">
        <v>45642</v>
      </c>
      <c r="H919" s="31">
        <v>24668.25</v>
      </c>
      <c r="I919" s="20">
        <f t="shared" si="29"/>
        <v>-4.0394689217332193E-3</v>
      </c>
    </row>
    <row r="920" spans="2:9" ht="14.25" customHeight="1" x14ac:dyDescent="0.35">
      <c r="B920" s="29"/>
      <c r="C920" s="30">
        <v>45643</v>
      </c>
      <c r="D920">
        <v>105.16000366210901</v>
      </c>
      <c r="E920" s="20">
        <f t="shared" si="28"/>
        <v>-2.030923001822809E-2</v>
      </c>
      <c r="G920" s="29">
        <v>45643</v>
      </c>
      <c r="H920" s="31">
        <v>24336</v>
      </c>
      <c r="I920" s="20">
        <f t="shared" si="29"/>
        <v>-1.3468730047733423E-2</v>
      </c>
    </row>
    <row r="921" spans="2:9" ht="14.25" customHeight="1" x14ac:dyDescent="0.35">
      <c r="B921" s="29"/>
      <c r="C921" s="30">
        <v>45644</v>
      </c>
      <c r="D921">
        <v>103.19000244140599</v>
      </c>
      <c r="E921" s="20">
        <f t="shared" si="28"/>
        <v>-1.8733369647198267E-2</v>
      </c>
      <c r="G921" s="29">
        <v>45644</v>
      </c>
      <c r="H921" s="31">
        <v>24198.849609375</v>
      </c>
      <c r="I921" s="20">
        <f t="shared" si="29"/>
        <v>-5.6356998120069036E-3</v>
      </c>
    </row>
    <row r="922" spans="2:9" ht="14.25" customHeight="1" x14ac:dyDescent="0.35">
      <c r="B922" s="29"/>
      <c r="C922" s="30">
        <v>45645</v>
      </c>
      <c r="D922">
        <v>102.90000152587901</v>
      </c>
      <c r="E922" s="20">
        <f t="shared" si="28"/>
        <v>-2.8103586458548507E-3</v>
      </c>
      <c r="G922" s="29">
        <v>45645</v>
      </c>
      <c r="H922" s="31">
        <v>23951.69921875</v>
      </c>
      <c r="I922" s="20">
        <f t="shared" si="29"/>
        <v>-1.0213311567061031E-2</v>
      </c>
    </row>
    <row r="923" spans="2:9" ht="14.25" customHeight="1" x14ac:dyDescent="0.35">
      <c r="B923" s="29"/>
      <c r="C923" s="30">
        <v>45646</v>
      </c>
      <c r="D923">
        <v>99.610000610351605</v>
      </c>
      <c r="E923" s="20">
        <f t="shared" si="28"/>
        <v>-3.1972797538783092E-2</v>
      </c>
      <c r="G923" s="29">
        <v>45646</v>
      </c>
      <c r="H923" s="31">
        <v>23587.5</v>
      </c>
      <c r="I923" s="20">
        <f t="shared" si="29"/>
        <v>-1.5205569150805617E-2</v>
      </c>
    </row>
    <row r="924" spans="2:9" ht="14.25" customHeight="1" x14ac:dyDescent="0.35">
      <c r="B924" s="29"/>
      <c r="C924" s="30">
        <v>45649</v>
      </c>
      <c r="D924">
        <v>101.080001831055</v>
      </c>
      <c r="E924" s="20">
        <f t="shared" si="28"/>
        <v>1.4757566626805446E-2</v>
      </c>
      <c r="G924" s="29">
        <v>45649</v>
      </c>
      <c r="H924" s="31">
        <v>23753.44921875</v>
      </c>
      <c r="I924" s="20">
        <f t="shared" si="29"/>
        <v>7.0354729729729731E-3</v>
      </c>
    </row>
    <row r="925" spans="2:9" ht="14.25" customHeight="1" x14ac:dyDescent="0.35">
      <c r="B925" s="29"/>
      <c r="C925" s="30">
        <v>45650</v>
      </c>
      <c r="D925">
        <v>100.550003051758</v>
      </c>
      <c r="E925" s="20">
        <f t="shared" si="28"/>
        <v>-5.2433594152762504E-3</v>
      </c>
      <c r="G925" s="29">
        <v>45650</v>
      </c>
      <c r="H925" s="31">
        <v>23727.650390625</v>
      </c>
      <c r="I925" s="20">
        <f t="shared" si="29"/>
        <v>-1.0861087115144297E-3</v>
      </c>
    </row>
    <row r="926" spans="2:9" ht="14.25" customHeight="1" x14ac:dyDescent="0.35">
      <c r="B926" s="29"/>
      <c r="C926" s="30">
        <v>45652</v>
      </c>
      <c r="D926">
        <v>101.029998779297</v>
      </c>
      <c r="E926" s="20">
        <f t="shared" si="28"/>
        <v>4.7737017699733776E-3</v>
      </c>
      <c r="G926" s="29">
        <v>45652</v>
      </c>
      <c r="H926" s="31">
        <v>23750.19921875</v>
      </c>
      <c r="I926" s="20">
        <f t="shared" si="29"/>
        <v>9.5031862631915877E-4</v>
      </c>
    </row>
    <row r="927" spans="2:9" ht="14.25" customHeight="1" x14ac:dyDescent="0.35">
      <c r="B927" s="29"/>
      <c r="C927" s="30">
        <v>45653</v>
      </c>
      <c r="D927">
        <v>100.360000610352</v>
      </c>
      <c r="E927" s="20">
        <f t="shared" si="28"/>
        <v>-6.631675512623043E-3</v>
      </c>
      <c r="G927" s="29">
        <v>45653</v>
      </c>
      <c r="H927" s="31">
        <v>23813.400390625</v>
      </c>
      <c r="I927" s="20">
        <f t="shared" si="29"/>
        <v>2.6610796521279179E-3</v>
      </c>
    </row>
    <row r="928" spans="2:9" ht="14.25" customHeight="1" x14ac:dyDescent="0.35">
      <c r="B928" s="29"/>
      <c r="C928" s="30">
        <v>45656</v>
      </c>
      <c r="D928">
        <v>99.440002441406307</v>
      </c>
      <c r="E928" s="20">
        <f t="shared" si="28"/>
        <v>-9.1669805036928183E-3</v>
      </c>
      <c r="G928" s="29">
        <v>45656</v>
      </c>
      <c r="H928" s="31">
        <v>23644.900390625</v>
      </c>
      <c r="I928" s="20">
        <f t="shared" si="29"/>
        <v>-7.0758479358679106E-3</v>
      </c>
    </row>
    <row r="929" spans="2:9" ht="14.25" customHeight="1" x14ac:dyDescent="0.35">
      <c r="B929" s="29"/>
      <c r="C929" s="30">
        <v>45657</v>
      </c>
      <c r="D929">
        <v>100.120002746582</v>
      </c>
      <c r="E929" s="20">
        <f t="shared" si="28"/>
        <v>6.8382973499661473E-3</v>
      </c>
      <c r="G929" s="29">
        <v>45657</v>
      </c>
      <c r="H929" s="31">
        <v>23644.80078125</v>
      </c>
      <c r="I929" s="20">
        <f t="shared" si="29"/>
        <v>-4.2127212783477941E-6</v>
      </c>
    </row>
    <row r="930" spans="2:9" ht="14.25" customHeight="1" x14ac:dyDescent="0.35">
      <c r="B930" s="29"/>
      <c r="C930" s="30">
        <v>45658</v>
      </c>
      <c r="D930">
        <v>100.379997253418</v>
      </c>
      <c r="E930" s="20">
        <f t="shared" si="28"/>
        <v>2.5968288024729434E-3</v>
      </c>
      <c r="G930" s="29">
        <v>45658</v>
      </c>
      <c r="H930" s="31">
        <v>23742.900390625</v>
      </c>
      <c r="I930" s="20">
        <f t="shared" si="29"/>
        <v>4.1488871182535671E-3</v>
      </c>
    </row>
    <row r="931" spans="2:9" ht="14.25" customHeight="1" x14ac:dyDescent="0.35">
      <c r="B931" s="29"/>
      <c r="C931" s="30">
        <v>45659</v>
      </c>
      <c r="D931">
        <v>101.09999847412099</v>
      </c>
      <c r="E931" s="20">
        <f t="shared" si="28"/>
        <v>7.1727559314959102E-3</v>
      </c>
      <c r="G931" s="29">
        <v>45659</v>
      </c>
      <c r="H931" s="31">
        <v>24188.650390625</v>
      </c>
      <c r="I931" s="20">
        <f t="shared" si="29"/>
        <v>1.8774033191665436E-2</v>
      </c>
    </row>
    <row r="932" spans="2:9" ht="14.25" customHeight="1" x14ac:dyDescent="0.35">
      <c r="B932" s="29"/>
      <c r="C932" s="30">
        <v>45660</v>
      </c>
      <c r="D932">
        <v>101.449996948242</v>
      </c>
      <c r="E932" s="20">
        <f t="shared" si="28"/>
        <v>3.4619038516662203E-3</v>
      </c>
      <c r="G932" s="29">
        <v>45660</v>
      </c>
      <c r="H932" s="31">
        <v>24004.75</v>
      </c>
      <c r="I932" s="20">
        <f t="shared" si="29"/>
        <v>-7.602755327609176E-3</v>
      </c>
    </row>
    <row r="933" spans="2:9" ht="14.25" customHeight="1" x14ac:dyDescent="0.35">
      <c r="B933" s="29"/>
      <c r="C933" s="30">
        <v>45663</v>
      </c>
      <c r="D933">
        <v>97.330001831054702</v>
      </c>
      <c r="E933" s="20">
        <f t="shared" si="28"/>
        <v>-4.061109158326786E-2</v>
      </c>
      <c r="G933" s="29">
        <v>45663</v>
      </c>
      <c r="H933" s="31">
        <v>23616.05078125</v>
      </c>
      <c r="I933" s="20">
        <f t="shared" si="29"/>
        <v>-1.6192595996625668E-2</v>
      </c>
    </row>
    <row r="934" spans="2:9" ht="14.25" customHeight="1" x14ac:dyDescent="0.35">
      <c r="B934" s="29"/>
      <c r="C934" s="30">
        <v>45664</v>
      </c>
      <c r="D934">
        <v>97.870002746582003</v>
      </c>
      <c r="E934" s="20">
        <f t="shared" si="28"/>
        <v>5.5481445121580708E-3</v>
      </c>
      <c r="G934" s="29">
        <v>45664</v>
      </c>
      <c r="H934" s="31">
        <v>23707.900390625</v>
      </c>
      <c r="I934" s="20">
        <f t="shared" si="29"/>
        <v>3.8892874268344705E-3</v>
      </c>
    </row>
    <row r="935" spans="2:9" ht="14.25" customHeight="1" x14ac:dyDescent="0.35">
      <c r="B935" s="29"/>
      <c r="C935" s="30">
        <v>45665</v>
      </c>
      <c r="D935">
        <v>97.139999389648395</v>
      </c>
      <c r="E935" s="20">
        <f t="shared" si="28"/>
        <v>-7.45890810715342E-3</v>
      </c>
      <c r="G935" s="29">
        <v>45665</v>
      </c>
      <c r="H935" s="31">
        <v>23688.94921875</v>
      </c>
      <c r="I935" s="20">
        <f t="shared" si="29"/>
        <v>-7.9936103841966573E-4</v>
      </c>
    </row>
    <row r="936" spans="2:9" ht="14.25" customHeight="1" x14ac:dyDescent="0.35">
      <c r="B936" s="29"/>
      <c r="C936" s="30">
        <v>45666</v>
      </c>
      <c r="D936">
        <v>95.739997863769503</v>
      </c>
      <c r="E936" s="20">
        <f t="shared" si="28"/>
        <v>-1.4412204392375994E-2</v>
      </c>
      <c r="G936" s="29">
        <v>45666</v>
      </c>
      <c r="H936" s="31">
        <v>23526.5</v>
      </c>
      <c r="I936" s="20">
        <f t="shared" si="29"/>
        <v>-6.8575949591474531E-3</v>
      </c>
    </row>
    <row r="937" spans="2:9" ht="14.25" customHeight="1" x14ac:dyDescent="0.35">
      <c r="B937" s="29"/>
      <c r="C937" s="30">
        <v>45667</v>
      </c>
      <c r="D937">
        <v>92.830001831054702</v>
      </c>
      <c r="E937" s="20">
        <f t="shared" si="28"/>
        <v>-3.0394778542354856E-2</v>
      </c>
      <c r="G937" s="29">
        <v>45667</v>
      </c>
      <c r="H937" s="31">
        <v>23431.5</v>
      </c>
      <c r="I937" s="20">
        <f t="shared" si="29"/>
        <v>-4.0379997024631801E-3</v>
      </c>
    </row>
    <row r="938" spans="2:9" ht="14.25" customHeight="1" x14ac:dyDescent="0.35">
      <c r="B938" s="29"/>
      <c r="C938" s="30">
        <v>45670</v>
      </c>
      <c r="D938">
        <v>88.519996643066406</v>
      </c>
      <c r="E938" s="20">
        <f t="shared" si="28"/>
        <v>-4.6429011127590611E-2</v>
      </c>
      <c r="G938" s="29">
        <v>45670</v>
      </c>
      <c r="H938" s="31">
        <v>23085.94921875</v>
      </c>
      <c r="I938" s="20">
        <f t="shared" si="29"/>
        <v>-1.4747275302477434E-2</v>
      </c>
    </row>
    <row r="939" spans="2:9" ht="14.25" customHeight="1" x14ac:dyDescent="0.35">
      <c r="B939" s="29"/>
      <c r="C939" s="30">
        <v>45671</v>
      </c>
      <c r="D939">
        <v>93.220001220703097</v>
      </c>
      <c r="E939" s="20">
        <f t="shared" si="28"/>
        <v>5.3095399411143475E-2</v>
      </c>
      <c r="G939" s="29">
        <v>45671</v>
      </c>
      <c r="H939" s="31">
        <v>23176.05078125</v>
      </c>
      <c r="I939" s="20">
        <f t="shared" si="29"/>
        <v>3.9028744993868871E-3</v>
      </c>
    </row>
    <row r="940" spans="2:9" ht="14.25" customHeight="1" x14ac:dyDescent="0.35">
      <c r="B940" s="29"/>
      <c r="C940" s="30">
        <v>45672</v>
      </c>
      <c r="D940">
        <v>94.690002441406307</v>
      </c>
      <c r="E940" s="20">
        <f t="shared" si="28"/>
        <v>1.5769161139817061E-2</v>
      </c>
      <c r="G940" s="29">
        <v>45672</v>
      </c>
      <c r="H940" s="31">
        <v>23213.19921875</v>
      </c>
      <c r="I940" s="20">
        <f t="shared" si="29"/>
        <v>1.6028803979862699E-3</v>
      </c>
    </row>
    <row r="941" spans="2:9" ht="14.25" customHeight="1" x14ac:dyDescent="0.35">
      <c r="B941" s="29"/>
      <c r="C941" s="30">
        <v>45673</v>
      </c>
      <c r="D941">
        <v>97.330001831054702</v>
      </c>
      <c r="E941" s="20">
        <f t="shared" si="28"/>
        <v>2.788044483663429E-2</v>
      </c>
      <c r="G941" s="29">
        <v>45673</v>
      </c>
      <c r="H941" s="31">
        <v>23311.80078125</v>
      </c>
      <c r="I941" s="20">
        <f t="shared" si="29"/>
        <v>4.2476507253837101E-3</v>
      </c>
    </row>
    <row r="942" spans="2:9" ht="14.25" customHeight="1" x14ac:dyDescent="0.35">
      <c r="B942" s="29"/>
      <c r="C942" s="30">
        <v>45674</v>
      </c>
      <c r="D942">
        <v>97.879997253417997</v>
      </c>
      <c r="E942" s="20">
        <f t="shared" si="28"/>
        <v>5.6508313163085811E-3</v>
      </c>
      <c r="G942" s="29">
        <v>45674</v>
      </c>
      <c r="H942" s="31">
        <v>23203.19921875</v>
      </c>
      <c r="I942" s="20">
        <f t="shared" si="29"/>
        <v>-4.6586517926727362E-3</v>
      </c>
    </row>
    <row r="943" spans="2:9" ht="14.25" customHeight="1" x14ac:dyDescent="0.35">
      <c r="B943" s="29"/>
      <c r="C943" s="30">
        <v>45677</v>
      </c>
      <c r="D943">
        <v>101.040000915527</v>
      </c>
      <c r="E943" s="20">
        <f t="shared" si="28"/>
        <v>3.228446823437827E-2</v>
      </c>
      <c r="G943" s="29">
        <v>45677</v>
      </c>
      <c r="H943" s="31">
        <v>23344.75</v>
      </c>
      <c r="I943" s="20">
        <f t="shared" si="29"/>
        <v>6.1004855371674738E-3</v>
      </c>
    </row>
    <row r="944" spans="2:9" ht="14.25" customHeight="1" x14ac:dyDescent="0.35">
      <c r="B944" s="29"/>
      <c r="C944" s="30">
        <v>45678</v>
      </c>
      <c r="D944">
        <v>99.470001220703097</v>
      </c>
      <c r="E944" s="20">
        <f t="shared" si="28"/>
        <v>-1.5538397472269237E-2</v>
      </c>
      <c r="G944" s="29">
        <v>45678</v>
      </c>
      <c r="H944" s="31">
        <v>23024.650390625</v>
      </c>
      <c r="I944" s="20">
        <f t="shared" si="29"/>
        <v>-1.371184567729361E-2</v>
      </c>
    </row>
    <row r="945" spans="2:9" ht="14.25" customHeight="1" x14ac:dyDescent="0.35">
      <c r="B945" s="29"/>
      <c r="C945" s="30">
        <v>45679</v>
      </c>
      <c r="D945">
        <v>97.819999694824205</v>
      </c>
      <c r="E945" s="20">
        <f t="shared" si="28"/>
        <v>-1.6587931091082267E-2</v>
      </c>
      <c r="G945" s="29">
        <v>45679</v>
      </c>
      <c r="H945" s="31">
        <v>23155.349609375</v>
      </c>
      <c r="I945" s="20">
        <f t="shared" si="29"/>
        <v>5.6764909144165375E-3</v>
      </c>
    </row>
    <row r="946" spans="2:9" ht="14.25" customHeight="1" x14ac:dyDescent="0.35">
      <c r="B946" s="29"/>
      <c r="C946" s="30">
        <v>45680</v>
      </c>
      <c r="D946">
        <v>98.150001525878906</v>
      </c>
      <c r="E946" s="20">
        <f t="shared" si="28"/>
        <v>3.3735619718281659E-3</v>
      </c>
      <c r="G946" s="29">
        <v>45680</v>
      </c>
      <c r="H946" s="31">
        <v>23205.349609375</v>
      </c>
      <c r="I946" s="20">
        <f t="shared" si="29"/>
        <v>2.1593282262409156E-3</v>
      </c>
    </row>
    <row r="947" spans="2:9" ht="14.25" customHeight="1" x14ac:dyDescent="0.35">
      <c r="B947" s="29"/>
      <c r="C947" s="30">
        <v>45681</v>
      </c>
      <c r="D947">
        <v>96.75</v>
      </c>
      <c r="E947" s="20">
        <f t="shared" si="28"/>
        <v>-1.4263897138195888E-2</v>
      </c>
      <c r="G947" s="29">
        <v>45681</v>
      </c>
      <c r="H947" s="31">
        <v>23092.19921875</v>
      </c>
      <c r="I947" s="20">
        <f t="shared" si="29"/>
        <v>-4.8760476583936943E-3</v>
      </c>
    </row>
    <row r="948" spans="2:9" ht="14.25" customHeight="1" x14ac:dyDescent="0.35">
      <c r="B948" s="29"/>
      <c r="C948" s="30">
        <v>45684</v>
      </c>
      <c r="D948">
        <v>91.930000305175795</v>
      </c>
      <c r="E948" s="20">
        <f t="shared" si="28"/>
        <v>-4.9819118292756634E-2</v>
      </c>
      <c r="G948" s="29">
        <v>45684</v>
      </c>
      <c r="H948" s="31">
        <v>22829.150390625</v>
      </c>
      <c r="I948" s="20">
        <f t="shared" si="29"/>
        <v>-1.1391241935562993E-2</v>
      </c>
    </row>
    <row r="949" spans="2:9" ht="14.25" customHeight="1" x14ac:dyDescent="0.35">
      <c r="B949" s="29"/>
      <c r="C949" s="30">
        <v>45685</v>
      </c>
      <c r="D949">
        <v>91.819999694824205</v>
      </c>
      <c r="E949" s="20">
        <f t="shared" si="28"/>
        <v>-1.1965692373156417E-3</v>
      </c>
      <c r="G949" s="29">
        <v>45685</v>
      </c>
      <c r="H949" s="31">
        <v>22957.25</v>
      </c>
      <c r="I949" s="20">
        <f t="shared" si="29"/>
        <v>5.6112298172780566E-3</v>
      </c>
    </row>
    <row r="950" spans="2:9" ht="14.25" customHeight="1" x14ac:dyDescent="0.35">
      <c r="B950" s="29"/>
      <c r="C950" s="30">
        <v>45686</v>
      </c>
      <c r="D950">
        <v>91.930000305175795</v>
      </c>
      <c r="E950" s="20">
        <f t="shared" si="28"/>
        <v>1.1980027305292132E-3</v>
      </c>
      <c r="G950" s="29">
        <v>45686</v>
      </c>
      <c r="H950" s="31">
        <v>23163.099609375</v>
      </c>
      <c r="I950" s="20">
        <f t="shared" si="29"/>
        <v>8.9666492883511747E-3</v>
      </c>
    </row>
    <row r="951" spans="2:9" ht="14.25" customHeight="1" x14ac:dyDescent="0.35">
      <c r="B951" s="29"/>
      <c r="C951" s="30">
        <v>45687</v>
      </c>
      <c r="D951">
        <v>90.910003662109403</v>
      </c>
      <c r="E951" s="20">
        <f t="shared" si="28"/>
        <v>-1.109536211987769E-2</v>
      </c>
      <c r="G951" s="29">
        <v>45687</v>
      </c>
      <c r="H951" s="31">
        <v>23249.5</v>
      </c>
      <c r="I951" s="20">
        <f t="shared" si="29"/>
        <v>3.7300875997627893E-3</v>
      </c>
    </row>
    <row r="952" spans="2:9" ht="14.25" customHeight="1" x14ac:dyDescent="0.35">
      <c r="B952" s="29"/>
      <c r="C952" s="30">
        <v>45688</v>
      </c>
      <c r="D952">
        <v>93.269996643066406</v>
      </c>
      <c r="E952" s="20">
        <f t="shared" si="28"/>
        <v>2.5959662148167199E-2</v>
      </c>
      <c r="G952" s="29">
        <v>45688</v>
      </c>
      <c r="H952" s="31">
        <v>23508.400390625</v>
      </c>
      <c r="I952" s="20">
        <f t="shared" si="29"/>
        <v>1.1135740150325814E-2</v>
      </c>
    </row>
    <row r="953" spans="2:9" ht="14.25" customHeight="1" x14ac:dyDescent="0.35">
      <c r="B953" s="29"/>
      <c r="C953" s="30">
        <v>45689</v>
      </c>
      <c r="D953">
        <v>92.620002746582003</v>
      </c>
      <c r="E953" s="20">
        <f t="shared" si="28"/>
        <v>-6.9689495001469294E-3</v>
      </c>
      <c r="G953" s="29">
        <v>45689</v>
      </c>
      <c r="H953" s="31">
        <v>23482.150390625</v>
      </c>
      <c r="I953" s="20">
        <f t="shared" si="29"/>
        <v>-1.1166221250199708E-3</v>
      </c>
    </row>
    <row r="954" spans="2:9" ht="14.25" customHeight="1" x14ac:dyDescent="0.35">
      <c r="B954" s="29"/>
      <c r="C954" s="30">
        <v>45691</v>
      </c>
      <c r="D954">
        <v>90.610000610351605</v>
      </c>
      <c r="E954" s="20">
        <f t="shared" si="28"/>
        <v>-2.1701598754320633E-2</v>
      </c>
      <c r="G954" s="29">
        <v>45691</v>
      </c>
      <c r="H954" s="31">
        <v>23361.05078125</v>
      </c>
      <c r="I954" s="20">
        <f t="shared" si="29"/>
        <v>-5.1570919766934014E-3</v>
      </c>
    </row>
    <row r="955" spans="2:9" ht="14.25" customHeight="1" x14ac:dyDescent="0.35">
      <c r="B955" s="29"/>
      <c r="C955" s="30">
        <v>45692</v>
      </c>
      <c r="D955">
        <v>92.839996337890597</v>
      </c>
      <c r="E955" s="20">
        <f t="shared" si="28"/>
        <v>2.4610922773619637E-2</v>
      </c>
      <c r="G955" s="29">
        <v>45692</v>
      </c>
      <c r="H955" s="31">
        <v>23739.25</v>
      </c>
      <c r="I955" s="20">
        <f t="shared" si="29"/>
        <v>1.6189306820631095E-2</v>
      </c>
    </row>
    <row r="956" spans="2:9" ht="14.25" customHeight="1" x14ac:dyDescent="0.35">
      <c r="B956" s="29"/>
      <c r="C956" s="30">
        <v>45693</v>
      </c>
      <c r="D956">
        <v>95.830001831054702</v>
      </c>
      <c r="E956" s="20">
        <f t="shared" si="28"/>
        <v>3.2206006151508218E-2</v>
      </c>
      <c r="G956" s="29">
        <v>45693</v>
      </c>
      <c r="H956" s="31">
        <v>23696.30078125</v>
      </c>
      <c r="I956" s="20">
        <f t="shared" si="29"/>
        <v>-1.8092070621439178E-3</v>
      </c>
    </row>
    <row r="957" spans="2:9" ht="14.25" customHeight="1" x14ac:dyDescent="0.35">
      <c r="B957" s="29"/>
      <c r="C957" s="30">
        <v>45694</v>
      </c>
      <c r="D957">
        <v>94.860000610351605</v>
      </c>
      <c r="E957" s="20">
        <f t="shared" si="28"/>
        <v>-1.0122103747980496E-2</v>
      </c>
      <c r="G957" s="29">
        <v>45694</v>
      </c>
      <c r="H957" s="31">
        <v>23603.349609375</v>
      </c>
      <c r="I957" s="20">
        <f t="shared" si="29"/>
        <v>-3.9226026346082174E-3</v>
      </c>
    </row>
    <row r="958" spans="2:9" ht="14.25" customHeight="1" x14ac:dyDescent="0.35">
      <c r="B958" s="29"/>
      <c r="C958" s="30">
        <v>45695</v>
      </c>
      <c r="D958">
        <v>94.059997558593807</v>
      </c>
      <c r="E958" s="20">
        <f t="shared" si="28"/>
        <v>-8.4335130361626615E-3</v>
      </c>
      <c r="G958" s="29">
        <v>45695</v>
      </c>
      <c r="H958" s="31">
        <v>23559.94921875</v>
      </c>
      <c r="I958" s="20">
        <f t="shared" si="29"/>
        <v>-1.8387386257991884E-3</v>
      </c>
    </row>
    <row r="959" spans="2:9" ht="14.25" customHeight="1" x14ac:dyDescent="0.35">
      <c r="B959" s="29"/>
      <c r="C959" s="30">
        <v>45698</v>
      </c>
      <c r="D959">
        <v>93.169998168945298</v>
      </c>
      <c r="E959" s="20">
        <f t="shared" si="28"/>
        <v>-9.46203925950659E-3</v>
      </c>
      <c r="G959" s="29">
        <v>45698</v>
      </c>
      <c r="H959" s="31">
        <v>23381.599609375</v>
      </c>
      <c r="I959" s="20">
        <f t="shared" si="29"/>
        <v>-7.5700336923078711E-3</v>
      </c>
    </row>
    <row r="960" spans="2:9" ht="14.25" customHeight="1" x14ac:dyDescent="0.35">
      <c r="B960" s="29"/>
      <c r="C960" s="30">
        <v>45699</v>
      </c>
      <c r="D960">
        <v>90.089996337890597</v>
      </c>
      <c r="E960" s="20">
        <f t="shared" si="28"/>
        <v>-3.3057871542186035E-2</v>
      </c>
      <c r="G960" s="29">
        <v>45699</v>
      </c>
      <c r="H960" s="31">
        <v>23071.80078125</v>
      </c>
      <c r="I960" s="20">
        <f t="shared" si="29"/>
        <v>-1.3249684936046216E-2</v>
      </c>
    </row>
    <row r="961" spans="2:9" ht="14.25" customHeight="1" x14ac:dyDescent="0.35">
      <c r="B961" s="29"/>
      <c r="C961" s="30">
        <v>45700</v>
      </c>
      <c r="D961">
        <v>90.540000915527301</v>
      </c>
      <c r="E961" s="20">
        <f t="shared" si="28"/>
        <v>4.9950560098695317E-3</v>
      </c>
      <c r="G961" s="29">
        <v>45700</v>
      </c>
      <c r="H961" s="31">
        <v>23045.25</v>
      </c>
      <c r="I961" s="20">
        <f t="shared" si="29"/>
        <v>-1.1507892904301298E-3</v>
      </c>
    </row>
    <row r="962" spans="2:9" ht="14.25" customHeight="1" x14ac:dyDescent="0.35">
      <c r="B962" s="29"/>
      <c r="C962" s="30">
        <v>45701</v>
      </c>
      <c r="D962">
        <v>88.720001220703097</v>
      </c>
      <c r="E962" s="20">
        <f t="shared" si="28"/>
        <v>-2.0101608973057575E-2</v>
      </c>
      <c r="G962" s="29">
        <v>45701</v>
      </c>
      <c r="H962" s="31">
        <v>23031.400390625</v>
      </c>
      <c r="I962" s="20">
        <f t="shared" si="29"/>
        <v>-6.0097457719052736E-4</v>
      </c>
    </row>
    <row r="963" spans="2:9" ht="14.25" customHeight="1" x14ac:dyDescent="0.35">
      <c r="B963" s="29"/>
      <c r="C963" s="30">
        <v>45702</v>
      </c>
      <c r="D963">
        <v>85.620002746582003</v>
      </c>
      <c r="E963" s="20">
        <f t="shared" si="28"/>
        <v>-3.4941370958837398E-2</v>
      </c>
      <c r="G963" s="29">
        <v>45702</v>
      </c>
      <c r="H963" s="31">
        <v>22929.25</v>
      </c>
      <c r="I963" s="20">
        <f t="shared" si="29"/>
        <v>-4.4352661537064254E-3</v>
      </c>
    </row>
    <row r="964" spans="2:9" ht="14.25" customHeight="1" x14ac:dyDescent="0.35">
      <c r="B964" s="29"/>
      <c r="C964" s="30">
        <v>45705</v>
      </c>
      <c r="D964">
        <v>85.089996337890597</v>
      </c>
      <c r="E964" s="20">
        <f t="shared" si="28"/>
        <v>-6.1902171418998743E-3</v>
      </c>
      <c r="G964" s="29">
        <v>45705</v>
      </c>
      <c r="H964" s="31">
        <v>22959.5</v>
      </c>
      <c r="I964" s="20">
        <f t="shared" si="29"/>
        <v>1.3192755977626831E-3</v>
      </c>
    </row>
    <row r="965" spans="2:9" ht="14.25" customHeight="1" x14ac:dyDescent="0.35">
      <c r="B965" s="29"/>
      <c r="C965" s="30">
        <v>45706</v>
      </c>
      <c r="D965">
        <v>84.650001525878906</v>
      </c>
      <c r="E965" s="20">
        <f t="shared" ref="E965:E1028" si="30">(D965-D964)/D964</f>
        <v>-5.1709346685652694E-3</v>
      </c>
      <c r="G965" s="29">
        <v>45706</v>
      </c>
      <c r="H965" s="31">
        <v>22945.30078125</v>
      </c>
      <c r="I965" s="20">
        <f t="shared" ref="I965:I1028" si="31">(H965-H964)/H964</f>
        <v>-6.1844634029486708E-4</v>
      </c>
    </row>
    <row r="966" spans="2:9" ht="14.25" customHeight="1" x14ac:dyDescent="0.35">
      <c r="B966" s="29"/>
      <c r="C966" s="30">
        <v>45707</v>
      </c>
      <c r="D966">
        <v>85.559997558593807</v>
      </c>
      <c r="E966" s="20">
        <f t="shared" si="30"/>
        <v>1.0750100606161238E-2</v>
      </c>
      <c r="G966" s="29">
        <v>45707</v>
      </c>
      <c r="H966" s="31">
        <v>22932.900390625</v>
      </c>
      <c r="I966" s="20">
        <f t="shared" si="31"/>
        <v>-5.4043269004052947E-4</v>
      </c>
    </row>
    <row r="967" spans="2:9" ht="14.25" customHeight="1" x14ac:dyDescent="0.35">
      <c r="B967" s="29"/>
      <c r="C967" s="30">
        <v>45708</v>
      </c>
      <c r="D967">
        <v>88.059997558593807</v>
      </c>
      <c r="E967" s="20">
        <f t="shared" si="30"/>
        <v>2.9219262170828514E-2</v>
      </c>
      <c r="G967" s="29">
        <v>45708</v>
      </c>
      <c r="H967" s="31">
        <v>22913.150390625</v>
      </c>
      <c r="I967" s="20">
        <f t="shared" si="31"/>
        <v>-8.6120811862392364E-4</v>
      </c>
    </row>
    <row r="968" spans="2:9" ht="14.25" customHeight="1" x14ac:dyDescent="0.35">
      <c r="B968" s="29"/>
      <c r="C968" s="30">
        <v>45709</v>
      </c>
      <c r="D968">
        <v>87.330001831054702</v>
      </c>
      <c r="E968" s="20">
        <f t="shared" si="30"/>
        <v>-8.2897541196657078E-3</v>
      </c>
      <c r="G968" s="29">
        <v>45709</v>
      </c>
      <c r="H968" s="31">
        <v>22795.900390625</v>
      </c>
      <c r="I968" s="20">
        <f t="shared" si="31"/>
        <v>-5.1171487988824647E-3</v>
      </c>
    </row>
    <row r="969" spans="2:9" ht="14.25" customHeight="1" x14ac:dyDescent="0.35">
      <c r="B969" s="29"/>
      <c r="C969" s="30">
        <v>45712</v>
      </c>
      <c r="D969">
        <v>86.949996948242202</v>
      </c>
      <c r="E969" s="20">
        <f t="shared" si="30"/>
        <v>-4.3513669397103986E-3</v>
      </c>
      <c r="G969" s="29">
        <v>45712</v>
      </c>
      <c r="H969" s="31">
        <v>22553.349609375</v>
      </c>
      <c r="I969" s="20">
        <f t="shared" si="31"/>
        <v>-1.0640105330068515E-2</v>
      </c>
    </row>
    <row r="970" spans="2:9" ht="14.25" customHeight="1" x14ac:dyDescent="0.35">
      <c r="B970" s="29"/>
      <c r="C970" s="30">
        <v>45713</v>
      </c>
      <c r="D970">
        <v>85.019996643066406</v>
      </c>
      <c r="E970" s="20">
        <f t="shared" si="30"/>
        <v>-2.2196669038696416E-2</v>
      </c>
      <c r="G970" s="29">
        <v>45713</v>
      </c>
      <c r="H970" s="31">
        <v>22547.55078125</v>
      </c>
      <c r="I970" s="20">
        <f t="shared" si="31"/>
        <v>-2.5711604818955748E-4</v>
      </c>
    </row>
    <row r="971" spans="2:9" ht="14.25" customHeight="1" x14ac:dyDescent="0.35">
      <c r="B971" s="29"/>
      <c r="C971" s="30">
        <v>45715</v>
      </c>
      <c r="D971">
        <v>83.459999084472699</v>
      </c>
      <c r="E971" s="20">
        <f t="shared" si="30"/>
        <v>-1.834859586201747E-2</v>
      </c>
      <c r="G971" s="29">
        <v>45715</v>
      </c>
      <c r="H971" s="31">
        <v>22545.05078125</v>
      </c>
      <c r="I971" s="20">
        <f t="shared" si="31"/>
        <v>-1.1087678764998901E-4</v>
      </c>
    </row>
    <row r="972" spans="2:9" ht="14.25" customHeight="1" x14ac:dyDescent="0.35">
      <c r="B972" s="29"/>
      <c r="C972" s="30">
        <v>45716</v>
      </c>
      <c r="D972">
        <v>80.900001525878906</v>
      </c>
      <c r="E972" s="20">
        <f t="shared" si="30"/>
        <v>-3.0673347551834169E-2</v>
      </c>
      <c r="G972" s="29">
        <v>45716</v>
      </c>
      <c r="H972" s="31">
        <v>22124.69921875</v>
      </c>
      <c r="I972" s="20">
        <f t="shared" si="31"/>
        <v>-1.8644959666695139E-2</v>
      </c>
    </row>
    <row r="973" spans="2:9" ht="14.25" customHeight="1" x14ac:dyDescent="0.35">
      <c r="B973" s="29"/>
      <c r="C973" s="30">
        <v>45719</v>
      </c>
      <c r="D973">
        <v>81.419998168945298</v>
      </c>
      <c r="E973" s="20">
        <f t="shared" si="30"/>
        <v>6.42764688823957E-3</v>
      </c>
      <c r="G973" s="29">
        <v>45719</v>
      </c>
      <c r="H973" s="31">
        <v>22119.30078125</v>
      </c>
      <c r="I973" s="20">
        <f t="shared" si="31"/>
        <v>-2.4400049223833022E-4</v>
      </c>
    </row>
    <row r="974" spans="2:9" ht="14.25" customHeight="1" x14ac:dyDescent="0.35">
      <c r="B974" s="29"/>
      <c r="C974" s="30">
        <v>45720</v>
      </c>
      <c r="D974">
        <v>81.940002441406307</v>
      </c>
      <c r="E974" s="20">
        <f t="shared" si="30"/>
        <v>6.3866898078529469E-3</v>
      </c>
      <c r="G974" s="29">
        <v>45720</v>
      </c>
      <c r="H974" s="31">
        <v>22082.650390625</v>
      </c>
      <c r="I974" s="20">
        <f t="shared" si="31"/>
        <v>-1.6569416451024373E-3</v>
      </c>
    </row>
    <row r="975" spans="2:9" ht="14.25" customHeight="1" x14ac:dyDescent="0.35">
      <c r="B975" s="29"/>
      <c r="C975" s="30">
        <v>45721</v>
      </c>
      <c r="D975">
        <v>85.019996643066406</v>
      </c>
      <c r="E975" s="20">
        <f t="shared" si="30"/>
        <v>3.7588407491963925E-2</v>
      </c>
      <c r="G975" s="29">
        <v>45721</v>
      </c>
      <c r="H975" s="31">
        <v>22337.30078125</v>
      </c>
      <c r="I975" s="20">
        <f t="shared" si="31"/>
        <v>1.153169506922546E-2</v>
      </c>
    </row>
    <row r="976" spans="2:9" ht="14.25" customHeight="1" x14ac:dyDescent="0.35">
      <c r="B976" s="29"/>
      <c r="C976" s="30">
        <v>45722</v>
      </c>
      <c r="D976">
        <v>85.349998474121094</v>
      </c>
      <c r="E976" s="20">
        <f t="shared" si="30"/>
        <v>3.8814613512643554E-3</v>
      </c>
      <c r="G976" s="29">
        <v>45722</v>
      </c>
      <c r="H976" s="31">
        <v>22544.69921875</v>
      </c>
      <c r="I976" s="20">
        <f t="shared" si="31"/>
        <v>9.2848477768670643E-3</v>
      </c>
    </row>
    <row r="977" spans="2:9" ht="14.25" customHeight="1" x14ac:dyDescent="0.35">
      <c r="B977" s="29"/>
      <c r="C977" s="30">
        <v>45723</v>
      </c>
      <c r="D977">
        <v>85.019996643066406</v>
      </c>
      <c r="E977" s="20">
        <f t="shared" si="30"/>
        <v>-3.8664538600401625E-3</v>
      </c>
      <c r="G977" s="29">
        <v>45723</v>
      </c>
      <c r="H977" s="31">
        <v>22552.5</v>
      </c>
      <c r="I977" s="20">
        <f t="shared" si="31"/>
        <v>3.4601398645018238E-4</v>
      </c>
    </row>
    <row r="978" spans="2:9" ht="14.25" customHeight="1" x14ac:dyDescent="0.35">
      <c r="B978" s="29"/>
      <c r="C978" s="30">
        <v>45726</v>
      </c>
      <c r="D978">
        <v>82.489997863769503</v>
      </c>
      <c r="E978" s="20">
        <f t="shared" si="30"/>
        <v>-2.9757690886750125E-2</v>
      </c>
      <c r="G978" s="29">
        <v>45726</v>
      </c>
      <c r="H978" s="31">
        <v>22460.30078125</v>
      </c>
      <c r="I978" s="20">
        <f t="shared" si="31"/>
        <v>-4.0882039130916746E-3</v>
      </c>
    </row>
    <row r="979" spans="2:9" ht="14.25" customHeight="1" x14ac:dyDescent="0.35">
      <c r="B979" s="29"/>
      <c r="C979" s="30">
        <v>45727</v>
      </c>
      <c r="D979">
        <v>83.279998779296903</v>
      </c>
      <c r="E979" s="20">
        <f t="shared" si="30"/>
        <v>9.5769297610126085E-3</v>
      </c>
      <c r="G979" s="29">
        <v>45727</v>
      </c>
      <c r="H979" s="31">
        <v>22497.900390625</v>
      </c>
      <c r="I979" s="20">
        <f t="shared" si="31"/>
        <v>1.6740474556061328E-3</v>
      </c>
    </row>
    <row r="980" spans="2:9" ht="14.25" customHeight="1" x14ac:dyDescent="0.35">
      <c r="B980" s="29"/>
      <c r="C980" s="30">
        <v>45728</v>
      </c>
      <c r="D980">
        <v>82.459999084472699</v>
      </c>
      <c r="E980" s="20">
        <f t="shared" si="30"/>
        <v>-9.8462981129156003E-3</v>
      </c>
      <c r="G980" s="29">
        <v>45728</v>
      </c>
      <c r="H980" s="31">
        <v>22470.5</v>
      </c>
      <c r="I980" s="20">
        <f t="shared" si="31"/>
        <v>-1.217908789231634E-3</v>
      </c>
    </row>
    <row r="981" spans="2:9" ht="14.25" customHeight="1" x14ac:dyDescent="0.35">
      <c r="B981" s="29"/>
      <c r="C981" s="30">
        <v>45729</v>
      </c>
      <c r="D981">
        <v>82.900001525878906</v>
      </c>
      <c r="E981" s="20">
        <f t="shared" si="30"/>
        <v>5.3359501126778487E-3</v>
      </c>
      <c r="G981" s="29">
        <v>45729</v>
      </c>
      <c r="H981" s="31">
        <v>22397.19921875</v>
      </c>
      <c r="I981" s="20">
        <f t="shared" si="31"/>
        <v>-3.2620894617387242E-3</v>
      </c>
    </row>
    <row r="982" spans="2:9" ht="14.25" customHeight="1" x14ac:dyDescent="0.35">
      <c r="B982" s="29"/>
      <c r="C982" s="30">
        <v>45733</v>
      </c>
      <c r="D982">
        <v>82.489997863769503</v>
      </c>
      <c r="E982" s="20">
        <f t="shared" si="30"/>
        <v>-4.9457618161974646E-3</v>
      </c>
      <c r="G982" s="29">
        <v>45733</v>
      </c>
      <c r="H982" s="31">
        <v>22508.75</v>
      </c>
      <c r="I982" s="20">
        <f t="shared" si="31"/>
        <v>4.9805683362683286E-3</v>
      </c>
    </row>
    <row r="983" spans="2:9" ht="14.25" customHeight="1" x14ac:dyDescent="0.35">
      <c r="B983" s="29"/>
      <c r="C983" s="30">
        <v>45734</v>
      </c>
      <c r="D983">
        <v>82.489997863769503</v>
      </c>
      <c r="E983" s="20">
        <f t="shared" si="30"/>
        <v>0</v>
      </c>
      <c r="G983" s="29">
        <v>45734</v>
      </c>
      <c r="H983" s="31">
        <v>22834.30078125</v>
      </c>
      <c r="I983" s="20">
        <f t="shared" si="31"/>
        <v>1.4463298994835342E-2</v>
      </c>
    </row>
    <row r="984" spans="2:9" ht="14.25" customHeight="1" x14ac:dyDescent="0.35">
      <c r="B984" s="29"/>
      <c r="C984" s="30">
        <v>45735</v>
      </c>
      <c r="D984">
        <v>85.569999694824205</v>
      </c>
      <c r="E984" s="20">
        <f t="shared" si="30"/>
        <v>3.7337882298666802E-2</v>
      </c>
      <c r="G984" s="29">
        <v>45735</v>
      </c>
      <c r="H984" s="31">
        <v>22907.599609375</v>
      </c>
      <c r="I984" s="20">
        <f t="shared" si="31"/>
        <v>3.2100316461272198E-3</v>
      </c>
    </row>
    <row r="985" spans="2:9" ht="14.25" customHeight="1" x14ac:dyDescent="0.35">
      <c r="B985" s="29"/>
      <c r="C985" s="30">
        <v>45736</v>
      </c>
      <c r="D985">
        <v>85.839996337890597</v>
      </c>
      <c r="E985" s="20">
        <f t="shared" si="30"/>
        <v>3.1552722219154463E-3</v>
      </c>
      <c r="G985" s="29">
        <v>45736</v>
      </c>
      <c r="H985" s="31">
        <v>23190.650390625</v>
      </c>
      <c r="I985" s="20">
        <f t="shared" si="31"/>
        <v>1.2356195589090036E-2</v>
      </c>
    </row>
    <row r="986" spans="2:9" ht="14.25" customHeight="1" x14ac:dyDescent="0.35">
      <c r="B986" s="29"/>
      <c r="C986" s="30">
        <v>45737</v>
      </c>
      <c r="D986">
        <v>87.540000915527301</v>
      </c>
      <c r="E986" s="20">
        <f t="shared" si="30"/>
        <v>1.9804341218107743E-2</v>
      </c>
      <c r="G986" s="29">
        <v>45737</v>
      </c>
      <c r="H986" s="31">
        <v>23350.400390625</v>
      </c>
      <c r="I986" s="20">
        <f t="shared" si="31"/>
        <v>6.8885519512889631E-3</v>
      </c>
    </row>
    <row r="987" spans="2:9" ht="14.25" customHeight="1" x14ac:dyDescent="0.35">
      <c r="B987" s="29"/>
      <c r="C987" s="30">
        <v>45740</v>
      </c>
      <c r="D987">
        <v>91.319999694824205</v>
      </c>
      <c r="E987" s="20">
        <f t="shared" si="30"/>
        <v>4.3180246056250961E-2</v>
      </c>
      <c r="G987" s="29">
        <v>45740</v>
      </c>
      <c r="H987" s="31">
        <v>23658.349609375</v>
      </c>
      <c r="I987" s="20">
        <f t="shared" si="31"/>
        <v>1.3188177230298765E-2</v>
      </c>
    </row>
    <row r="988" spans="2:9" ht="14.25" customHeight="1" x14ac:dyDescent="0.35">
      <c r="B988" s="29"/>
      <c r="C988" s="30">
        <v>45741</v>
      </c>
      <c r="D988">
        <v>88.459999084472699</v>
      </c>
      <c r="E988" s="20">
        <f t="shared" si="30"/>
        <v>-3.1318447436587141E-2</v>
      </c>
      <c r="G988" s="29">
        <v>45741</v>
      </c>
      <c r="H988" s="31">
        <v>23668.650390625</v>
      </c>
      <c r="I988" s="20">
        <f t="shared" si="31"/>
        <v>4.3539728764165997E-4</v>
      </c>
    </row>
    <row r="989" spans="2:9" ht="14.25" customHeight="1" x14ac:dyDescent="0.35">
      <c r="B989" s="29"/>
      <c r="C989" s="30">
        <v>45742</v>
      </c>
      <c r="D989">
        <v>87.239997863769503</v>
      </c>
      <c r="E989" s="20">
        <f t="shared" si="30"/>
        <v>-1.3791558142999594E-2</v>
      </c>
      <c r="G989" s="29">
        <v>45742</v>
      </c>
      <c r="H989" s="31">
        <v>23486.849609375</v>
      </c>
      <c r="I989" s="20">
        <f t="shared" si="31"/>
        <v>-7.6810793285454976E-3</v>
      </c>
    </row>
    <row r="990" spans="2:9" ht="14.25" customHeight="1" x14ac:dyDescent="0.35">
      <c r="B990" s="29"/>
      <c r="C990" s="30">
        <v>45743</v>
      </c>
      <c r="D990">
        <v>89.650001525878906</v>
      </c>
      <c r="E990" s="20">
        <f t="shared" si="30"/>
        <v>2.7624985340700819E-2</v>
      </c>
      <c r="G990" s="29">
        <v>45743</v>
      </c>
      <c r="H990" s="31">
        <v>23591.94921875</v>
      </c>
      <c r="I990" s="20">
        <f t="shared" si="31"/>
        <v>4.4748278770026483E-3</v>
      </c>
    </row>
    <row r="991" spans="2:9" ht="14.25" customHeight="1" x14ac:dyDescent="0.35">
      <c r="B991" s="29"/>
      <c r="C991" s="30">
        <v>45744</v>
      </c>
      <c r="D991">
        <v>89</v>
      </c>
      <c r="E991" s="20">
        <f t="shared" si="30"/>
        <v>-7.2504351903582833E-3</v>
      </c>
      <c r="G991" s="29">
        <v>45744</v>
      </c>
      <c r="H991" s="31">
        <v>23519.349609375</v>
      </c>
      <c r="I991" s="20">
        <f t="shared" si="31"/>
        <v>-3.0773044101544836E-3</v>
      </c>
    </row>
    <row r="992" spans="2:9" ht="14.25" customHeight="1" x14ac:dyDescent="0.35">
      <c r="B992" s="29"/>
      <c r="C992" s="30">
        <v>45748</v>
      </c>
      <c r="D992">
        <v>90</v>
      </c>
      <c r="E992" s="20">
        <f t="shared" si="30"/>
        <v>1.1235955056179775E-2</v>
      </c>
      <c r="G992" s="29">
        <v>45748</v>
      </c>
      <c r="H992" s="31">
        <v>23165.69921875</v>
      </c>
      <c r="I992" s="20">
        <f t="shared" si="31"/>
        <v>-1.5036571865236959E-2</v>
      </c>
    </row>
    <row r="993" spans="2:9" ht="14.25" customHeight="1" x14ac:dyDescent="0.35">
      <c r="B993" s="29"/>
      <c r="C993" s="30">
        <v>45749</v>
      </c>
      <c r="D993">
        <v>91.099998474121094</v>
      </c>
      <c r="E993" s="20">
        <f t="shared" si="30"/>
        <v>1.2222205268012152E-2</v>
      </c>
      <c r="G993" s="29">
        <v>45749</v>
      </c>
      <c r="H993" s="31">
        <v>23332.349609375</v>
      </c>
      <c r="I993" s="20">
        <f t="shared" si="31"/>
        <v>7.1938424586863083E-3</v>
      </c>
    </row>
    <row r="994" spans="2:9" ht="14.25" customHeight="1" x14ac:dyDescent="0.35">
      <c r="B994" s="29"/>
      <c r="C994" s="30">
        <v>45750</v>
      </c>
      <c r="D994">
        <v>94.379997253417997</v>
      </c>
      <c r="E994" s="20">
        <f t="shared" si="30"/>
        <v>3.6004377982823535E-2</v>
      </c>
      <c r="G994" s="29">
        <v>45750</v>
      </c>
      <c r="H994" s="31">
        <v>23250.099609375</v>
      </c>
      <c r="I994" s="20">
        <f t="shared" si="31"/>
        <v>-3.5251486188494162E-3</v>
      </c>
    </row>
    <row r="995" spans="2:9" ht="14.25" customHeight="1" x14ac:dyDescent="0.35">
      <c r="B995" s="29"/>
      <c r="C995" s="30">
        <v>45751</v>
      </c>
      <c r="D995">
        <v>90.389999389648395</v>
      </c>
      <c r="E995" s="20">
        <f t="shared" si="30"/>
        <v>-4.2275884508198622E-2</v>
      </c>
      <c r="G995" s="29">
        <v>45751</v>
      </c>
      <c r="H995" s="31">
        <v>22904.44921875</v>
      </c>
      <c r="I995" s="20">
        <f t="shared" si="31"/>
        <v>-1.4866619775066488E-2</v>
      </c>
    </row>
    <row r="996" spans="2:9" ht="14.25" customHeight="1" x14ac:dyDescent="0.35">
      <c r="B996" s="29"/>
      <c r="C996" s="30">
        <v>45754</v>
      </c>
      <c r="D996">
        <v>87.099998474121094</v>
      </c>
      <c r="E996" s="20">
        <f t="shared" si="30"/>
        <v>-3.6397841992950354E-2</v>
      </c>
      <c r="G996" s="29">
        <v>45754</v>
      </c>
      <c r="H996" s="31">
        <v>22161.599609375</v>
      </c>
      <c r="I996" s="20">
        <f t="shared" si="31"/>
        <v>-3.2432546283055336E-2</v>
      </c>
    </row>
    <row r="997" spans="2:9" ht="14.25" customHeight="1" x14ac:dyDescent="0.35">
      <c r="B997" s="29"/>
      <c r="C997" s="30">
        <v>45755</v>
      </c>
      <c r="D997">
        <v>89.430000305175795</v>
      </c>
      <c r="E997" s="20">
        <f t="shared" si="30"/>
        <v>2.6750882570302056E-2</v>
      </c>
      <c r="G997" s="29">
        <v>45755</v>
      </c>
      <c r="H997" s="31">
        <v>22535.849609375</v>
      </c>
      <c r="I997" s="20">
        <f t="shared" si="31"/>
        <v>1.688731890281428E-2</v>
      </c>
    </row>
    <row r="998" spans="2:9" ht="14.25" customHeight="1" x14ac:dyDescent="0.35">
      <c r="B998" s="29"/>
      <c r="C998" s="30">
        <v>45756</v>
      </c>
      <c r="D998">
        <v>88.419998168945298</v>
      </c>
      <c r="E998" s="20">
        <f t="shared" si="30"/>
        <v>-1.1293773149769775E-2</v>
      </c>
      <c r="G998" s="29">
        <v>45756</v>
      </c>
      <c r="H998" s="31">
        <v>22399.150390625</v>
      </c>
      <c r="I998" s="20">
        <f t="shared" si="31"/>
        <v>-6.0658560080704745E-3</v>
      </c>
    </row>
    <row r="999" spans="2:9" ht="14.25" customHeight="1" x14ac:dyDescent="0.35">
      <c r="B999" s="29"/>
      <c r="C999" s="30">
        <v>45758</v>
      </c>
      <c r="D999">
        <v>90.540000915527301</v>
      </c>
      <c r="E999" s="20">
        <f t="shared" si="30"/>
        <v>2.3976507469851839E-2</v>
      </c>
      <c r="G999" s="29">
        <v>45758</v>
      </c>
      <c r="H999" s="31">
        <v>22828.55078125</v>
      </c>
      <c r="I999" s="20">
        <f t="shared" si="31"/>
        <v>1.9170387409190411E-2</v>
      </c>
    </row>
    <row r="1000" spans="2:9" ht="14.25" customHeight="1" x14ac:dyDescent="0.35">
      <c r="B1000" s="29"/>
      <c r="C1000" s="30">
        <v>45762</v>
      </c>
      <c r="D1000">
        <v>92.690002441406307</v>
      </c>
      <c r="E1000" s="20">
        <f t="shared" si="30"/>
        <v>2.374642703930311E-2</v>
      </c>
      <c r="G1000" s="29">
        <v>45762</v>
      </c>
      <c r="H1000" s="31">
        <v>23328.55078125</v>
      </c>
      <c r="I1000" s="20">
        <f t="shared" si="31"/>
        <v>2.1902397782108445E-2</v>
      </c>
    </row>
    <row r="1001" spans="2:9" ht="14.25" customHeight="1" x14ac:dyDescent="0.35">
      <c r="B1001" s="29"/>
      <c r="C1001" s="30">
        <v>45763</v>
      </c>
      <c r="D1001">
        <v>94.699996948242202</v>
      </c>
      <c r="E1001" s="20">
        <f t="shared" si="30"/>
        <v>2.1685127348081652E-2</v>
      </c>
      <c r="G1001" s="29">
        <v>45763</v>
      </c>
      <c r="H1001" s="31">
        <v>23437.19921875</v>
      </c>
      <c r="I1001" s="20">
        <f t="shared" si="31"/>
        <v>4.657316201027141E-3</v>
      </c>
    </row>
    <row r="1002" spans="2:9" ht="14.25" customHeight="1" x14ac:dyDescent="0.35">
      <c r="B1002" s="29"/>
      <c r="C1002" s="30">
        <v>45764</v>
      </c>
      <c r="D1002">
        <v>96.019996643066406</v>
      </c>
      <c r="E1002" s="20">
        <f t="shared" si="30"/>
        <v>1.3938751186503666E-2</v>
      </c>
      <c r="G1002" s="29">
        <v>45764</v>
      </c>
      <c r="H1002" s="31">
        <v>23851.650390625</v>
      </c>
      <c r="I1002" s="20">
        <f t="shared" si="31"/>
        <v>1.7683476937954037E-2</v>
      </c>
    </row>
    <row r="1003" spans="2:9" ht="14.25" customHeight="1" x14ac:dyDescent="0.35">
      <c r="B1003" s="29"/>
      <c r="C1003" s="30">
        <v>45768</v>
      </c>
      <c r="D1003">
        <v>99</v>
      </c>
      <c r="E1003" s="20">
        <f t="shared" si="30"/>
        <v>3.1035237045582417E-2</v>
      </c>
      <c r="G1003" s="29">
        <v>45768</v>
      </c>
      <c r="H1003" s="31">
        <v>24125.55078125</v>
      </c>
      <c r="I1003" s="20">
        <f t="shared" si="31"/>
        <v>1.1483498464016469E-2</v>
      </c>
    </row>
    <row r="1004" spans="2:9" ht="14.25" customHeight="1" x14ac:dyDescent="0.35">
      <c r="B1004" s="29"/>
      <c r="C1004" s="30">
        <v>45769</v>
      </c>
      <c r="D1004">
        <v>100.66000366210901</v>
      </c>
      <c r="E1004" s="20">
        <f t="shared" si="30"/>
        <v>1.6767713758676823E-2</v>
      </c>
      <c r="G1004" s="29">
        <v>45769</v>
      </c>
      <c r="H1004" s="31">
        <v>24167.25</v>
      </c>
      <c r="I1004" s="20">
        <f t="shared" si="31"/>
        <v>1.728425565413743E-3</v>
      </c>
    </row>
    <row r="1005" spans="2:9" ht="14.25" customHeight="1" x14ac:dyDescent="0.35">
      <c r="B1005" s="29"/>
      <c r="C1005" s="30">
        <v>45770</v>
      </c>
      <c r="D1005">
        <v>99.449996948242202</v>
      </c>
      <c r="E1005" s="20">
        <f t="shared" si="30"/>
        <v>-1.2020729881239626E-2</v>
      </c>
      <c r="G1005" s="29">
        <v>45770</v>
      </c>
      <c r="H1005" s="31">
        <v>24328.94921875</v>
      </c>
      <c r="I1005" s="20">
        <f t="shared" si="31"/>
        <v>6.6908406521221904E-3</v>
      </c>
    </row>
    <row r="1006" spans="2:9" ht="14.25" customHeight="1" x14ac:dyDescent="0.35">
      <c r="B1006" s="29"/>
      <c r="C1006" s="30">
        <v>45771</v>
      </c>
      <c r="D1006">
        <v>99.389999389648395</v>
      </c>
      <c r="E1006" s="20">
        <f t="shared" si="30"/>
        <v>-6.0329371980807596E-4</v>
      </c>
      <c r="G1006" s="29">
        <v>45771</v>
      </c>
      <c r="H1006" s="31">
        <v>24246.69921875</v>
      </c>
      <c r="I1006" s="20">
        <f t="shared" si="31"/>
        <v>-3.3807460922566689E-3</v>
      </c>
    </row>
    <row r="1007" spans="2:9" ht="14.25" customHeight="1" x14ac:dyDescent="0.35">
      <c r="B1007" s="29"/>
      <c r="C1007" s="30">
        <v>45772</v>
      </c>
      <c r="D1007">
        <v>96.529998779296903</v>
      </c>
      <c r="E1007" s="20">
        <f t="shared" si="30"/>
        <v>-2.8775537055183487E-2</v>
      </c>
      <c r="G1007" s="29">
        <v>45772</v>
      </c>
      <c r="H1007" s="31">
        <v>24039.349609375</v>
      </c>
      <c r="I1007" s="20">
        <f t="shared" si="31"/>
        <v>-8.5516633626838701E-3</v>
      </c>
    </row>
    <row r="1008" spans="2:9" ht="14.25" customHeight="1" x14ac:dyDescent="0.35">
      <c r="B1008" s="29"/>
      <c r="C1008" s="30">
        <v>45775</v>
      </c>
      <c r="D1008">
        <v>98.449996948242202</v>
      </c>
      <c r="E1008" s="20">
        <f t="shared" si="30"/>
        <v>1.9890170861134274E-2</v>
      </c>
      <c r="G1008" s="29">
        <v>45775</v>
      </c>
      <c r="H1008" s="31">
        <v>24328.5</v>
      </c>
      <c r="I1008" s="20">
        <f t="shared" si="31"/>
        <v>1.2028211882747256E-2</v>
      </c>
    </row>
    <row r="1009" spans="2:9" ht="14.25" customHeight="1" x14ac:dyDescent="0.35">
      <c r="B1009" s="29"/>
      <c r="C1009" s="30">
        <v>45776</v>
      </c>
      <c r="D1009">
        <v>99.330001831054702</v>
      </c>
      <c r="E1009" s="20">
        <f t="shared" si="30"/>
        <v>8.9385973599891734E-3</v>
      </c>
      <c r="G1009" s="29">
        <v>45776</v>
      </c>
      <c r="H1009" s="31">
        <v>24335.94921875</v>
      </c>
      <c r="I1009" s="20">
        <f t="shared" si="31"/>
        <v>3.0619309657397702E-4</v>
      </c>
    </row>
    <row r="1010" spans="2:9" ht="14.25" customHeight="1" x14ac:dyDescent="0.35">
      <c r="B1010" s="29"/>
      <c r="C1010" s="30">
        <v>45777</v>
      </c>
      <c r="D1010">
        <v>97.449996948242202</v>
      </c>
      <c r="E1010" s="20">
        <f t="shared" si="30"/>
        <v>-1.8926858433065408E-2</v>
      </c>
      <c r="G1010" s="29">
        <v>45777</v>
      </c>
      <c r="H1010" s="31">
        <v>24334.19921875</v>
      </c>
      <c r="I1010" s="20">
        <f t="shared" si="31"/>
        <v>-7.1910077731904783E-5</v>
      </c>
    </row>
    <row r="1011" spans="2:9" ht="14.25" customHeight="1" x14ac:dyDescent="0.35">
      <c r="B1011" s="29"/>
      <c r="C1011" s="30">
        <v>45779</v>
      </c>
      <c r="D1011">
        <v>96.660003662109403</v>
      </c>
      <c r="E1011" s="20">
        <f t="shared" si="30"/>
        <v>-8.106652753949093E-3</v>
      </c>
      <c r="G1011" s="29">
        <v>45779</v>
      </c>
      <c r="H1011" s="31">
        <v>24346.69921875</v>
      </c>
      <c r="I1011" s="20">
        <f t="shared" si="31"/>
        <v>5.1368035116473008E-4</v>
      </c>
    </row>
    <row r="1012" spans="2:9" ht="14.25" customHeight="1" x14ac:dyDescent="0.35">
      <c r="B1012" s="29"/>
      <c r="C1012" s="30">
        <v>45782</v>
      </c>
      <c r="D1012">
        <v>97.160003662109403</v>
      </c>
      <c r="E1012" s="20">
        <f t="shared" si="30"/>
        <v>5.1727703399208477E-3</v>
      </c>
      <c r="G1012" s="29">
        <v>45782</v>
      </c>
      <c r="H1012" s="31">
        <v>24461.150390625</v>
      </c>
      <c r="I1012" s="20">
        <f t="shared" si="31"/>
        <v>4.700890697612853E-3</v>
      </c>
    </row>
    <row r="1013" spans="2:9" ht="14.25" customHeight="1" x14ac:dyDescent="0.35">
      <c r="B1013" s="29"/>
      <c r="C1013" s="30">
        <v>45783</v>
      </c>
      <c r="D1013">
        <v>92.379997253417997</v>
      </c>
      <c r="E1013" s="20">
        <f t="shared" si="30"/>
        <v>-4.9197264599893382E-2</v>
      </c>
      <c r="G1013" s="29">
        <v>45783</v>
      </c>
      <c r="H1013" s="31">
        <v>24379.599609375</v>
      </c>
      <c r="I1013" s="20">
        <f t="shared" si="31"/>
        <v>-3.3338898599493184E-3</v>
      </c>
    </row>
    <row r="1014" spans="2:9" ht="14.25" customHeight="1" x14ac:dyDescent="0.35">
      <c r="B1014" s="29"/>
      <c r="C1014" s="30">
        <v>45784</v>
      </c>
      <c r="D1014">
        <v>93.669998168945298</v>
      </c>
      <c r="E1014" s="20">
        <f t="shared" si="30"/>
        <v>1.3964071810789883E-2</v>
      </c>
      <c r="G1014" s="29">
        <v>45784</v>
      </c>
      <c r="H1014" s="31">
        <v>24414.400390625</v>
      </c>
      <c r="I1014" s="20">
        <f t="shared" si="31"/>
        <v>1.4274549954716078E-3</v>
      </c>
    </row>
    <row r="1015" spans="2:9" ht="14.25" customHeight="1" x14ac:dyDescent="0.35">
      <c r="B1015" s="29"/>
      <c r="C1015" s="30">
        <v>45785</v>
      </c>
      <c r="D1015">
        <v>95.370002746582003</v>
      </c>
      <c r="E1015" s="20">
        <f t="shared" si="30"/>
        <v>1.8148869551278719E-2</v>
      </c>
      <c r="G1015" s="29">
        <v>45785</v>
      </c>
      <c r="H1015" s="31">
        <v>24273.80078125</v>
      </c>
      <c r="I1015" s="20">
        <f t="shared" si="31"/>
        <v>-5.7588802970966885E-3</v>
      </c>
    </row>
    <row r="1016" spans="2:9" ht="14.25" customHeight="1" x14ac:dyDescent="0.35">
      <c r="B1016" s="29"/>
      <c r="C1016" s="30">
        <v>45786</v>
      </c>
      <c r="D1016">
        <v>97.639999389648395</v>
      </c>
      <c r="E1016" s="20">
        <f t="shared" si="30"/>
        <v>2.3801998298125741E-2</v>
      </c>
      <c r="G1016" s="29">
        <v>45786</v>
      </c>
      <c r="H1016" s="31">
        <v>24008</v>
      </c>
      <c r="I1016" s="20">
        <f t="shared" si="31"/>
        <v>-1.0950109694206379E-2</v>
      </c>
    </row>
    <row r="1017" spans="2:9" ht="14.25" customHeight="1" x14ac:dyDescent="0.35">
      <c r="B1017" s="29"/>
      <c r="C1017" s="30">
        <v>45789</v>
      </c>
      <c r="D1017">
        <v>100.860000610352</v>
      </c>
      <c r="E1017" s="20">
        <f t="shared" si="30"/>
        <v>3.2978300295288476E-2</v>
      </c>
      <c r="G1017" s="29">
        <v>45789</v>
      </c>
      <c r="H1017" s="31">
        <v>24924.69921875</v>
      </c>
      <c r="I1017" s="20">
        <f t="shared" si="31"/>
        <v>3.8183073090219927E-2</v>
      </c>
    </row>
    <row r="1018" spans="2:9" ht="14.25" customHeight="1" x14ac:dyDescent="0.35">
      <c r="B1018" s="29"/>
      <c r="C1018" s="30">
        <v>45790</v>
      </c>
      <c r="D1018">
        <v>104.779998779297</v>
      </c>
      <c r="E1018" s="20">
        <f t="shared" si="30"/>
        <v>3.8865736121586558E-2</v>
      </c>
      <c r="G1018" s="29">
        <v>45790</v>
      </c>
      <c r="H1018" s="31">
        <v>24578.349609375</v>
      </c>
      <c r="I1018" s="20">
        <f t="shared" si="31"/>
        <v>-1.389583907654352E-2</v>
      </c>
    </row>
    <row r="1019" spans="2:9" ht="14.25" customHeight="1" x14ac:dyDescent="0.35">
      <c r="B1019" s="29"/>
      <c r="C1019" s="30">
        <v>45791</v>
      </c>
      <c r="D1019">
        <v>105.669998168945</v>
      </c>
      <c r="E1019" s="20">
        <f t="shared" si="30"/>
        <v>8.4939816760510201E-3</v>
      </c>
      <c r="G1019" s="29">
        <v>45791</v>
      </c>
      <c r="H1019" s="31">
        <v>24666.900390625</v>
      </c>
      <c r="I1019" s="20">
        <f t="shared" si="31"/>
        <v>3.6027960647212775E-3</v>
      </c>
    </row>
    <row r="1020" spans="2:9" ht="14.25" customHeight="1" x14ac:dyDescent="0.35">
      <c r="B1020" s="29"/>
      <c r="C1020" s="30">
        <v>45792</v>
      </c>
      <c r="D1020">
        <v>105.16000366210901</v>
      </c>
      <c r="E1020" s="20">
        <f t="shared" si="30"/>
        <v>-4.826294271535957E-3</v>
      </c>
      <c r="G1020" s="29">
        <v>45792</v>
      </c>
      <c r="H1020" s="31">
        <v>25062.099609375</v>
      </c>
      <c r="I1020" s="20">
        <f t="shared" si="31"/>
        <v>1.6021438141461865E-2</v>
      </c>
    </row>
    <row r="1021" spans="2:9" ht="14.25" customHeight="1" x14ac:dyDescent="0.35">
      <c r="B1021" s="29"/>
      <c r="C1021" s="30">
        <v>45793</v>
      </c>
      <c r="D1021">
        <v>107.76000213623099</v>
      </c>
      <c r="E1021" s="20">
        <f t="shared" si="30"/>
        <v>2.4724214374089205E-2</v>
      </c>
      <c r="G1021" s="29">
        <v>45793</v>
      </c>
      <c r="H1021" s="31">
        <v>25019.80078125</v>
      </c>
      <c r="I1021" s="20">
        <f t="shared" si="31"/>
        <v>-1.6877607536591724E-3</v>
      </c>
    </row>
    <row r="1022" spans="2:9" ht="14.25" customHeight="1" x14ac:dyDescent="0.35">
      <c r="B1022" s="29"/>
      <c r="C1022" s="30">
        <v>45796</v>
      </c>
      <c r="D1022">
        <v>107.959999084473</v>
      </c>
      <c r="E1022" s="20">
        <f t="shared" si="30"/>
        <v>1.8559478867601091E-3</v>
      </c>
      <c r="G1022" s="29">
        <v>45796</v>
      </c>
      <c r="H1022" s="31">
        <v>24945.44921875</v>
      </c>
      <c r="I1022" s="20">
        <f t="shared" si="31"/>
        <v>-2.9717088137536066E-3</v>
      </c>
    </row>
    <row r="1023" spans="2:9" ht="14.25" customHeight="1" x14ac:dyDescent="0.35">
      <c r="B1023" s="29"/>
      <c r="C1023" s="30">
        <v>45797</v>
      </c>
      <c r="D1023">
        <v>107.040000915527</v>
      </c>
      <c r="E1023" s="20">
        <f t="shared" si="30"/>
        <v>-8.5216578061115458E-3</v>
      </c>
      <c r="G1023" s="29">
        <v>45797</v>
      </c>
      <c r="H1023" s="31">
        <v>24683.900390625</v>
      </c>
      <c r="I1023" s="20">
        <f t="shared" si="31"/>
        <v>-1.0484831354666864E-2</v>
      </c>
    </row>
    <row r="1024" spans="2:9" ht="14.25" customHeight="1" x14ac:dyDescent="0.35">
      <c r="B1024" s="29"/>
      <c r="C1024" s="30">
        <v>45798</v>
      </c>
      <c r="D1024">
        <v>107.83999633789099</v>
      </c>
      <c r="E1024" s="20">
        <f t="shared" si="30"/>
        <v>7.4737987249768991E-3</v>
      </c>
      <c r="G1024" s="29">
        <v>45798</v>
      </c>
      <c r="H1024" s="31">
        <v>24813.44921875</v>
      </c>
      <c r="I1024" s="20">
        <f t="shared" si="31"/>
        <v>5.2483127088862724E-3</v>
      </c>
    </row>
    <row r="1025" spans="2:9" ht="14.25" customHeight="1" x14ac:dyDescent="0.35">
      <c r="B1025" s="29"/>
      <c r="C1025" s="30">
        <v>45799</v>
      </c>
      <c r="D1025">
        <v>106.83999633789099</v>
      </c>
      <c r="E1025" s="20">
        <f t="shared" si="30"/>
        <v>-9.272997347540125E-3</v>
      </c>
      <c r="G1025" s="29">
        <v>45799</v>
      </c>
      <c r="H1025" s="31">
        <v>24609.69921875</v>
      </c>
      <c r="I1025" s="20">
        <f t="shared" si="31"/>
        <v>-8.2112727740421762E-3</v>
      </c>
    </row>
    <row r="1026" spans="2:9" ht="14.25" customHeight="1" x14ac:dyDescent="0.35">
      <c r="B1026" s="29"/>
      <c r="C1026" s="30">
        <v>45800</v>
      </c>
      <c r="D1026">
        <v>107.209999084473</v>
      </c>
      <c r="E1026" s="20">
        <f t="shared" si="30"/>
        <v>3.4631482521942083E-3</v>
      </c>
      <c r="G1026" s="29">
        <v>45800</v>
      </c>
      <c r="H1026" s="31">
        <v>24853.150390625</v>
      </c>
      <c r="I1026" s="20">
        <f t="shared" si="31"/>
        <v>9.8924887180057795E-3</v>
      </c>
    </row>
    <row r="1027" spans="2:9" ht="14.25" customHeight="1" x14ac:dyDescent="0.35">
      <c r="B1027" s="29"/>
      <c r="C1027" s="30">
        <v>45803</v>
      </c>
      <c r="D1027">
        <v>107.48000335693401</v>
      </c>
      <c r="E1027" s="20">
        <f t="shared" si="30"/>
        <v>2.5184616618480387E-3</v>
      </c>
      <c r="G1027" s="29">
        <v>45803</v>
      </c>
      <c r="H1027" s="31">
        <v>25001.150390625</v>
      </c>
      <c r="I1027" s="20">
        <f t="shared" si="31"/>
        <v>5.9549794562796321E-3</v>
      </c>
    </row>
    <row r="1028" spans="2:9" ht="14.25" customHeight="1" x14ac:dyDescent="0.35">
      <c r="B1028" s="29"/>
      <c r="C1028" s="30">
        <v>45804</v>
      </c>
      <c r="D1028">
        <v>108.43000030517599</v>
      </c>
      <c r="E1028" s="20">
        <f t="shared" si="30"/>
        <v>8.838825070437626E-3</v>
      </c>
      <c r="G1028" s="29">
        <v>45804</v>
      </c>
      <c r="H1028" s="31">
        <v>24826.19921875</v>
      </c>
      <c r="I1028" s="20">
        <f t="shared" si="31"/>
        <v>-6.9977248703165145E-3</v>
      </c>
    </row>
    <row r="1029" spans="2:9" ht="14.25" customHeight="1" x14ac:dyDescent="0.35">
      <c r="B1029" s="29"/>
      <c r="C1029" s="30">
        <v>45805</v>
      </c>
      <c r="D1029">
        <v>110.94000244140599</v>
      </c>
      <c r="E1029" s="20">
        <f t="shared" ref="E1029:E1092" si="32">(D1029-D1028)/D1028</f>
        <v>2.3148594753902099E-2</v>
      </c>
      <c r="G1029" s="29">
        <v>45805</v>
      </c>
      <c r="H1029" s="31">
        <v>24752.44921875</v>
      </c>
      <c r="I1029" s="20">
        <f t="shared" ref="I1029:I1092" si="33">(H1029-H1028)/H1028</f>
        <v>-2.9706520659956788E-3</v>
      </c>
    </row>
    <row r="1030" spans="2:9" ht="14.25" customHeight="1" x14ac:dyDescent="0.35">
      <c r="B1030" s="29"/>
      <c r="C1030" s="30">
        <v>45806</v>
      </c>
      <c r="D1030">
        <v>110.73000335693401</v>
      </c>
      <c r="E1030" s="20">
        <f t="shared" si="32"/>
        <v>-1.8929067951201943E-3</v>
      </c>
      <c r="G1030" s="29">
        <v>45806</v>
      </c>
      <c r="H1030" s="31">
        <v>24833.599609375</v>
      </c>
      <c r="I1030" s="20">
        <f t="shared" si="33"/>
        <v>3.2784792287758142E-3</v>
      </c>
    </row>
    <row r="1031" spans="2:9" ht="14.25" customHeight="1" x14ac:dyDescent="0.35">
      <c r="B1031" s="29"/>
      <c r="C1031" s="30">
        <v>45807</v>
      </c>
      <c r="D1031">
        <v>114.76000213623099</v>
      </c>
      <c r="E1031" s="20">
        <f t="shared" si="32"/>
        <v>3.6394822154086272E-2</v>
      </c>
      <c r="G1031" s="29">
        <v>45807</v>
      </c>
      <c r="H1031" s="31">
        <v>24750.69921875</v>
      </c>
      <c r="I1031" s="20">
        <f t="shared" si="33"/>
        <v>-3.3382349691143463E-3</v>
      </c>
    </row>
    <row r="1032" spans="2:9" ht="14.25" customHeight="1" x14ac:dyDescent="0.35">
      <c r="B1032" s="29"/>
      <c r="C1032" s="30">
        <v>45810</v>
      </c>
      <c r="D1032">
        <v>116.83999633789099</v>
      </c>
      <c r="E1032" s="20">
        <f t="shared" si="32"/>
        <v>1.8124731290879985E-2</v>
      </c>
      <c r="G1032" s="29">
        <v>45810</v>
      </c>
      <c r="H1032" s="31">
        <v>24716.599609375</v>
      </c>
      <c r="I1032" s="20">
        <f t="shared" si="33"/>
        <v>-1.3777230725331466E-3</v>
      </c>
    </row>
    <row r="1033" spans="2:9" ht="14.25" customHeight="1" x14ac:dyDescent="0.35">
      <c r="B1033" s="29"/>
      <c r="C1033" s="30">
        <v>45811</v>
      </c>
      <c r="D1033">
        <v>115.91000366210901</v>
      </c>
      <c r="E1033" s="20">
        <f t="shared" si="32"/>
        <v>-7.9595404393246628E-3</v>
      </c>
      <c r="G1033" s="29">
        <v>45811</v>
      </c>
      <c r="H1033" s="31">
        <v>24542.5</v>
      </c>
      <c r="I1033" s="20">
        <f t="shared" si="33"/>
        <v>-7.0438333802585072E-3</v>
      </c>
    </row>
    <row r="1034" spans="2:9" ht="14.25" customHeight="1" x14ac:dyDescent="0.35">
      <c r="B1034" s="29"/>
      <c r="C1034" s="30">
        <v>45812</v>
      </c>
      <c r="D1034">
        <v>117.31999969482401</v>
      </c>
      <c r="E1034" s="20">
        <f t="shared" si="32"/>
        <v>1.2164575862022235E-2</v>
      </c>
      <c r="G1034" s="29">
        <v>45812</v>
      </c>
      <c r="H1034" s="31">
        <v>24620.19921875</v>
      </c>
      <c r="I1034" s="20">
        <f t="shared" si="33"/>
        <v>3.1659048079861465E-3</v>
      </c>
    </row>
    <row r="1035" spans="2:9" ht="14.25" customHeight="1" x14ac:dyDescent="0.35">
      <c r="B1035" s="29"/>
      <c r="C1035" s="30">
        <v>45813</v>
      </c>
      <c r="D1035">
        <v>116.379997253418</v>
      </c>
      <c r="E1035" s="20">
        <f t="shared" si="32"/>
        <v>-8.012294952703447E-3</v>
      </c>
      <c r="G1035" s="29">
        <v>45813</v>
      </c>
      <c r="H1035" s="31">
        <v>24750.900390625</v>
      </c>
      <c r="I1035" s="20">
        <f t="shared" si="33"/>
        <v>5.3086967621066988E-3</v>
      </c>
    </row>
    <row r="1036" spans="2:9" ht="14.25" customHeight="1" x14ac:dyDescent="0.35">
      <c r="B1036" s="29"/>
      <c r="C1036" s="30">
        <v>45814</v>
      </c>
      <c r="D1036">
        <v>115.709999084473</v>
      </c>
      <c r="E1036" s="20">
        <f t="shared" si="32"/>
        <v>-5.7569873239133665E-3</v>
      </c>
      <c r="G1036" s="29">
        <v>45814</v>
      </c>
      <c r="H1036" s="31">
        <v>25003.05078125</v>
      </c>
      <c r="I1036" s="20">
        <f t="shared" si="33"/>
        <v>1.0187523954502602E-2</v>
      </c>
    </row>
    <row r="1037" spans="2:9" ht="14.25" customHeight="1" x14ac:dyDescent="0.35">
      <c r="B1037" s="29"/>
      <c r="C1037" s="30">
        <v>45817</v>
      </c>
      <c r="D1037">
        <v>117.69000244140599</v>
      </c>
      <c r="E1037" s="20">
        <f t="shared" si="32"/>
        <v>1.7111774026439271E-2</v>
      </c>
      <c r="G1037" s="29">
        <v>45817</v>
      </c>
      <c r="H1037" s="31">
        <v>25103.19921875</v>
      </c>
      <c r="I1037" s="20">
        <f t="shared" si="33"/>
        <v>4.0054487100870968E-3</v>
      </c>
    </row>
    <row r="1038" spans="2:9" ht="14.25" customHeight="1" x14ac:dyDescent="0.35">
      <c r="B1038" s="29"/>
      <c r="C1038" s="30">
        <v>45818</v>
      </c>
      <c r="D1038">
        <v>117.76000213623099</v>
      </c>
      <c r="E1038" s="20">
        <f t="shared" si="32"/>
        <v>5.947802988605672E-4</v>
      </c>
      <c r="G1038" s="29">
        <v>45818</v>
      </c>
      <c r="H1038" s="31">
        <v>25104.25</v>
      </c>
      <c r="I1038" s="20">
        <f t="shared" si="33"/>
        <v>4.185845958690213E-5</v>
      </c>
    </row>
    <row r="1039" spans="2:9" ht="14.25" customHeight="1" x14ac:dyDescent="0.35">
      <c r="B1039" s="29"/>
      <c r="C1039" s="30">
        <v>45819</v>
      </c>
      <c r="D1039">
        <v>117.08999633789099</v>
      </c>
      <c r="E1039" s="20">
        <f t="shared" si="32"/>
        <v>-5.6895871788869533E-3</v>
      </c>
      <c r="G1039" s="29">
        <v>45819</v>
      </c>
      <c r="H1039" s="31">
        <v>25141.400390625</v>
      </c>
      <c r="I1039" s="20">
        <f t="shared" si="33"/>
        <v>1.4798446727147794E-3</v>
      </c>
    </row>
    <row r="1040" spans="2:9" ht="14.25" customHeight="1" x14ac:dyDescent="0.35">
      <c r="B1040" s="29"/>
      <c r="C1040" s="30">
        <v>45820</v>
      </c>
      <c r="D1040">
        <v>115.639999389648</v>
      </c>
      <c r="E1040" s="20">
        <f t="shared" si="32"/>
        <v>-1.2383610842882658E-2</v>
      </c>
      <c r="G1040" s="29">
        <v>45820</v>
      </c>
      <c r="H1040" s="31">
        <v>24888.19921875</v>
      </c>
      <c r="I1040" s="20">
        <f t="shared" si="33"/>
        <v>-1.0071084662786582E-2</v>
      </c>
    </row>
    <row r="1041" spans="2:9" ht="14.25" customHeight="1" x14ac:dyDescent="0.35">
      <c r="B1041" s="29"/>
      <c r="C1041" s="30">
        <v>45821</v>
      </c>
      <c r="D1041">
        <v>111.459999084473</v>
      </c>
      <c r="E1041" s="20">
        <f t="shared" si="32"/>
        <v>-3.6146664884444735E-2</v>
      </c>
      <c r="G1041" s="29">
        <v>45821</v>
      </c>
      <c r="H1041" s="31">
        <v>24718.599609375</v>
      </c>
      <c r="I1041" s="20">
        <f t="shared" si="33"/>
        <v>-6.814458847919736E-3</v>
      </c>
    </row>
    <row r="1042" spans="2:9" ht="14.25" customHeight="1" x14ac:dyDescent="0.35">
      <c r="B1042" s="29"/>
      <c r="C1042" s="30">
        <v>45824</v>
      </c>
      <c r="D1042">
        <v>111.23999786377</v>
      </c>
      <c r="E1042" s="20">
        <f t="shared" si="32"/>
        <v>-1.9738132290514662E-3</v>
      </c>
      <c r="G1042" s="29">
        <v>45824</v>
      </c>
      <c r="H1042" s="31">
        <v>24946.5</v>
      </c>
      <c r="I1042" s="20">
        <f t="shared" si="33"/>
        <v>9.2197937677086055E-3</v>
      </c>
    </row>
    <row r="1043" spans="2:9" ht="14.25" customHeight="1" x14ac:dyDescent="0.35">
      <c r="B1043" s="29"/>
      <c r="C1043" s="30">
        <v>45825</v>
      </c>
      <c r="D1043">
        <v>109.23000335693401</v>
      </c>
      <c r="E1043" s="20">
        <f t="shared" si="32"/>
        <v>-1.8068990879499414E-2</v>
      </c>
      <c r="G1043" s="29">
        <v>45825</v>
      </c>
      <c r="H1043" s="31">
        <v>24853.400390625</v>
      </c>
      <c r="I1043" s="20">
        <f t="shared" si="33"/>
        <v>-3.7319707924959415E-3</v>
      </c>
    </row>
    <row r="1044" spans="2:9" ht="14.25" customHeight="1" x14ac:dyDescent="0.35">
      <c r="B1044" s="29"/>
      <c r="C1044" s="30">
        <v>45826</v>
      </c>
      <c r="D1044">
        <v>108.220001220703</v>
      </c>
      <c r="E1044" s="20">
        <f t="shared" si="32"/>
        <v>-9.2465632627566248E-3</v>
      </c>
      <c r="G1044" s="29">
        <v>45826</v>
      </c>
      <c r="H1044" s="31">
        <v>24812.05078125</v>
      </c>
      <c r="I1044" s="20">
        <f t="shared" si="33"/>
        <v>-1.6637405234334682E-3</v>
      </c>
    </row>
    <row r="1045" spans="2:9" ht="14.25" customHeight="1" x14ac:dyDescent="0.35">
      <c r="B1045" s="29"/>
      <c r="C1045" s="30">
        <v>45827</v>
      </c>
      <c r="D1045">
        <v>104.889999389648</v>
      </c>
      <c r="E1045" s="20">
        <f t="shared" si="32"/>
        <v>-3.0770668947451046E-2</v>
      </c>
      <c r="G1045" s="29">
        <v>45827</v>
      </c>
      <c r="H1045" s="31">
        <v>24793.25</v>
      </c>
      <c r="I1045" s="20">
        <f t="shared" si="33"/>
        <v>-7.5772782410260889E-4</v>
      </c>
    </row>
    <row r="1046" spans="2:9" ht="14.25" customHeight="1" x14ac:dyDescent="0.35">
      <c r="B1046" s="29"/>
      <c r="C1046" s="30">
        <v>45828</v>
      </c>
      <c r="D1046">
        <v>107.220001220703</v>
      </c>
      <c r="E1046" s="20">
        <f t="shared" si="32"/>
        <v>2.2213765321891659E-2</v>
      </c>
      <c r="G1046" s="29">
        <v>45828</v>
      </c>
      <c r="H1046" s="31">
        <v>25112.400390625</v>
      </c>
      <c r="I1046" s="20">
        <f t="shared" si="33"/>
        <v>1.2872470959837859E-2</v>
      </c>
    </row>
    <row r="1047" spans="2:9" ht="14.25" customHeight="1" x14ac:dyDescent="0.35">
      <c r="B1047" s="29"/>
      <c r="C1047" s="30">
        <v>45831</v>
      </c>
      <c r="D1047">
        <v>107.81999969482401</v>
      </c>
      <c r="E1047" s="20">
        <f t="shared" si="32"/>
        <v>5.5959566059504522E-3</v>
      </c>
      <c r="G1047" s="29">
        <v>45831</v>
      </c>
      <c r="H1047" s="31">
        <v>24971.900390625</v>
      </c>
      <c r="I1047" s="20">
        <f t="shared" si="33"/>
        <v>-5.5948454872697742E-3</v>
      </c>
    </row>
    <row r="1048" spans="2:9" ht="14.25" customHeight="1" x14ac:dyDescent="0.35">
      <c r="B1048" s="29"/>
      <c r="C1048" s="30">
        <v>45832</v>
      </c>
      <c r="D1048">
        <v>110.610000610352</v>
      </c>
      <c r="E1048" s="20">
        <f t="shared" si="32"/>
        <v>2.5876469332451073E-2</v>
      </c>
      <c r="G1048" s="29">
        <v>45832</v>
      </c>
      <c r="H1048" s="31">
        <v>25044.349609375</v>
      </c>
      <c r="I1048" s="20">
        <f t="shared" si="33"/>
        <v>2.9012296868362901E-3</v>
      </c>
    </row>
    <row r="1049" spans="2:9" ht="14.25" customHeight="1" x14ac:dyDescent="0.35">
      <c r="B1049" s="29"/>
      <c r="C1049" s="30">
        <v>45833</v>
      </c>
      <c r="D1049">
        <v>110.709999084473</v>
      </c>
      <c r="E1049" s="20">
        <f t="shared" si="32"/>
        <v>9.0406358890875377E-4</v>
      </c>
      <c r="G1049" s="29">
        <v>45833</v>
      </c>
      <c r="H1049" s="31">
        <v>25244.75</v>
      </c>
      <c r="I1049" s="20">
        <f t="shared" si="33"/>
        <v>8.0018205204252114E-3</v>
      </c>
    </row>
    <row r="1050" spans="2:9" ht="14.25" customHeight="1" x14ac:dyDescent="0.35">
      <c r="B1050" s="29"/>
      <c r="C1050" s="30">
        <v>45834</v>
      </c>
      <c r="D1050">
        <v>111.06999969482401</v>
      </c>
      <c r="E1050" s="20">
        <f t="shared" si="32"/>
        <v>3.2517443169367537E-3</v>
      </c>
      <c r="G1050" s="29">
        <v>45834</v>
      </c>
      <c r="H1050" s="31">
        <v>25549</v>
      </c>
      <c r="I1050" s="20">
        <f t="shared" si="33"/>
        <v>1.205201081412967E-2</v>
      </c>
    </row>
    <row r="1051" spans="2:9" ht="14.25" customHeight="1" x14ac:dyDescent="0.35">
      <c r="B1051" s="29"/>
      <c r="C1051" s="30">
        <v>45835</v>
      </c>
      <c r="D1051">
        <v>110.98000335693401</v>
      </c>
      <c r="E1051" s="20">
        <f t="shared" si="32"/>
        <v>-8.1026684196699116E-4</v>
      </c>
      <c r="G1051" s="29">
        <v>45835</v>
      </c>
      <c r="H1051" s="31">
        <v>25637.80078125</v>
      </c>
      <c r="I1051" s="20">
        <f t="shared" si="33"/>
        <v>3.4757047731809464E-3</v>
      </c>
    </row>
    <row r="1052" spans="2:9" ht="14.25" customHeight="1" x14ac:dyDescent="0.35">
      <c r="B1052" s="29"/>
      <c r="C1052" s="30">
        <v>45838</v>
      </c>
      <c r="D1052">
        <v>114.199996948242</v>
      </c>
      <c r="E1052" s="20">
        <f t="shared" si="32"/>
        <v>2.9014178175430849E-2</v>
      </c>
      <c r="G1052" s="29">
        <v>45838</v>
      </c>
      <c r="H1052" s="31">
        <v>25517.05078125</v>
      </c>
      <c r="I1052" s="20">
        <f t="shared" si="33"/>
        <v>-4.7098423546652075E-3</v>
      </c>
    </row>
    <row r="1053" spans="2:9" ht="14.25" customHeight="1" x14ac:dyDescent="0.35">
      <c r="B1053" s="29"/>
      <c r="C1053" s="30">
        <v>45839</v>
      </c>
      <c r="D1053">
        <v>115.419998168945</v>
      </c>
      <c r="E1053" s="20">
        <f t="shared" si="32"/>
        <v>1.0683023233844121E-2</v>
      </c>
      <c r="G1053" s="29">
        <v>45839</v>
      </c>
      <c r="H1053" s="31">
        <v>25541.80078125</v>
      </c>
      <c r="I1053" s="20">
        <f t="shared" si="33"/>
        <v>9.6993967728380148E-4</v>
      </c>
    </row>
    <row r="1054" spans="2:9" ht="14.25" customHeight="1" x14ac:dyDescent="0.35">
      <c r="B1054" s="29"/>
      <c r="C1054" s="30">
        <v>45840</v>
      </c>
      <c r="D1054">
        <v>114.23000335693401</v>
      </c>
      <c r="E1054" s="20">
        <f t="shared" si="32"/>
        <v>-1.0310126762167762E-2</v>
      </c>
      <c r="G1054" s="29">
        <v>45840</v>
      </c>
      <c r="H1054" s="31">
        <v>25453.400390625</v>
      </c>
      <c r="I1054" s="20">
        <f t="shared" si="33"/>
        <v>-3.4610085397695964E-3</v>
      </c>
    </row>
    <row r="1055" spans="2:9" ht="14.25" customHeight="1" x14ac:dyDescent="0.35">
      <c r="B1055" s="29"/>
      <c r="C1055" s="30">
        <v>45841</v>
      </c>
      <c r="D1055">
        <v>114.16000366210901</v>
      </c>
      <c r="E1055" s="20">
        <f t="shared" si="32"/>
        <v>-6.1279604979326313E-4</v>
      </c>
      <c r="G1055" s="29">
        <v>45841</v>
      </c>
      <c r="H1055" s="31">
        <v>25405.30078125</v>
      </c>
      <c r="I1055" s="20">
        <f t="shared" si="33"/>
        <v>-1.8897125192245848E-3</v>
      </c>
    </row>
    <row r="1056" spans="2:9" ht="14.25" customHeight="1" x14ac:dyDescent="0.35">
      <c r="B1056" s="29"/>
      <c r="C1056" s="30">
        <v>45842</v>
      </c>
      <c r="D1056">
        <v>114.370002746582</v>
      </c>
      <c r="E1056" s="20">
        <f t="shared" si="32"/>
        <v>1.8395153971311441E-3</v>
      </c>
      <c r="G1056" s="29">
        <v>45842</v>
      </c>
      <c r="H1056" s="31">
        <v>25461</v>
      </c>
      <c r="I1056" s="20">
        <f t="shared" si="33"/>
        <v>2.1924250859926041E-3</v>
      </c>
    </row>
    <row r="1057" spans="2:9" ht="14.25" customHeight="1" x14ac:dyDescent="0.35">
      <c r="B1057" s="29"/>
      <c r="C1057" s="30">
        <v>45845</v>
      </c>
      <c r="D1057">
        <v>114.30999755859401</v>
      </c>
      <c r="E1057" s="20">
        <f t="shared" si="32"/>
        <v>-5.2465844668164361E-4</v>
      </c>
      <c r="G1057" s="29">
        <v>45845</v>
      </c>
      <c r="H1057" s="31">
        <v>25461.30078125</v>
      </c>
      <c r="I1057" s="20">
        <f t="shared" si="33"/>
        <v>1.1813410706570834E-5</v>
      </c>
    </row>
    <row r="1058" spans="2:9" ht="14.25" customHeight="1" x14ac:dyDescent="0.35">
      <c r="B1058" s="29"/>
      <c r="C1058" s="30">
        <v>45846</v>
      </c>
      <c r="D1058">
        <v>113.73999786377</v>
      </c>
      <c r="E1058" s="20">
        <f t="shared" si="32"/>
        <v>-4.9864378181954756E-3</v>
      </c>
      <c r="G1058" s="29">
        <v>45846</v>
      </c>
      <c r="H1058" s="31">
        <v>25522.5</v>
      </c>
      <c r="I1058" s="20">
        <f t="shared" si="33"/>
        <v>2.4036171315751404E-3</v>
      </c>
    </row>
    <row r="1059" spans="2:9" ht="14.25" customHeight="1" x14ac:dyDescent="0.35">
      <c r="B1059" s="29"/>
      <c r="C1059" s="30">
        <v>45847</v>
      </c>
      <c r="D1059">
        <v>113.959999084473</v>
      </c>
      <c r="E1059" s="20">
        <f t="shared" si="32"/>
        <v>1.934246745516028E-3</v>
      </c>
      <c r="G1059" s="29">
        <v>45847</v>
      </c>
      <c r="H1059" s="31">
        <v>25476.099609375</v>
      </c>
      <c r="I1059" s="20">
        <f t="shared" si="33"/>
        <v>-1.8180190273288275E-3</v>
      </c>
    </row>
    <row r="1060" spans="2:9" ht="14.25" customHeight="1" x14ac:dyDescent="0.35">
      <c r="B1060" s="29"/>
      <c r="C1060" s="30">
        <v>45848</v>
      </c>
      <c r="D1060">
        <v>112.389999389648</v>
      </c>
      <c r="E1060" s="20">
        <f t="shared" si="32"/>
        <v>-1.3776761209529635E-2</v>
      </c>
      <c r="G1060" s="29">
        <v>45848</v>
      </c>
      <c r="H1060" s="31">
        <v>25355.25</v>
      </c>
      <c r="I1060" s="20">
        <f t="shared" si="33"/>
        <v>-4.7436464461980792E-3</v>
      </c>
    </row>
    <row r="1061" spans="2:9" ht="14.25" customHeight="1" x14ac:dyDescent="0.35">
      <c r="B1061" s="29"/>
      <c r="C1061" s="30">
        <v>45849</v>
      </c>
      <c r="D1061">
        <v>111.919998168945</v>
      </c>
      <c r="E1061" s="20">
        <f t="shared" si="32"/>
        <v>-4.1818775981440921E-3</v>
      </c>
      <c r="G1061" s="29">
        <v>45849</v>
      </c>
      <c r="H1061" s="31">
        <v>25149.849609375</v>
      </c>
      <c r="I1061" s="20">
        <f t="shared" si="33"/>
        <v>-8.1009018102759789E-3</v>
      </c>
    </row>
    <row r="1062" spans="2:9" ht="14.25" customHeight="1" x14ac:dyDescent="0.35">
      <c r="B1062" s="29"/>
      <c r="C1062" s="30">
        <v>45852</v>
      </c>
      <c r="D1062">
        <v>113.669998168945</v>
      </c>
      <c r="E1062" s="20">
        <f t="shared" si="32"/>
        <v>1.5636168947736645E-2</v>
      </c>
      <c r="G1062" s="29">
        <v>45852</v>
      </c>
      <c r="H1062" s="31">
        <v>25082.30078125</v>
      </c>
      <c r="I1062" s="20">
        <f t="shared" si="33"/>
        <v>-2.685854157148523E-3</v>
      </c>
    </row>
    <row r="1063" spans="2:9" ht="14.25" customHeight="1" x14ac:dyDescent="0.35">
      <c r="B1063" s="29"/>
      <c r="C1063" s="30">
        <v>45853</v>
      </c>
      <c r="D1063">
        <v>114.870002746582</v>
      </c>
      <c r="E1063" s="20">
        <f t="shared" si="32"/>
        <v>1.0556915606292743E-2</v>
      </c>
      <c r="G1063" s="29">
        <v>45853</v>
      </c>
      <c r="H1063" s="31">
        <v>25195.80078125</v>
      </c>
      <c r="I1063" s="20">
        <f t="shared" si="33"/>
        <v>4.5251032187942535E-3</v>
      </c>
    </row>
    <row r="1064" spans="2:9" ht="14.25" customHeight="1" x14ac:dyDescent="0.35">
      <c r="B1064" s="29"/>
      <c r="C1064" s="30">
        <v>45854</v>
      </c>
      <c r="D1064">
        <v>117.029998779297</v>
      </c>
      <c r="E1064" s="20">
        <f t="shared" si="32"/>
        <v>1.8803830252187154E-2</v>
      </c>
      <c r="G1064" s="29">
        <v>45854</v>
      </c>
      <c r="H1064" s="31">
        <v>25212.05078125</v>
      </c>
      <c r="I1064" s="20">
        <f t="shared" si="33"/>
        <v>6.4494874130346306E-4</v>
      </c>
    </row>
    <row r="1065" spans="2:9" ht="14.25" customHeight="1" x14ac:dyDescent="0.35">
      <c r="B1065" s="29"/>
      <c r="C1065" s="30">
        <v>45855</v>
      </c>
      <c r="D1065">
        <v>115.529998779297</v>
      </c>
      <c r="E1065" s="20">
        <f t="shared" si="32"/>
        <v>-1.2817226485909826E-2</v>
      </c>
      <c r="G1065" s="29">
        <v>45855</v>
      </c>
      <c r="H1065" s="31">
        <v>25111.44921875</v>
      </c>
      <c r="I1065" s="20">
        <f t="shared" si="33"/>
        <v>-3.9902173517283477E-3</v>
      </c>
    </row>
    <row r="1066" spans="2:9" ht="14.25" customHeight="1" x14ac:dyDescent="0.35">
      <c r="B1066" s="29"/>
      <c r="C1066" s="30">
        <v>45856</v>
      </c>
      <c r="D1066">
        <v>114.449996948242</v>
      </c>
      <c r="E1066" s="20">
        <f t="shared" si="32"/>
        <v>-9.3482371891839468E-3</v>
      </c>
      <c r="G1066" s="29">
        <v>45856</v>
      </c>
      <c r="H1066" s="31">
        <v>24968.400390625</v>
      </c>
      <c r="I1066" s="20">
        <f t="shared" si="33"/>
        <v>-5.6965580472428303E-3</v>
      </c>
    </row>
    <row r="1067" spans="2:9" ht="14.25" customHeight="1" x14ac:dyDescent="0.35">
      <c r="B1067" s="29"/>
      <c r="C1067" s="30">
        <v>45859</v>
      </c>
      <c r="D1067">
        <v>112.029998779297</v>
      </c>
      <c r="E1067" s="20">
        <f t="shared" si="32"/>
        <v>-2.1144589195921094E-2</v>
      </c>
      <c r="G1067" s="29">
        <v>45859</v>
      </c>
      <c r="H1067" s="31">
        <v>25090.69921875</v>
      </c>
      <c r="I1067" s="20">
        <f t="shared" si="33"/>
        <v>4.8981443028653171E-3</v>
      </c>
    </row>
    <row r="1068" spans="2:9" ht="14.25" customHeight="1" x14ac:dyDescent="0.35">
      <c r="B1068" s="29"/>
      <c r="C1068" s="30">
        <v>45860</v>
      </c>
      <c r="D1068">
        <v>108.050003051758</v>
      </c>
      <c r="E1068" s="20">
        <f t="shared" si="32"/>
        <v>-3.5526160590073165E-2</v>
      </c>
      <c r="G1068" s="29">
        <v>45860</v>
      </c>
      <c r="H1068" s="31">
        <v>25060.900390625</v>
      </c>
      <c r="I1068" s="20">
        <f t="shared" si="33"/>
        <v>-1.1876443882732318E-3</v>
      </c>
    </row>
    <row r="1069" spans="2:9" ht="14.25" customHeight="1" x14ac:dyDescent="0.35">
      <c r="B1069" s="29"/>
      <c r="C1069" s="30">
        <v>45861</v>
      </c>
      <c r="D1069">
        <v>107.800003051758</v>
      </c>
      <c r="E1069" s="20">
        <f t="shared" si="32"/>
        <v>-2.3137435718557572E-3</v>
      </c>
      <c r="G1069" s="29">
        <v>45861</v>
      </c>
      <c r="H1069" s="31">
        <v>25219.900390625</v>
      </c>
      <c r="I1069" s="20">
        <f t="shared" si="33"/>
        <v>6.3445445902446549E-3</v>
      </c>
    </row>
    <row r="1070" spans="2:9" ht="14.25" customHeight="1" x14ac:dyDescent="0.35">
      <c r="B1070" s="29"/>
      <c r="C1070" s="30">
        <v>45862</v>
      </c>
      <c r="D1070">
        <v>113.51000213623099</v>
      </c>
      <c r="E1070" s="20">
        <f t="shared" si="32"/>
        <v>5.2968450118980576E-2</v>
      </c>
      <c r="G1070" s="29">
        <v>45862</v>
      </c>
      <c r="H1070" s="31">
        <v>25062.099609375</v>
      </c>
      <c r="I1070" s="20">
        <f t="shared" si="33"/>
        <v>-6.2569946274910479E-3</v>
      </c>
    </row>
    <row r="1071" spans="2:9" ht="14.25" customHeight="1" x14ac:dyDescent="0.35">
      <c r="B1071" s="29"/>
      <c r="C1071" s="30">
        <v>45863</v>
      </c>
      <c r="D1071">
        <v>110.76000213623099</v>
      </c>
      <c r="E1071" s="20">
        <f t="shared" si="32"/>
        <v>-2.4226939901732535E-2</v>
      </c>
      <c r="G1071" s="29">
        <v>45863</v>
      </c>
      <c r="H1071" s="31">
        <v>24837</v>
      </c>
      <c r="I1071" s="20">
        <f t="shared" si="33"/>
        <v>-8.9816740370306722E-3</v>
      </c>
    </row>
    <row r="1072" spans="2:9" ht="14.25" customHeight="1" x14ac:dyDescent="0.35">
      <c r="B1072" s="29"/>
      <c r="C1072" s="30">
        <v>45866</v>
      </c>
      <c r="D1072">
        <v>110.41000366210901</v>
      </c>
      <c r="E1072" s="20">
        <f t="shared" si="32"/>
        <v>-3.1599717169696596E-3</v>
      </c>
      <c r="G1072" s="29">
        <v>45866</v>
      </c>
      <c r="H1072" s="31">
        <v>24680.900390625</v>
      </c>
      <c r="I1072" s="20">
        <f t="shared" si="33"/>
        <v>-6.2849623293876073E-3</v>
      </c>
    </row>
    <row r="1073" spans="2:9" ht="14.25" customHeight="1" x14ac:dyDescent="0.35">
      <c r="B1073" s="29"/>
      <c r="C1073" s="30">
        <v>45867</v>
      </c>
      <c r="D1073">
        <v>110.08999633789099</v>
      </c>
      <c r="E1073" s="20">
        <f t="shared" si="32"/>
        <v>-2.8983544389450337E-3</v>
      </c>
      <c r="G1073" s="29">
        <v>45867</v>
      </c>
      <c r="H1073" s="31">
        <v>24821.099609375</v>
      </c>
      <c r="I1073" s="20">
        <f t="shared" si="33"/>
        <v>5.6804742343700898E-3</v>
      </c>
    </row>
    <row r="1074" spans="2:9" ht="14.25" customHeight="1" x14ac:dyDescent="0.35">
      <c r="B1074" s="29"/>
      <c r="C1074" s="30">
        <v>45868</v>
      </c>
      <c r="D1074">
        <v>108.199996948242</v>
      </c>
      <c r="E1074" s="20">
        <f t="shared" si="32"/>
        <v>-1.7167766850024756E-2</v>
      </c>
      <c r="G1074" s="29">
        <v>45868</v>
      </c>
      <c r="H1074" s="31">
        <v>24855.05078125</v>
      </c>
      <c r="I1074" s="20">
        <f t="shared" si="33"/>
        <v>1.3678351245235141E-3</v>
      </c>
    </row>
    <row r="1075" spans="2:9" ht="14.25" customHeight="1" x14ac:dyDescent="0.35">
      <c r="B1075" s="29"/>
      <c r="C1075" s="30">
        <v>45869</v>
      </c>
      <c r="D1075">
        <v>107.25</v>
      </c>
      <c r="E1075" s="20">
        <f t="shared" si="32"/>
        <v>-8.7800090114275916E-3</v>
      </c>
      <c r="G1075" s="29">
        <v>45869</v>
      </c>
      <c r="H1075" s="31">
        <v>24768.349609375</v>
      </c>
      <c r="I1075" s="20">
        <f t="shared" si="33"/>
        <v>-3.4882717656889721E-3</v>
      </c>
    </row>
    <row r="1076" spans="2:9" ht="14.25" customHeight="1" x14ac:dyDescent="0.35">
      <c r="B1076" s="29"/>
      <c r="C1076" s="30">
        <v>45870</v>
      </c>
      <c r="D1076">
        <v>105.889999389648</v>
      </c>
      <c r="E1076" s="20">
        <f t="shared" si="32"/>
        <v>-1.2680658371580448E-2</v>
      </c>
      <c r="G1076" s="29">
        <v>45870</v>
      </c>
      <c r="H1076" s="31">
        <v>24565.349609375</v>
      </c>
      <c r="I1076" s="20">
        <f t="shared" si="33"/>
        <v>-8.1959437427822409E-3</v>
      </c>
    </row>
    <row r="1077" spans="2:9" ht="14.25" customHeight="1" x14ac:dyDescent="0.35">
      <c r="B1077" s="29"/>
      <c r="C1077" s="30">
        <v>45873</v>
      </c>
      <c r="D1077">
        <v>107.75</v>
      </c>
      <c r="E1077" s="20">
        <f t="shared" si="32"/>
        <v>1.7565403919851567E-2</v>
      </c>
      <c r="G1077" s="29">
        <v>45873</v>
      </c>
      <c r="H1077" s="31">
        <v>24722.75</v>
      </c>
      <c r="I1077" s="20">
        <f t="shared" si="33"/>
        <v>6.4074150430544043E-3</v>
      </c>
    </row>
    <row r="1078" spans="2:9" ht="14.25" customHeight="1" x14ac:dyDescent="0.35">
      <c r="B1078" s="29"/>
      <c r="C1078" s="30">
        <v>45874</v>
      </c>
      <c r="D1078">
        <v>107.459999084473</v>
      </c>
      <c r="E1078" s="20">
        <f t="shared" si="32"/>
        <v>-2.6914238099953846E-3</v>
      </c>
      <c r="G1078" s="29">
        <v>45874</v>
      </c>
      <c r="H1078" s="31">
        <v>24649.55078125</v>
      </c>
      <c r="I1078" s="20">
        <f t="shared" si="33"/>
        <v>-2.9608040671041855E-3</v>
      </c>
    </row>
    <row r="1079" spans="2:9" ht="14.25" customHeight="1" x14ac:dyDescent="0.35">
      <c r="B1079" s="29"/>
      <c r="C1079" s="30">
        <v>45875</v>
      </c>
      <c r="D1079">
        <v>108.76999664306599</v>
      </c>
      <c r="E1079" s="20">
        <f t="shared" si="32"/>
        <v>1.2190559926984772E-2</v>
      </c>
      <c r="G1079" s="29">
        <v>45875</v>
      </c>
      <c r="H1079" s="31">
        <v>24574.19921875</v>
      </c>
      <c r="I1079" s="20">
        <f t="shared" si="33"/>
        <v>-3.0569142281212337E-3</v>
      </c>
    </row>
    <row r="1080" spans="2:9" ht="14.25" customHeight="1" x14ac:dyDescent="0.35">
      <c r="B1080" s="29"/>
      <c r="C1080" s="30">
        <v>45876</v>
      </c>
      <c r="D1080">
        <v>108.800003051758</v>
      </c>
      <c r="E1080" s="20">
        <f t="shared" si="32"/>
        <v>2.7587027321946685E-4</v>
      </c>
      <c r="G1080" s="29">
        <v>45876</v>
      </c>
      <c r="H1080" s="31">
        <v>24596.150390625</v>
      </c>
      <c r="I1080" s="20">
        <f t="shared" si="33"/>
        <v>8.9326092295415906E-4</v>
      </c>
    </row>
    <row r="1081" spans="2:9" ht="14.25" customHeight="1" x14ac:dyDescent="0.35">
      <c r="B1081" s="29"/>
      <c r="C1081" s="30">
        <v>45877</v>
      </c>
      <c r="D1081">
        <v>107.889999389648</v>
      </c>
      <c r="E1081" s="20">
        <f t="shared" si="32"/>
        <v>-8.3640040127305523E-3</v>
      </c>
      <c r="G1081" s="29">
        <v>45877</v>
      </c>
      <c r="H1081" s="31">
        <v>24363.30078125</v>
      </c>
      <c r="I1081" s="20">
        <f t="shared" si="33"/>
        <v>-9.4669127354072569E-3</v>
      </c>
    </row>
    <row r="1082" spans="2:9" ht="14.25" customHeight="1" x14ac:dyDescent="0.35">
      <c r="B1082" s="29"/>
      <c r="C1082" s="30">
        <v>45880</v>
      </c>
      <c r="D1082">
        <v>109.48000335693401</v>
      </c>
      <c r="E1082" s="20">
        <f t="shared" si="32"/>
        <v>1.4737269221252486E-2</v>
      </c>
      <c r="G1082" s="29">
        <v>45880</v>
      </c>
      <c r="H1082" s="31">
        <v>24585.05078125</v>
      </c>
      <c r="I1082" s="20">
        <f t="shared" si="33"/>
        <v>9.1018044718578876E-3</v>
      </c>
    </row>
    <row r="1083" spans="2:9" ht="14.25" customHeight="1" x14ac:dyDescent="0.35">
      <c r="B1083" s="29"/>
      <c r="C1083" s="30">
        <v>45881</v>
      </c>
      <c r="D1083">
        <v>109.550003051758</v>
      </c>
      <c r="E1083" s="20">
        <f t="shared" si="32"/>
        <v>6.3938338214855281E-4</v>
      </c>
      <c r="G1083" s="29">
        <v>45881</v>
      </c>
      <c r="H1083" s="31">
        <v>24487.400390625</v>
      </c>
      <c r="I1083" s="20">
        <f t="shared" si="33"/>
        <v>-3.9719417907191756E-3</v>
      </c>
    </row>
    <row r="1084" spans="2:9" ht="14.25" customHeight="1" x14ac:dyDescent="0.35">
      <c r="B1084" s="29"/>
      <c r="C1084" s="30">
        <v>45882</v>
      </c>
      <c r="D1084">
        <v>108.98999786377</v>
      </c>
      <c r="E1084" s="20">
        <f t="shared" si="32"/>
        <v>-5.1118683011210598E-3</v>
      </c>
      <c r="G1084" s="29">
        <v>45882</v>
      </c>
      <c r="H1084" s="31">
        <v>24619.349609375</v>
      </c>
      <c r="I1084" s="20">
        <f t="shared" si="33"/>
        <v>5.3884535167120782E-3</v>
      </c>
    </row>
    <row r="1085" spans="2:9" ht="14.25" customHeight="1" x14ac:dyDescent="0.35">
      <c r="B1085" s="29"/>
      <c r="C1085" s="30">
        <v>45883</v>
      </c>
      <c r="D1085">
        <v>109.26000213623099</v>
      </c>
      <c r="E1085" s="20">
        <f t="shared" si="32"/>
        <v>2.4773307436750398E-3</v>
      </c>
      <c r="G1085" s="29">
        <v>45883</v>
      </c>
      <c r="H1085" s="31">
        <v>24631.30078125</v>
      </c>
      <c r="I1085" s="20">
        <f t="shared" si="33"/>
        <v>4.8543816407111817E-4</v>
      </c>
    </row>
    <row r="1086" spans="2:9" ht="14.25" customHeight="1" x14ac:dyDescent="0.35">
      <c r="B1086" s="29"/>
      <c r="C1086" s="30">
        <v>45887</v>
      </c>
      <c r="D1086">
        <v>109.33999633789099</v>
      </c>
      <c r="E1086" s="20">
        <f t="shared" si="32"/>
        <v>7.3214534226586454E-4</v>
      </c>
      <c r="G1086" s="29">
        <v>45887</v>
      </c>
      <c r="H1086" s="31">
        <v>24876.94921875</v>
      </c>
      <c r="I1086" s="20">
        <f t="shared" si="33"/>
        <v>9.9730192766349594E-3</v>
      </c>
    </row>
    <row r="1087" spans="2:9" ht="14.25" customHeight="1" x14ac:dyDescent="0.35">
      <c r="B1087" s="29"/>
      <c r="C1087" s="30">
        <v>45888</v>
      </c>
      <c r="D1087">
        <v>111.669998168945</v>
      </c>
      <c r="E1087" s="20">
        <f t="shared" si="32"/>
        <v>2.1309693699400278E-2</v>
      </c>
      <c r="G1087" s="29">
        <v>45888</v>
      </c>
      <c r="H1087" s="31">
        <v>24980.650390625</v>
      </c>
      <c r="I1087" s="20">
        <f t="shared" si="33"/>
        <v>4.1685646806256856E-3</v>
      </c>
    </row>
    <row r="1088" spans="2:9" ht="14.25" customHeight="1" x14ac:dyDescent="0.35">
      <c r="B1088" s="29"/>
      <c r="C1088" s="30">
        <v>45889</v>
      </c>
      <c r="D1088">
        <v>112.279998779297</v>
      </c>
      <c r="E1088" s="20">
        <f t="shared" si="32"/>
        <v>5.4625290620058586E-3</v>
      </c>
      <c r="G1088" s="29">
        <v>45889</v>
      </c>
      <c r="H1088" s="31">
        <v>25050.55078125</v>
      </c>
      <c r="I1088" s="20">
        <f t="shared" si="33"/>
        <v>2.7981813736616301E-3</v>
      </c>
    </row>
    <row r="1089" spans="2:9" ht="14.25" customHeight="1" x14ac:dyDescent="0.35">
      <c r="B1089" s="29"/>
      <c r="C1089" s="30">
        <v>45890</v>
      </c>
      <c r="D1089">
        <v>111.06999969482401</v>
      </c>
      <c r="E1089" s="20">
        <f t="shared" si="32"/>
        <v>-1.0776621817136194E-2</v>
      </c>
      <c r="G1089" s="29">
        <v>45890</v>
      </c>
      <c r="H1089" s="31">
        <v>25083.75</v>
      </c>
      <c r="I1089" s="20">
        <f t="shared" si="33"/>
        <v>1.325288974278728E-3</v>
      </c>
    </row>
    <row r="1090" spans="2:9" ht="14.25" customHeight="1" x14ac:dyDescent="0.35">
      <c r="B1090" s="29"/>
      <c r="C1090" s="30">
        <v>45891</v>
      </c>
      <c r="D1090">
        <v>109.93000030517599</v>
      </c>
      <c r="E1090" s="20">
        <f t="shared" si="32"/>
        <v>-1.026379213811357E-2</v>
      </c>
      <c r="G1090" s="29">
        <v>45891</v>
      </c>
      <c r="H1090" s="31">
        <v>24870.099609375</v>
      </c>
      <c r="I1090" s="20">
        <f t="shared" si="33"/>
        <v>-8.5174820600986689E-3</v>
      </c>
    </row>
    <row r="1091" spans="2:9" ht="14.25" customHeight="1" x14ac:dyDescent="0.35">
      <c r="B1091" s="29"/>
      <c r="C1091" s="30">
        <v>45894</v>
      </c>
      <c r="D1091">
        <v>108.81999969482401</v>
      </c>
      <c r="E1091" s="20">
        <f t="shared" si="32"/>
        <v>-1.0097340191672181E-2</v>
      </c>
      <c r="G1091" s="29">
        <v>45894</v>
      </c>
      <c r="H1091" s="31">
        <v>24967.75</v>
      </c>
      <c r="I1091" s="20">
        <f t="shared" si="33"/>
        <v>3.9264173509055761E-3</v>
      </c>
    </row>
    <row r="1092" spans="2:9" ht="14.25" customHeight="1" x14ac:dyDescent="0.35">
      <c r="B1092" s="29"/>
      <c r="C1092" s="30">
        <v>45895</v>
      </c>
      <c r="D1092">
        <v>106.01000213623099</v>
      </c>
      <c r="E1092" s="20">
        <f t="shared" si="32"/>
        <v>-2.5822436743920225E-2</v>
      </c>
      <c r="G1092" s="29">
        <v>45895</v>
      </c>
      <c r="H1092" s="31">
        <v>24712.05078125</v>
      </c>
      <c r="I1092" s="20">
        <f t="shared" si="33"/>
        <v>-1.0241179872034925E-2</v>
      </c>
    </row>
    <row r="1093" spans="2:9" ht="14.25" customHeight="1" x14ac:dyDescent="0.35">
      <c r="B1093" s="29"/>
      <c r="C1093" s="30">
        <v>45897</v>
      </c>
      <c r="D1093">
        <v>104.629997253418</v>
      </c>
      <c r="E1093" s="20">
        <f t="shared" ref="E1093:E1156" si="34">(D1093-D1092)/D1092</f>
        <v>-1.3017685642903631E-2</v>
      </c>
      <c r="G1093" s="29">
        <v>45897</v>
      </c>
      <c r="H1093" s="31">
        <v>24500.900390625</v>
      </c>
      <c r="I1093" s="20">
        <f t="shared" ref="I1093:I1156" si="35">(H1093-H1092)/H1092</f>
        <v>-8.5444301039235507E-3</v>
      </c>
    </row>
    <row r="1094" spans="2:9" ht="14.25" customHeight="1" x14ac:dyDescent="0.35">
      <c r="B1094" s="29"/>
      <c r="C1094" s="30">
        <v>45898</v>
      </c>
      <c r="D1094">
        <v>103.830001831055</v>
      </c>
      <c r="E1094" s="20">
        <f t="shared" si="34"/>
        <v>-7.6459470836587754E-3</v>
      </c>
      <c r="G1094" s="29">
        <v>45898</v>
      </c>
      <c r="H1094" s="31">
        <v>24426.849609375</v>
      </c>
      <c r="I1094" s="20">
        <f t="shared" si="35"/>
        <v>-3.0223697933295024E-3</v>
      </c>
    </row>
    <row r="1095" spans="2:9" ht="14.25" customHeight="1" x14ac:dyDescent="0.35">
      <c r="B1095" s="29"/>
      <c r="C1095" s="30">
        <v>45901</v>
      </c>
      <c r="D1095">
        <v>105.139999389648</v>
      </c>
      <c r="E1095" s="20">
        <f t="shared" si="34"/>
        <v>1.2616753688635528E-2</v>
      </c>
      <c r="G1095" s="29">
        <v>45901</v>
      </c>
      <c r="H1095" s="31">
        <v>24625.05078125</v>
      </c>
      <c r="I1095" s="20">
        <f t="shared" si="35"/>
        <v>8.1140701746053485E-3</v>
      </c>
    </row>
    <row r="1096" spans="2:9" ht="14.25" customHeight="1" x14ac:dyDescent="0.35">
      <c r="B1096" s="29"/>
      <c r="C1096" s="30">
        <v>45902</v>
      </c>
      <c r="D1096">
        <v>106.16000366210901</v>
      </c>
      <c r="E1096" s="20">
        <f t="shared" si="34"/>
        <v>9.7013912724203174E-3</v>
      </c>
      <c r="G1096" s="29">
        <v>45902</v>
      </c>
      <c r="H1096" s="31">
        <v>24579.599609375</v>
      </c>
      <c r="I1096" s="20">
        <f t="shared" si="35"/>
        <v>-1.8457290617896885E-3</v>
      </c>
    </row>
    <row r="1097" spans="2:9" ht="14.25" customHeight="1" x14ac:dyDescent="0.35">
      <c r="B1097" s="29"/>
      <c r="C1097" s="30">
        <v>45903</v>
      </c>
      <c r="D1097">
        <v>108.330001831055</v>
      </c>
      <c r="E1097" s="20">
        <f t="shared" si="34"/>
        <v>2.0440826055854008E-2</v>
      </c>
      <c r="G1097" s="29">
        <v>45903</v>
      </c>
      <c r="H1097" s="31">
        <v>24715.05078125</v>
      </c>
      <c r="I1097" s="20">
        <f t="shared" si="35"/>
        <v>5.5107151470171652E-3</v>
      </c>
    </row>
    <row r="1098" spans="2:9" ht="14.25" customHeight="1" x14ac:dyDescent="0.35">
      <c r="B1098" s="29"/>
      <c r="C1098" s="30">
        <v>45904</v>
      </c>
      <c r="D1098">
        <v>106.080001831055</v>
      </c>
      <c r="E1098" s="20">
        <f t="shared" si="34"/>
        <v>-2.0769869491084895E-2</v>
      </c>
      <c r="G1098" s="29">
        <v>45904</v>
      </c>
      <c r="H1098" s="31">
        <v>24734.30078125</v>
      </c>
      <c r="I1098" s="20">
        <f t="shared" si="35"/>
        <v>7.7887762280480347E-4</v>
      </c>
    </row>
    <row r="1099" spans="2:9" ht="14.25" customHeight="1" x14ac:dyDescent="0.35">
      <c r="B1099" s="29"/>
      <c r="C1099" s="30">
        <v>45905</v>
      </c>
      <c r="D1099">
        <v>107.139999389648</v>
      </c>
      <c r="E1099" s="20">
        <f t="shared" si="34"/>
        <v>9.9924353346181952E-3</v>
      </c>
      <c r="G1099" s="29">
        <v>45905</v>
      </c>
      <c r="H1099" s="31">
        <v>24741</v>
      </c>
      <c r="I1099" s="20">
        <f t="shared" si="35"/>
        <v>2.708473067117542E-4</v>
      </c>
    </row>
    <row r="1100" spans="2:9" ht="14.25" customHeight="1" x14ac:dyDescent="0.35">
      <c r="B1100" s="29"/>
      <c r="C1100" s="30">
        <v>45908</v>
      </c>
      <c r="D1100">
        <v>108.110000610352</v>
      </c>
      <c r="E1100" s="20">
        <f t="shared" si="34"/>
        <v>9.0535862071110754E-3</v>
      </c>
      <c r="G1100" s="29">
        <v>45908</v>
      </c>
      <c r="H1100" s="31">
        <v>24773.150390625</v>
      </c>
      <c r="I1100" s="20">
        <f t="shared" si="35"/>
        <v>1.2994782193524919E-3</v>
      </c>
    </row>
    <row r="1101" spans="2:9" ht="14.25" customHeight="1" x14ac:dyDescent="0.35">
      <c r="B1101" s="29"/>
      <c r="C1101" s="30">
        <v>45909</v>
      </c>
      <c r="D1101">
        <v>108.040000915527</v>
      </c>
      <c r="E1101" s="20">
        <f t="shared" si="34"/>
        <v>-6.4748584247346279E-4</v>
      </c>
      <c r="G1101" s="29">
        <v>45909</v>
      </c>
      <c r="H1101" s="31">
        <v>24868.599609375</v>
      </c>
      <c r="I1101" s="20">
        <f t="shared" si="35"/>
        <v>3.852930178235273E-3</v>
      </c>
    </row>
    <row r="1102" spans="2:9" ht="14.25" customHeight="1" x14ac:dyDescent="0.35">
      <c r="B1102" s="29"/>
      <c r="C1102" s="30">
        <v>45910</v>
      </c>
      <c r="D1102">
        <v>110.639999389648</v>
      </c>
      <c r="E1102" s="20">
        <f t="shared" si="34"/>
        <v>2.4065146724256782E-2</v>
      </c>
      <c r="G1102" s="29">
        <v>45910</v>
      </c>
      <c r="H1102" s="31">
        <v>24973.099609375</v>
      </c>
      <c r="I1102" s="20">
        <f t="shared" si="35"/>
        <v>4.20208623088714E-3</v>
      </c>
    </row>
    <row r="1103" spans="2:9" ht="14.25" customHeight="1" x14ac:dyDescent="0.35">
      <c r="B1103" s="29"/>
      <c r="C1103" s="30">
        <v>45911</v>
      </c>
      <c r="D1103">
        <v>112.06999969482401</v>
      </c>
      <c r="E1103" s="20">
        <f t="shared" si="34"/>
        <v>1.2924803986484894E-2</v>
      </c>
      <c r="G1103" s="29">
        <v>45911</v>
      </c>
      <c r="H1103" s="31">
        <v>25005.5</v>
      </c>
      <c r="I1103" s="20">
        <f t="shared" si="35"/>
        <v>1.2974116602184522E-3</v>
      </c>
    </row>
    <row r="1104" spans="2:9" ht="14.25" customHeight="1" x14ac:dyDescent="0.35">
      <c r="B1104" s="29"/>
      <c r="C1104" s="30">
        <v>45912</v>
      </c>
      <c r="D1104">
        <v>110.959999084473</v>
      </c>
      <c r="E1104" s="20">
        <f t="shared" si="34"/>
        <v>-9.9045294313699732E-3</v>
      </c>
      <c r="G1104" s="29">
        <v>45912</v>
      </c>
      <c r="H1104" s="31">
        <v>25114</v>
      </c>
      <c r="I1104" s="20">
        <f t="shared" si="35"/>
        <v>4.3390454100097975E-3</v>
      </c>
    </row>
    <row r="1105" spans="2:9" ht="14.25" customHeight="1" x14ac:dyDescent="0.35">
      <c r="B1105" s="29"/>
      <c r="C1105" s="30">
        <v>45915</v>
      </c>
      <c r="D1105">
        <v>112.51000213623099</v>
      </c>
      <c r="E1105" s="20">
        <f t="shared" si="34"/>
        <v>1.3969025455542693E-2</v>
      </c>
      <c r="G1105" s="29">
        <v>45915</v>
      </c>
      <c r="H1105" s="31">
        <v>25069.19921875</v>
      </c>
      <c r="I1105" s="20">
        <f t="shared" si="35"/>
        <v>-1.7838966811340288E-3</v>
      </c>
    </row>
    <row r="1106" spans="2:9" ht="14.25" customHeight="1" x14ac:dyDescent="0.35">
      <c r="B1106" s="29"/>
      <c r="C1106" s="30">
        <v>45916</v>
      </c>
      <c r="D1106">
        <v>113.23000335693401</v>
      </c>
      <c r="E1106" s="20">
        <f t="shared" si="34"/>
        <v>6.3994418898971218E-3</v>
      </c>
      <c r="G1106" s="29">
        <v>45916</v>
      </c>
      <c r="H1106" s="31">
        <v>25239.099609375</v>
      </c>
      <c r="I1106" s="20">
        <f t="shared" si="35"/>
        <v>6.7772563910987009E-3</v>
      </c>
    </row>
    <row r="1107" spans="2:9" ht="14.25" customHeight="1" x14ac:dyDescent="0.35">
      <c r="B1107" s="29"/>
      <c r="C1107" s="30">
        <v>45917</v>
      </c>
      <c r="D1107">
        <v>116.25</v>
      </c>
      <c r="E1107" s="20">
        <f t="shared" si="34"/>
        <v>2.6671346405829237E-2</v>
      </c>
      <c r="G1107" s="29">
        <v>45917</v>
      </c>
      <c r="H1107" s="31">
        <v>25330.25</v>
      </c>
      <c r="I1107" s="20">
        <f t="shared" si="35"/>
        <v>3.6114755294654973E-3</v>
      </c>
    </row>
    <row r="1108" spans="2:9" ht="14.25" customHeight="1" x14ac:dyDescent="0.35">
      <c r="B1108" s="29"/>
      <c r="C1108" s="30">
        <v>45918</v>
      </c>
      <c r="D1108">
        <v>115.41000366210901</v>
      </c>
      <c r="E1108" s="20">
        <f t="shared" si="34"/>
        <v>-7.2257749495999524E-3</v>
      </c>
      <c r="G1108" s="29">
        <v>45918</v>
      </c>
      <c r="H1108" s="31">
        <v>25423.599609375</v>
      </c>
      <c r="I1108" s="20">
        <f t="shared" si="35"/>
        <v>3.6853015416350018E-3</v>
      </c>
    </row>
    <row r="1109" spans="2:9" ht="14.25" customHeight="1" x14ac:dyDescent="0.35">
      <c r="B1109" s="29"/>
      <c r="C1109" s="30">
        <v>45919</v>
      </c>
      <c r="D1109">
        <v>117.76000213623099</v>
      </c>
      <c r="E1109" s="20">
        <f t="shared" si="34"/>
        <v>2.036217311804429E-2</v>
      </c>
      <c r="G1109" s="29">
        <v>45919</v>
      </c>
      <c r="H1109" s="31">
        <v>25327.05078125</v>
      </c>
      <c r="I1109" s="20">
        <f t="shared" si="35"/>
        <v>-3.7976065391384403E-3</v>
      </c>
    </row>
    <row r="1110" spans="2:9" ht="14.25" customHeight="1" x14ac:dyDescent="0.35">
      <c r="B1110" s="29"/>
      <c r="C1110" s="30">
        <v>45922</v>
      </c>
      <c r="D1110">
        <v>118.870002746582</v>
      </c>
      <c r="E1110" s="20">
        <f t="shared" si="34"/>
        <v>9.4259560989723903E-3</v>
      </c>
      <c r="G1110" s="29">
        <v>45922</v>
      </c>
      <c r="H1110" s="31">
        <v>25202.349609375</v>
      </c>
      <c r="I1110" s="20">
        <f t="shared" si="35"/>
        <v>-4.9236357186648108E-3</v>
      </c>
    </row>
    <row r="1111" spans="2:9" ht="14.25" customHeight="1" x14ac:dyDescent="0.35">
      <c r="B1111" s="29"/>
      <c r="C1111" s="30">
        <v>45923</v>
      </c>
      <c r="D1111">
        <v>121.90000152587901</v>
      </c>
      <c r="E1111" s="20">
        <f t="shared" si="34"/>
        <v>2.549002026824743E-2</v>
      </c>
      <c r="G1111" s="29">
        <v>45923</v>
      </c>
      <c r="H1111" s="31">
        <v>25169.5</v>
      </c>
      <c r="I1111" s="20">
        <f t="shared" si="35"/>
        <v>-1.3034343973539794E-3</v>
      </c>
    </row>
    <row r="1112" spans="2:9" ht="14.25" customHeight="1" x14ac:dyDescent="0.35">
      <c r="B1112" s="29"/>
      <c r="C1112" s="30">
        <v>45924</v>
      </c>
      <c r="D1112">
        <v>122.91000366210901</v>
      </c>
      <c r="E1112" s="20">
        <f t="shared" si="34"/>
        <v>8.2854973222914966E-3</v>
      </c>
      <c r="G1112" s="29">
        <v>45924</v>
      </c>
      <c r="H1112" s="31">
        <v>25056.900390625</v>
      </c>
      <c r="I1112" s="20">
        <f t="shared" si="35"/>
        <v>-4.4736530076084149E-3</v>
      </c>
    </row>
    <row r="1113" spans="2:9" ht="14.25" customHeight="1" x14ac:dyDescent="0.35">
      <c r="B1113" s="29"/>
      <c r="C1113" s="30">
        <v>45925</v>
      </c>
      <c r="D1113">
        <v>121.44000244140599</v>
      </c>
      <c r="E1113" s="20">
        <f t="shared" si="34"/>
        <v>-1.1959980285609469E-2</v>
      </c>
      <c r="G1113" s="29">
        <v>45925</v>
      </c>
      <c r="H1113" s="31">
        <v>24890.849609375</v>
      </c>
      <c r="I1113" s="20">
        <f t="shared" si="35"/>
        <v>-6.6269482123226878E-3</v>
      </c>
    </row>
    <row r="1114" spans="2:9" ht="14.25" customHeight="1" x14ac:dyDescent="0.35">
      <c r="B1114" s="29"/>
      <c r="C1114" s="30">
        <v>45926</v>
      </c>
      <c r="D1114">
        <v>118.080001831055</v>
      </c>
      <c r="E1114" s="20">
        <f t="shared" si="34"/>
        <v>-2.7667988659438411E-2</v>
      </c>
      <c r="G1114" s="29">
        <v>45926</v>
      </c>
      <c r="H1114" s="31">
        <v>24654.69921875</v>
      </c>
      <c r="I1114" s="20">
        <f t="shared" si="35"/>
        <v>-9.4874379272315099E-3</v>
      </c>
    </row>
    <row r="1115" spans="2:9" ht="14.25" customHeight="1" x14ac:dyDescent="0.35">
      <c r="B1115" s="29"/>
      <c r="C1115" s="30">
        <v>45929</v>
      </c>
      <c r="D1115">
        <v>120.48000335693401</v>
      </c>
      <c r="E1115" s="20">
        <f t="shared" si="34"/>
        <v>2.0325215859268442E-2</v>
      </c>
      <c r="G1115" s="29">
        <v>45929</v>
      </c>
      <c r="H1115" s="31">
        <v>24634.900390625</v>
      </c>
      <c r="I1115" s="20">
        <f t="shared" si="35"/>
        <v>-8.030448049409952E-4</v>
      </c>
    </row>
    <row r="1116" spans="2:9" ht="14.25" customHeight="1" x14ac:dyDescent="0.35">
      <c r="B1116" s="29"/>
      <c r="C1116" s="30">
        <v>45930</v>
      </c>
      <c r="D1116">
        <v>123.709999084473</v>
      </c>
      <c r="E1116" s="20">
        <f t="shared" si="34"/>
        <v>2.6809392741879393E-2</v>
      </c>
      <c r="G1116" s="29">
        <v>45930</v>
      </c>
      <c r="H1116" s="31">
        <v>24611.099609375</v>
      </c>
      <c r="I1116" s="20">
        <f t="shared" si="35"/>
        <v>-9.6614075448251335E-4</v>
      </c>
    </row>
    <row r="1117" spans="2:9" ht="14.25" customHeight="1" x14ac:dyDescent="0.35">
      <c r="B1117" s="29"/>
      <c r="C1117" s="30">
        <v>45931</v>
      </c>
      <c r="D1117">
        <v>123.76000213623099</v>
      </c>
      <c r="E1117" s="20">
        <f t="shared" si="34"/>
        <v>4.0419571682199769E-4</v>
      </c>
      <c r="G1117" s="29">
        <v>45931</v>
      </c>
      <c r="H1117" s="31">
        <v>24836.30078125</v>
      </c>
      <c r="I1117" s="20">
        <f t="shared" si="35"/>
        <v>9.1503904924758045E-3</v>
      </c>
    </row>
    <row r="1118" spans="2:9" ht="14.25" customHeight="1" x14ac:dyDescent="0.35">
      <c r="B1118" s="29"/>
      <c r="C1118" s="30">
        <v>45933</v>
      </c>
      <c r="D1118">
        <v>125.90000152587901</v>
      </c>
      <c r="E1118" s="20">
        <f t="shared" si="34"/>
        <v>1.72915267672052E-2</v>
      </c>
      <c r="G1118" s="29">
        <v>45933</v>
      </c>
      <c r="H1118" s="31">
        <v>24894.25</v>
      </c>
      <c r="I1118" s="20">
        <f t="shared" si="35"/>
        <v>2.3332467769817144E-3</v>
      </c>
    </row>
    <row r="1119" spans="2:9" ht="14.25" customHeight="1" x14ac:dyDescent="0.35">
      <c r="B1119" s="29"/>
      <c r="C1119" s="30">
        <v>45936</v>
      </c>
      <c r="D1119">
        <v>126.76000213623099</v>
      </c>
      <c r="E1119" s="20">
        <f t="shared" si="34"/>
        <v>6.8308228747337536E-3</v>
      </c>
      <c r="G1119" s="29">
        <v>45936</v>
      </c>
      <c r="H1119" s="31">
        <v>25077.650390625</v>
      </c>
      <c r="I1119" s="20">
        <f t="shared" si="35"/>
        <v>7.3671787912871446E-3</v>
      </c>
    </row>
    <row r="1120" spans="2:9" ht="14.25" customHeight="1" x14ac:dyDescent="0.35">
      <c r="B1120" s="29"/>
      <c r="C1120" s="30">
        <v>45937</v>
      </c>
      <c r="D1120">
        <v>128.05999755859401</v>
      </c>
      <c r="E1120" s="20">
        <f t="shared" si="34"/>
        <v>1.0255564850542409E-2</v>
      </c>
      <c r="G1120" s="29">
        <v>45937</v>
      </c>
      <c r="H1120" s="31">
        <v>25108.30078125</v>
      </c>
      <c r="I1120" s="20">
        <f t="shared" si="35"/>
        <v>1.2222193924698109E-3</v>
      </c>
    </row>
    <row r="1121" spans="2:9" ht="14.25" customHeight="1" x14ac:dyDescent="0.35">
      <c r="B1121" s="29"/>
      <c r="C1121" s="30">
        <v>45938</v>
      </c>
      <c r="D1121">
        <v>126.040000915527</v>
      </c>
      <c r="E1121" s="20">
        <f t="shared" si="34"/>
        <v>-1.5773830091967252E-2</v>
      </c>
      <c r="G1121" s="29">
        <v>45938</v>
      </c>
      <c r="H1121" s="31">
        <v>25046.150390625</v>
      </c>
      <c r="I1121" s="20">
        <f t="shared" si="35"/>
        <v>-2.4752925801897249E-3</v>
      </c>
    </row>
    <row r="1122" spans="2:9" ht="14.25" customHeight="1" x14ac:dyDescent="0.35">
      <c r="B1122" s="29"/>
      <c r="C1122" s="30">
        <v>45939</v>
      </c>
      <c r="D1122">
        <v>126.169998168945</v>
      </c>
      <c r="E1122" s="20">
        <f t="shared" si="34"/>
        <v>1.0313967984268927E-3</v>
      </c>
      <c r="G1122" s="29">
        <v>45939</v>
      </c>
      <c r="H1122" s="31">
        <v>25181.80078125</v>
      </c>
      <c r="I1122" s="20">
        <f t="shared" si="35"/>
        <v>5.4160175719369296E-3</v>
      </c>
    </row>
    <row r="1123" spans="2:9" ht="14.25" customHeight="1" x14ac:dyDescent="0.35">
      <c r="B1123" s="29"/>
      <c r="C1123" s="30">
        <v>45940</v>
      </c>
      <c r="D1123">
        <v>127.389999389648</v>
      </c>
      <c r="E1123" s="20">
        <f t="shared" si="34"/>
        <v>9.6695033558563022E-3</v>
      </c>
      <c r="G1123" s="29">
        <v>45940</v>
      </c>
      <c r="H1123" s="31">
        <v>25285.349609375</v>
      </c>
      <c r="I1123" s="20">
        <f t="shared" si="35"/>
        <v>4.1120501676790702E-3</v>
      </c>
    </row>
    <row r="1124" spans="2:9" ht="14.25" customHeight="1" x14ac:dyDescent="0.35">
      <c r="B1124" s="29"/>
      <c r="C1124" s="30">
        <v>45943</v>
      </c>
      <c r="D1124">
        <v>127.639999389648</v>
      </c>
      <c r="E1124" s="20">
        <f t="shared" si="34"/>
        <v>1.9624774409121755E-3</v>
      </c>
      <c r="G1124" s="29">
        <v>45943</v>
      </c>
      <c r="H1124" s="31">
        <v>25227.349609375</v>
      </c>
      <c r="I1124" s="20">
        <f t="shared" si="35"/>
        <v>-2.2938183927065595E-3</v>
      </c>
    </row>
    <row r="1125" spans="2:9" ht="14.25" customHeight="1" x14ac:dyDescent="0.35">
      <c r="B1125" s="29"/>
      <c r="C1125" s="30">
        <v>45944</v>
      </c>
      <c r="D1125">
        <v>125.220001220703</v>
      </c>
      <c r="E1125" s="20">
        <f t="shared" si="34"/>
        <v>-1.8959559546513672E-2</v>
      </c>
      <c r="G1125" s="29">
        <v>45944</v>
      </c>
      <c r="H1125" s="31">
        <v>25145.5</v>
      </c>
      <c r="I1125" s="20">
        <f t="shared" si="35"/>
        <v>-3.2444791324643557E-3</v>
      </c>
    </row>
    <row r="1126" spans="2:9" ht="14.25" customHeight="1" x14ac:dyDescent="0.35">
      <c r="B1126" s="29"/>
      <c r="C1126" s="30">
        <v>45945</v>
      </c>
      <c r="D1126">
        <v>128.41000366210901</v>
      </c>
      <c r="E1126" s="20">
        <f t="shared" si="34"/>
        <v>2.5475182960456606E-2</v>
      </c>
      <c r="G1126" s="29">
        <v>45945</v>
      </c>
      <c r="H1126" s="31">
        <v>25323.55078125</v>
      </c>
      <c r="I1126" s="20">
        <f t="shared" si="35"/>
        <v>7.0808208725219226E-3</v>
      </c>
    </row>
    <row r="1127" spans="2:9" ht="14.25" customHeight="1" x14ac:dyDescent="0.35">
      <c r="B1127" s="29"/>
      <c r="C1127" s="30">
        <v>45946</v>
      </c>
      <c r="D1127">
        <v>127.370002746582</v>
      </c>
      <c r="E1127" s="20">
        <f t="shared" si="34"/>
        <v>-8.0990646045272577E-3</v>
      </c>
      <c r="G1127" s="29">
        <v>45946</v>
      </c>
      <c r="H1127" s="31">
        <v>25585.30078125</v>
      </c>
      <c r="I1127" s="20">
        <f t="shared" si="35"/>
        <v>1.0336228211479895E-2</v>
      </c>
    </row>
    <row r="1128" spans="2:9" ht="14.25" customHeight="1" x14ac:dyDescent="0.35">
      <c r="B1128" s="29"/>
      <c r="C1128" s="30">
        <v>45947</v>
      </c>
      <c r="D1128">
        <v>125.48999786377</v>
      </c>
      <c r="E1128" s="20">
        <f t="shared" si="34"/>
        <v>-1.476018561884229E-2</v>
      </c>
      <c r="G1128" s="29">
        <v>45947</v>
      </c>
      <c r="H1128" s="31">
        <v>25709.849609375</v>
      </c>
      <c r="I1128" s="20">
        <f t="shared" si="35"/>
        <v>4.8679837376105692E-3</v>
      </c>
    </row>
    <row r="1129" spans="2:9" ht="14.25" customHeight="1" x14ac:dyDescent="0.35">
      <c r="B1129" s="29"/>
      <c r="C1129" s="30">
        <v>45950</v>
      </c>
      <c r="D1129">
        <v>127.58999633789099</v>
      </c>
      <c r="E1129" s="20">
        <f t="shared" si="34"/>
        <v>1.6734389273005808E-2</v>
      </c>
      <c r="G1129" s="29">
        <v>45950</v>
      </c>
      <c r="H1129" s="31">
        <v>25843.150390625</v>
      </c>
      <c r="I1129" s="20">
        <f t="shared" si="35"/>
        <v>5.1848137299641134E-3</v>
      </c>
    </row>
    <row r="1130" spans="2:9" ht="14.25" customHeight="1" x14ac:dyDescent="0.35">
      <c r="B1130" s="29"/>
      <c r="C1130" s="30">
        <v>45951</v>
      </c>
      <c r="D1130">
        <v>127.120002746582</v>
      </c>
      <c r="E1130" s="20">
        <f t="shared" si="34"/>
        <v>-3.6836241460837436E-3</v>
      </c>
      <c r="G1130" s="29">
        <v>45951</v>
      </c>
      <c r="H1130" s="31">
        <v>25868.599609375</v>
      </c>
      <c r="I1130" s="20">
        <f t="shared" si="35"/>
        <v>9.8475682590277742E-4</v>
      </c>
    </row>
    <row r="1131" spans="2:9" ht="14.25" customHeight="1" x14ac:dyDescent="0.35">
      <c r="B1131" s="29"/>
      <c r="C1131" s="30">
        <v>45953</v>
      </c>
      <c r="D1131">
        <v>126.23999786377</v>
      </c>
      <c r="E1131" s="20">
        <f t="shared" si="34"/>
        <v>-6.9226310871493757E-3</v>
      </c>
      <c r="G1131" s="29">
        <v>45953</v>
      </c>
      <c r="H1131" s="31">
        <v>25891.400390625</v>
      </c>
      <c r="I1131" s="20">
        <f t="shared" si="35"/>
        <v>8.8140763683770514E-4</v>
      </c>
    </row>
    <row r="1132" spans="2:9" ht="14.25" customHeight="1" x14ac:dyDescent="0.35">
      <c r="B1132" s="29"/>
      <c r="C1132" s="30">
        <v>45954</v>
      </c>
      <c r="D1132">
        <v>125.699996948242</v>
      </c>
      <c r="E1132" s="20">
        <f t="shared" si="34"/>
        <v>-4.2775738645902967E-3</v>
      </c>
      <c r="G1132" s="29">
        <v>45954</v>
      </c>
      <c r="H1132" s="31">
        <v>25795.150390625</v>
      </c>
      <c r="I1132" s="20">
        <f t="shared" si="35"/>
        <v>-3.7174505259611641E-3</v>
      </c>
    </row>
    <row r="1133" spans="2:9" ht="14.25" customHeight="1" x14ac:dyDescent="0.35">
      <c r="B1133" s="29"/>
      <c r="C1133" s="30">
        <v>45957</v>
      </c>
      <c r="D1133">
        <v>129.13000488281301</v>
      </c>
      <c r="E1133" s="20">
        <f t="shared" si="34"/>
        <v>2.7287255511894263E-2</v>
      </c>
      <c r="G1133" s="29">
        <v>45957</v>
      </c>
      <c r="H1133" s="31">
        <v>25966.05078125</v>
      </c>
      <c r="I1133" s="20">
        <f t="shared" si="35"/>
        <v>6.6252915000298701E-3</v>
      </c>
    </row>
    <row r="1134" spans="2:9" ht="14.25" customHeight="1" x14ac:dyDescent="0.35">
      <c r="B1134" s="29"/>
      <c r="C1134" s="30">
        <v>45958</v>
      </c>
      <c r="D1134">
        <v>129.97999572753901</v>
      </c>
      <c r="E1134" s="20">
        <f t="shared" si="34"/>
        <v>6.5824425972675418E-3</v>
      </c>
      <c r="G1134" s="29">
        <v>45958</v>
      </c>
      <c r="H1134" s="31">
        <v>25936.19921875</v>
      </c>
      <c r="I1134" s="20">
        <f t="shared" si="35"/>
        <v>-1.1496381468049702E-3</v>
      </c>
    </row>
    <row r="1135" spans="2:9" ht="14.25" customHeight="1" x14ac:dyDescent="0.35">
      <c r="B1135" s="29"/>
      <c r="C1135" s="30">
        <v>45959</v>
      </c>
      <c r="D1135">
        <v>128.77000427246099</v>
      </c>
      <c r="E1135" s="20">
        <f t="shared" si="34"/>
        <v>-9.3090590463963917E-3</v>
      </c>
      <c r="G1135" s="29">
        <v>45959</v>
      </c>
      <c r="H1135" s="31">
        <v>26053.900390625</v>
      </c>
      <c r="I1135" s="20">
        <f t="shared" si="35"/>
        <v>4.5381040946782421E-3</v>
      </c>
    </row>
    <row r="1136" spans="2:9" ht="14.25" customHeight="1" x14ac:dyDescent="0.35">
      <c r="B1136" s="29"/>
      <c r="C1136" s="30">
        <v>45960</v>
      </c>
      <c r="D1136">
        <v>132.88999938964801</v>
      </c>
      <c r="E1136" s="20">
        <f t="shared" si="34"/>
        <v>3.1994990917835413E-2</v>
      </c>
      <c r="G1136" s="29">
        <v>45960</v>
      </c>
      <c r="H1136" s="31">
        <v>25877.849609375</v>
      </c>
      <c r="I1136" s="20">
        <f t="shared" si="35"/>
        <v>-6.7571756478100502E-3</v>
      </c>
    </row>
    <row r="1137" spans="2:9" ht="14.25" customHeight="1" x14ac:dyDescent="0.35">
      <c r="B1137" s="29"/>
      <c r="C1137" s="30">
        <v>45961</v>
      </c>
      <c r="D1137">
        <v>136.99000549316401</v>
      </c>
      <c r="E1137" s="20">
        <f t="shared" si="34"/>
        <v>3.0852630915395883E-2</v>
      </c>
      <c r="G1137" s="29">
        <v>45961</v>
      </c>
      <c r="H1137" s="31">
        <v>25722.099609375</v>
      </c>
      <c r="I1137" s="20">
        <f t="shared" si="35"/>
        <v>-6.0186608373972101E-3</v>
      </c>
    </row>
    <row r="1138" spans="2:9" ht="14.25" customHeight="1" x14ac:dyDescent="0.35">
      <c r="B1138" s="29"/>
      <c r="C1138" s="30">
        <v>45964</v>
      </c>
      <c r="D1138">
        <v>139.60000610351599</v>
      </c>
      <c r="E1138" s="20">
        <f t="shared" si="34"/>
        <v>1.9052489274352439E-2</v>
      </c>
      <c r="G1138" s="29">
        <v>45964</v>
      </c>
      <c r="H1138" s="31">
        <v>25763.349609375</v>
      </c>
      <c r="I1138" s="20">
        <f t="shared" si="35"/>
        <v>1.6036793506920993E-3</v>
      </c>
    </row>
    <row r="1139" spans="2:9" ht="14.25" customHeight="1" x14ac:dyDescent="0.35">
      <c r="B1139" s="29"/>
      <c r="C1139" s="30">
        <v>45965</v>
      </c>
      <c r="D1139">
        <v>139.60000610351599</v>
      </c>
      <c r="E1139" s="20">
        <f t="shared" si="34"/>
        <v>0</v>
      </c>
      <c r="G1139" s="29">
        <v>45965</v>
      </c>
      <c r="H1139" s="31">
        <v>25597.650390625</v>
      </c>
      <c r="I1139" s="20">
        <f t="shared" si="35"/>
        <v>-6.4315867797603409E-3</v>
      </c>
    </row>
    <row r="1140" spans="2:9" ht="14.25" customHeight="1" x14ac:dyDescent="0.35">
      <c r="B1140" s="29"/>
      <c r="C1140" s="30">
        <v>45967</v>
      </c>
      <c r="D1140">
        <v>139.24000549316401</v>
      </c>
      <c r="E1140" s="20">
        <f t="shared" si="34"/>
        <v>-2.5788008210045612E-3</v>
      </c>
      <c r="G1140" s="29">
        <v>45967</v>
      </c>
      <c r="H1140" s="31">
        <v>25509.69921875</v>
      </c>
      <c r="I1140" s="20">
        <f t="shared" si="35"/>
        <v>-3.4359080045569977E-3</v>
      </c>
    </row>
    <row r="1141" spans="2:9" ht="14.25" customHeight="1" x14ac:dyDescent="0.35">
      <c r="B1141" s="29"/>
      <c r="C1141" s="30">
        <v>45968</v>
      </c>
      <c r="D1141">
        <v>140.669998168945</v>
      </c>
      <c r="E1141" s="20">
        <f t="shared" si="34"/>
        <v>1.0269984339028196E-2</v>
      </c>
      <c r="G1141" s="29">
        <v>45968</v>
      </c>
      <c r="H1141" s="31">
        <v>25492.30078125</v>
      </c>
      <c r="I1141" s="20">
        <f t="shared" si="35"/>
        <v>-6.8203224784445498E-4</v>
      </c>
    </row>
    <row r="1142" spans="2:9" ht="14.25" customHeight="1" x14ac:dyDescent="0.35">
      <c r="B1142" s="29"/>
      <c r="C1142" s="30">
        <v>45971</v>
      </c>
      <c r="D1142">
        <v>141.03999328613301</v>
      </c>
      <c r="E1142" s="20">
        <f t="shared" si="34"/>
        <v>2.6302347480210144E-3</v>
      </c>
      <c r="G1142" s="29">
        <v>45971</v>
      </c>
      <c r="H1142" s="31">
        <v>25574.349609375</v>
      </c>
      <c r="I1142" s="20">
        <f t="shared" si="35"/>
        <v>3.2185728871263058E-3</v>
      </c>
    </row>
    <row r="1143" spans="2:9" ht="14.25" customHeight="1" x14ac:dyDescent="0.35">
      <c r="B1143" s="29"/>
      <c r="C1143" s="30">
        <v>45972</v>
      </c>
      <c r="D1143">
        <v>140.86999511718801</v>
      </c>
      <c r="E1143" s="20">
        <f t="shared" si="34"/>
        <v>-1.20531889561366E-3</v>
      </c>
      <c r="G1143" s="29">
        <v>45972</v>
      </c>
      <c r="H1143" s="31">
        <v>25694.94921875</v>
      </c>
      <c r="I1143" s="20">
        <f t="shared" si="35"/>
        <v>4.7156471705849679E-3</v>
      </c>
    </row>
    <row r="1144" spans="2:9" ht="14.25" customHeight="1" x14ac:dyDescent="0.35">
      <c r="B1144" s="29"/>
      <c r="C1144" s="30">
        <v>45973</v>
      </c>
      <c r="D1144">
        <v>143.57000732421901</v>
      </c>
      <c r="E1144" s="20">
        <f t="shared" si="34"/>
        <v>1.9166694829405563E-2</v>
      </c>
      <c r="G1144" s="29">
        <v>45973</v>
      </c>
      <c r="H1144" s="31">
        <v>25875.80078125</v>
      </c>
      <c r="I1144" s="20">
        <f t="shared" si="35"/>
        <v>7.0384090258497119E-3</v>
      </c>
    </row>
    <row r="1145" spans="2:9" ht="14.25" customHeight="1" x14ac:dyDescent="0.35">
      <c r="B1145" s="29"/>
      <c r="C1145" s="30">
        <v>45974</v>
      </c>
      <c r="D1145">
        <v>143.44999694824199</v>
      </c>
      <c r="E1145" s="20">
        <f t="shared" si="34"/>
        <v>-8.3590144079328567E-4</v>
      </c>
      <c r="G1145" s="29">
        <v>45974</v>
      </c>
      <c r="H1145" s="31">
        <v>25879.150390625</v>
      </c>
      <c r="I1145" s="20">
        <f t="shared" si="35"/>
        <v>1.2944949620369539E-4</v>
      </c>
    </row>
    <row r="1146" spans="2:9" ht="14.25" customHeight="1" x14ac:dyDescent="0.35">
      <c r="B1146" s="29"/>
      <c r="C1146" s="30">
        <v>45975</v>
      </c>
      <c r="D1146">
        <v>146.07000732421901</v>
      </c>
      <c r="E1146" s="20">
        <f t="shared" si="34"/>
        <v>1.8264276275463009E-2</v>
      </c>
      <c r="G1146" s="29">
        <v>45975</v>
      </c>
      <c r="H1146" s="31">
        <v>25910.05078125</v>
      </c>
      <c r="I1146" s="20">
        <f t="shared" si="35"/>
        <v>1.1940264714483827E-3</v>
      </c>
    </row>
    <row r="1147" spans="2:9" ht="14.25" customHeight="1" x14ac:dyDescent="0.35">
      <c r="B1147" s="29"/>
      <c r="C1147" s="30">
        <v>45978</v>
      </c>
      <c r="D1147">
        <v>149.11999511718801</v>
      </c>
      <c r="E1147" s="20">
        <f t="shared" si="34"/>
        <v>2.0880315191599948E-2</v>
      </c>
      <c r="G1147" s="29">
        <v>45978</v>
      </c>
      <c r="H1147" s="31">
        <v>26013.44921875</v>
      </c>
      <c r="I1147" s="20">
        <f t="shared" si="35"/>
        <v>3.9906690408659891E-3</v>
      </c>
    </row>
    <row r="1148" spans="2:9" ht="14.25" customHeight="1" x14ac:dyDescent="0.35">
      <c r="B1148" s="29"/>
      <c r="C1148" s="30">
        <v>45979</v>
      </c>
      <c r="D1148">
        <v>149</v>
      </c>
      <c r="E1148" s="20">
        <f t="shared" si="34"/>
        <v>-8.0468831221266991E-4</v>
      </c>
      <c r="G1148" s="29">
        <v>45979</v>
      </c>
      <c r="H1148" s="31">
        <v>25910.05078125</v>
      </c>
      <c r="I1148" s="20">
        <f t="shared" si="35"/>
        <v>-3.974806902018682E-3</v>
      </c>
    </row>
    <row r="1149" spans="2:9" ht="14.25" customHeight="1" x14ac:dyDescent="0.35">
      <c r="B1149" s="29"/>
      <c r="C1149" s="30">
        <v>45980</v>
      </c>
      <c r="D1149">
        <v>150.38000488281301</v>
      </c>
      <c r="E1149" s="20">
        <f t="shared" si="34"/>
        <v>9.2617777370000778E-3</v>
      </c>
      <c r="G1149" s="29">
        <v>45980</v>
      </c>
      <c r="H1149" s="31">
        <v>26052.650390625</v>
      </c>
      <c r="I1149" s="20">
        <f t="shared" si="35"/>
        <v>5.503640675154263E-3</v>
      </c>
    </row>
    <row r="1150" spans="2:9" ht="14.25" customHeight="1" x14ac:dyDescent="0.35">
      <c r="B1150" s="29"/>
      <c r="C1150" s="30">
        <v>45981</v>
      </c>
      <c r="D1150">
        <v>147.94000244140599</v>
      </c>
      <c r="E1150" s="20">
        <f t="shared" si="34"/>
        <v>-1.6225577617905013E-2</v>
      </c>
      <c r="G1150" s="29">
        <v>45981</v>
      </c>
      <c r="H1150" s="31">
        <v>26192.150390625</v>
      </c>
      <c r="I1150" s="20">
        <f t="shared" si="35"/>
        <v>5.3545415882216276E-3</v>
      </c>
    </row>
    <row r="1151" spans="2:9" ht="14.25" customHeight="1" x14ac:dyDescent="0.35">
      <c r="B1151" s="29"/>
      <c r="C1151" s="30">
        <v>45982</v>
      </c>
      <c r="D1151">
        <v>145.77000427246099</v>
      </c>
      <c r="E1151" s="20">
        <f t="shared" si="34"/>
        <v>-1.4668096073639463E-2</v>
      </c>
      <c r="G1151" s="29">
        <v>45982</v>
      </c>
      <c r="H1151" s="31">
        <v>26068.150390625</v>
      </c>
      <c r="I1151" s="20">
        <f t="shared" si="35"/>
        <v>-4.7342428227803521E-3</v>
      </c>
    </row>
    <row r="1152" spans="2:9" ht="14.25" customHeight="1" x14ac:dyDescent="0.35">
      <c r="B1152" s="29"/>
      <c r="C1152" s="30">
        <v>45985</v>
      </c>
      <c r="D1152">
        <v>146.669998168945</v>
      </c>
      <c r="E1152" s="20">
        <f t="shared" si="34"/>
        <v>6.1740678473316971E-3</v>
      </c>
      <c r="G1152" s="29">
        <v>45985</v>
      </c>
      <c r="H1152" s="31">
        <v>25959.5</v>
      </c>
      <c r="I1152" s="20">
        <f t="shared" si="35"/>
        <v>-4.167936312968119E-3</v>
      </c>
    </row>
    <row r="1153" spans="2:9" ht="14.25" customHeight="1" x14ac:dyDescent="0.35">
      <c r="B1153" s="29"/>
      <c r="C1153" s="30">
        <v>45986</v>
      </c>
      <c r="D1153">
        <v>148.69000244140599</v>
      </c>
      <c r="E1153" s="20">
        <f t="shared" si="34"/>
        <v>1.3772443565003723E-2</v>
      </c>
      <c r="G1153" s="29">
        <v>45986</v>
      </c>
      <c r="H1153" s="31">
        <v>25884.80078125</v>
      </c>
      <c r="I1153" s="20">
        <f t="shared" si="35"/>
        <v>-2.8775291800689534E-3</v>
      </c>
    </row>
    <row r="1154" spans="2:9" ht="14.25" customHeight="1" x14ac:dyDescent="0.35">
      <c r="B1154" s="29"/>
      <c r="C1154" s="30">
        <v>45987</v>
      </c>
      <c r="D1154">
        <v>150.16000366210901</v>
      </c>
      <c r="E1154" s="20">
        <f t="shared" si="34"/>
        <v>9.8863487562473613E-3</v>
      </c>
      <c r="G1154" s="29">
        <v>45987</v>
      </c>
      <c r="H1154" s="31">
        <v>26205.30078125</v>
      </c>
      <c r="I1154" s="20">
        <f t="shared" si="35"/>
        <v>1.2381783530362669E-2</v>
      </c>
    </row>
    <row r="1155" spans="2:9" ht="14.25" customHeight="1" x14ac:dyDescent="0.35">
      <c r="B1155" s="29"/>
      <c r="C1155" s="30">
        <v>45988</v>
      </c>
      <c r="D1155">
        <v>151.75999450683599</v>
      </c>
      <c r="E1155" s="20">
        <f t="shared" si="34"/>
        <v>1.0655239782274502E-2</v>
      </c>
      <c r="G1155" s="29">
        <v>45988</v>
      </c>
      <c r="H1155" s="31">
        <v>26215.55078125</v>
      </c>
      <c r="I1155" s="20">
        <f t="shared" si="35"/>
        <v>3.9114223818922608E-4</v>
      </c>
    </row>
    <row r="1156" spans="2:9" ht="14.25" customHeight="1" x14ac:dyDescent="0.35">
      <c r="B1156" s="29"/>
      <c r="C1156" s="30">
        <v>45989</v>
      </c>
      <c r="D1156">
        <v>151.580001831055</v>
      </c>
      <c r="E1156" s="20">
        <f t="shared" si="34"/>
        <v>-1.1860350704802278E-3</v>
      </c>
      <c r="G1156" s="29">
        <v>45989</v>
      </c>
      <c r="H1156" s="31">
        <v>26202.94921875</v>
      </c>
      <c r="I1156" s="20">
        <f t="shared" si="35"/>
        <v>-4.8069035837358583E-4</v>
      </c>
    </row>
    <row r="1157" spans="2:9" ht="14.25" customHeight="1" x14ac:dyDescent="0.35">
      <c r="B1157" s="29"/>
      <c r="C1157" s="30">
        <v>45992</v>
      </c>
      <c r="D1157">
        <v>150.5</v>
      </c>
      <c r="E1157" s="20">
        <f t="shared" ref="E1157:E1220" si="36">(D1157-D1156)/D1156</f>
        <v>-7.1249625149017145E-3</v>
      </c>
      <c r="G1157" s="29">
        <v>45992</v>
      </c>
      <c r="H1157" s="31">
        <v>26175.75</v>
      </c>
      <c r="I1157" s="20">
        <f t="shared" ref="I1157:I1220" si="37">(H1157-H1156)/H1156</f>
        <v>-1.0380212747402153E-3</v>
      </c>
    </row>
    <row r="1158" spans="2:9" ht="14.25" customHeight="1" x14ac:dyDescent="0.35">
      <c r="B1158" s="29"/>
      <c r="C1158" s="30">
        <v>45993</v>
      </c>
      <c r="D1158">
        <v>152.02999877929699</v>
      </c>
      <c r="E1158" s="20">
        <f t="shared" si="36"/>
        <v>1.0166104845827167E-2</v>
      </c>
      <c r="G1158" s="29">
        <v>45993</v>
      </c>
      <c r="H1158" s="31">
        <v>26032.19921875</v>
      </c>
      <c r="I1158" s="20">
        <f t="shared" si="37"/>
        <v>-5.4841133969418263E-3</v>
      </c>
    </row>
    <row r="1159" spans="2:9" ht="14.25" customHeight="1" x14ac:dyDescent="0.35">
      <c r="B1159" s="29"/>
      <c r="C1159" s="30">
        <v>45994</v>
      </c>
      <c r="D1159">
        <v>146.080001831055</v>
      </c>
      <c r="E1159" s="20">
        <f t="shared" si="36"/>
        <v>-3.9136992672608256E-2</v>
      </c>
      <c r="G1159" s="29">
        <v>45994</v>
      </c>
      <c r="H1159" s="31">
        <v>25986</v>
      </c>
      <c r="I1159" s="20">
        <f t="shared" si="37"/>
        <v>-1.7746951904364832E-3</v>
      </c>
    </row>
    <row r="1160" spans="2:9" ht="14.25" customHeight="1" x14ac:dyDescent="0.35">
      <c r="B1160" s="29"/>
      <c r="C1160" s="30">
        <v>45995</v>
      </c>
      <c r="D1160">
        <v>147.38999938964801</v>
      </c>
      <c r="E1160" s="20">
        <f t="shared" si="36"/>
        <v>8.967672112354259E-3</v>
      </c>
      <c r="G1160" s="29">
        <v>45995</v>
      </c>
      <c r="H1160" s="31">
        <v>26033.75</v>
      </c>
      <c r="I1160" s="20">
        <f t="shared" si="37"/>
        <v>1.8375278996382667E-3</v>
      </c>
    </row>
    <row r="1161" spans="2:9" ht="14.25" customHeight="1" x14ac:dyDescent="0.35">
      <c r="B1161" s="29"/>
      <c r="C1161" s="30">
        <v>45996</v>
      </c>
      <c r="D1161">
        <v>148.63999938964801</v>
      </c>
      <c r="E1161" s="20">
        <f t="shared" si="36"/>
        <v>8.4809010460433869E-3</v>
      </c>
      <c r="G1161" s="29">
        <v>45996</v>
      </c>
      <c r="H1161" s="31">
        <v>26186.44921875</v>
      </c>
      <c r="I1161" s="20">
        <f t="shared" si="37"/>
        <v>5.8654330916598644E-3</v>
      </c>
    </row>
    <row r="1162" spans="2:9" ht="14.25" customHeight="1" x14ac:dyDescent="0.35">
      <c r="B1162" s="29"/>
      <c r="C1162" s="30">
        <v>45999</v>
      </c>
      <c r="D1162">
        <v>142.83999633789099</v>
      </c>
      <c r="E1162" s="20">
        <f t="shared" si="36"/>
        <v>-3.9020472790455056E-2</v>
      </c>
      <c r="G1162" s="29">
        <v>45999</v>
      </c>
      <c r="H1162" s="31">
        <v>25960.55078125</v>
      </c>
      <c r="I1162" s="20">
        <f t="shared" si="37"/>
        <v>-8.6265394598918129E-3</v>
      </c>
    </row>
    <row r="1163" spans="2:9" ht="14.25" customHeight="1" x14ac:dyDescent="0.35">
      <c r="B1163" s="29"/>
      <c r="C1163" s="30">
        <v>46000</v>
      </c>
      <c r="D1163">
        <v>146.19000244140599</v>
      </c>
      <c r="E1163" s="20">
        <f t="shared" si="36"/>
        <v>2.3452857668733694E-2</v>
      </c>
      <c r="G1163" s="29">
        <v>46000</v>
      </c>
      <c r="H1163" s="31">
        <v>25839.650390625</v>
      </c>
      <c r="I1163" s="20">
        <f t="shared" si="37"/>
        <v>-4.6570811090926572E-3</v>
      </c>
    </row>
    <row r="1164" spans="2:9" ht="14.25" customHeight="1" x14ac:dyDescent="0.35">
      <c r="B1164" s="29"/>
      <c r="C1164" s="30">
        <v>46001</v>
      </c>
      <c r="D1164">
        <v>145.55999755859401</v>
      </c>
      <c r="E1164" s="20">
        <f t="shared" si="36"/>
        <v>-4.3094936198834729E-3</v>
      </c>
      <c r="G1164" s="29">
        <v>46001</v>
      </c>
      <c r="H1164" s="31">
        <v>25758</v>
      </c>
      <c r="I1164" s="20">
        <f t="shared" si="37"/>
        <v>-3.159887590995579E-3</v>
      </c>
    </row>
    <row r="1165" spans="2:9" ht="14.25" customHeight="1" x14ac:dyDescent="0.35">
      <c r="B1165" s="29"/>
      <c r="C1165" s="30">
        <v>46002</v>
      </c>
      <c r="D1165">
        <v>146.80000305175801</v>
      </c>
      <c r="E1165" s="20">
        <f t="shared" si="36"/>
        <v>8.5188617337318348E-3</v>
      </c>
      <c r="G1165" s="29">
        <v>46002</v>
      </c>
      <c r="H1165" s="31">
        <v>25898.55078125</v>
      </c>
      <c r="I1165" s="20">
        <f t="shared" si="37"/>
        <v>5.4565875164997281E-3</v>
      </c>
    </row>
    <row r="1166" spans="2:9" ht="14.25" customHeight="1" x14ac:dyDescent="0.35">
      <c r="B1166" s="29"/>
      <c r="C1166" s="30">
        <v>46003</v>
      </c>
      <c r="D1166">
        <v>146.63000488281301</v>
      </c>
      <c r="E1166" s="20">
        <f t="shared" si="36"/>
        <v>-1.1580256499385954E-3</v>
      </c>
      <c r="G1166" s="29">
        <v>46003</v>
      </c>
      <c r="H1166" s="31">
        <v>26046.94921875</v>
      </c>
      <c r="I1166" s="20">
        <f t="shared" si="37"/>
        <v>5.7299900196514974E-3</v>
      </c>
    </row>
    <row r="1167" spans="2:9" ht="14.25" customHeight="1" x14ac:dyDescent="0.35">
      <c r="B1167" s="29"/>
      <c r="C1167" s="30">
        <v>46006</v>
      </c>
      <c r="D1167">
        <v>148.28999328613301</v>
      </c>
      <c r="E1167" s="20">
        <f t="shared" si="36"/>
        <v>1.1320932606165197E-2</v>
      </c>
      <c r="G1167" s="29">
        <v>46006</v>
      </c>
      <c r="H1167" s="31">
        <v>26027.30078125</v>
      </c>
      <c r="I1167" s="20">
        <f t="shared" si="37"/>
        <v>-7.5434698071496196E-4</v>
      </c>
    </row>
    <row r="1168" spans="2:9" ht="14.25" customHeight="1" x14ac:dyDescent="0.35">
      <c r="B1168" s="29"/>
      <c r="C1168" s="30">
        <v>46007</v>
      </c>
      <c r="D1168">
        <v>147.169998168945</v>
      </c>
      <c r="E1168" s="20">
        <f t="shared" si="36"/>
        <v>-7.55273563892423E-3</v>
      </c>
      <c r="G1168" s="29">
        <v>46007</v>
      </c>
      <c r="H1168" s="31">
        <v>25860.099609375</v>
      </c>
      <c r="I1168" s="20">
        <f t="shared" si="37"/>
        <v>-6.4240688375742476E-3</v>
      </c>
    </row>
    <row r="1169" spans="2:9" ht="14.25" customHeight="1" x14ac:dyDescent="0.35">
      <c r="B1169" s="29"/>
      <c r="C1169" s="30">
        <v>46008</v>
      </c>
      <c r="D1169">
        <v>150.21000671386699</v>
      </c>
      <c r="E1169" s="20">
        <f t="shared" si="36"/>
        <v>2.0656442092444591E-2</v>
      </c>
      <c r="G1169" s="29">
        <v>46008</v>
      </c>
      <c r="H1169" s="31">
        <v>25818.55078125</v>
      </c>
      <c r="I1169" s="20">
        <f t="shared" si="37"/>
        <v>-1.6066770334456639E-3</v>
      </c>
    </row>
    <row r="1170" spans="2:9" ht="14.25" customHeight="1" x14ac:dyDescent="0.35">
      <c r="B1170" s="29"/>
      <c r="C1170" s="30">
        <v>46009</v>
      </c>
      <c r="D1170">
        <v>149.830001831055</v>
      </c>
      <c r="E1170" s="20">
        <f t="shared" si="36"/>
        <v>-2.5298240185545997E-3</v>
      </c>
      <c r="G1170" s="29">
        <v>46009</v>
      </c>
      <c r="H1170" s="31">
        <v>25815.55078125</v>
      </c>
      <c r="I1170" s="20">
        <f t="shared" si="37"/>
        <v>-1.1619552256893776E-4</v>
      </c>
    </row>
    <row r="1171" spans="2:9" ht="14.25" customHeight="1" x14ac:dyDescent="0.35">
      <c r="B1171" s="29"/>
      <c r="C1171" s="30">
        <v>46010</v>
      </c>
      <c r="D1171">
        <v>148.580001831055</v>
      </c>
      <c r="E1171" s="20">
        <f t="shared" si="36"/>
        <v>-8.3427883916698635E-3</v>
      </c>
      <c r="G1171" s="29">
        <v>46010</v>
      </c>
      <c r="H1171" s="31">
        <v>25966.400390625</v>
      </c>
      <c r="I1171" s="20">
        <f t="shared" si="37"/>
        <v>5.8433620360547577E-3</v>
      </c>
    </row>
    <row r="1172" spans="2:9" ht="14.25" customHeight="1" x14ac:dyDescent="0.35">
      <c r="B1172" s="29"/>
      <c r="C1172" s="30">
        <v>46013</v>
      </c>
      <c r="D1172">
        <v>150.30000305175801</v>
      </c>
      <c r="E1172" s="20">
        <f t="shared" si="36"/>
        <v>1.1576263289179139E-2</v>
      </c>
      <c r="G1172" s="29">
        <v>46013</v>
      </c>
      <c r="H1172" s="31">
        <v>26172.400390625</v>
      </c>
      <c r="I1172" s="20">
        <f t="shared" si="37"/>
        <v>7.9333291061157232E-3</v>
      </c>
    </row>
    <row r="1173" spans="2:9" ht="14.25" customHeight="1" x14ac:dyDescent="0.35">
      <c r="B1173" s="29"/>
      <c r="C1173" s="30">
        <v>46014</v>
      </c>
      <c r="D1173">
        <v>150.22000122070301</v>
      </c>
      <c r="E1173" s="20">
        <f t="shared" si="36"/>
        <v>-5.322809676021785E-4</v>
      </c>
      <c r="G1173" s="29">
        <v>46014</v>
      </c>
      <c r="H1173" s="31">
        <v>26177.150390625</v>
      </c>
      <c r="I1173" s="20">
        <f t="shared" si="37"/>
        <v>1.814888939916057E-4</v>
      </c>
    </row>
    <row r="1174" spans="2:9" ht="14.25" customHeight="1" x14ac:dyDescent="0.35">
      <c r="B1174" s="29"/>
      <c r="C1174" s="30">
        <v>46015</v>
      </c>
      <c r="D1174">
        <v>149.669998168945</v>
      </c>
      <c r="E1174" s="20">
        <f t="shared" si="36"/>
        <v>-3.6613170502505041E-3</v>
      </c>
      <c r="G1174" s="29">
        <v>46015</v>
      </c>
      <c r="H1174" s="31">
        <v>26142.099609375</v>
      </c>
      <c r="I1174" s="20">
        <f t="shared" si="37"/>
        <v>-1.3389838361685454E-3</v>
      </c>
    </row>
    <row r="1175" spans="2:9" ht="14.25" customHeight="1" x14ac:dyDescent="0.35">
      <c r="B1175" s="29"/>
      <c r="C1175" s="30">
        <v>46017</v>
      </c>
      <c r="D1175">
        <v>150.07000732421901</v>
      </c>
      <c r="E1175" s="20">
        <f t="shared" si="36"/>
        <v>2.6726074708872667E-3</v>
      </c>
      <c r="G1175" s="29">
        <v>46017</v>
      </c>
      <c r="H1175" s="31">
        <v>26042.30078125</v>
      </c>
      <c r="I1175" s="20">
        <f t="shared" si="37"/>
        <v>-3.8175521330050493E-3</v>
      </c>
    </row>
    <row r="1176" spans="2:9" ht="14.25" customHeight="1" x14ac:dyDescent="0.35">
      <c r="B1176" s="29"/>
      <c r="C1176" s="30">
        <v>46020</v>
      </c>
      <c r="D1176">
        <v>150.919998168945</v>
      </c>
      <c r="E1176" s="20">
        <f t="shared" si="36"/>
        <v>5.6639621725987519E-3</v>
      </c>
      <c r="G1176" s="29">
        <v>46020</v>
      </c>
      <c r="H1176" s="31">
        <v>25942.099609375</v>
      </c>
      <c r="I1176" s="20">
        <f t="shared" si="37"/>
        <v>-3.8476313101775974E-3</v>
      </c>
    </row>
    <row r="1177" spans="2:9" ht="14.25" customHeight="1" x14ac:dyDescent="0.35">
      <c r="B1177" s="29"/>
      <c r="C1177" s="30">
        <v>46021</v>
      </c>
      <c r="D1177">
        <v>154.02999877929699</v>
      </c>
      <c r="E1177" s="20">
        <f t="shared" si="36"/>
        <v>2.0606948370556884E-2</v>
      </c>
      <c r="G1177" s="29">
        <v>46021</v>
      </c>
      <c r="H1177" s="31">
        <v>25938.849609375</v>
      </c>
      <c r="I1177" s="20">
        <f t="shared" si="37"/>
        <v>-1.2527898855285829E-4</v>
      </c>
    </row>
    <row r="1178" spans="2:9" ht="14.25" customHeight="1" x14ac:dyDescent="0.35">
      <c r="B1178" s="29"/>
      <c r="C1178" s="30">
        <v>46022</v>
      </c>
      <c r="D1178">
        <v>154.91000366210901</v>
      </c>
      <c r="E1178" s="20">
        <f t="shared" si="36"/>
        <v>5.7132045042273764E-3</v>
      </c>
      <c r="G1178" s="29">
        <v>46022</v>
      </c>
      <c r="H1178" s="31">
        <v>26129.599609375</v>
      </c>
      <c r="I1178" s="20">
        <f t="shared" si="37"/>
        <v>7.353834224439075E-3</v>
      </c>
    </row>
    <row r="1179" spans="2:9" ht="14.25" customHeight="1" x14ac:dyDescent="0.35">
      <c r="B1179" s="29"/>
      <c r="C1179" s="30">
        <v>46023</v>
      </c>
      <c r="D1179">
        <v>154.24000549316401</v>
      </c>
      <c r="E1179" s="20">
        <f t="shared" si="36"/>
        <v>-4.3250800665295026E-3</v>
      </c>
      <c r="G1179" s="29">
        <v>46023</v>
      </c>
      <c r="H1179" s="31">
        <v>26146.55078125</v>
      </c>
      <c r="I1179" s="20">
        <f t="shared" si="37"/>
        <v>6.4873446698043217E-4</v>
      </c>
    </row>
    <row r="1180" spans="2:9" ht="14.25" customHeight="1" x14ac:dyDescent="0.35">
      <c r="B1180" s="29"/>
      <c r="C1180" s="30">
        <v>46024</v>
      </c>
      <c r="D1180">
        <v>154.86999511718801</v>
      </c>
      <c r="E1180" s="20">
        <f t="shared" si="36"/>
        <v>4.0844761513699982E-3</v>
      </c>
      <c r="G1180" s="29">
        <v>46024</v>
      </c>
      <c r="H1180" s="31">
        <v>26328.55078125</v>
      </c>
      <c r="I1180" s="20">
        <f t="shared" si="37"/>
        <v>6.9607651702386052E-3</v>
      </c>
    </row>
    <row r="1181" spans="2:9" ht="14.25" customHeight="1" x14ac:dyDescent="0.35">
      <c r="B1181" s="29"/>
      <c r="C1181" s="30">
        <v>46027</v>
      </c>
      <c r="D1181">
        <v>154.22999572753901</v>
      </c>
      <c r="E1181" s="20">
        <f t="shared" si="36"/>
        <v>-4.1324944135545886E-3</v>
      </c>
      <c r="G1181" s="29">
        <v>46027</v>
      </c>
      <c r="H1181" s="31">
        <v>26250.30078125</v>
      </c>
      <c r="I1181" s="20">
        <f t="shared" si="37"/>
        <v>-2.9720587604740519E-3</v>
      </c>
    </row>
    <row r="1182" spans="2:9" ht="14.25" customHeight="1" x14ac:dyDescent="0.35">
      <c r="B1182" s="29"/>
      <c r="C1182" s="30">
        <v>46028</v>
      </c>
      <c r="D1182">
        <v>153.88000488281301</v>
      </c>
      <c r="E1182" s="20">
        <f t="shared" si="36"/>
        <v>-2.2692787033741736E-3</v>
      </c>
      <c r="G1182" s="29">
        <v>46028</v>
      </c>
      <c r="H1182" s="31">
        <v>26178.69921875</v>
      </c>
      <c r="I1182" s="20">
        <f t="shared" si="37"/>
        <v>-2.7276473171363958E-3</v>
      </c>
    </row>
    <row r="1183" spans="2:9" ht="14.25" customHeight="1" x14ac:dyDescent="0.35">
      <c r="B1183" s="29"/>
      <c r="C1183" s="30">
        <v>46029</v>
      </c>
      <c r="D1183">
        <v>152.96000671386699</v>
      </c>
      <c r="E1183" s="20">
        <f t="shared" si="36"/>
        <v>-5.9786726004242442E-3</v>
      </c>
      <c r="G1183" s="29">
        <v>46029</v>
      </c>
      <c r="H1183" s="31">
        <v>26140.75</v>
      </c>
      <c r="I1183" s="20">
        <f t="shared" si="37"/>
        <v>-1.4496220164682432E-3</v>
      </c>
    </row>
    <row r="1184" spans="2:9" ht="14.25" customHeight="1" x14ac:dyDescent="0.35">
      <c r="B1184" s="29"/>
      <c r="C1184" s="30">
        <v>46030</v>
      </c>
      <c r="D1184">
        <v>150.46000671386699</v>
      </c>
      <c r="E1184" s="20">
        <f t="shared" si="36"/>
        <v>-1.6344141542021493E-2</v>
      </c>
      <c r="G1184" s="29">
        <v>46030</v>
      </c>
      <c r="H1184" s="31">
        <v>25876.849609375</v>
      </c>
      <c r="I1184" s="20">
        <f t="shared" si="37"/>
        <v>-1.0095364158449929E-2</v>
      </c>
    </row>
    <row r="1185" spans="2:9" ht="14.25" customHeight="1" x14ac:dyDescent="0.35">
      <c r="B1185" s="29"/>
      <c r="C1185" s="30">
        <v>46031</v>
      </c>
      <c r="D1185">
        <v>150.53999328613301</v>
      </c>
      <c r="E1185" s="20">
        <f t="shared" si="36"/>
        <v>5.3161350988196532E-4</v>
      </c>
      <c r="G1185" s="29">
        <v>46031</v>
      </c>
      <c r="H1185" s="31">
        <v>25683.30078125</v>
      </c>
      <c r="I1185" s="20">
        <f t="shared" si="37"/>
        <v>-7.4796132854935563E-3</v>
      </c>
    </row>
    <row r="1186" spans="2:9" ht="14.25" customHeight="1" x14ac:dyDescent="0.35">
      <c r="B1186" s="29"/>
      <c r="C1186" s="30">
        <v>46034</v>
      </c>
      <c r="D1186">
        <v>150.02000427246099</v>
      </c>
      <c r="E1186" s="20">
        <f t="shared" si="36"/>
        <v>-3.4541586080960446E-3</v>
      </c>
      <c r="G1186" s="29">
        <v>46034</v>
      </c>
      <c r="H1186" s="31">
        <v>25790.25</v>
      </c>
      <c r="I1186" s="20">
        <f t="shared" si="37"/>
        <v>4.1641539637334267E-3</v>
      </c>
    </row>
    <row r="1187" spans="2:9" ht="14.25" customHeight="1" x14ac:dyDescent="0.35">
      <c r="B1187" s="29"/>
      <c r="C1187" s="30">
        <v>46035</v>
      </c>
      <c r="D1187">
        <v>150.86000061035199</v>
      </c>
      <c r="E1187" s="20">
        <f t="shared" si="36"/>
        <v>5.5992288626083696E-3</v>
      </c>
      <c r="G1187" s="29">
        <v>46035</v>
      </c>
      <c r="H1187" s="31">
        <v>25732.30078125</v>
      </c>
      <c r="I1187" s="20">
        <f t="shared" si="37"/>
        <v>-2.2469428853927357E-3</v>
      </c>
    </row>
    <row r="1188" spans="2:9" ht="14.25" customHeight="1" x14ac:dyDescent="0.35">
      <c r="B1188" s="29"/>
      <c r="C1188" s="30">
        <v>46036</v>
      </c>
      <c r="D1188">
        <v>153.88999938964801</v>
      </c>
      <c r="E1188" s="20">
        <f t="shared" si="36"/>
        <v>2.0084838705005974E-2</v>
      </c>
      <c r="G1188" s="29">
        <v>46036</v>
      </c>
      <c r="H1188" s="31">
        <v>25665.599609375</v>
      </c>
      <c r="I1188" s="20">
        <f t="shared" si="37"/>
        <v>-2.5921184600641006E-3</v>
      </c>
    </row>
    <row r="1189" spans="2:9" ht="14.25" customHeight="1" x14ac:dyDescent="0.35">
      <c r="B1189" s="29"/>
      <c r="C1189" s="30">
        <v>46038</v>
      </c>
      <c r="D1189">
        <v>157.13000488281301</v>
      </c>
      <c r="E1189" s="20">
        <f t="shared" si="36"/>
        <v>2.1054035389014056E-2</v>
      </c>
      <c r="G1189" s="29">
        <v>46038</v>
      </c>
      <c r="H1189" s="31">
        <v>25694.349609375</v>
      </c>
      <c r="I1189" s="20">
        <f t="shared" si="37"/>
        <v>1.1201764399651254E-3</v>
      </c>
    </row>
    <row r="1190" spans="2:9" ht="14.25" customHeight="1" x14ac:dyDescent="0.35">
      <c r="B1190" s="29"/>
      <c r="C1190" s="30">
        <v>46041</v>
      </c>
      <c r="D1190">
        <v>156.86000061035199</v>
      </c>
      <c r="E1190" s="20">
        <f t="shared" si="36"/>
        <v>-1.7183495454123545E-3</v>
      </c>
      <c r="G1190" s="29">
        <v>46041</v>
      </c>
      <c r="H1190" s="31">
        <v>25585.5</v>
      </c>
      <c r="I1190" s="20">
        <f t="shared" si="37"/>
        <v>-4.2363247573810724E-3</v>
      </c>
    </row>
    <row r="1191" spans="2:9" ht="14.25" customHeight="1" x14ac:dyDescent="0.35">
      <c r="B1191" s="29"/>
      <c r="C1191" s="30">
        <v>46042</v>
      </c>
      <c r="D1191">
        <v>153.67999267578099</v>
      </c>
      <c r="E1191" s="20">
        <f t="shared" si="36"/>
        <v>-2.0272905279850737E-2</v>
      </c>
      <c r="G1191" s="29">
        <v>46042</v>
      </c>
      <c r="H1191" s="31">
        <v>25232.5</v>
      </c>
      <c r="I1191" s="20">
        <f t="shared" si="37"/>
        <v>-1.3796877137441129E-2</v>
      </c>
    </row>
    <row r="1192" spans="2:9" ht="14.25" customHeight="1" x14ac:dyDescent="0.35">
      <c r="B1192" s="29"/>
      <c r="C1192" s="30">
        <v>46043</v>
      </c>
      <c r="D1192">
        <v>150.75999450683599</v>
      </c>
      <c r="E1192" s="20">
        <f t="shared" si="36"/>
        <v>-1.9000509553025072E-2</v>
      </c>
      <c r="G1192" s="29">
        <v>46043</v>
      </c>
      <c r="H1192" s="31">
        <v>25157.5</v>
      </c>
      <c r="I1192" s="20">
        <f t="shared" si="37"/>
        <v>-2.9723570791637768E-3</v>
      </c>
    </row>
    <row r="1193" spans="2:9" ht="14.25" customHeight="1" x14ac:dyDescent="0.35">
      <c r="B1193" s="29"/>
      <c r="C1193" s="30">
        <v>46044</v>
      </c>
      <c r="D1193">
        <v>154.67999267578099</v>
      </c>
      <c r="E1193" s="20">
        <f t="shared" si="36"/>
        <v>2.6001580736110023E-2</v>
      </c>
      <c r="G1193" s="29">
        <v>46044</v>
      </c>
      <c r="H1193" s="31">
        <v>25289.900390625</v>
      </c>
      <c r="I1193" s="20">
        <f t="shared" si="37"/>
        <v>5.2628596094603996E-3</v>
      </c>
    </row>
    <row r="1194" spans="2:9" ht="14.25" customHeight="1" x14ac:dyDescent="0.35">
      <c r="B1194" s="29"/>
      <c r="C1194" s="30">
        <v>46045</v>
      </c>
      <c r="D1194">
        <v>151.80999755859401</v>
      </c>
      <c r="E1194" s="20">
        <f t="shared" si="36"/>
        <v>-1.8554404273878385E-2</v>
      </c>
      <c r="G1194" s="29">
        <v>46045</v>
      </c>
      <c r="H1194" s="31">
        <v>25048.650390625</v>
      </c>
      <c r="I1194" s="20">
        <f t="shared" si="37"/>
        <v>-9.5393811867061241E-3</v>
      </c>
    </row>
    <row r="1195" spans="2:9" ht="14.25" customHeight="1" x14ac:dyDescent="0.35">
      <c r="B1195" s="29"/>
      <c r="C1195" s="30">
        <v>46049</v>
      </c>
      <c r="D1195">
        <v>154.72000122070301</v>
      </c>
      <c r="E1195" s="20">
        <f t="shared" si="36"/>
        <v>1.9168722145495282E-2</v>
      </c>
      <c r="G1195" s="29">
        <v>46049</v>
      </c>
      <c r="H1195" s="31">
        <v>25175.400390625</v>
      </c>
      <c r="I1195" s="20">
        <f t="shared" si="37"/>
        <v>5.0601528634628126E-3</v>
      </c>
    </row>
    <row r="1196" spans="2:9" ht="14.25" customHeight="1" x14ac:dyDescent="0.35">
      <c r="B1196" s="29"/>
      <c r="C1196" s="30">
        <v>46050</v>
      </c>
      <c r="D1196">
        <v>157.74000549316401</v>
      </c>
      <c r="E1196" s="20">
        <f t="shared" si="36"/>
        <v>1.9519158794169458E-2</v>
      </c>
      <c r="G1196" s="29">
        <v>46050</v>
      </c>
      <c r="H1196" s="31">
        <v>25342.75</v>
      </c>
      <c r="I1196" s="20">
        <f t="shared" si="37"/>
        <v>6.6473464881741809E-3</v>
      </c>
    </row>
    <row r="1197" spans="2:9" ht="14.25" customHeight="1" x14ac:dyDescent="0.35">
      <c r="B1197" s="29"/>
      <c r="C1197" s="30">
        <v>46051</v>
      </c>
      <c r="D1197">
        <v>150.32000732421901</v>
      </c>
      <c r="E1197" s="20">
        <f t="shared" si="36"/>
        <v>-4.7039418730504365E-2</v>
      </c>
      <c r="G1197" s="29">
        <v>46051</v>
      </c>
      <c r="H1197" s="31">
        <v>25418.900390625</v>
      </c>
      <c r="I1197" s="20">
        <f t="shared" si="37"/>
        <v>3.004819548983437E-3</v>
      </c>
    </row>
    <row r="1198" spans="2:9" ht="14.25" customHeight="1" x14ac:dyDescent="0.35">
      <c r="B1198" s="29"/>
      <c r="C1198" s="30">
        <v>46052</v>
      </c>
      <c r="D1198">
        <v>147.419998168945</v>
      </c>
      <c r="E1198" s="20">
        <f t="shared" si="36"/>
        <v>-1.9292236654959018E-2</v>
      </c>
      <c r="G1198" s="29">
        <v>46052</v>
      </c>
      <c r="H1198" s="31">
        <v>25320.650390625</v>
      </c>
      <c r="I1198" s="20">
        <f t="shared" si="37"/>
        <v>-3.8652340774047241E-3</v>
      </c>
    </row>
    <row r="1199" spans="2:9" ht="14.25" customHeight="1" x14ac:dyDescent="0.35">
      <c r="B1199" s="29"/>
      <c r="C1199" s="30">
        <v>46055</v>
      </c>
      <c r="D1199">
        <v>146.47000122070301</v>
      </c>
      <c r="E1199" s="20">
        <f t="shared" si="36"/>
        <v>-6.4441524897679162E-3</v>
      </c>
      <c r="G1199" s="29">
        <v>46055</v>
      </c>
      <c r="H1199" s="31">
        <v>25088.400390625</v>
      </c>
      <c r="I1199" s="20">
        <f t="shared" si="37"/>
        <v>-9.1723552285209401E-3</v>
      </c>
    </row>
    <row r="1200" spans="2:9" ht="14.25" customHeight="1" x14ac:dyDescent="0.35">
      <c r="B1200" s="29"/>
      <c r="C1200" s="30">
        <v>46056</v>
      </c>
      <c r="D1200">
        <v>147.33999633789099</v>
      </c>
      <c r="E1200" s="20">
        <f t="shared" si="36"/>
        <v>5.9397495045901078E-3</v>
      </c>
      <c r="G1200" s="29">
        <v>46056</v>
      </c>
      <c r="H1200" s="31">
        <v>25727.55078125</v>
      </c>
      <c r="I1200" s="20">
        <f t="shared" si="37"/>
        <v>2.5475932330218904E-2</v>
      </c>
    </row>
    <row r="1201" spans="2:9" ht="14.25" customHeight="1" x14ac:dyDescent="0.35">
      <c r="B1201" s="29"/>
      <c r="C1201" s="30">
        <v>46057</v>
      </c>
      <c r="D1201">
        <v>147.5</v>
      </c>
      <c r="E1201" s="20">
        <f t="shared" si="36"/>
        <v>1.0859485956689809E-3</v>
      </c>
      <c r="G1201" s="29">
        <v>46057</v>
      </c>
      <c r="H1201" s="31">
        <v>25776</v>
      </c>
      <c r="I1201" s="20">
        <f t="shared" si="37"/>
        <v>1.8831648283174059E-3</v>
      </c>
    </row>
    <row r="1202" spans="2:9" ht="14.25" customHeight="1" x14ac:dyDescent="0.35">
      <c r="B1202" s="29"/>
      <c r="C1202" s="30">
        <v>46058</v>
      </c>
      <c r="D1202">
        <v>148.28999328613301</v>
      </c>
      <c r="E1202" s="20">
        <f t="shared" si="36"/>
        <v>5.3558866856475351E-3</v>
      </c>
      <c r="G1202" s="29">
        <v>46058</v>
      </c>
      <c r="H1202" s="31">
        <v>25642.80078125</v>
      </c>
      <c r="I1202" s="20">
        <f t="shared" si="37"/>
        <v>-5.1675674561607694E-3</v>
      </c>
    </row>
    <row r="1203" spans="2:9" ht="14.25" customHeight="1" x14ac:dyDescent="0.35">
      <c r="B1203" s="29"/>
      <c r="C1203" s="30">
        <v>46059</v>
      </c>
      <c r="D1203">
        <v>147.30999755859401</v>
      </c>
      <c r="E1203" s="20">
        <f t="shared" si="36"/>
        <v>-6.6086436840552994E-3</v>
      </c>
      <c r="G1203" s="29">
        <v>46059</v>
      </c>
      <c r="H1203" s="31">
        <v>25693.69921875</v>
      </c>
      <c r="I1203" s="20">
        <f t="shared" si="37"/>
        <v>1.9849016468285676E-3</v>
      </c>
    </row>
    <row r="1204" spans="2:9" ht="14.25" customHeight="1" x14ac:dyDescent="0.35">
      <c r="B1204" s="29"/>
      <c r="C1204" s="30">
        <v>46062</v>
      </c>
      <c r="D1204">
        <v>147.92999267578099</v>
      </c>
      <c r="E1204" s="20">
        <f t="shared" si="36"/>
        <v>4.2087782734527525E-3</v>
      </c>
      <c r="G1204" s="29">
        <v>46062</v>
      </c>
      <c r="H1204" s="31">
        <v>25867.30078125</v>
      </c>
      <c r="I1204" s="20">
        <f t="shared" si="37"/>
        <v>6.7565810988132885E-3</v>
      </c>
    </row>
    <row r="1205" spans="2:9" ht="14.25" customHeight="1" x14ac:dyDescent="0.35">
      <c r="B1205" s="29"/>
      <c r="C1205" s="30">
        <v>46063</v>
      </c>
      <c r="D1205">
        <v>146.830001831055</v>
      </c>
      <c r="E1205" s="20">
        <f t="shared" si="36"/>
        <v>-7.4358879144735051E-3</v>
      </c>
      <c r="G1205" s="29">
        <v>46063</v>
      </c>
      <c r="H1205" s="31">
        <v>25935.150390625</v>
      </c>
      <c r="I1205" s="20">
        <f t="shared" si="37"/>
        <v>2.6229876069706129E-3</v>
      </c>
    </row>
    <row r="1206" spans="2:9" ht="14.25" customHeight="1" x14ac:dyDescent="0.35">
      <c r="B1206" s="29"/>
      <c r="C1206" s="30">
        <v>46064</v>
      </c>
      <c r="D1206">
        <v>145.50999450683599</v>
      </c>
      <c r="E1206" s="20">
        <f t="shared" si="36"/>
        <v>-8.9900381921797414E-3</v>
      </c>
      <c r="G1206" s="29">
        <v>46064</v>
      </c>
      <c r="H1206" s="31">
        <v>25953.849609375</v>
      </c>
      <c r="I1206" s="20">
        <f t="shared" si="37"/>
        <v>7.2099904833246569E-4</v>
      </c>
    </row>
    <row r="1207" spans="2:9" ht="14.25" customHeight="1" x14ac:dyDescent="0.35">
      <c r="B1207" s="29"/>
      <c r="C1207" s="30">
        <v>46065</v>
      </c>
      <c r="D1207">
        <v>144.80999755859401</v>
      </c>
      <c r="E1207" s="20">
        <f t="shared" si="36"/>
        <v>-4.8106451423795705E-3</v>
      </c>
      <c r="G1207" s="29">
        <v>46065</v>
      </c>
      <c r="H1207" s="31">
        <v>25807.19921875</v>
      </c>
      <c r="I1207" s="20">
        <f t="shared" si="37"/>
        <v>-5.6504292362096155E-3</v>
      </c>
    </row>
    <row r="1208" spans="2:9" ht="14.25" customHeight="1" x14ac:dyDescent="0.35">
      <c r="B1208" s="29"/>
      <c r="C1208" s="30">
        <v>46066</v>
      </c>
      <c r="D1208">
        <v>141.77000427246099</v>
      </c>
      <c r="E1208" s="20">
        <f t="shared" si="36"/>
        <v>-2.0992979334199274E-2</v>
      </c>
      <c r="G1208" s="29">
        <v>46066</v>
      </c>
      <c r="H1208" s="31">
        <v>25471.099609375</v>
      </c>
      <c r="I1208" s="20">
        <f t="shared" si="37"/>
        <v>-1.3023482576552116E-2</v>
      </c>
    </row>
    <row r="1209" spans="2:9" ht="14.25" customHeight="1" x14ac:dyDescent="0.35">
      <c r="B1209" s="29"/>
      <c r="C1209" s="30">
        <v>46069</v>
      </c>
      <c r="D1209">
        <v>145.83999633789099</v>
      </c>
      <c r="E1209" s="20">
        <f t="shared" si="36"/>
        <v>2.8708414634791693E-2</v>
      </c>
      <c r="G1209" s="29">
        <v>46069</v>
      </c>
      <c r="H1209" s="31">
        <v>25682.75</v>
      </c>
      <c r="I1209" s="20">
        <f t="shared" si="37"/>
        <v>8.3094328030933959E-3</v>
      </c>
    </row>
    <row r="1210" spans="2:9" ht="14.25" customHeight="1" x14ac:dyDescent="0.35">
      <c r="B1210" s="29"/>
      <c r="C1210" s="30">
        <v>46070</v>
      </c>
      <c r="D1210">
        <v>149.11000061035199</v>
      </c>
      <c r="E1210" s="20">
        <f t="shared" si="36"/>
        <v>2.2421862003375596E-2</v>
      </c>
      <c r="G1210" s="29">
        <v>46070</v>
      </c>
      <c r="H1210" s="31">
        <v>25725.400390625</v>
      </c>
      <c r="I1210" s="20">
        <f t="shared" si="37"/>
        <v>1.6606629206373927E-3</v>
      </c>
    </row>
    <row r="1211" spans="2:9" ht="14.25" customHeight="1" x14ac:dyDescent="0.35">
      <c r="B1211" s="29"/>
      <c r="C1211" s="30">
        <v>46071</v>
      </c>
      <c r="D1211">
        <v>151.94000244140599</v>
      </c>
      <c r="E1211" s="20">
        <f t="shared" si="36"/>
        <v>1.8979289245992612E-2</v>
      </c>
      <c r="G1211" s="29">
        <v>46071</v>
      </c>
      <c r="H1211" s="31">
        <v>25819.349609375</v>
      </c>
      <c r="I1211" s="20">
        <f t="shared" si="37"/>
        <v>3.6520021971839754E-3</v>
      </c>
    </row>
    <row r="1212" spans="2:9" ht="14.25" customHeight="1" x14ac:dyDescent="0.35">
      <c r="B1212" s="29"/>
      <c r="C1212" s="30">
        <v>46072</v>
      </c>
      <c r="D1212">
        <v>149.419998168945</v>
      </c>
      <c r="E1212" s="20">
        <f t="shared" si="36"/>
        <v>-1.6585522126951437E-2</v>
      </c>
      <c r="G1212" s="29">
        <v>46072</v>
      </c>
      <c r="H1212" s="31">
        <v>25454.349609375</v>
      </c>
      <c r="I1212" s="20">
        <f t="shared" si="37"/>
        <v>-1.4136684522350191E-2</v>
      </c>
    </row>
    <row r="1213" spans="2:9" ht="14.25" customHeight="1" x14ac:dyDescent="0.35">
      <c r="B1213" s="29"/>
      <c r="C1213" s="30">
        <v>46073</v>
      </c>
      <c r="D1213">
        <v>154.14999389648401</v>
      </c>
      <c r="E1213" s="20">
        <f t="shared" si="36"/>
        <v>3.1655707304928032E-2</v>
      </c>
      <c r="G1213" s="29">
        <v>46073</v>
      </c>
      <c r="H1213" s="31">
        <v>25571.25</v>
      </c>
      <c r="I1213" s="20">
        <f t="shared" si="37"/>
        <v>4.5925506806877847E-3</v>
      </c>
    </row>
    <row r="1214" spans="2:9" ht="14.25" customHeight="1" x14ac:dyDescent="0.35">
      <c r="B1214" s="29"/>
      <c r="C1214" s="30">
        <v>46076</v>
      </c>
      <c r="D1214">
        <v>156.44000244140599</v>
      </c>
      <c r="E1214" s="20">
        <f t="shared" si="36"/>
        <v>1.4855716092079724E-2</v>
      </c>
      <c r="G1214" s="29">
        <v>46076</v>
      </c>
      <c r="H1214" s="31">
        <v>25713</v>
      </c>
      <c r="I1214" s="20">
        <f t="shared" si="37"/>
        <v>5.5433347998240208E-3</v>
      </c>
    </row>
    <row r="1215" spans="2:9" ht="14.25" customHeight="1" x14ac:dyDescent="0.35">
      <c r="B1215" s="29"/>
      <c r="C1215" s="30">
        <v>46077</v>
      </c>
      <c r="D1215">
        <v>157.02999877929699</v>
      </c>
      <c r="E1215" s="20">
        <f t="shared" si="36"/>
        <v>3.7713904927352284E-3</v>
      </c>
      <c r="G1215" s="29">
        <v>46077</v>
      </c>
      <c r="H1215" s="31">
        <v>25424.650390625</v>
      </c>
      <c r="I1215" s="20">
        <f t="shared" si="37"/>
        <v>-1.1214156627970288E-2</v>
      </c>
    </row>
    <row r="1216" spans="2:9" ht="14.25" customHeight="1" x14ac:dyDescent="0.35">
      <c r="B1216" s="29"/>
      <c r="C1216" s="30">
        <v>46078</v>
      </c>
      <c r="D1216">
        <v>158.92999267578099</v>
      </c>
      <c r="E1216" s="20">
        <f t="shared" si="36"/>
        <v>1.2099560028363847E-2</v>
      </c>
      <c r="G1216" s="29">
        <v>46078</v>
      </c>
      <c r="H1216" s="31">
        <v>25482.5</v>
      </c>
      <c r="I1216" s="20">
        <f t="shared" si="37"/>
        <v>2.2753354908011348E-3</v>
      </c>
    </row>
    <row r="1217" spans="2:9" ht="14.25" customHeight="1" x14ac:dyDescent="0.35">
      <c r="B1217" s="29"/>
      <c r="C1217" s="30">
        <v>46079</v>
      </c>
      <c r="D1217">
        <v>158.88000488281301</v>
      </c>
      <c r="E1217" s="20">
        <f t="shared" si="36"/>
        <v>-3.1452712056658985E-4</v>
      </c>
      <c r="G1217" s="29">
        <v>46079</v>
      </c>
      <c r="H1217" s="31">
        <v>25496.55078125</v>
      </c>
      <c r="I1217" s="20">
        <f t="shared" si="37"/>
        <v>5.5138943392524285E-4</v>
      </c>
    </row>
    <row r="1218" spans="2:9" ht="14.25" customHeight="1" x14ac:dyDescent="0.35">
      <c r="B1218" s="29"/>
      <c r="C1218" s="30">
        <v>46080</v>
      </c>
      <c r="D1218">
        <v>157.36999511718801</v>
      </c>
      <c r="E1218" s="20">
        <f t="shared" si="36"/>
        <v>-9.5040893707093958E-3</v>
      </c>
      <c r="G1218" s="29">
        <v>46080</v>
      </c>
      <c r="H1218" s="31">
        <v>25178.650390625</v>
      </c>
      <c r="I1218" s="20">
        <f t="shared" si="37"/>
        <v>-1.2468368500212268E-2</v>
      </c>
    </row>
    <row r="1219" spans="2:9" ht="14.25" customHeight="1" x14ac:dyDescent="0.35">
      <c r="B1219" s="29"/>
      <c r="C1219" s="30">
        <v>46083</v>
      </c>
      <c r="D1219">
        <v>153.55999755859401</v>
      </c>
      <c r="E1219" s="20">
        <f t="shared" si="36"/>
        <v>-2.4210444664224791E-2</v>
      </c>
      <c r="G1219" s="29">
        <v>46083</v>
      </c>
      <c r="H1219" s="31">
        <v>24865.69921875</v>
      </c>
      <c r="I1219" s="20">
        <f t="shared" si="37"/>
        <v>-1.2429227421638295E-2</v>
      </c>
    </row>
    <row r="1220" spans="2:9" ht="14.25" customHeight="1" x14ac:dyDescent="0.35">
      <c r="B1220" s="29"/>
      <c r="C1220" s="30">
        <v>46085</v>
      </c>
      <c r="D1220">
        <v>146.92999267578099</v>
      </c>
      <c r="E1220" s="20">
        <f t="shared" si="36"/>
        <v>-4.3175338553148881E-2</v>
      </c>
      <c r="G1220" s="29">
        <v>46085</v>
      </c>
      <c r="H1220" s="31">
        <v>24480.5</v>
      </c>
      <c r="I1220" s="20">
        <f t="shared" si="37"/>
        <v>-1.5491187895474108E-2</v>
      </c>
    </row>
    <row r="1221" spans="2:9" ht="14.25" customHeight="1" x14ac:dyDescent="0.35">
      <c r="B1221" s="29"/>
      <c r="C1221" s="30">
        <v>46086</v>
      </c>
      <c r="D1221">
        <v>148.50999450683599</v>
      </c>
      <c r="E1221" s="20">
        <f t="shared" ref="E1221:E1237" si="38">(D1221-D1220)/D1220</f>
        <v>1.0753432994048176E-2</v>
      </c>
      <c r="G1221" s="29">
        <v>46086</v>
      </c>
      <c r="H1221" s="31">
        <v>24765.900390625</v>
      </c>
      <c r="I1221" s="20">
        <f t="shared" ref="I1221:I1237" si="39">(H1221-H1220)/H1220</f>
        <v>1.165827457057658E-2</v>
      </c>
    </row>
    <row r="1222" spans="2:9" ht="14.25" customHeight="1" x14ac:dyDescent="0.35">
      <c r="B1222" s="29"/>
      <c r="C1222" s="30">
        <v>46087</v>
      </c>
      <c r="D1222">
        <v>145.97000122070301</v>
      </c>
      <c r="E1222" s="20">
        <f t="shared" si="38"/>
        <v>-1.7103180796468657E-2</v>
      </c>
      <c r="G1222" s="29">
        <v>46087</v>
      </c>
      <c r="H1222" s="31">
        <v>24450.44921875</v>
      </c>
      <c r="I1222" s="20">
        <f t="shared" si="39"/>
        <v>-1.273731893044407E-2</v>
      </c>
    </row>
    <row r="1223" spans="2:9" ht="14.25" customHeight="1" x14ac:dyDescent="0.35">
      <c r="B1223" s="29"/>
      <c r="C1223" s="30">
        <v>46090</v>
      </c>
      <c r="D1223">
        <v>139.91000366210901</v>
      </c>
      <c r="E1223" s="20">
        <f t="shared" si="38"/>
        <v>-4.1515362800000531E-2</v>
      </c>
      <c r="G1223" s="29">
        <v>46090</v>
      </c>
      <c r="H1223" s="31">
        <v>24028.05078125</v>
      </c>
      <c r="I1223" s="20">
        <f t="shared" si="39"/>
        <v>-1.7275692308183883E-2</v>
      </c>
    </row>
    <row r="1224" spans="2:9" ht="14.25" customHeight="1" x14ac:dyDescent="0.35">
      <c r="B1224" s="29"/>
      <c r="C1224" s="30">
        <v>46091</v>
      </c>
      <c r="D1224">
        <v>142.27000427246099</v>
      </c>
      <c r="E1224" s="20">
        <f t="shared" si="38"/>
        <v>1.6867990483736467E-2</v>
      </c>
      <c r="G1224" s="29">
        <v>46091</v>
      </c>
      <c r="H1224" s="31">
        <v>24261.599609375</v>
      </c>
      <c r="I1224" s="20">
        <f t="shared" si="39"/>
        <v>9.7198407915488096E-3</v>
      </c>
    </row>
    <row r="1225" spans="2:9" ht="14.25" customHeight="1" x14ac:dyDescent="0.35">
      <c r="B1225" s="29"/>
      <c r="C1225" s="30">
        <v>46092</v>
      </c>
      <c r="D1225">
        <v>139.41000366210901</v>
      </c>
      <c r="E1225" s="20">
        <f t="shared" si="38"/>
        <v>-2.0102625461898543E-2</v>
      </c>
      <c r="G1225" s="29">
        <v>46092</v>
      </c>
      <c r="H1225" s="31">
        <v>23866.849609375</v>
      </c>
      <c r="I1225" s="20">
        <f t="shared" si="39"/>
        <v>-1.6270567743087452E-2</v>
      </c>
    </row>
    <row r="1226" spans="2:9" ht="14.25" customHeight="1" x14ac:dyDescent="0.35">
      <c r="B1226" s="29"/>
      <c r="C1226" s="30">
        <v>46093</v>
      </c>
      <c r="D1226">
        <v>140.33999633789099</v>
      </c>
      <c r="E1226" s="20">
        <f t="shared" si="38"/>
        <v>6.6709178061284038E-3</v>
      </c>
      <c r="G1226" s="29">
        <v>46093</v>
      </c>
      <c r="H1226" s="31">
        <v>23639.150390625</v>
      </c>
      <c r="I1226" s="20">
        <f t="shared" si="39"/>
        <v>-9.5403969303329752E-3</v>
      </c>
    </row>
    <row r="1227" spans="2:9" ht="14.25" customHeight="1" x14ac:dyDescent="0.35">
      <c r="B1227" s="29"/>
      <c r="C1227" s="30">
        <v>46094</v>
      </c>
      <c r="D1227">
        <v>134.67999267578099</v>
      </c>
      <c r="E1227" s="20">
        <f t="shared" si="38"/>
        <v>-4.0330652770452093E-2</v>
      </c>
      <c r="G1227" s="29">
        <v>46094</v>
      </c>
      <c r="H1227" s="31">
        <v>23151.099609375</v>
      </c>
      <c r="I1227" s="20">
        <f t="shared" si="39"/>
        <v>-2.0645868112229408E-2</v>
      </c>
    </row>
    <row r="1228" spans="2:9" ht="14.25" customHeight="1" x14ac:dyDescent="0.35">
      <c r="B1228" s="29"/>
      <c r="C1228" s="30">
        <v>46097</v>
      </c>
      <c r="D1228">
        <v>134.50999450683599</v>
      </c>
      <c r="E1228" s="20">
        <f t="shared" si="38"/>
        <v>-1.2622377352977834E-3</v>
      </c>
      <c r="G1228" s="29">
        <v>46097</v>
      </c>
      <c r="H1228" s="31">
        <v>23408.80078125</v>
      </c>
      <c r="I1228" s="20">
        <f t="shared" si="39"/>
        <v>1.1131271353117254E-2</v>
      </c>
    </row>
    <row r="1229" spans="2:9" ht="14.25" customHeight="1" x14ac:dyDescent="0.35">
      <c r="B1229" s="29"/>
      <c r="C1229" s="30">
        <v>46098</v>
      </c>
      <c r="D1229">
        <v>136.580001831055</v>
      </c>
      <c r="E1229" s="20">
        <f t="shared" si="38"/>
        <v>1.5389245474348785E-2</v>
      </c>
      <c r="G1229" s="29">
        <v>46098</v>
      </c>
      <c r="H1229" s="31">
        <v>23581.150390625</v>
      </c>
      <c r="I1229" s="20">
        <f t="shared" si="39"/>
        <v>7.3625988356075351E-3</v>
      </c>
    </row>
    <row r="1230" spans="2:9" ht="14.25" customHeight="1" x14ac:dyDescent="0.35">
      <c r="B1230" s="29"/>
      <c r="C1230" s="30">
        <v>46099</v>
      </c>
      <c r="D1230">
        <v>137.50999450683599</v>
      </c>
      <c r="E1230" s="20">
        <f t="shared" si="38"/>
        <v>6.8091423584205595E-3</v>
      </c>
      <c r="G1230" s="29">
        <v>46099</v>
      </c>
      <c r="H1230" s="31">
        <v>23777.80078125</v>
      </c>
      <c r="I1230" s="20">
        <f t="shared" si="39"/>
        <v>8.339304375208979E-3</v>
      </c>
    </row>
    <row r="1231" spans="2:9" ht="14.25" customHeight="1" x14ac:dyDescent="0.35">
      <c r="B1231" s="29"/>
      <c r="C1231" s="30">
        <v>46100</v>
      </c>
      <c r="D1231">
        <v>132.919998168945</v>
      </c>
      <c r="E1231" s="20">
        <f t="shared" si="38"/>
        <v>-3.337936529161023E-2</v>
      </c>
      <c r="G1231" s="29">
        <v>46100</v>
      </c>
      <c r="H1231" s="31">
        <v>23002.150390625</v>
      </c>
      <c r="I1231" s="20">
        <f t="shared" si="39"/>
        <v>-3.2620779262169594E-2</v>
      </c>
    </row>
    <row r="1232" spans="2:9" ht="14.25" customHeight="1" x14ac:dyDescent="0.35">
      <c r="B1232" s="29"/>
      <c r="C1232" s="30">
        <v>46101</v>
      </c>
      <c r="D1232">
        <v>136.44000244140599</v>
      </c>
      <c r="E1232" s="20">
        <f t="shared" si="38"/>
        <v>2.6482127000836783E-2</v>
      </c>
      <c r="G1232" s="29">
        <v>46101</v>
      </c>
      <c r="H1232" s="31">
        <v>23114.5</v>
      </c>
      <c r="I1232" s="20">
        <f t="shared" si="39"/>
        <v>4.8843089653387538E-3</v>
      </c>
    </row>
    <row r="1233" spans="2:9" ht="14.25" customHeight="1" x14ac:dyDescent="0.35">
      <c r="B1233" s="29"/>
      <c r="C1233" s="30">
        <v>46104</v>
      </c>
      <c r="D1233">
        <v>129.55999755859401</v>
      </c>
      <c r="E1233" s="20">
        <f t="shared" si="38"/>
        <v>-5.0425130164935307E-2</v>
      </c>
      <c r="G1233" s="29">
        <v>46104</v>
      </c>
      <c r="H1233" s="31">
        <v>22512.650390625</v>
      </c>
      <c r="I1233" s="20">
        <f t="shared" si="39"/>
        <v>-2.6037751600726817E-2</v>
      </c>
    </row>
    <row r="1234" spans="2:9" ht="14.25" customHeight="1" x14ac:dyDescent="0.35">
      <c r="B1234" s="29"/>
      <c r="C1234" s="30">
        <v>46105</v>
      </c>
      <c r="D1234">
        <v>133.14999389648401</v>
      </c>
      <c r="E1234" s="20">
        <f t="shared" si="38"/>
        <v>2.7709141753158879E-2</v>
      </c>
      <c r="G1234" s="29">
        <v>46105</v>
      </c>
      <c r="H1234" s="31">
        <v>22912.400390625</v>
      </c>
      <c r="I1234" s="20">
        <f t="shared" si="39"/>
        <v>1.7756683156527359E-2</v>
      </c>
    </row>
    <row r="1235" spans="2:9" ht="14.25" customHeight="1" x14ac:dyDescent="0.35">
      <c r="B1235" s="29"/>
      <c r="C1235" s="30">
        <v>46106</v>
      </c>
      <c r="D1235">
        <v>136.52999877929699</v>
      </c>
      <c r="E1235" s="20">
        <f t="shared" si="38"/>
        <v>2.5384942078485791E-2</v>
      </c>
      <c r="G1235" s="29">
        <v>46106</v>
      </c>
      <c r="H1235" s="31">
        <v>23306.44921875</v>
      </c>
      <c r="I1235" s="20">
        <f t="shared" si="39"/>
        <v>1.719805962740734E-2</v>
      </c>
    </row>
    <row r="1236" spans="2:9" ht="14.25" customHeight="1" x14ac:dyDescent="0.35">
      <c r="B1236" s="29"/>
      <c r="C1236" s="30">
        <v>46108</v>
      </c>
      <c r="D1236">
        <v>130.44999694824199</v>
      </c>
      <c r="E1236" s="20">
        <f t="shared" si="38"/>
        <v>-4.4532351024798765E-2</v>
      </c>
      <c r="G1236" s="29">
        <v>46108</v>
      </c>
      <c r="H1236" s="31">
        <v>22819.599609375</v>
      </c>
      <c r="I1236" s="20">
        <f t="shared" si="39"/>
        <v>-2.0889051129389984E-2</v>
      </c>
    </row>
    <row r="1237" spans="2:9" ht="14.25" customHeight="1" x14ac:dyDescent="0.35">
      <c r="B1237" s="29"/>
      <c r="C1237" s="30">
        <v>46111</v>
      </c>
      <c r="D1237">
        <v>123.449996948242</v>
      </c>
      <c r="E1237" s="20">
        <f t="shared" si="38"/>
        <v>-5.3660407541269176E-2</v>
      </c>
      <c r="G1237" s="29">
        <v>46111</v>
      </c>
      <c r="H1237" s="31">
        <v>22331.400390625</v>
      </c>
      <c r="I1237" s="20">
        <f t="shared" si="39"/>
        <v>-2.1393855593742871E-2</v>
      </c>
    </row>
  </sheetData>
  <mergeCells count="3">
    <mergeCell ref="B2:D2"/>
    <mergeCell ref="G2:I2"/>
    <mergeCell ref="L9:M9"/>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sheetPr>
  <dimension ref="B1:M24"/>
  <sheetViews>
    <sheetView showGridLines="0" zoomScale="69" zoomScaleNormal="78" workbookViewId="0">
      <selection activeCell="Q6" sqref="Q6"/>
    </sheetView>
  </sheetViews>
  <sheetFormatPr defaultColWidth="8.6328125" defaultRowHeight="14.5" x14ac:dyDescent="0.35"/>
  <cols>
    <col min="1" max="1" width="2" customWidth="1"/>
    <col min="2" max="2" width="34" customWidth="1"/>
    <col min="3" max="3" width="13.1796875" customWidth="1"/>
    <col min="4" max="4" width="6.36328125" bestFit="1" customWidth="1"/>
    <col min="5" max="5" width="24" customWidth="1"/>
    <col min="6" max="6" width="50" customWidth="1"/>
    <col min="7" max="8" width="2" customWidth="1"/>
    <col min="9" max="9" width="3" customWidth="1"/>
    <col min="10" max="13" width="2" customWidth="1"/>
  </cols>
  <sheetData>
    <row r="1" spans="2:13" ht="27" customHeight="1" x14ac:dyDescent="0.4">
      <c r="B1" s="328" t="s">
        <v>176</v>
      </c>
      <c r="C1" s="328"/>
      <c r="D1" s="328"/>
      <c r="E1" s="167"/>
      <c r="F1" s="167"/>
      <c r="G1" s="167"/>
      <c r="H1" s="167"/>
      <c r="I1" s="167"/>
      <c r="J1" s="167"/>
      <c r="K1" s="167"/>
      <c r="L1" s="167"/>
      <c r="M1" s="167"/>
    </row>
    <row r="3" spans="2:13" ht="19.5" customHeight="1" x14ac:dyDescent="0.35">
      <c r="B3" s="329" t="s">
        <v>177</v>
      </c>
      <c r="C3" s="329"/>
      <c r="D3" s="161"/>
      <c r="E3" s="161"/>
      <c r="F3" s="161"/>
    </row>
    <row r="4" spans="2:13" ht="15.75" customHeight="1" x14ac:dyDescent="0.35">
      <c r="B4" s="343" t="s">
        <v>178</v>
      </c>
      <c r="C4" s="344">
        <f>'Consolidated FS'!P8</f>
        <v>155288</v>
      </c>
    </row>
    <row r="5" spans="2:13" ht="15.75" customHeight="1" x14ac:dyDescent="0.35">
      <c r="B5" s="343" t="s">
        <v>179</v>
      </c>
      <c r="C5" s="344">
        <f>SUM('Consolidated FS'!P4:P6)</f>
        <v>117705</v>
      </c>
    </row>
    <row r="6" spans="2:13" ht="15.75" customHeight="1" x14ac:dyDescent="0.35">
      <c r="B6" s="345" t="s">
        <v>180</v>
      </c>
      <c r="C6" s="346">
        <f>SUM(C4:C5)</f>
        <v>272993</v>
      </c>
    </row>
    <row r="7" spans="2:13" ht="15.75" customHeight="1" x14ac:dyDescent="0.35">
      <c r="B7" s="343" t="s">
        <v>181</v>
      </c>
      <c r="C7" s="347">
        <f>C4/C6</f>
        <v>0.56883509833585477</v>
      </c>
    </row>
    <row r="8" spans="2:13" ht="15.75" customHeight="1" x14ac:dyDescent="0.35">
      <c r="B8" s="343" t="s">
        <v>182</v>
      </c>
      <c r="C8" s="347">
        <f>C5/C6</f>
        <v>0.43116490166414523</v>
      </c>
      <c r="I8" s="12" t="s">
        <v>147</v>
      </c>
    </row>
    <row r="9" spans="2:13" ht="15.75" customHeight="1" x14ac:dyDescent="0.35">
      <c r="B9" s="330" t="s">
        <v>183</v>
      </c>
      <c r="C9" s="331">
        <f>C4/C5</f>
        <v>1.3192982456140352</v>
      </c>
    </row>
    <row r="10" spans="2:13" ht="15.75" customHeight="1" x14ac:dyDescent="0.35">
      <c r="B10" s="39"/>
      <c r="C10" s="162"/>
    </row>
    <row r="11" spans="2:13" ht="15.75" customHeight="1" x14ac:dyDescent="0.35">
      <c r="B11" s="39"/>
      <c r="C11" s="162"/>
    </row>
    <row r="13" spans="2:13" ht="19.5" customHeight="1" x14ac:dyDescent="0.35">
      <c r="B13" s="332" t="s">
        <v>184</v>
      </c>
      <c r="C13" s="332"/>
      <c r="E13" s="342" t="s">
        <v>185</v>
      </c>
      <c r="F13" s="342"/>
    </row>
    <row r="14" spans="2:13" ht="15.75" customHeight="1" x14ac:dyDescent="0.35">
      <c r="B14" s="348" t="s">
        <v>186</v>
      </c>
      <c r="C14" s="41">
        <v>6.6000000000000003E-2</v>
      </c>
      <c r="E14" s="351"/>
      <c r="F14" s="42"/>
    </row>
    <row r="15" spans="2:13" ht="15.75" customHeight="1" x14ac:dyDescent="0.35">
      <c r="B15" s="348" t="s">
        <v>187</v>
      </c>
      <c r="C15" s="43">
        <f>'BETA '!L5</f>
        <v>1.4980931819762366</v>
      </c>
      <c r="E15" s="348" t="s">
        <v>188</v>
      </c>
      <c r="F15" s="44">
        <f>'Consolidated FS'!G9/(AVERAGE(SUM('Consolidated FS'!O7:O8),SUM('Consolidated FS'!P7:P8)))</f>
        <v>9.5935458630852927E-2</v>
      </c>
    </row>
    <row r="16" spans="2:13" ht="15.75" customHeight="1" x14ac:dyDescent="0.35">
      <c r="B16" s="349" t="s">
        <v>189</v>
      </c>
      <c r="C16" s="41">
        <v>7.0000000000000007E-2</v>
      </c>
      <c r="E16" s="349" t="s">
        <v>190</v>
      </c>
      <c r="F16" s="41">
        <v>0.25</v>
      </c>
    </row>
    <row r="17" spans="2:6" ht="15.75" customHeight="1" x14ac:dyDescent="0.35">
      <c r="B17" s="350" t="s">
        <v>191</v>
      </c>
      <c r="C17" s="38">
        <f>C14+C15*C16</f>
        <v>0.17086652273833658</v>
      </c>
      <c r="E17" s="352" t="s">
        <v>192</v>
      </c>
      <c r="F17" s="166">
        <f>F15*(1-F16)</f>
        <v>7.1951593973139688E-2</v>
      </c>
    </row>
    <row r="18" spans="2:6" ht="15.75" customHeight="1" x14ac:dyDescent="0.35">
      <c r="B18" s="39"/>
      <c r="C18" s="40"/>
      <c r="E18" s="39"/>
      <c r="F18" s="162"/>
    </row>
    <row r="19" spans="2:6" ht="15.75" customHeight="1" x14ac:dyDescent="0.35">
      <c r="B19" s="39"/>
      <c r="C19" s="40"/>
      <c r="E19" s="39"/>
      <c r="F19" s="162"/>
    </row>
    <row r="20" spans="2:6" ht="19.5" customHeight="1" x14ac:dyDescent="0.35">
      <c r="B20" s="333" t="s">
        <v>193</v>
      </c>
      <c r="C20" s="333"/>
      <c r="D20" s="333"/>
      <c r="E20" s="334"/>
      <c r="F20" s="163"/>
    </row>
    <row r="21" spans="2:6" ht="14.25" customHeight="1" x14ac:dyDescent="0.35">
      <c r="B21" s="335" t="s">
        <v>194</v>
      </c>
      <c r="C21" s="336" t="s">
        <v>195</v>
      </c>
      <c r="D21" s="336" t="s">
        <v>196</v>
      </c>
      <c r="E21" s="337" t="s">
        <v>197</v>
      </c>
      <c r="F21" s="164"/>
    </row>
    <row r="22" spans="2:6" ht="15.75" customHeight="1" x14ac:dyDescent="0.35">
      <c r="B22" s="168" t="s">
        <v>198</v>
      </c>
      <c r="C22" s="169">
        <f>C7</f>
        <v>0.56883509833585477</v>
      </c>
      <c r="D22" s="169">
        <f>F17</f>
        <v>7.1951593973139688E-2</v>
      </c>
      <c r="E22" s="169">
        <f>C22*D22</f>
        <v>4.0928592033132413E-2</v>
      </c>
      <c r="F22" s="162"/>
    </row>
    <row r="23" spans="2:6" ht="15" customHeight="1" x14ac:dyDescent="0.35">
      <c r="B23" s="168" t="s">
        <v>199</v>
      </c>
      <c r="C23" s="169">
        <f>C8</f>
        <v>0.43116490166414523</v>
      </c>
      <c r="D23" s="169">
        <f>C17</f>
        <v>0.17086652273833658</v>
      </c>
      <c r="E23" s="169">
        <f>C23*D23</f>
        <v>7.3671647474169322E-2</v>
      </c>
      <c r="F23" s="162"/>
    </row>
    <row r="24" spans="2:6" ht="15" customHeight="1" x14ac:dyDescent="0.35">
      <c r="B24" s="338" t="s">
        <v>193</v>
      </c>
      <c r="C24" s="339"/>
      <c r="D24" s="340"/>
      <c r="E24" s="341">
        <f>SUM(E22:E23)</f>
        <v>0.11460023950730173</v>
      </c>
      <c r="F24" s="165"/>
    </row>
  </sheetData>
  <mergeCells count="5">
    <mergeCell ref="B3:C3"/>
    <mergeCell ref="B13:C13"/>
    <mergeCell ref="E13:F13"/>
    <mergeCell ref="B20:E20"/>
    <mergeCell ref="B1:D1"/>
  </mergeCells>
  <pageMargins left="0.7" right="0.7" top="0.75" bottom="0.75" header="0.511811023622047" footer="0.511811023622047"/>
  <pageSetup paperSize="9" orientation="portrait" horizontalDpi="300" verticalDpi="300"/>
  <ignoredErrors>
    <ignoredError sqref="C5 F15" formulaRange="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M30"/>
  <sheetViews>
    <sheetView showGridLines="0" zoomScale="59" zoomScaleNormal="100" workbookViewId="0">
      <selection activeCell="P6" sqref="P6"/>
    </sheetView>
  </sheetViews>
  <sheetFormatPr defaultColWidth="8.6328125" defaultRowHeight="14" x14ac:dyDescent="0.3"/>
  <cols>
    <col min="1" max="1" width="2.453125" style="47" customWidth="1"/>
    <col min="2" max="2" width="25" style="47" customWidth="1"/>
    <col min="3" max="3" width="12" style="47" customWidth="1"/>
    <col min="4" max="4" width="13" style="47" customWidth="1"/>
    <col min="5" max="5" width="11" style="47" customWidth="1"/>
    <col min="6" max="7" width="10" style="47" customWidth="1"/>
    <col min="8" max="8" width="8.453125" style="47" customWidth="1"/>
    <col min="9" max="9" width="28" style="47" customWidth="1"/>
    <col min="10" max="11" width="12" style="47" customWidth="1"/>
    <col min="12" max="12" width="11" style="47" customWidth="1"/>
    <col min="13" max="13" width="8.453125" style="47" customWidth="1"/>
    <col min="14" max="16384" width="8.6328125" style="47"/>
  </cols>
  <sheetData>
    <row r="1" spans="2:13" ht="37.5" customHeight="1" x14ac:dyDescent="0.3">
      <c r="B1" s="311" t="s">
        <v>320</v>
      </c>
      <c r="C1" s="311"/>
      <c r="D1" s="311"/>
      <c r="E1" s="311"/>
      <c r="F1" s="311"/>
      <c r="G1" s="311"/>
      <c r="H1" s="311"/>
      <c r="I1" s="311"/>
      <c r="J1" s="311"/>
      <c r="K1" s="311"/>
      <c r="L1" s="311"/>
    </row>
    <row r="2" spans="2:13" ht="18" x14ac:dyDescent="0.3">
      <c r="B2" s="312" t="s">
        <v>200</v>
      </c>
      <c r="C2" s="313" t="s">
        <v>201</v>
      </c>
      <c r="D2" s="313"/>
      <c r="E2" s="313"/>
      <c r="F2" s="313"/>
      <c r="G2" s="313"/>
      <c r="H2" s="313"/>
      <c r="I2" s="313"/>
      <c r="J2" s="313"/>
      <c r="K2" s="313"/>
      <c r="L2" s="313"/>
    </row>
    <row r="3" spans="2:13" ht="48" customHeight="1" x14ac:dyDescent="0.3">
      <c r="B3" s="314" t="s">
        <v>202</v>
      </c>
      <c r="C3" s="315" t="s">
        <v>203</v>
      </c>
      <c r="D3" s="315"/>
      <c r="E3" s="315"/>
      <c r="F3" s="315"/>
      <c r="G3" s="315"/>
      <c r="H3" s="315"/>
      <c r="I3" s="315"/>
      <c r="J3" s="315"/>
      <c r="K3" s="315"/>
      <c r="L3" s="315"/>
    </row>
    <row r="4" spans="2:13" ht="39.75" customHeight="1" x14ac:dyDescent="0.3">
      <c r="B4" s="170" t="s">
        <v>204</v>
      </c>
      <c r="C4" s="304" t="s">
        <v>205</v>
      </c>
      <c r="D4" s="304"/>
      <c r="E4" s="304"/>
      <c r="F4" s="304"/>
      <c r="G4" s="304"/>
      <c r="H4" s="304"/>
      <c r="I4" s="304"/>
      <c r="J4" s="304"/>
      <c r="K4" s="304"/>
      <c r="L4" s="304"/>
    </row>
    <row r="5" spans="2:13" ht="37.5" customHeight="1" x14ac:dyDescent="0.3">
      <c r="B5" s="170" t="s">
        <v>206</v>
      </c>
      <c r="C5" s="304" t="s">
        <v>207</v>
      </c>
      <c r="D5" s="304"/>
      <c r="E5" s="304"/>
      <c r="F5" s="304"/>
      <c r="G5" s="304"/>
      <c r="H5" s="304"/>
      <c r="I5" s="304"/>
      <c r="J5" s="304"/>
      <c r="K5" s="304"/>
      <c r="L5" s="304"/>
    </row>
    <row r="6" spans="2:13" ht="44.25" customHeight="1" x14ac:dyDescent="0.3">
      <c r="B6" s="170" t="s">
        <v>208</v>
      </c>
      <c r="C6" s="304" t="s">
        <v>209</v>
      </c>
      <c r="D6" s="304"/>
      <c r="E6" s="304"/>
      <c r="F6" s="304"/>
      <c r="G6" s="304"/>
      <c r="H6" s="304"/>
      <c r="I6" s="304"/>
      <c r="J6" s="304"/>
      <c r="K6" s="304"/>
      <c r="L6" s="304"/>
    </row>
    <row r="7" spans="2:13" ht="46" customHeight="1" x14ac:dyDescent="0.3">
      <c r="B7" s="170" t="s">
        <v>210</v>
      </c>
      <c r="C7" s="304" t="s">
        <v>211</v>
      </c>
      <c r="D7" s="304"/>
      <c r="E7" s="304"/>
      <c r="F7" s="304"/>
      <c r="G7" s="304"/>
      <c r="H7" s="304"/>
      <c r="I7" s="304"/>
      <c r="J7" s="304"/>
      <c r="K7" s="304"/>
      <c r="L7" s="304"/>
    </row>
    <row r="8" spans="2:13" ht="13.5" customHeight="1" x14ac:dyDescent="0.3">
      <c r="B8" s="171"/>
      <c r="C8" s="172"/>
      <c r="D8" s="172"/>
      <c r="E8" s="172"/>
      <c r="F8" s="172"/>
      <c r="G8" s="172"/>
      <c r="H8" s="172"/>
      <c r="I8" s="172"/>
      <c r="J8" s="172"/>
      <c r="K8" s="172"/>
      <c r="L8" s="172"/>
    </row>
    <row r="9" spans="2:13" ht="30.75" customHeight="1" x14ac:dyDescent="0.3">
      <c r="B9" s="316" t="s">
        <v>212</v>
      </c>
      <c r="C9" s="317" t="s">
        <v>202</v>
      </c>
      <c r="D9" s="317" t="s">
        <v>213</v>
      </c>
      <c r="E9" s="317" t="s">
        <v>206</v>
      </c>
      <c r="F9" s="317" t="s">
        <v>214</v>
      </c>
      <c r="G9" s="318" t="s">
        <v>215</v>
      </c>
      <c r="I9" s="316" t="s">
        <v>216</v>
      </c>
      <c r="J9" s="317" t="s">
        <v>202</v>
      </c>
      <c r="K9" s="317" t="s">
        <v>213</v>
      </c>
      <c r="L9" s="318" t="s">
        <v>206</v>
      </c>
    </row>
    <row r="10" spans="2:13" ht="13.5" customHeight="1" x14ac:dyDescent="0.3">
      <c r="B10" s="173" t="s">
        <v>15</v>
      </c>
      <c r="C10" s="174">
        <v>135</v>
      </c>
      <c r="D10" s="175">
        <v>1041</v>
      </c>
      <c r="E10" s="175">
        <v>284</v>
      </c>
      <c r="F10" s="175">
        <v>110</v>
      </c>
      <c r="G10" s="176">
        <v>177</v>
      </c>
      <c r="I10" s="319" t="s">
        <v>217</v>
      </c>
      <c r="J10" s="320">
        <v>0.33500000000000002</v>
      </c>
      <c r="K10" s="321">
        <v>0.41199999999999998</v>
      </c>
      <c r="L10" s="322">
        <v>0.38800000000000001</v>
      </c>
      <c r="M10" s="323"/>
    </row>
    <row r="11" spans="2:13" ht="13.5" customHeight="1" x14ac:dyDescent="0.3">
      <c r="B11" s="173" t="s">
        <v>218</v>
      </c>
      <c r="C11" s="177">
        <v>122445</v>
      </c>
      <c r="D11" s="178">
        <v>960492</v>
      </c>
      <c r="E11" s="178">
        <v>146608</v>
      </c>
      <c r="F11" s="178">
        <v>126020</v>
      </c>
      <c r="G11" s="179">
        <v>134848</v>
      </c>
      <c r="I11" s="319" t="s">
        <v>219</v>
      </c>
      <c r="J11" s="320">
        <v>0.76300000000000001</v>
      </c>
      <c r="K11" s="321">
        <v>0.84199999999999997</v>
      </c>
      <c r="L11" s="322">
        <v>0.78400000000000003</v>
      </c>
      <c r="M11" s="323"/>
    </row>
    <row r="12" spans="2:13" ht="13.5" customHeight="1" x14ac:dyDescent="0.3">
      <c r="B12" s="173" t="s">
        <v>220</v>
      </c>
      <c r="C12" s="177">
        <v>944178</v>
      </c>
      <c r="D12" s="178">
        <v>3987695</v>
      </c>
      <c r="E12" s="178">
        <v>1076280</v>
      </c>
      <c r="F12" s="178">
        <v>956990</v>
      </c>
      <c r="G12" s="179">
        <v>936830</v>
      </c>
      <c r="I12" s="319" t="s">
        <v>221</v>
      </c>
      <c r="J12" s="320">
        <v>0.45200000000000001</v>
      </c>
      <c r="K12" s="321">
        <v>0.52100000000000002</v>
      </c>
      <c r="L12" s="322">
        <v>0.41199999999999998</v>
      </c>
      <c r="M12" s="323"/>
    </row>
    <row r="13" spans="2:13" ht="13.5" customHeight="1" x14ac:dyDescent="0.3">
      <c r="B13" s="173" t="s">
        <v>222</v>
      </c>
      <c r="C13" s="177">
        <v>16543</v>
      </c>
      <c r="D13" s="178">
        <v>43005</v>
      </c>
      <c r="E13" s="178">
        <v>14218</v>
      </c>
      <c r="F13" s="178">
        <v>11175</v>
      </c>
      <c r="G13" s="179">
        <v>10842</v>
      </c>
      <c r="I13" s="319" t="s">
        <v>223</v>
      </c>
      <c r="J13" s="320">
        <v>1.6299999999999999E-2</v>
      </c>
      <c r="K13" s="321">
        <v>8.9999999999999993E-3</v>
      </c>
      <c r="L13" s="322">
        <v>1.7999999999999999E-2</v>
      </c>
      <c r="M13" s="323"/>
    </row>
    <row r="14" spans="2:13" ht="13.5" customHeight="1" x14ac:dyDescent="0.3">
      <c r="B14" s="173" t="s">
        <v>224</v>
      </c>
      <c r="C14" s="177">
        <v>18951</v>
      </c>
      <c r="D14" s="178">
        <v>67085</v>
      </c>
      <c r="E14" s="178">
        <v>19577</v>
      </c>
      <c r="F14" s="178">
        <v>10617</v>
      </c>
      <c r="G14" s="179">
        <v>13798</v>
      </c>
      <c r="I14" s="319" t="s">
        <v>225</v>
      </c>
      <c r="J14" s="320">
        <v>0.873</v>
      </c>
      <c r="K14" s="321">
        <v>0.91200000000000003</v>
      </c>
      <c r="L14" s="322">
        <v>0.94499999999999995</v>
      </c>
      <c r="M14" s="323"/>
    </row>
    <row r="15" spans="2:13" ht="13.5" customHeight="1" x14ac:dyDescent="0.3">
      <c r="B15" s="173" t="s">
        <v>226</v>
      </c>
      <c r="C15" s="180">
        <v>4.2299999999999997E-2</v>
      </c>
      <c r="D15" s="181">
        <v>0.02</v>
      </c>
      <c r="E15" s="181">
        <v>2.92E-2</v>
      </c>
      <c r="F15" s="181">
        <v>0.04</v>
      </c>
      <c r="G15" s="182">
        <v>4.7600000000000003E-2</v>
      </c>
      <c r="I15" s="319" t="s">
        <v>227</v>
      </c>
      <c r="J15" s="320">
        <v>0.14580000000000001</v>
      </c>
      <c r="K15" s="321">
        <v>0.14000000000000001</v>
      </c>
      <c r="L15" s="322">
        <v>0.13100000000000001</v>
      </c>
      <c r="M15" s="323"/>
    </row>
    <row r="16" spans="2:13" ht="13.5" customHeight="1" x14ac:dyDescent="0.3">
      <c r="B16" s="173" t="s">
        <v>228</v>
      </c>
      <c r="C16" s="180">
        <v>1.2699999999999999E-2</v>
      </c>
      <c r="D16" s="181">
        <v>5.3E-3</v>
      </c>
      <c r="E16" s="181">
        <v>6.7999999999999996E-3</v>
      </c>
      <c r="F16" s="181">
        <v>4.0000000000000001E-3</v>
      </c>
      <c r="G16" s="182">
        <v>1.0200000000000001E-2</v>
      </c>
      <c r="I16" s="319" t="s">
        <v>229</v>
      </c>
      <c r="J16" s="320">
        <v>1.55E-2</v>
      </c>
      <c r="K16" s="321">
        <v>1.7999999999999999E-2</v>
      </c>
      <c r="L16" s="322">
        <v>1.38E-2</v>
      </c>
      <c r="M16" s="323"/>
    </row>
    <row r="17" spans="2:13" ht="13.5" customHeight="1" x14ac:dyDescent="0.3">
      <c r="B17" s="173" t="s">
        <v>83</v>
      </c>
      <c r="C17" s="180">
        <v>2.171E-2</v>
      </c>
      <c r="D17" s="181">
        <v>3.2800000000000003E-2</v>
      </c>
      <c r="E17" s="181">
        <v>3.1E-2</v>
      </c>
      <c r="F17" s="181">
        <v>3.15E-2</v>
      </c>
      <c r="G17" s="182">
        <v>3.0499999999999999E-2</v>
      </c>
      <c r="I17" s="319" t="s">
        <v>230</v>
      </c>
      <c r="J17" s="320">
        <v>0.10920000000000001</v>
      </c>
      <c r="K17" s="321">
        <v>0.14499999999999999</v>
      </c>
      <c r="L17" s="322">
        <v>0.12</v>
      </c>
      <c r="M17" s="323"/>
    </row>
    <row r="18" spans="2:13" ht="13.5" customHeight="1" x14ac:dyDescent="0.3">
      <c r="B18" s="173" t="s">
        <v>233</v>
      </c>
      <c r="C18" s="180">
        <v>0.33500000000000002</v>
      </c>
      <c r="D18" s="181">
        <v>0.41199999999999998</v>
      </c>
      <c r="E18" s="181">
        <v>0.38800000000000001</v>
      </c>
      <c r="F18" s="181">
        <v>0.43</v>
      </c>
      <c r="G18" s="182">
        <v>0.36</v>
      </c>
      <c r="I18" s="319" t="s">
        <v>231</v>
      </c>
      <c r="J18" s="320">
        <v>6.3E-2</v>
      </c>
      <c r="K18" s="321">
        <v>8.5999999999999993E-2</v>
      </c>
      <c r="L18" s="322">
        <v>7.0999999999999994E-2</v>
      </c>
      <c r="M18" s="323"/>
    </row>
    <row r="19" spans="2:13" ht="13.5" customHeight="1" x14ac:dyDescent="0.3">
      <c r="B19" s="173" t="s">
        <v>16</v>
      </c>
      <c r="C19" s="183">
        <v>6.46</v>
      </c>
      <c r="D19" s="184">
        <v>11.54</v>
      </c>
      <c r="E19" s="184">
        <v>7.47</v>
      </c>
      <c r="F19" s="184">
        <v>6.89</v>
      </c>
      <c r="G19" s="185">
        <v>6.98</v>
      </c>
      <c r="I19" s="324" t="s">
        <v>232</v>
      </c>
      <c r="J19" s="325">
        <v>13.2</v>
      </c>
      <c r="K19" s="326">
        <v>13.8</v>
      </c>
      <c r="L19" s="327">
        <v>12.1</v>
      </c>
      <c r="M19" s="323"/>
    </row>
    <row r="20" spans="2:13" ht="13.5" customHeight="1" x14ac:dyDescent="0.3">
      <c r="B20" s="173" t="s">
        <v>17</v>
      </c>
      <c r="C20" s="183">
        <v>1.04</v>
      </c>
      <c r="D20" s="184">
        <v>1.61</v>
      </c>
      <c r="E20" s="184">
        <v>0.88</v>
      </c>
      <c r="F20" s="184">
        <v>0.85</v>
      </c>
      <c r="G20" s="185">
        <v>1.01</v>
      </c>
      <c r="I20" s="186" t="s">
        <v>236</v>
      </c>
      <c r="J20" s="187">
        <f>AVERAGE(J10:J19)</f>
        <v>1.59728</v>
      </c>
      <c r="K20" s="187">
        <f>AVERAGE(K10:K19)</f>
        <v>1.6885000000000001</v>
      </c>
      <c r="L20" s="187">
        <f>AVERAGE(L10:L19)</f>
        <v>1.4982799999999998</v>
      </c>
    </row>
    <row r="21" spans="2:13" ht="13.5" customHeight="1" x14ac:dyDescent="0.3">
      <c r="B21" s="173" t="s">
        <v>234</v>
      </c>
      <c r="C21" s="174">
        <v>129.77000000000001</v>
      </c>
      <c r="D21" s="175">
        <v>645.5</v>
      </c>
      <c r="E21" s="175">
        <v>321</v>
      </c>
      <c r="F21" s="175">
        <v>130</v>
      </c>
      <c r="G21" s="176">
        <v>175</v>
      </c>
      <c r="I21" s="186" t="s">
        <v>237</v>
      </c>
      <c r="J21" s="187">
        <f>MEDIAN(J10:J19)</f>
        <v>0.2404</v>
      </c>
      <c r="K21" s="187">
        <f>MEDIAN(K10:K19)</f>
        <v>0.27849999999999997</v>
      </c>
      <c r="L21" s="187">
        <f>MEDIAN(L10:L19)</f>
        <v>0.25950000000000001</v>
      </c>
    </row>
    <row r="22" spans="2:13" ht="13.5" customHeight="1" x14ac:dyDescent="0.3">
      <c r="B22" s="173" t="s">
        <v>4</v>
      </c>
      <c r="C22" s="174">
        <v>20.89</v>
      </c>
      <c r="D22" s="175">
        <v>90.24</v>
      </c>
      <c r="E22" s="175">
        <v>38.380000000000003</v>
      </c>
      <c r="F22" s="175">
        <v>16</v>
      </c>
      <c r="G22" s="176">
        <v>25.45</v>
      </c>
    </row>
    <row r="23" spans="2:13" ht="13.5" customHeight="1" x14ac:dyDescent="0.3">
      <c r="B23" s="173" t="s">
        <v>235</v>
      </c>
      <c r="C23" s="180">
        <v>1.7500000000000002E-2</v>
      </c>
      <c r="D23" s="181">
        <v>1.6799999999999999E-2</v>
      </c>
      <c r="E23" s="181">
        <v>3.0599999999999999E-2</v>
      </c>
      <c r="F23" s="181">
        <v>2.7400000000000001E-2</v>
      </c>
      <c r="G23" s="182">
        <v>2.8199999999999999E-2</v>
      </c>
    </row>
    <row r="24" spans="2:13" ht="13.5" customHeight="1" x14ac:dyDescent="0.3">
      <c r="B24" s="188" t="s">
        <v>236</v>
      </c>
      <c r="C24" s="189">
        <f>AVERAGE(C10:C23)</f>
        <v>78743.613515000005</v>
      </c>
      <c r="D24" s="186">
        <f>AVERAGE(D10:D23)</f>
        <v>361433.38406428572</v>
      </c>
      <c r="E24" s="186">
        <f>AVERAGE(E10:E23)</f>
        <v>89809.658257142844</v>
      </c>
      <c r="F24" s="186">
        <f>AVERAGE(F10:F23)</f>
        <v>78933.305207142854</v>
      </c>
      <c r="G24" s="190">
        <f>AVERAGE(G10:G23)</f>
        <v>78335.994035714291</v>
      </c>
    </row>
    <row r="25" spans="2:13" x14ac:dyDescent="0.3">
      <c r="B25" s="191" t="s">
        <v>237</v>
      </c>
      <c r="C25" s="192">
        <f>MEDIAN(C10:C23)</f>
        <v>13.675000000000001</v>
      </c>
      <c r="D25" s="192">
        <f>MEDIAN(D10:D23)</f>
        <v>50.889999999999993</v>
      </c>
      <c r="E25" s="192">
        <f>MEDIAN(E10:E23)</f>
        <v>22.925000000000001</v>
      </c>
      <c r="F25" s="192">
        <f>MEDIAN(F10:F23)</f>
        <v>11.445</v>
      </c>
      <c r="G25" s="193">
        <f>MEDIAN(G10:G23)</f>
        <v>16.215</v>
      </c>
    </row>
    <row r="26" spans="2:13" ht="15.75" customHeight="1" x14ac:dyDescent="0.3"/>
    <row r="27" spans="2:13" ht="15.75" customHeight="1" x14ac:dyDescent="0.3">
      <c r="B27" s="194"/>
      <c r="C27" s="194"/>
      <c r="D27" s="194"/>
      <c r="E27" s="194"/>
      <c r="F27" s="194"/>
      <c r="G27" s="194"/>
    </row>
    <row r="28" spans="2:13" ht="13.5" customHeight="1" x14ac:dyDescent="0.3">
      <c r="B28" s="195"/>
      <c r="C28" s="195"/>
      <c r="D28" s="195"/>
      <c r="E28" s="195"/>
      <c r="F28" s="195"/>
      <c r="G28" s="195"/>
    </row>
    <row r="29" spans="2:13" ht="19.5" customHeight="1" x14ac:dyDescent="0.3">
      <c r="H29" s="194"/>
      <c r="I29" s="194"/>
      <c r="J29" s="194"/>
      <c r="K29" s="194"/>
      <c r="L29" s="194"/>
    </row>
    <row r="30" spans="2:13" ht="13.5" customHeight="1" x14ac:dyDescent="0.3">
      <c r="H30" s="195"/>
      <c r="I30" s="195"/>
      <c r="J30" s="195"/>
      <c r="K30" s="195"/>
      <c r="L30" s="195"/>
    </row>
  </sheetData>
  <mergeCells count="7">
    <mergeCell ref="C6:L6"/>
    <mergeCell ref="C7:L7"/>
    <mergeCell ref="B1:L1"/>
    <mergeCell ref="C2:L2"/>
    <mergeCell ref="C3:L3"/>
    <mergeCell ref="C4:L4"/>
    <mergeCell ref="C5:L5"/>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B1:P52"/>
  <sheetViews>
    <sheetView showGridLines="0" zoomScale="60" zoomScaleNormal="84" workbookViewId="0">
      <selection activeCell="F32" sqref="F32"/>
    </sheetView>
  </sheetViews>
  <sheetFormatPr defaultColWidth="8.6328125" defaultRowHeight="14" x14ac:dyDescent="0.3"/>
  <cols>
    <col min="1" max="1" width="2" style="47" customWidth="1"/>
    <col min="2" max="2" width="45.54296875" style="47" customWidth="1"/>
    <col min="3" max="3" width="10.81640625" style="47" bestFit="1" customWidth="1"/>
    <col min="4" max="4" width="19" style="47" bestFit="1" customWidth="1"/>
    <col min="5" max="5" width="19.81640625" style="47" bestFit="1" customWidth="1"/>
    <col min="6" max="6" width="11.36328125" style="47" bestFit="1" customWidth="1"/>
    <col min="7" max="7" width="5.7265625" style="47" bestFit="1" customWidth="1"/>
    <col min="8" max="8" width="13.6328125" style="47" bestFit="1" customWidth="1"/>
    <col min="9" max="9" width="5.08984375" style="47" bestFit="1" customWidth="1"/>
    <col min="10" max="10" width="12.453125" style="47" bestFit="1" customWidth="1"/>
    <col min="11" max="11" width="9.81640625" style="47" bestFit="1" customWidth="1"/>
    <col min="12" max="12" width="7.1796875" style="47" bestFit="1" customWidth="1"/>
    <col min="13" max="13" width="6.1796875" style="47" bestFit="1" customWidth="1"/>
    <col min="14" max="14" width="5.81640625" style="47" bestFit="1" customWidth="1"/>
    <col min="15" max="15" width="8.36328125" style="47" bestFit="1" customWidth="1"/>
    <col min="16" max="16" width="10.453125" style="47" bestFit="1" customWidth="1"/>
    <col min="17" max="16384" width="8.6328125" style="47"/>
  </cols>
  <sheetData>
    <row r="1" spans="2:16" ht="18" x14ac:dyDescent="0.3">
      <c r="B1" s="272" t="s">
        <v>321</v>
      </c>
      <c r="C1" s="272"/>
      <c r="D1" s="272"/>
      <c r="E1" s="272"/>
      <c r="F1" s="272"/>
      <c r="G1" s="272"/>
      <c r="H1" s="272"/>
      <c r="I1" s="272"/>
      <c r="J1" s="272"/>
      <c r="K1" s="272"/>
      <c r="L1" s="272"/>
      <c r="M1" s="272"/>
      <c r="N1" s="272"/>
      <c r="O1" s="272"/>
      <c r="P1" s="272"/>
    </row>
    <row r="3" spans="2:16" s="229" customFormat="1" ht="46.5" x14ac:dyDescent="0.35">
      <c r="B3" s="207" t="s">
        <v>238</v>
      </c>
      <c r="C3" s="201" t="s">
        <v>322</v>
      </c>
      <c r="D3" s="201" t="s">
        <v>323</v>
      </c>
      <c r="E3" s="201" t="s">
        <v>324</v>
      </c>
      <c r="F3" s="201" t="s">
        <v>325</v>
      </c>
      <c r="G3" s="201" t="s">
        <v>326</v>
      </c>
      <c r="H3" s="201" t="s">
        <v>327</v>
      </c>
      <c r="I3" s="201" t="s">
        <v>328</v>
      </c>
      <c r="J3" s="201" t="s">
        <v>329</v>
      </c>
      <c r="K3" s="201" t="s">
        <v>330</v>
      </c>
      <c r="L3" s="201" t="s">
        <v>331</v>
      </c>
      <c r="M3" s="201" t="s">
        <v>332</v>
      </c>
      <c r="N3" s="201" t="s">
        <v>333</v>
      </c>
      <c r="O3" s="201" t="s">
        <v>239</v>
      </c>
      <c r="P3" s="201" t="s">
        <v>240</v>
      </c>
    </row>
    <row r="4" spans="2:16" x14ac:dyDescent="0.3">
      <c r="B4" s="208" t="s">
        <v>202</v>
      </c>
      <c r="C4" s="202">
        <f>D4*O4</f>
        <v>122445</v>
      </c>
      <c r="D4" s="203">
        <v>135</v>
      </c>
      <c r="E4" s="203">
        <f>('Consolidated FS'!P4+'Consolidated FS'!P6)/O4</f>
        <v>129.77398015435503</v>
      </c>
      <c r="F4" s="203">
        <f>'Consolidated FS'!G16/O4</f>
        <v>20.894410143329658</v>
      </c>
      <c r="G4" s="204">
        <f>'Equity Schedule '!G9*100</f>
        <v>15.897232530169752</v>
      </c>
      <c r="H4" s="204">
        <f>'Consolidated FS'!G16/'Consolidated FS'!P21*100</f>
        <v>1.0041317738068429</v>
      </c>
      <c r="I4" s="204">
        <f>'Assumptions '!G7*100</f>
        <v>2.1710246130092332</v>
      </c>
      <c r="J4" s="204">
        <v>4.2300000000000004</v>
      </c>
      <c r="K4" s="204">
        <v>1.27</v>
      </c>
      <c r="L4" s="204">
        <v>33.5</v>
      </c>
      <c r="M4" s="205">
        <f>D4/F4</f>
        <v>6.4610582004439818</v>
      </c>
      <c r="N4" s="205">
        <f>D4/E4</f>
        <v>1.0402701669427805</v>
      </c>
      <c r="O4" s="206">
        <f>'Consolidated FS'!P4/2</f>
        <v>907</v>
      </c>
      <c r="P4" s="204">
        <v>1.75</v>
      </c>
    </row>
    <row r="5" spans="2:16" x14ac:dyDescent="0.3">
      <c r="B5" s="209" t="s">
        <v>213</v>
      </c>
      <c r="C5" s="196">
        <v>960492</v>
      </c>
      <c r="D5" s="197">
        <v>1041</v>
      </c>
      <c r="E5" s="197">
        <v>645.5</v>
      </c>
      <c r="F5" s="197">
        <v>90.24</v>
      </c>
      <c r="G5" s="198">
        <v>15.4</v>
      </c>
      <c r="H5" s="198">
        <v>1.1000000000000001</v>
      </c>
      <c r="I5" s="198">
        <v>3.28</v>
      </c>
      <c r="J5" s="198">
        <v>2</v>
      </c>
      <c r="K5" s="198">
        <v>0.53</v>
      </c>
      <c r="L5" s="198">
        <v>41.2</v>
      </c>
      <c r="M5" s="199">
        <v>11.54</v>
      </c>
      <c r="N5" s="199">
        <v>1.61</v>
      </c>
      <c r="O5" s="200">
        <v>923</v>
      </c>
      <c r="P5" s="198">
        <v>1.68</v>
      </c>
    </row>
    <row r="6" spans="2:16" x14ac:dyDescent="0.3">
      <c r="B6" s="209" t="s">
        <v>206</v>
      </c>
      <c r="C6" s="196">
        <v>146608</v>
      </c>
      <c r="D6" s="197">
        <v>284</v>
      </c>
      <c r="E6" s="197">
        <v>321</v>
      </c>
      <c r="F6" s="197">
        <v>38.380000000000003</v>
      </c>
      <c r="G6" s="198">
        <v>12.7</v>
      </c>
      <c r="H6" s="198">
        <v>1.05</v>
      </c>
      <c r="I6" s="198">
        <v>3.1</v>
      </c>
      <c r="J6" s="198">
        <v>2.92</v>
      </c>
      <c r="K6" s="198">
        <v>0.68</v>
      </c>
      <c r="L6" s="198">
        <v>38.799999999999997</v>
      </c>
      <c r="M6" s="199">
        <v>7.47</v>
      </c>
      <c r="N6" s="199">
        <v>0.88</v>
      </c>
      <c r="O6" s="200">
        <v>517</v>
      </c>
      <c r="P6" s="198">
        <v>3.06</v>
      </c>
    </row>
    <row r="7" spans="2:16" x14ac:dyDescent="0.3">
      <c r="B7" s="209" t="s">
        <v>241</v>
      </c>
      <c r="C7" s="196">
        <v>126020</v>
      </c>
      <c r="D7" s="197">
        <v>110</v>
      </c>
      <c r="E7" s="197">
        <v>130</v>
      </c>
      <c r="F7" s="197">
        <v>16</v>
      </c>
      <c r="G7" s="198">
        <v>13</v>
      </c>
      <c r="H7" s="198">
        <v>0.9</v>
      </c>
      <c r="I7" s="198">
        <v>3.15</v>
      </c>
      <c r="J7" s="198">
        <v>4</v>
      </c>
      <c r="K7" s="198">
        <v>0.4</v>
      </c>
      <c r="L7" s="198">
        <v>43</v>
      </c>
      <c r="M7" s="199">
        <v>6.89</v>
      </c>
      <c r="N7" s="199">
        <v>0.85</v>
      </c>
      <c r="O7" s="200">
        <v>1149</v>
      </c>
      <c r="P7" s="198">
        <v>2.74</v>
      </c>
    </row>
    <row r="8" spans="2:16" x14ac:dyDescent="0.3">
      <c r="B8" s="209" t="s">
        <v>215</v>
      </c>
      <c r="C8" s="196">
        <v>134848</v>
      </c>
      <c r="D8" s="197">
        <v>177</v>
      </c>
      <c r="E8" s="197">
        <v>175</v>
      </c>
      <c r="F8" s="197">
        <v>25.45</v>
      </c>
      <c r="G8" s="198">
        <v>15.7</v>
      </c>
      <c r="H8" s="198">
        <v>0.95</v>
      </c>
      <c r="I8" s="198">
        <v>3.05</v>
      </c>
      <c r="J8" s="198">
        <v>4.76</v>
      </c>
      <c r="K8" s="198">
        <v>1.02</v>
      </c>
      <c r="L8" s="198">
        <v>36</v>
      </c>
      <c r="M8" s="199">
        <v>6.98</v>
      </c>
      <c r="N8" s="199">
        <v>1.01</v>
      </c>
      <c r="O8" s="200">
        <v>763</v>
      </c>
      <c r="P8" s="198">
        <v>2.82</v>
      </c>
    </row>
    <row r="9" spans="2:16" x14ac:dyDescent="0.3">
      <c r="B9" s="209" t="s">
        <v>242</v>
      </c>
      <c r="C9" s="196">
        <v>66000</v>
      </c>
      <c r="D9" s="197">
        <v>592</v>
      </c>
      <c r="E9" s="197">
        <v>530</v>
      </c>
      <c r="F9" s="197">
        <v>74</v>
      </c>
      <c r="G9" s="198">
        <v>15.8</v>
      </c>
      <c r="H9" s="198">
        <v>1.1200000000000001</v>
      </c>
      <c r="I9" s="198">
        <v>3.35</v>
      </c>
      <c r="J9" s="198">
        <v>3.73</v>
      </c>
      <c r="K9" s="198">
        <v>0.4</v>
      </c>
      <c r="L9" s="198">
        <v>40.5</v>
      </c>
      <c r="M9" s="199">
        <v>8</v>
      </c>
      <c r="N9" s="199">
        <v>1.1200000000000001</v>
      </c>
      <c r="O9" s="200">
        <v>111.5</v>
      </c>
      <c r="P9" s="198">
        <v>2.5</v>
      </c>
    </row>
    <row r="10" spans="2:16" x14ac:dyDescent="0.3">
      <c r="B10" s="274"/>
      <c r="C10" s="275"/>
      <c r="D10" s="275"/>
      <c r="E10" s="275"/>
      <c r="F10" s="275"/>
      <c r="G10" s="275"/>
      <c r="H10" s="275"/>
      <c r="I10" s="275"/>
      <c r="J10" s="275"/>
      <c r="K10" s="275"/>
      <c r="L10" s="275"/>
      <c r="M10" s="275"/>
      <c r="N10" s="275"/>
      <c r="O10" s="275"/>
      <c r="P10" s="276"/>
    </row>
    <row r="11" spans="2:16" x14ac:dyDescent="0.3">
      <c r="B11" s="230" t="s">
        <v>236</v>
      </c>
      <c r="C11" s="231">
        <f t="shared" ref="C11:P11" si="0">AVERAGE(C5:C9)</f>
        <v>286793.59999999998</v>
      </c>
      <c r="D11" s="232">
        <f t="shared" si="0"/>
        <v>440.8</v>
      </c>
      <c r="E11" s="232">
        <f t="shared" si="0"/>
        <v>360.3</v>
      </c>
      <c r="F11" s="232">
        <f t="shared" si="0"/>
        <v>48.814</v>
      </c>
      <c r="G11" s="233">
        <f t="shared" si="0"/>
        <v>14.52</v>
      </c>
      <c r="H11" s="233">
        <f t="shared" si="0"/>
        <v>1.024</v>
      </c>
      <c r="I11" s="233">
        <f t="shared" si="0"/>
        <v>3.1859999999999995</v>
      </c>
      <c r="J11" s="233">
        <f t="shared" si="0"/>
        <v>3.4820000000000002</v>
      </c>
      <c r="K11" s="233">
        <f t="shared" si="0"/>
        <v>0.60599999999999998</v>
      </c>
      <c r="L11" s="233">
        <f t="shared" si="0"/>
        <v>39.9</v>
      </c>
      <c r="M11" s="234">
        <f t="shared" si="0"/>
        <v>8.1759999999999984</v>
      </c>
      <c r="N11" s="234">
        <f t="shared" si="0"/>
        <v>1.0940000000000001</v>
      </c>
      <c r="O11" s="235">
        <f t="shared" si="0"/>
        <v>692.7</v>
      </c>
      <c r="P11" s="233">
        <f t="shared" si="0"/>
        <v>2.56</v>
      </c>
    </row>
    <row r="12" spans="2:16" x14ac:dyDescent="0.3">
      <c r="B12" s="236" t="s">
        <v>237</v>
      </c>
      <c r="C12" s="237">
        <f t="shared" ref="C12:P12" si="1">MEDIAN(C5:C9)</f>
        <v>134848</v>
      </c>
      <c r="D12" s="238">
        <f t="shared" si="1"/>
        <v>284</v>
      </c>
      <c r="E12" s="238">
        <f t="shared" si="1"/>
        <v>321</v>
      </c>
      <c r="F12" s="238">
        <f t="shared" si="1"/>
        <v>38.380000000000003</v>
      </c>
      <c r="G12" s="239">
        <f t="shared" si="1"/>
        <v>15.4</v>
      </c>
      <c r="H12" s="239">
        <f t="shared" si="1"/>
        <v>1.05</v>
      </c>
      <c r="I12" s="239">
        <f t="shared" si="1"/>
        <v>3.15</v>
      </c>
      <c r="J12" s="239">
        <f t="shared" si="1"/>
        <v>3.73</v>
      </c>
      <c r="K12" s="239">
        <f t="shared" si="1"/>
        <v>0.53</v>
      </c>
      <c r="L12" s="239">
        <f t="shared" si="1"/>
        <v>40.5</v>
      </c>
      <c r="M12" s="240">
        <f t="shared" si="1"/>
        <v>7.47</v>
      </c>
      <c r="N12" s="240">
        <f t="shared" si="1"/>
        <v>1.01</v>
      </c>
      <c r="O12" s="241">
        <f t="shared" si="1"/>
        <v>763</v>
      </c>
      <c r="P12" s="239">
        <f t="shared" si="1"/>
        <v>2.74</v>
      </c>
    </row>
    <row r="13" spans="2:16" x14ac:dyDescent="0.3">
      <c r="B13" s="230" t="s">
        <v>243</v>
      </c>
      <c r="C13" s="231">
        <f t="shared" ref="C13:P13" si="2">MAX(C5:C9)</f>
        <v>960492</v>
      </c>
      <c r="D13" s="232">
        <f t="shared" si="2"/>
        <v>1041</v>
      </c>
      <c r="E13" s="232">
        <f t="shared" si="2"/>
        <v>645.5</v>
      </c>
      <c r="F13" s="232">
        <f t="shared" si="2"/>
        <v>90.24</v>
      </c>
      <c r="G13" s="233">
        <f t="shared" si="2"/>
        <v>15.8</v>
      </c>
      <c r="H13" s="233">
        <f t="shared" si="2"/>
        <v>1.1200000000000001</v>
      </c>
      <c r="I13" s="233">
        <f t="shared" si="2"/>
        <v>3.35</v>
      </c>
      <c r="J13" s="233">
        <f t="shared" si="2"/>
        <v>4.76</v>
      </c>
      <c r="K13" s="233">
        <f t="shared" si="2"/>
        <v>1.02</v>
      </c>
      <c r="L13" s="233">
        <f t="shared" si="2"/>
        <v>43</v>
      </c>
      <c r="M13" s="234">
        <f t="shared" si="2"/>
        <v>11.54</v>
      </c>
      <c r="N13" s="234">
        <f t="shared" si="2"/>
        <v>1.61</v>
      </c>
      <c r="O13" s="235">
        <f t="shared" si="2"/>
        <v>1149</v>
      </c>
      <c r="P13" s="233">
        <f t="shared" si="2"/>
        <v>3.06</v>
      </c>
    </row>
    <row r="14" spans="2:16" x14ac:dyDescent="0.3">
      <c r="B14" s="230" t="s">
        <v>244</v>
      </c>
      <c r="C14" s="231">
        <f t="shared" ref="C14:P14" si="3">MIN(C5:C9)</f>
        <v>66000</v>
      </c>
      <c r="D14" s="232">
        <f t="shared" si="3"/>
        <v>110</v>
      </c>
      <c r="E14" s="232">
        <f t="shared" si="3"/>
        <v>130</v>
      </c>
      <c r="F14" s="232">
        <f t="shared" si="3"/>
        <v>16</v>
      </c>
      <c r="G14" s="233">
        <f t="shared" si="3"/>
        <v>12.7</v>
      </c>
      <c r="H14" s="233">
        <f t="shared" si="3"/>
        <v>0.9</v>
      </c>
      <c r="I14" s="233">
        <f t="shared" si="3"/>
        <v>3.05</v>
      </c>
      <c r="J14" s="233">
        <f t="shared" si="3"/>
        <v>2</v>
      </c>
      <c r="K14" s="233">
        <f t="shared" si="3"/>
        <v>0.4</v>
      </c>
      <c r="L14" s="233">
        <f t="shared" si="3"/>
        <v>36</v>
      </c>
      <c r="M14" s="234">
        <f t="shared" si="3"/>
        <v>6.89</v>
      </c>
      <c r="N14" s="234">
        <f t="shared" si="3"/>
        <v>0.85</v>
      </c>
      <c r="O14" s="235">
        <f t="shared" si="3"/>
        <v>111.5</v>
      </c>
      <c r="P14" s="233">
        <f t="shared" si="3"/>
        <v>1.68</v>
      </c>
    </row>
    <row r="15" spans="2:16" x14ac:dyDescent="0.3">
      <c r="B15" s="242" t="s">
        <v>245</v>
      </c>
      <c r="C15" s="243">
        <f t="shared" ref="C15:P15" si="4">STDEV(C5:C9)</f>
        <v>377891.1768708023</v>
      </c>
      <c r="D15" s="244">
        <f t="shared" si="4"/>
        <v>382.98394222212505</v>
      </c>
      <c r="E15" s="244">
        <f t="shared" si="4"/>
        <v>223.07834946493577</v>
      </c>
      <c r="F15" s="244">
        <f t="shared" si="4"/>
        <v>31.945075989892395</v>
      </c>
      <c r="G15" s="245">
        <f t="shared" si="4"/>
        <v>1.5352524222420236</v>
      </c>
      <c r="H15" s="245">
        <f t="shared" si="4"/>
        <v>9.5551033484730083E-2</v>
      </c>
      <c r="I15" s="245">
        <f t="shared" si="4"/>
        <v>0.12541929676090521</v>
      </c>
      <c r="J15" s="245">
        <f t="shared" si="4"/>
        <v>1.0577428799098594</v>
      </c>
      <c r="K15" s="245">
        <f t="shared" si="4"/>
        <v>0.25861167800391399</v>
      </c>
      <c r="L15" s="245">
        <f t="shared" si="4"/>
        <v>2.6495282598983549</v>
      </c>
      <c r="M15" s="246">
        <f t="shared" si="4"/>
        <v>1.9319756727246882</v>
      </c>
      <c r="N15" s="246">
        <f t="shared" si="4"/>
        <v>0.30794480024835613</v>
      </c>
      <c r="O15" s="247">
        <f t="shared" si="4"/>
        <v>398.38856660300877</v>
      </c>
      <c r="P15" s="245">
        <f t="shared" si="4"/>
        <v>0.53103672189406848</v>
      </c>
    </row>
    <row r="16" spans="2:16" x14ac:dyDescent="0.3">
      <c r="B16" s="273"/>
      <c r="C16" s="273"/>
      <c r="D16" s="273"/>
      <c r="E16" s="273"/>
      <c r="F16" s="273"/>
      <c r="G16" s="273"/>
      <c r="H16" s="273"/>
      <c r="I16" s="273"/>
      <c r="J16" s="273"/>
      <c r="K16" s="273"/>
      <c r="L16" s="273"/>
      <c r="M16" s="273"/>
      <c r="N16" s="273"/>
      <c r="O16" s="273"/>
      <c r="P16" s="273"/>
    </row>
    <row r="18" spans="2:16" ht="23" customHeight="1" x14ac:dyDescent="0.3">
      <c r="B18" s="277" t="s">
        <v>334</v>
      </c>
      <c r="C18" s="278"/>
      <c r="D18" s="211"/>
      <c r="E18" s="211"/>
      <c r="F18" s="211"/>
      <c r="G18" s="211"/>
      <c r="H18" s="211"/>
      <c r="I18" s="211"/>
      <c r="J18" s="211"/>
      <c r="K18" s="211"/>
      <c r="L18" s="211"/>
      <c r="M18" s="211"/>
      <c r="N18" s="211"/>
      <c r="O18" s="211"/>
      <c r="P18" s="211"/>
    </row>
    <row r="19" spans="2:16" x14ac:dyDescent="0.3">
      <c r="B19" s="212" t="s">
        <v>2</v>
      </c>
      <c r="C19" s="213" t="s">
        <v>14</v>
      </c>
      <c r="D19" s="279"/>
      <c r="E19" s="279"/>
      <c r="F19" s="279"/>
      <c r="G19" s="279"/>
      <c r="H19" s="279"/>
      <c r="I19" s="279"/>
      <c r="J19" s="279"/>
      <c r="K19" s="279"/>
      <c r="L19" s="279"/>
      <c r="M19" s="279"/>
      <c r="N19" s="279"/>
      <c r="O19" s="279"/>
      <c r="P19" s="279"/>
    </row>
    <row r="20" spans="2:16" x14ac:dyDescent="0.3">
      <c r="B20" s="214" t="s">
        <v>338</v>
      </c>
      <c r="C20" s="215">
        <f>E4</f>
        <v>129.77398015435503</v>
      </c>
      <c r="D20" s="280"/>
      <c r="E20" s="280"/>
      <c r="F20" s="280"/>
      <c r="G20" s="280"/>
      <c r="H20" s="280"/>
      <c r="I20" s="280"/>
      <c r="J20" s="280"/>
      <c r="K20" s="280"/>
      <c r="L20" s="280"/>
      <c r="M20" s="280"/>
      <c r="N20" s="280"/>
      <c r="O20" s="280"/>
      <c r="P20" s="280"/>
    </row>
    <row r="21" spans="2:16" x14ac:dyDescent="0.3">
      <c r="B21" s="209" t="s">
        <v>335</v>
      </c>
      <c r="C21" s="218">
        <f>AVERAGE(N5:N9)</f>
        <v>1.0940000000000001</v>
      </c>
      <c r="D21" s="280"/>
      <c r="E21" s="280"/>
      <c r="F21" s="280"/>
      <c r="G21" s="280"/>
      <c r="H21" s="280"/>
      <c r="I21" s="280"/>
      <c r="J21" s="280"/>
      <c r="K21" s="280"/>
      <c r="L21" s="280"/>
      <c r="M21" s="280"/>
      <c r="N21" s="280"/>
      <c r="O21" s="280"/>
      <c r="P21" s="280"/>
    </row>
    <row r="22" spans="2:16" x14ac:dyDescent="0.3">
      <c r="B22" s="209" t="s">
        <v>336</v>
      </c>
      <c r="C22" s="218">
        <f>MEDIAN(N5:N9)</f>
        <v>1.01</v>
      </c>
      <c r="D22" s="280"/>
      <c r="E22" s="280"/>
      <c r="F22" s="280"/>
      <c r="G22" s="280"/>
      <c r="H22" s="280"/>
      <c r="I22" s="280"/>
      <c r="J22" s="280"/>
      <c r="K22" s="280"/>
      <c r="L22" s="280"/>
      <c r="M22" s="280"/>
      <c r="N22" s="280"/>
      <c r="O22" s="280"/>
      <c r="P22" s="280"/>
    </row>
    <row r="23" spans="2:16" x14ac:dyDescent="0.3">
      <c r="B23" s="209" t="s">
        <v>337</v>
      </c>
      <c r="C23" s="218">
        <f>MAX(N5:N9)</f>
        <v>1.61</v>
      </c>
      <c r="D23" s="281"/>
      <c r="E23" s="281"/>
      <c r="F23" s="281"/>
      <c r="G23" s="281"/>
      <c r="H23" s="281"/>
      <c r="I23" s="281"/>
      <c r="J23" s="281"/>
      <c r="K23" s="281"/>
      <c r="L23" s="281"/>
      <c r="M23" s="281"/>
      <c r="N23" s="281"/>
      <c r="O23" s="281"/>
      <c r="P23" s="281"/>
    </row>
    <row r="24" spans="2:16" x14ac:dyDescent="0.3">
      <c r="B24" s="209" t="s">
        <v>339</v>
      </c>
      <c r="C24" s="218">
        <f>MIN(N5:N9)</f>
        <v>0.85</v>
      </c>
      <c r="D24" s="281"/>
      <c r="E24" s="281"/>
      <c r="F24" s="281"/>
      <c r="G24" s="281"/>
      <c r="H24" s="281"/>
      <c r="I24" s="281"/>
      <c r="J24" s="281"/>
      <c r="K24" s="281"/>
      <c r="L24" s="281"/>
      <c r="M24" s="281"/>
      <c r="N24" s="281"/>
      <c r="O24" s="281"/>
      <c r="P24" s="281"/>
    </row>
    <row r="25" spans="2:16" x14ac:dyDescent="0.3">
      <c r="B25" s="209" t="s">
        <v>340</v>
      </c>
      <c r="C25" s="218">
        <f>STDEV(N5:N9)</f>
        <v>0.30794480024835613</v>
      </c>
      <c r="D25" s="281"/>
      <c r="E25" s="281"/>
      <c r="F25" s="281"/>
      <c r="G25" s="281"/>
      <c r="H25" s="281"/>
      <c r="I25" s="281"/>
      <c r="J25" s="281"/>
      <c r="K25" s="281"/>
      <c r="L25" s="281"/>
      <c r="M25" s="281"/>
      <c r="N25" s="281"/>
      <c r="O25" s="281"/>
      <c r="P25" s="281"/>
    </row>
    <row r="26" spans="2:16" x14ac:dyDescent="0.3">
      <c r="B26" s="209" t="s">
        <v>341</v>
      </c>
      <c r="C26" s="218">
        <f>E4*C21</f>
        <v>141.97273428886442</v>
      </c>
      <c r="D26" s="280"/>
      <c r="E26" s="280"/>
      <c r="F26" s="280"/>
      <c r="G26" s="280"/>
      <c r="H26" s="280"/>
      <c r="I26" s="280"/>
      <c r="J26" s="280"/>
      <c r="K26" s="280"/>
      <c r="L26" s="280"/>
      <c r="M26" s="280"/>
      <c r="N26" s="280"/>
      <c r="O26" s="280"/>
      <c r="P26" s="280"/>
    </row>
    <row r="27" spans="2:16" x14ac:dyDescent="0.3">
      <c r="B27" s="216" t="s">
        <v>342</v>
      </c>
      <c r="C27" s="217">
        <f>E4*C22</f>
        <v>131.07171995589857</v>
      </c>
      <c r="D27" s="280"/>
      <c r="E27" s="280"/>
      <c r="F27" s="280"/>
      <c r="G27" s="280"/>
      <c r="H27" s="280"/>
      <c r="I27" s="280"/>
      <c r="J27" s="280"/>
      <c r="K27" s="280"/>
      <c r="L27" s="280"/>
      <c r="M27" s="280"/>
      <c r="N27" s="280"/>
      <c r="O27" s="280"/>
      <c r="P27" s="280"/>
    </row>
    <row r="28" spans="2:16" x14ac:dyDescent="0.3">
      <c r="B28" s="214" t="s">
        <v>343</v>
      </c>
      <c r="C28" s="215">
        <f>E4*C23</f>
        <v>208.93610804851161</v>
      </c>
      <c r="D28" s="280"/>
      <c r="E28" s="280"/>
      <c r="F28" s="280"/>
      <c r="G28" s="280"/>
      <c r="H28" s="280"/>
      <c r="I28" s="280"/>
      <c r="J28" s="280"/>
      <c r="K28" s="280"/>
      <c r="L28" s="280"/>
      <c r="M28" s="280"/>
      <c r="N28" s="280"/>
      <c r="O28" s="280"/>
      <c r="P28" s="280"/>
    </row>
    <row r="29" spans="2:16" x14ac:dyDescent="0.3">
      <c r="B29" s="210" t="s">
        <v>344</v>
      </c>
      <c r="C29" s="248">
        <f>E4*C24</f>
        <v>110.30788313120178</v>
      </c>
      <c r="D29" s="280"/>
      <c r="E29" s="280"/>
      <c r="F29" s="280"/>
      <c r="G29" s="280"/>
      <c r="H29" s="280"/>
      <c r="I29" s="280"/>
      <c r="J29" s="280"/>
      <c r="K29" s="280"/>
      <c r="L29" s="280"/>
      <c r="M29" s="280"/>
      <c r="N29" s="280"/>
      <c r="O29" s="280"/>
      <c r="P29" s="280"/>
    </row>
    <row r="30" spans="2:16" x14ac:dyDescent="0.3">
      <c r="B30" s="221" t="s">
        <v>246</v>
      </c>
      <c r="C30" s="249">
        <f>C27</f>
        <v>131.07171995589857</v>
      </c>
      <c r="D30" s="280"/>
      <c r="E30" s="280"/>
      <c r="F30" s="280"/>
      <c r="G30" s="280"/>
      <c r="H30" s="280"/>
      <c r="I30" s="280"/>
      <c r="J30" s="280"/>
      <c r="K30" s="280"/>
      <c r="L30" s="280"/>
      <c r="M30" s="280"/>
      <c r="N30" s="280"/>
      <c r="O30" s="280"/>
      <c r="P30" s="280"/>
    </row>
    <row r="32" spans="2:16" ht="19" customHeight="1" x14ac:dyDescent="0.3">
      <c r="B32" s="219" t="s">
        <v>345</v>
      </c>
      <c r="C32" s="219"/>
      <c r="D32" s="250"/>
      <c r="E32" s="250"/>
      <c r="F32" s="250"/>
      <c r="G32" s="250"/>
      <c r="H32" s="250"/>
      <c r="I32" s="250"/>
      <c r="J32" s="250"/>
      <c r="K32" s="250"/>
      <c r="L32" s="250"/>
      <c r="M32" s="250"/>
      <c r="N32" s="250"/>
      <c r="O32" s="250"/>
      <c r="P32" s="250"/>
    </row>
    <row r="33" spans="2:16" x14ac:dyDescent="0.3">
      <c r="B33" s="209" t="s">
        <v>247</v>
      </c>
      <c r="C33" s="218">
        <f>F4</f>
        <v>20.894410143329658</v>
      </c>
      <c r="D33" s="280"/>
      <c r="E33" s="280"/>
      <c r="F33" s="280"/>
      <c r="G33" s="280"/>
      <c r="H33" s="280"/>
      <c r="I33" s="280"/>
      <c r="J33" s="280"/>
      <c r="K33" s="280"/>
      <c r="L33" s="280"/>
      <c r="M33" s="280"/>
      <c r="N33" s="280"/>
      <c r="O33" s="280"/>
      <c r="P33" s="280"/>
    </row>
    <row r="34" spans="2:16" x14ac:dyDescent="0.3">
      <c r="B34" s="209" t="s">
        <v>248</v>
      </c>
      <c r="C34" s="218">
        <f>AVERAGE(M5:M9)</f>
        <v>8.1759999999999984</v>
      </c>
      <c r="D34" s="281"/>
      <c r="E34" s="281"/>
      <c r="F34" s="281"/>
      <c r="G34" s="281"/>
      <c r="H34" s="281"/>
      <c r="I34" s="281"/>
      <c r="J34" s="281"/>
      <c r="K34" s="281"/>
      <c r="L34" s="281"/>
      <c r="M34" s="281"/>
      <c r="N34" s="281"/>
      <c r="O34" s="281"/>
      <c r="P34" s="281"/>
    </row>
    <row r="35" spans="2:16" x14ac:dyDescent="0.3">
      <c r="B35" s="209" t="s">
        <v>249</v>
      </c>
      <c r="C35" s="218">
        <f>MEDIAN(M5:M9)</f>
        <v>7.47</v>
      </c>
      <c r="D35" s="280"/>
      <c r="E35" s="280"/>
      <c r="F35" s="280"/>
      <c r="G35" s="280"/>
      <c r="H35" s="280"/>
      <c r="I35" s="280"/>
      <c r="J35" s="280"/>
      <c r="K35" s="280"/>
      <c r="L35" s="280"/>
      <c r="M35" s="280"/>
      <c r="N35" s="280"/>
      <c r="O35" s="280"/>
      <c r="P35" s="280"/>
    </row>
    <row r="36" spans="2:16" x14ac:dyDescent="0.3">
      <c r="B36" s="209" t="s">
        <v>250</v>
      </c>
      <c r="C36" s="218">
        <f>MAX(M5:M9)</f>
        <v>11.54</v>
      </c>
      <c r="D36" s="281"/>
      <c r="E36" s="281"/>
      <c r="F36" s="281"/>
      <c r="G36" s="281"/>
      <c r="H36" s="281"/>
      <c r="I36" s="281"/>
      <c r="J36" s="281"/>
      <c r="K36" s="281"/>
      <c r="L36" s="281"/>
      <c r="M36" s="281"/>
      <c r="N36" s="281"/>
      <c r="O36" s="281"/>
      <c r="P36" s="281"/>
    </row>
    <row r="37" spans="2:16" x14ac:dyDescent="0.3">
      <c r="B37" s="209" t="s">
        <v>251</v>
      </c>
      <c r="C37" s="218">
        <f>MIN(M5:M9)</f>
        <v>6.89</v>
      </c>
      <c r="D37" s="281"/>
      <c r="E37" s="281"/>
      <c r="F37" s="281"/>
      <c r="G37" s="281"/>
      <c r="H37" s="281"/>
      <c r="I37" s="281"/>
      <c r="J37" s="281"/>
      <c r="K37" s="281"/>
      <c r="L37" s="281"/>
      <c r="M37" s="281"/>
      <c r="N37" s="281"/>
      <c r="O37" s="281"/>
      <c r="P37" s="281"/>
    </row>
    <row r="38" spans="2:16" x14ac:dyDescent="0.3">
      <c r="B38" s="209" t="s">
        <v>252</v>
      </c>
      <c r="C38" s="218">
        <f>STDEV(M5:M9)</f>
        <v>1.9319756727246882</v>
      </c>
      <c r="D38" s="281"/>
      <c r="E38" s="281"/>
      <c r="F38" s="281"/>
      <c r="G38" s="281"/>
      <c r="H38" s="281"/>
      <c r="I38" s="281"/>
      <c r="J38" s="281"/>
      <c r="K38" s="281"/>
      <c r="L38" s="281"/>
      <c r="M38" s="281"/>
      <c r="N38" s="281"/>
      <c r="O38" s="281"/>
      <c r="P38" s="281"/>
    </row>
    <row r="39" spans="2:16" x14ac:dyDescent="0.3">
      <c r="B39" s="209" t="s">
        <v>347</v>
      </c>
      <c r="C39" s="218">
        <f>F4*C34</f>
        <v>170.83269733186324</v>
      </c>
      <c r="D39" s="280"/>
      <c r="E39" s="280"/>
      <c r="F39" s="280"/>
      <c r="G39" s="280"/>
      <c r="H39" s="280"/>
      <c r="I39" s="280"/>
      <c r="J39" s="280"/>
      <c r="K39" s="280"/>
      <c r="L39" s="280"/>
      <c r="M39" s="280"/>
      <c r="N39" s="280"/>
      <c r="O39" s="280"/>
      <c r="P39" s="280"/>
    </row>
    <row r="40" spans="2:16" x14ac:dyDescent="0.3">
      <c r="B40" s="222" t="s">
        <v>348</v>
      </c>
      <c r="C40" s="223">
        <f>F4*C35</f>
        <v>156.08124377067253</v>
      </c>
      <c r="D40" s="280"/>
      <c r="E40" s="280"/>
      <c r="F40" s="280"/>
      <c r="G40" s="280"/>
      <c r="H40" s="280"/>
      <c r="I40" s="280"/>
      <c r="J40" s="280"/>
      <c r="K40" s="280"/>
      <c r="L40" s="280"/>
      <c r="M40" s="280"/>
      <c r="N40" s="280"/>
      <c r="O40" s="280"/>
      <c r="P40" s="280"/>
    </row>
    <row r="41" spans="2:16" x14ac:dyDescent="0.3">
      <c r="B41" s="209" t="s">
        <v>349</v>
      </c>
      <c r="C41" s="218">
        <f>F4*C36</f>
        <v>241.12149305402423</v>
      </c>
      <c r="D41" s="280"/>
      <c r="E41" s="280"/>
      <c r="F41" s="280"/>
      <c r="G41" s="280"/>
      <c r="H41" s="280"/>
      <c r="I41" s="280"/>
      <c r="J41" s="280"/>
      <c r="K41" s="280"/>
      <c r="L41" s="280"/>
      <c r="M41" s="280"/>
      <c r="N41" s="280"/>
      <c r="O41" s="280"/>
      <c r="P41" s="280"/>
    </row>
    <row r="42" spans="2:16" x14ac:dyDescent="0.3">
      <c r="B42" s="209" t="s">
        <v>350</v>
      </c>
      <c r="C42" s="218">
        <f>F4*C37</f>
        <v>143.96248588754133</v>
      </c>
      <c r="D42" s="280"/>
      <c r="E42" s="280"/>
      <c r="F42" s="280"/>
      <c r="G42" s="280"/>
      <c r="H42" s="280"/>
      <c r="I42" s="280"/>
      <c r="J42" s="280"/>
      <c r="K42" s="280"/>
      <c r="L42" s="280"/>
      <c r="M42" s="280"/>
      <c r="N42" s="280"/>
      <c r="O42" s="280"/>
      <c r="P42" s="280"/>
    </row>
    <row r="43" spans="2:16" x14ac:dyDescent="0.3">
      <c r="B43" s="224" t="s">
        <v>351</v>
      </c>
      <c r="C43" s="225">
        <f>C40</f>
        <v>156.08124377067253</v>
      </c>
      <c r="D43" s="280"/>
      <c r="E43" s="280"/>
      <c r="F43" s="280"/>
      <c r="G43" s="280"/>
      <c r="H43" s="280"/>
      <c r="I43" s="280"/>
      <c r="J43" s="280"/>
      <c r="K43" s="280"/>
      <c r="L43" s="280"/>
      <c r="M43" s="280"/>
      <c r="N43" s="280"/>
      <c r="O43" s="280"/>
      <c r="P43" s="280"/>
    </row>
    <row r="45" spans="2:16" ht="15.5" x14ac:dyDescent="0.3">
      <c r="B45" s="283" t="s">
        <v>346</v>
      </c>
      <c r="C45" s="284"/>
      <c r="D45" s="284"/>
      <c r="E45" s="284"/>
      <c r="F45" s="284"/>
      <c r="G45" s="211"/>
      <c r="H45" s="211"/>
      <c r="I45" s="211"/>
      <c r="J45" s="211"/>
      <c r="K45" s="211"/>
      <c r="L45" s="211"/>
      <c r="M45" s="211"/>
      <c r="N45" s="211"/>
      <c r="O45" s="211"/>
      <c r="P45" s="211"/>
    </row>
    <row r="46" spans="2:16" x14ac:dyDescent="0.3">
      <c r="B46" s="226" t="s">
        <v>253</v>
      </c>
      <c r="C46" s="227" t="s">
        <v>195</v>
      </c>
      <c r="D46" s="227" t="s">
        <v>254</v>
      </c>
      <c r="E46" s="227" t="s">
        <v>352</v>
      </c>
      <c r="F46" s="228" t="s">
        <v>255</v>
      </c>
      <c r="G46" s="251"/>
      <c r="H46" s="251"/>
      <c r="I46" s="251"/>
      <c r="J46" s="251"/>
      <c r="K46" s="251"/>
      <c r="L46" s="251"/>
      <c r="M46" s="251"/>
      <c r="N46" s="251"/>
      <c r="O46" s="251"/>
      <c r="P46" s="251"/>
    </row>
    <row r="47" spans="2:16" x14ac:dyDescent="0.3">
      <c r="B47" s="220" t="s">
        <v>256</v>
      </c>
      <c r="C47" s="254">
        <v>0.7</v>
      </c>
      <c r="D47" s="255" t="s">
        <v>257</v>
      </c>
      <c r="E47" s="256">
        <f>E4</f>
        <v>129.77398015435503</v>
      </c>
      <c r="F47" s="257">
        <f>C30</f>
        <v>131.07171995589857</v>
      </c>
      <c r="G47" s="281"/>
      <c r="H47" s="281"/>
      <c r="I47" s="281"/>
      <c r="J47" s="281"/>
      <c r="K47" s="281"/>
      <c r="L47" s="281"/>
      <c r="M47" s="281"/>
      <c r="N47" s="281"/>
      <c r="O47" s="281"/>
      <c r="P47" s="281"/>
    </row>
    <row r="48" spans="2:16" x14ac:dyDescent="0.3">
      <c r="B48" s="220" t="s">
        <v>258</v>
      </c>
      <c r="C48" s="254">
        <v>0.3</v>
      </c>
      <c r="D48" s="255" t="s">
        <v>259</v>
      </c>
      <c r="E48" s="256">
        <f>F4</f>
        <v>20.894410143329658</v>
      </c>
      <c r="F48" s="256">
        <f>C43</f>
        <v>156.08124377067253</v>
      </c>
      <c r="G48" s="282"/>
      <c r="H48" s="282"/>
      <c r="I48" s="282"/>
      <c r="J48" s="282"/>
      <c r="K48" s="282"/>
      <c r="L48" s="282"/>
      <c r="M48" s="282"/>
      <c r="N48" s="282"/>
      <c r="O48" s="282"/>
      <c r="P48" s="282"/>
    </row>
    <row r="49" spans="2:16" ht="15.5" x14ac:dyDescent="0.3">
      <c r="B49" s="287" t="s">
        <v>353</v>
      </c>
      <c r="C49" s="287"/>
      <c r="D49" s="287"/>
      <c r="E49" s="252">
        <f>(0.7*C30)+(0.3*C43)</f>
        <v>138.57457710033074</v>
      </c>
      <c r="F49" s="253">
        <f>(0.7*C30)+(0.3*C43)</f>
        <v>138.57457710033074</v>
      </c>
      <c r="G49" s="280"/>
      <c r="H49" s="280"/>
      <c r="I49" s="280"/>
      <c r="J49" s="280"/>
      <c r="K49" s="280"/>
      <c r="L49" s="280"/>
      <c r="M49" s="280"/>
      <c r="N49" s="280"/>
      <c r="O49" s="280"/>
      <c r="P49" s="280"/>
    </row>
    <row r="50" spans="2:16" x14ac:dyDescent="0.3">
      <c r="B50" s="288" t="s">
        <v>260</v>
      </c>
      <c r="C50" s="288"/>
      <c r="D50" s="288"/>
      <c r="E50" s="258">
        <f>D4</f>
        <v>135</v>
      </c>
      <c r="F50" s="259">
        <f>D4</f>
        <v>135</v>
      </c>
      <c r="G50" s="289"/>
      <c r="H50" s="289"/>
      <c r="I50" s="289"/>
      <c r="J50" s="289"/>
      <c r="K50" s="289"/>
      <c r="L50" s="289"/>
      <c r="M50" s="289"/>
      <c r="N50" s="289"/>
      <c r="O50" s="289"/>
      <c r="P50" s="289"/>
    </row>
    <row r="51" spans="2:16" ht="15.5" x14ac:dyDescent="0.3">
      <c r="B51" s="288" t="s">
        <v>261</v>
      </c>
      <c r="C51" s="288"/>
      <c r="D51" s="288"/>
      <c r="E51" s="260">
        <f>(F49-D4)/D4</f>
        <v>2.6478348891338835E-2</v>
      </c>
      <c r="F51" s="261">
        <f>(F49-D4)/D4</f>
        <v>2.6478348891338835E-2</v>
      </c>
      <c r="G51" s="281"/>
      <c r="H51" s="281"/>
      <c r="I51" s="281"/>
      <c r="J51" s="281"/>
      <c r="K51" s="281"/>
      <c r="L51" s="281"/>
      <c r="M51" s="281"/>
      <c r="N51" s="281"/>
      <c r="O51" s="281"/>
      <c r="P51" s="281"/>
    </row>
    <row r="52" spans="2:16" ht="15.5" x14ac:dyDescent="0.3">
      <c r="B52" s="285" t="s">
        <v>262</v>
      </c>
      <c r="C52" s="285"/>
      <c r="D52" s="285"/>
      <c r="E52" s="286" t="s">
        <v>354</v>
      </c>
      <c r="F52" s="286"/>
      <c r="G52" s="281"/>
      <c r="H52" s="281"/>
      <c r="I52" s="281"/>
      <c r="J52" s="281"/>
      <c r="K52" s="281"/>
      <c r="L52" s="281"/>
      <c r="M52" s="281"/>
      <c r="N52" s="281"/>
      <c r="O52" s="281"/>
      <c r="P52" s="281"/>
    </row>
  </sheetData>
  <mergeCells count="39">
    <mergeCell ref="B52:D52"/>
    <mergeCell ref="E52:F52"/>
    <mergeCell ref="G52:P52"/>
    <mergeCell ref="B49:D49"/>
    <mergeCell ref="G49:P49"/>
    <mergeCell ref="B50:D50"/>
    <mergeCell ref="G50:P50"/>
    <mergeCell ref="B51:D51"/>
    <mergeCell ref="G51:P51"/>
    <mergeCell ref="G47:P47"/>
    <mergeCell ref="G48:P48"/>
    <mergeCell ref="B45:F45"/>
    <mergeCell ref="D39:P39"/>
    <mergeCell ref="D40:P40"/>
    <mergeCell ref="D41:P41"/>
    <mergeCell ref="D42:P42"/>
    <mergeCell ref="D43:P43"/>
    <mergeCell ref="D34:P34"/>
    <mergeCell ref="D35:P35"/>
    <mergeCell ref="D36:P36"/>
    <mergeCell ref="D37:P37"/>
    <mergeCell ref="D38:P38"/>
    <mergeCell ref="D30:P30"/>
    <mergeCell ref="D33:P33"/>
    <mergeCell ref="D24:P24"/>
    <mergeCell ref="D25:P25"/>
    <mergeCell ref="D26:P26"/>
    <mergeCell ref="D27:P27"/>
    <mergeCell ref="D28:P28"/>
    <mergeCell ref="D20:P20"/>
    <mergeCell ref="D21:P21"/>
    <mergeCell ref="D22:P22"/>
    <mergeCell ref="D23:P23"/>
    <mergeCell ref="D29:P29"/>
    <mergeCell ref="B1:P1"/>
    <mergeCell ref="B16:P16"/>
    <mergeCell ref="B10:P10"/>
    <mergeCell ref="B18:C18"/>
    <mergeCell ref="D19:P19"/>
  </mergeCells>
  <pageMargins left="0.75" right="0.75" top="1" bottom="1" header="0.511811023622047" footer="0.511811023622047"/>
  <pageSetup paperSize="9" orientation="portrait" horizontalDpi="300" verticalDpi="300"/>
  <ignoredErrors>
    <ignoredError sqref="D11:P15" formulaRange="1"/>
  </ignoredErrors>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 </vt:lpstr>
      <vt:lpstr>Shareholding </vt:lpstr>
      <vt:lpstr>Consolidated FS</vt:lpstr>
      <vt:lpstr>Stock Analysis</vt:lpstr>
      <vt:lpstr>Assumptions </vt:lpstr>
      <vt:lpstr>Equity Schedule </vt:lpstr>
      <vt:lpstr>Residual Income Schedule </vt:lpstr>
      <vt:lpstr>BETA </vt:lpstr>
      <vt:lpstr>WACC</vt:lpstr>
      <vt:lpstr>Peer Comparison</vt:lpstr>
      <vt:lpstr>Relative Valuation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 singh</dc:creator>
  <dc:description/>
  <cp:lastModifiedBy>Naina Sinsinwar</cp:lastModifiedBy>
  <cp:revision>9</cp:revision>
  <dcterms:created xsi:type="dcterms:W3CDTF">2026-06-02T04:12:57Z</dcterms:created>
  <dcterms:modified xsi:type="dcterms:W3CDTF">2026-06-29T10:37:53Z</dcterms:modified>
  <dc:language>en-US</dc:language>
</cp:coreProperties>
</file>