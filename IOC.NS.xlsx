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7CE35EBD-1044-431A-9173-8EAF89E365B8}" xr6:coauthVersionLast="47" xr6:coauthVersionMax="47" xr10:uidLastSave="{00000000-0000-0000-0000-000000000000}"/>
  <bookViews>
    <workbookView xWindow="-110" yWindow="-110" windowWidth="19420" windowHeight="11500" tabRatio="500" firstSheet="16" activeTab="18" xr2:uid="{00000000-000D-0000-FFFF-FFFF00000000}"/>
  </bookViews>
  <sheets>
    <sheet name="About" sheetId="1" r:id="rId1"/>
    <sheet name="Promoters" sheetId="18" r:id="rId2"/>
    <sheet name="Public" sheetId="19" r:id="rId3"/>
    <sheet name="Balance Sheet" sheetId="2" r:id="rId4"/>
    <sheet name="Profit &amp; Loss" sheetId="3" r:id="rId5"/>
    <sheet name="Cash Flow" sheetId="4" r:id="rId6"/>
    <sheet name="Stock Analysis" sheetId="5" r:id="rId7"/>
    <sheet name="Historical FS" sheetId="6" r:id="rId8"/>
    <sheet name="Working Capital Changes" sheetId="7" r:id="rId9"/>
    <sheet name="Fixed Assets Schedule" sheetId="8" r:id="rId10"/>
    <sheet name="FCFF" sheetId="9" r:id="rId11"/>
    <sheet name="WACC" sheetId="10" r:id="rId12"/>
    <sheet name="Assumption" sheetId="11" r:id="rId13"/>
    <sheet name="Beta" sheetId="12" r:id="rId14"/>
    <sheet name="Ratio Analysis" sheetId="13" r:id="rId15"/>
    <sheet name="Relative Valuation" sheetId="14" r:id="rId16"/>
    <sheet name="Growth Rate Analysis" sheetId="15" r:id="rId17"/>
    <sheet name="Growth Scenerio" sheetId="16" r:id="rId18"/>
    <sheet name="DCF Valuation "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5" i="17" l="1"/>
  <c r="I30" i="17"/>
  <c r="I29" i="17"/>
  <c r="I28" i="17"/>
  <c r="C28" i="17"/>
  <c r="I27" i="17"/>
  <c r="C27" i="17"/>
  <c r="I26" i="17"/>
  <c r="C26" i="17"/>
  <c r="P6" i="17"/>
  <c r="O15" i="16"/>
  <c r="O10" i="16"/>
  <c r="O5" i="16"/>
  <c r="C5" i="16"/>
  <c r="C20" i="16" s="1"/>
  <c r="D22" i="15"/>
  <c r="D23" i="15" s="1"/>
  <c r="D21" i="15"/>
  <c r="D20" i="15"/>
  <c r="H17" i="14"/>
  <c r="G17" i="14"/>
  <c r="F17" i="14"/>
  <c r="H15" i="14"/>
  <c r="G15" i="14"/>
  <c r="F15" i="14"/>
  <c r="R11" i="14"/>
  <c r="F11" i="14"/>
  <c r="I11" i="14" s="1"/>
  <c r="R10" i="14"/>
  <c r="F10" i="14"/>
  <c r="I10" i="14" s="1"/>
  <c r="R9" i="14"/>
  <c r="F9" i="14"/>
  <c r="I9" i="14" s="1"/>
  <c r="R8" i="14"/>
  <c r="Q8" i="14"/>
  <c r="I8" i="14"/>
  <c r="P8" i="14" s="1"/>
  <c r="F8" i="14"/>
  <c r="R7" i="14"/>
  <c r="Q7" i="14"/>
  <c r="P7" i="14"/>
  <c r="I7" i="14"/>
  <c r="F7" i="14"/>
  <c r="N6" i="14"/>
  <c r="R6" i="14" s="1"/>
  <c r="M6" i="14"/>
  <c r="L6" i="14"/>
  <c r="K6" i="14"/>
  <c r="H6" i="14"/>
  <c r="G6" i="14"/>
  <c r="I6" i="14" s="1"/>
  <c r="F6" i="14"/>
  <c r="E6" i="14"/>
  <c r="D6" i="14"/>
  <c r="G70" i="13"/>
  <c r="F70" i="13"/>
  <c r="E70" i="13"/>
  <c r="D70" i="13"/>
  <c r="C70" i="13"/>
  <c r="H70" i="13" s="1"/>
  <c r="G69" i="13"/>
  <c r="F69" i="13"/>
  <c r="H69" i="13" s="1"/>
  <c r="E69" i="13"/>
  <c r="D69" i="13"/>
  <c r="C69" i="13"/>
  <c r="G68" i="13"/>
  <c r="F68" i="13"/>
  <c r="E68" i="13"/>
  <c r="D68" i="13"/>
  <c r="C68" i="13"/>
  <c r="H68" i="13" s="1"/>
  <c r="G67" i="13"/>
  <c r="F67" i="13"/>
  <c r="H67" i="13" s="1"/>
  <c r="E67" i="13"/>
  <c r="D67" i="13"/>
  <c r="C67" i="13"/>
  <c r="G66" i="13"/>
  <c r="F66" i="13"/>
  <c r="E66" i="13"/>
  <c r="D66" i="13"/>
  <c r="C66" i="13"/>
  <c r="H66" i="13" s="1"/>
  <c r="G65" i="13"/>
  <c r="F65" i="13"/>
  <c r="H65" i="13" s="1"/>
  <c r="E65" i="13"/>
  <c r="D65" i="13"/>
  <c r="C65" i="13"/>
  <c r="G62" i="13"/>
  <c r="F62" i="13"/>
  <c r="E62" i="13"/>
  <c r="D62" i="13"/>
  <c r="H62" i="13" s="1"/>
  <c r="G61" i="13"/>
  <c r="F61" i="13"/>
  <c r="E61" i="13"/>
  <c r="D61" i="13"/>
  <c r="H60" i="13"/>
  <c r="G60" i="13"/>
  <c r="F60" i="13"/>
  <c r="E60" i="13"/>
  <c r="D60" i="13"/>
  <c r="G59" i="13"/>
  <c r="F59" i="13"/>
  <c r="E59" i="13"/>
  <c r="D59" i="13"/>
  <c r="H59" i="13" s="1"/>
  <c r="G55" i="13"/>
  <c r="F55" i="13"/>
  <c r="E55" i="13"/>
  <c r="D55" i="13"/>
  <c r="C55" i="13"/>
  <c r="H55" i="13" s="1"/>
  <c r="H54" i="13"/>
  <c r="G54" i="13"/>
  <c r="F54" i="13"/>
  <c r="F56" i="13" s="1"/>
  <c r="E54" i="13"/>
  <c r="D54" i="13"/>
  <c r="C54" i="13"/>
  <c r="G53" i="13"/>
  <c r="G56" i="13" s="1"/>
  <c r="F53" i="13"/>
  <c r="E53" i="13"/>
  <c r="E56" i="13" s="1"/>
  <c r="D53" i="13"/>
  <c r="D56" i="13" s="1"/>
  <c r="C53" i="13"/>
  <c r="H52" i="13"/>
  <c r="G52" i="13"/>
  <c r="F52" i="13"/>
  <c r="E52" i="13"/>
  <c r="D52" i="13"/>
  <c r="C52" i="13"/>
  <c r="G51" i="13"/>
  <c r="F51" i="13"/>
  <c r="E51" i="13"/>
  <c r="D51" i="13"/>
  <c r="C51" i="13"/>
  <c r="H51" i="13" s="1"/>
  <c r="H48" i="13"/>
  <c r="G48" i="13"/>
  <c r="F48" i="13"/>
  <c r="E48" i="13"/>
  <c r="D48" i="13"/>
  <c r="C48" i="13"/>
  <c r="G47" i="13"/>
  <c r="F47" i="13"/>
  <c r="E47" i="13"/>
  <c r="D47" i="13"/>
  <c r="C47" i="13"/>
  <c r="H47" i="13" s="1"/>
  <c r="H46" i="13"/>
  <c r="G46" i="13"/>
  <c r="F46" i="13"/>
  <c r="E46" i="13"/>
  <c r="D46" i="13"/>
  <c r="C46" i="13"/>
  <c r="G45" i="13"/>
  <c r="F45" i="13"/>
  <c r="E45" i="13"/>
  <c r="D45" i="13"/>
  <c r="C45" i="13"/>
  <c r="H45" i="13" s="1"/>
  <c r="H44" i="13"/>
  <c r="G44" i="13"/>
  <c r="F44" i="13"/>
  <c r="E44" i="13"/>
  <c r="D44" i="13"/>
  <c r="C44" i="13"/>
  <c r="G41" i="13"/>
  <c r="F41" i="13"/>
  <c r="E41" i="13"/>
  <c r="D41" i="13"/>
  <c r="C41" i="13"/>
  <c r="H41" i="13" s="1"/>
  <c r="H40" i="13"/>
  <c r="G40" i="13"/>
  <c r="F40" i="13"/>
  <c r="E40" i="13"/>
  <c r="D40" i="13"/>
  <c r="C40" i="13"/>
  <c r="G39" i="13"/>
  <c r="F39" i="13"/>
  <c r="E39" i="13"/>
  <c r="D39" i="13"/>
  <c r="C39" i="13"/>
  <c r="H36" i="13"/>
  <c r="G36" i="13"/>
  <c r="F36" i="13"/>
  <c r="E36" i="13"/>
  <c r="D36" i="13"/>
  <c r="C36" i="13"/>
  <c r="G35" i="13"/>
  <c r="F35" i="13"/>
  <c r="E35" i="13"/>
  <c r="D35" i="13"/>
  <c r="C35" i="13"/>
  <c r="H35" i="13" s="1"/>
  <c r="H34" i="13"/>
  <c r="G34" i="13"/>
  <c r="F34" i="13"/>
  <c r="E34" i="13"/>
  <c r="D34" i="13"/>
  <c r="C34" i="13"/>
  <c r="G33" i="13"/>
  <c r="F33" i="13"/>
  <c r="E33" i="13"/>
  <c r="D33" i="13"/>
  <c r="C33" i="13"/>
  <c r="H33" i="13" s="1"/>
  <c r="H32" i="13"/>
  <c r="G32" i="13"/>
  <c r="F32" i="13"/>
  <c r="E32" i="13"/>
  <c r="D32" i="13"/>
  <c r="C32" i="13"/>
  <c r="G31" i="13"/>
  <c r="F31" i="13"/>
  <c r="E31" i="13"/>
  <c r="D31" i="13"/>
  <c r="C31" i="13"/>
  <c r="H31" i="13" s="1"/>
  <c r="H30" i="13"/>
  <c r="G30" i="13"/>
  <c r="F30" i="13"/>
  <c r="E30" i="13"/>
  <c r="D30" i="13"/>
  <c r="C30" i="13"/>
  <c r="G29" i="13"/>
  <c r="F29" i="13"/>
  <c r="E29" i="13"/>
  <c r="D29" i="13"/>
  <c r="C29" i="13"/>
  <c r="H29" i="13" s="1"/>
  <c r="H28" i="13"/>
  <c r="G28" i="13"/>
  <c r="F28" i="13"/>
  <c r="E28" i="13"/>
  <c r="D28" i="13"/>
  <c r="C28" i="13"/>
  <c r="G27" i="13"/>
  <c r="F27" i="13"/>
  <c r="E27" i="13"/>
  <c r="D27" i="13"/>
  <c r="C27" i="13"/>
  <c r="H27" i="13" s="1"/>
  <c r="H26" i="13"/>
  <c r="G26" i="13"/>
  <c r="F26" i="13"/>
  <c r="E26" i="13"/>
  <c r="D26" i="13"/>
  <c r="C26" i="13"/>
  <c r="G25" i="13"/>
  <c r="F25" i="13"/>
  <c r="E25" i="13"/>
  <c r="D25" i="13"/>
  <c r="C25" i="13"/>
  <c r="H25" i="13" s="1"/>
  <c r="H22" i="13"/>
  <c r="G22" i="13"/>
  <c r="F22" i="13"/>
  <c r="E22" i="13"/>
  <c r="D22" i="13"/>
  <c r="G21" i="13"/>
  <c r="F21" i="13"/>
  <c r="E21" i="13"/>
  <c r="H21" i="13" s="1"/>
  <c r="D21" i="13"/>
  <c r="C21" i="13"/>
  <c r="G20" i="13"/>
  <c r="H20" i="13" s="1"/>
  <c r="F20" i="13"/>
  <c r="E20" i="13"/>
  <c r="D20" i="13"/>
  <c r="G19" i="13"/>
  <c r="F19" i="13"/>
  <c r="E19" i="13"/>
  <c r="D19" i="13"/>
  <c r="C19" i="13"/>
  <c r="H19" i="13" s="1"/>
  <c r="G18" i="13"/>
  <c r="F18" i="13"/>
  <c r="E18" i="13"/>
  <c r="D18" i="13"/>
  <c r="H18" i="13" s="1"/>
  <c r="C18" i="13"/>
  <c r="G17" i="13"/>
  <c r="F17" i="13"/>
  <c r="E17" i="13"/>
  <c r="D17" i="13"/>
  <c r="C17" i="13"/>
  <c r="H17" i="13" s="1"/>
  <c r="G16" i="13"/>
  <c r="F16" i="13"/>
  <c r="E16" i="13"/>
  <c r="D16" i="13"/>
  <c r="C16" i="13"/>
  <c r="G15" i="13"/>
  <c r="F15" i="13"/>
  <c r="E15" i="13"/>
  <c r="D15" i="13"/>
  <c r="C15" i="13"/>
  <c r="H15" i="13" s="1"/>
  <c r="G14" i="13"/>
  <c r="F14" i="13"/>
  <c r="E14" i="13"/>
  <c r="D14" i="13"/>
  <c r="C14" i="13"/>
  <c r="G13" i="13"/>
  <c r="F13" i="13"/>
  <c r="E13" i="13"/>
  <c r="D13" i="13"/>
  <c r="C13" i="13"/>
  <c r="H13" i="13" s="1"/>
  <c r="G12" i="13"/>
  <c r="F12" i="13"/>
  <c r="E12" i="13"/>
  <c r="D12" i="13"/>
  <c r="C12" i="13"/>
  <c r="G11" i="13"/>
  <c r="F11" i="13"/>
  <c r="E11" i="13"/>
  <c r="D11" i="13"/>
  <c r="C11" i="13"/>
  <c r="H11" i="13" s="1"/>
  <c r="G10" i="13"/>
  <c r="F10" i="13"/>
  <c r="E10" i="13"/>
  <c r="D10" i="13"/>
  <c r="H10" i="13" s="1"/>
  <c r="C10" i="13"/>
  <c r="G9" i="13"/>
  <c r="F9" i="13"/>
  <c r="E9" i="13"/>
  <c r="D9" i="13"/>
  <c r="H9" i="13" s="1"/>
  <c r="G8" i="13"/>
  <c r="F8" i="13"/>
  <c r="E8" i="13"/>
  <c r="D8" i="13"/>
  <c r="C8" i="13"/>
  <c r="H7" i="13"/>
  <c r="G7" i="13"/>
  <c r="F7" i="13"/>
  <c r="E7" i="13"/>
  <c r="D7" i="13"/>
  <c r="C7" i="13"/>
  <c r="G6" i="13"/>
  <c r="F6" i="13"/>
  <c r="E6" i="13"/>
  <c r="D6" i="13"/>
  <c r="G5" i="13"/>
  <c r="F5" i="13"/>
  <c r="E5" i="13"/>
  <c r="D5" i="13"/>
  <c r="C5" i="13"/>
  <c r="H5" i="13" s="1"/>
  <c r="G5" i="12"/>
  <c r="G53" i="11"/>
  <c r="F53" i="11"/>
  <c r="E53" i="11"/>
  <c r="D53" i="11"/>
  <c r="C53" i="11"/>
  <c r="G46" i="11"/>
  <c r="G47" i="11" s="1"/>
  <c r="F46" i="11"/>
  <c r="F47" i="11" s="1"/>
  <c r="E46" i="11"/>
  <c r="D46" i="11"/>
  <c r="C46" i="11"/>
  <c r="G45" i="11"/>
  <c r="F45" i="11"/>
  <c r="E45" i="11"/>
  <c r="D45" i="11"/>
  <c r="C45" i="11"/>
  <c r="C47" i="11" s="1"/>
  <c r="G44" i="11"/>
  <c r="F44" i="11"/>
  <c r="E44" i="11"/>
  <c r="E47" i="11" s="1"/>
  <c r="E48" i="11" s="1"/>
  <c r="D44" i="11"/>
  <c r="D47" i="11" s="1"/>
  <c r="C44" i="11"/>
  <c r="G23" i="11"/>
  <c r="F23" i="11"/>
  <c r="E23" i="11"/>
  <c r="D23" i="11"/>
  <c r="C23" i="11"/>
  <c r="G21" i="11"/>
  <c r="F21" i="11"/>
  <c r="E21" i="11"/>
  <c r="D21" i="11"/>
  <c r="C21" i="11"/>
  <c r="G19" i="11"/>
  <c r="F19" i="11"/>
  <c r="E19" i="11"/>
  <c r="D19" i="11"/>
  <c r="C19" i="11"/>
  <c r="G18" i="11"/>
  <c r="F18" i="11"/>
  <c r="E18" i="11"/>
  <c r="D18" i="11"/>
  <c r="C18" i="11"/>
  <c r="E17" i="11"/>
  <c r="E34" i="11" s="1"/>
  <c r="G15" i="11"/>
  <c r="F15" i="11"/>
  <c r="E15" i="11"/>
  <c r="D15" i="11"/>
  <c r="C15" i="11"/>
  <c r="C13" i="11"/>
  <c r="C14" i="11" s="1"/>
  <c r="C33" i="11" s="1"/>
  <c r="D12" i="11"/>
  <c r="G11" i="11"/>
  <c r="F11" i="11"/>
  <c r="E11" i="11"/>
  <c r="D11" i="11"/>
  <c r="C11" i="11"/>
  <c r="G10" i="11"/>
  <c r="F10" i="11"/>
  <c r="E10" i="11"/>
  <c r="D10" i="11"/>
  <c r="C10" i="11"/>
  <c r="G9" i="11"/>
  <c r="G12" i="11" s="1"/>
  <c r="G13" i="11" s="1"/>
  <c r="F9" i="11"/>
  <c r="E9" i="11"/>
  <c r="D9" i="11"/>
  <c r="C9" i="11"/>
  <c r="G8" i="11"/>
  <c r="F8" i="11"/>
  <c r="E8" i="11"/>
  <c r="D8" i="11"/>
  <c r="C8" i="11"/>
  <c r="G7" i="11"/>
  <c r="F7" i="11"/>
  <c r="F12" i="11" s="1"/>
  <c r="E7" i="11"/>
  <c r="E12" i="11" s="1"/>
  <c r="E13" i="11" s="1"/>
  <c r="E16" i="11" s="1"/>
  <c r="D7" i="11"/>
  <c r="C7" i="11"/>
  <c r="C12" i="11" s="1"/>
  <c r="G5" i="11"/>
  <c r="F5" i="11"/>
  <c r="E5" i="11"/>
  <c r="C8" i="15" s="1"/>
  <c r="D5" i="11"/>
  <c r="E6" i="11" s="1"/>
  <c r="C5" i="11"/>
  <c r="C6" i="15" s="1"/>
  <c r="F6" i="15" s="1"/>
  <c r="C29" i="10"/>
  <c r="C30" i="10" s="1"/>
  <c r="G60" i="11" s="1"/>
  <c r="C26" i="10"/>
  <c r="C24" i="10"/>
  <c r="C31" i="17" s="1"/>
  <c r="C22" i="10"/>
  <c r="C15" i="10"/>
  <c r="C14" i="10"/>
  <c r="C16" i="10" s="1"/>
  <c r="C17" i="10" s="1"/>
  <c r="C19" i="10" s="1"/>
  <c r="G58" i="11" s="1"/>
  <c r="C13" i="10"/>
  <c r="C8" i="10"/>
  <c r="C10" i="10" s="1"/>
  <c r="G57" i="11" s="1"/>
  <c r="G11" i="9"/>
  <c r="D11" i="9"/>
  <c r="D13" i="9" s="1"/>
  <c r="F5" i="9"/>
  <c r="E5" i="9"/>
  <c r="D5" i="9"/>
  <c r="G19" i="8"/>
  <c r="F19" i="8"/>
  <c r="C21" i="8" s="1"/>
  <c r="E19" i="8"/>
  <c r="D19" i="8"/>
  <c r="C19" i="8"/>
  <c r="D16" i="8"/>
  <c r="G15" i="8"/>
  <c r="F15" i="8"/>
  <c r="E15" i="8"/>
  <c r="D15" i="8"/>
  <c r="D17" i="8" s="1"/>
  <c r="F10" i="8"/>
  <c r="F11" i="9" s="1"/>
  <c r="E10" i="8"/>
  <c r="F8" i="8"/>
  <c r="D8" i="8"/>
  <c r="D10" i="8" s="1"/>
  <c r="D11" i="8" s="1"/>
  <c r="C8" i="8"/>
  <c r="G6" i="8"/>
  <c r="G8" i="8" s="1"/>
  <c r="G10" i="8" s="1"/>
  <c r="G11" i="8" s="1"/>
  <c r="F6" i="8"/>
  <c r="E6" i="8"/>
  <c r="E8" i="8" s="1"/>
  <c r="D6" i="8"/>
  <c r="G28" i="7"/>
  <c r="C28" i="7"/>
  <c r="G27" i="7"/>
  <c r="F27" i="7"/>
  <c r="E27" i="7"/>
  <c r="D27" i="7"/>
  <c r="C27" i="7"/>
  <c r="G26" i="7"/>
  <c r="F26" i="7"/>
  <c r="E26" i="7"/>
  <c r="D26" i="7"/>
  <c r="C26" i="7"/>
  <c r="G25" i="7"/>
  <c r="F25" i="7"/>
  <c r="F28" i="7" s="1"/>
  <c r="E25" i="7"/>
  <c r="E28" i="7" s="1"/>
  <c r="D25" i="7"/>
  <c r="C25" i="7"/>
  <c r="G15" i="7"/>
  <c r="F15" i="7"/>
  <c r="F17" i="7" s="1"/>
  <c r="E15" i="7"/>
  <c r="E17" i="7" s="1"/>
  <c r="E19" i="7" s="1"/>
  <c r="D15" i="7"/>
  <c r="C15" i="7"/>
  <c r="G9" i="7"/>
  <c r="G17" i="7" s="1"/>
  <c r="F9" i="7"/>
  <c r="E9" i="7"/>
  <c r="D9" i="7"/>
  <c r="D17" i="7" s="1"/>
  <c r="D19" i="7" s="1"/>
  <c r="D12" i="9" s="1"/>
  <c r="C9" i="7"/>
  <c r="C17" i="7" s="1"/>
  <c r="G94" i="6"/>
  <c r="F94" i="6"/>
  <c r="E94" i="6"/>
  <c r="G86" i="6"/>
  <c r="F86" i="6"/>
  <c r="G85" i="6"/>
  <c r="F85" i="6"/>
  <c r="E85" i="6"/>
  <c r="D85" i="6"/>
  <c r="C85" i="6"/>
  <c r="E77" i="6"/>
  <c r="E86" i="6" s="1"/>
  <c r="D77" i="6"/>
  <c r="D86" i="6" s="1"/>
  <c r="G72" i="6"/>
  <c r="G77" i="6" s="1"/>
  <c r="F72" i="6"/>
  <c r="F77" i="6" s="1"/>
  <c r="E72" i="6"/>
  <c r="D72" i="6"/>
  <c r="C72" i="6"/>
  <c r="C77" i="6" s="1"/>
  <c r="C86" i="6" s="1"/>
  <c r="G63" i="6"/>
  <c r="F63" i="6"/>
  <c r="E63" i="6"/>
  <c r="D63" i="6"/>
  <c r="C63" i="6"/>
  <c r="G59" i="6"/>
  <c r="F59" i="6"/>
  <c r="E59" i="6"/>
  <c r="D59" i="6"/>
  <c r="C59" i="6"/>
  <c r="G55" i="6"/>
  <c r="F55" i="6"/>
  <c r="E55" i="6"/>
  <c r="D55" i="6"/>
  <c r="C55" i="6"/>
  <c r="G47" i="6"/>
  <c r="F47" i="6"/>
  <c r="E47" i="6"/>
  <c r="D47" i="6"/>
  <c r="G44" i="6"/>
  <c r="F44" i="6"/>
  <c r="E44" i="6"/>
  <c r="D44" i="6"/>
  <c r="C44" i="6"/>
  <c r="G41" i="6"/>
  <c r="G5" i="9" s="1"/>
  <c r="F41" i="6"/>
  <c r="E41" i="6"/>
  <c r="D41" i="6"/>
  <c r="C41" i="6"/>
  <c r="C5" i="9" s="1"/>
  <c r="G38" i="6"/>
  <c r="F38" i="6"/>
  <c r="E38" i="6"/>
  <c r="D38" i="6"/>
  <c r="C38" i="6"/>
  <c r="G35" i="6"/>
  <c r="F35" i="6"/>
  <c r="E35" i="6"/>
  <c r="D35" i="6"/>
  <c r="C35" i="6"/>
  <c r="E32" i="6"/>
  <c r="G29" i="6"/>
  <c r="F29" i="6"/>
  <c r="E29" i="6"/>
  <c r="D29" i="6"/>
  <c r="C29" i="6"/>
  <c r="E26" i="6"/>
  <c r="G25" i="6"/>
  <c r="G26" i="6" s="1"/>
  <c r="F25" i="6"/>
  <c r="E25" i="6"/>
  <c r="E31" i="6" s="1"/>
  <c r="E4" i="9" s="1"/>
  <c r="G23" i="6"/>
  <c r="F23" i="6"/>
  <c r="E23" i="6"/>
  <c r="D23" i="6"/>
  <c r="D25" i="6" s="1"/>
  <c r="D26" i="6" s="1"/>
  <c r="C23" i="6"/>
  <c r="C25" i="6" s="1"/>
  <c r="C26" i="6" s="1"/>
  <c r="G12" i="6"/>
  <c r="F12" i="6"/>
  <c r="E12" i="6"/>
  <c r="D12" i="6"/>
  <c r="C12" i="6"/>
  <c r="G6" i="6"/>
  <c r="F6" i="6"/>
  <c r="E6" i="6"/>
  <c r="D6" i="6"/>
  <c r="L23" i="5"/>
  <c r="K23" i="5"/>
  <c r="M23" i="5" s="1"/>
  <c r="J23" i="5"/>
  <c r="L22" i="5"/>
  <c r="K22" i="5"/>
  <c r="M22" i="5" s="1"/>
  <c r="J22" i="5"/>
  <c r="K21" i="5"/>
  <c r="J21" i="5"/>
  <c r="L21" i="5" s="1"/>
  <c r="L20" i="5"/>
  <c r="K20" i="5"/>
  <c r="M20" i="5" s="1"/>
  <c r="J20" i="5"/>
  <c r="K19" i="5"/>
  <c r="J19" i="5"/>
  <c r="L19" i="5" s="1"/>
  <c r="E12" i="9" l="1"/>
  <c r="E20" i="7"/>
  <c r="E6" i="9"/>
  <c r="E8" i="9" s="1"/>
  <c r="F19" i="7"/>
  <c r="G14" i="11"/>
  <c r="G33" i="11" s="1"/>
  <c r="G16" i="11"/>
  <c r="D20" i="7"/>
  <c r="H14" i="13"/>
  <c r="H61" i="13"/>
  <c r="F26" i="6"/>
  <c r="F31" i="6"/>
  <c r="C20" i="8"/>
  <c r="C16" i="11"/>
  <c r="D12" i="8"/>
  <c r="H12" i="13"/>
  <c r="D24" i="15"/>
  <c r="D25" i="15" s="1"/>
  <c r="O14" i="16" s="1"/>
  <c r="H39" i="13"/>
  <c r="M21" i="5"/>
  <c r="G19" i="7"/>
  <c r="C12" i="17"/>
  <c r="C31" i="10"/>
  <c r="E43" i="11"/>
  <c r="E49" i="11" s="1"/>
  <c r="E54" i="11" s="1"/>
  <c r="E20" i="11"/>
  <c r="E22" i="11" s="1"/>
  <c r="E39" i="11" s="1"/>
  <c r="F11" i="8"/>
  <c r="H8" i="13"/>
  <c r="E14" i="11"/>
  <c r="E33" i="11" s="1"/>
  <c r="Q9" i="14"/>
  <c r="P9" i="14"/>
  <c r="F8" i="15"/>
  <c r="E11" i="9"/>
  <c r="E13" i="9" s="1"/>
  <c r="E11" i="8"/>
  <c r="D13" i="8" s="1"/>
  <c r="M19" i="5"/>
  <c r="C31" i="6"/>
  <c r="D28" i="7"/>
  <c r="C9" i="15"/>
  <c r="F13" i="11"/>
  <c r="F6" i="11"/>
  <c r="H6" i="13"/>
  <c r="C56" i="13"/>
  <c r="H56" i="13" s="1"/>
  <c r="H53" i="13"/>
  <c r="R12" i="14"/>
  <c r="R15" i="14"/>
  <c r="R19" i="14"/>
  <c r="R16" i="14"/>
  <c r="R18" i="14"/>
  <c r="R13" i="14"/>
  <c r="H14" i="14" s="1"/>
  <c r="H16" i="14" s="1"/>
  <c r="H18" i="14" s="1"/>
  <c r="P10" i="14"/>
  <c r="Q10" i="14"/>
  <c r="Q6" i="14"/>
  <c r="P6" i="14"/>
  <c r="D31" i="6"/>
  <c r="C29" i="11"/>
  <c r="C10" i="15"/>
  <c r="H16" i="13"/>
  <c r="G31" i="6"/>
  <c r="G6" i="11"/>
  <c r="Q11" i="14"/>
  <c r="P11" i="14"/>
  <c r="C5" i="17"/>
  <c r="C10" i="16"/>
  <c r="C7" i="15"/>
  <c r="G8" i="15" s="1"/>
  <c r="D6" i="11"/>
  <c r="D13" i="11"/>
  <c r="O26" i="16" l="1"/>
  <c r="D16" i="16"/>
  <c r="O16" i="16"/>
  <c r="E15" i="9"/>
  <c r="E18" i="9"/>
  <c r="E23" i="9"/>
  <c r="G20" i="7"/>
  <c r="G12" i="9"/>
  <c r="G13" i="9" s="1"/>
  <c r="G4" i="9"/>
  <c r="G32" i="6"/>
  <c r="G9" i="15"/>
  <c r="F9" i="15"/>
  <c r="D9" i="15"/>
  <c r="F14" i="11"/>
  <c r="F33" i="11" s="1"/>
  <c r="F16" i="11"/>
  <c r="G17" i="11"/>
  <c r="G34" i="11" s="1"/>
  <c r="G48" i="11"/>
  <c r="G43" i="11"/>
  <c r="G49" i="11" s="1"/>
  <c r="G54" i="11" s="1"/>
  <c r="G20" i="11"/>
  <c r="C4" i="9"/>
  <c r="C32" i="6"/>
  <c r="C30" i="11"/>
  <c r="C28" i="11"/>
  <c r="J6" i="11"/>
  <c r="C15" i="16"/>
  <c r="D4" i="9"/>
  <c r="D32" i="6"/>
  <c r="G10" i="15"/>
  <c r="F10" i="15"/>
  <c r="D10" i="15"/>
  <c r="C14" i="15"/>
  <c r="C20" i="11"/>
  <c r="C17" i="11"/>
  <c r="C48" i="11"/>
  <c r="C43" i="11"/>
  <c r="C49" i="11" s="1"/>
  <c r="E35" i="11"/>
  <c r="E24" i="11"/>
  <c r="D14" i="11"/>
  <c r="D16" i="11"/>
  <c r="P18" i="14"/>
  <c r="P13" i="14"/>
  <c r="F14" i="14" s="1"/>
  <c r="F16" i="14" s="1"/>
  <c r="F18" i="14" s="1"/>
  <c r="P15" i="14"/>
  <c r="P12" i="14"/>
  <c r="P19" i="14"/>
  <c r="P16" i="14"/>
  <c r="F4" i="9"/>
  <c r="F32" i="6"/>
  <c r="F20" i="7"/>
  <c r="D21" i="7" s="1"/>
  <c r="F12" i="9"/>
  <c r="F13" i="9" s="1"/>
  <c r="G7" i="15"/>
  <c r="F7" i="15"/>
  <c r="D7" i="15"/>
  <c r="Q18" i="14"/>
  <c r="Q13" i="14"/>
  <c r="G14" i="14" s="1"/>
  <c r="G16" i="14" s="1"/>
  <c r="G18" i="14" s="1"/>
  <c r="Q15" i="14"/>
  <c r="Q19" i="14"/>
  <c r="Q16" i="14"/>
  <c r="Q12" i="14"/>
  <c r="D8" i="15"/>
  <c r="C34" i="10"/>
  <c r="G59" i="11"/>
  <c r="O9" i="16" l="1"/>
  <c r="G14" i="15"/>
  <c r="C6" i="9"/>
  <c r="C8" i="9"/>
  <c r="C24" i="11"/>
  <c r="C22" i="11"/>
  <c r="C39" i="11" s="1"/>
  <c r="C35" i="11"/>
  <c r="G24" i="11"/>
  <c r="G35" i="11"/>
  <c r="G22" i="11"/>
  <c r="G39" i="11" s="1"/>
  <c r="G6" i="9"/>
  <c r="G8" i="9" s="1"/>
  <c r="C13" i="15"/>
  <c r="C15" i="15"/>
  <c r="G15" i="15" s="1"/>
  <c r="D20" i="11"/>
  <c r="D48" i="11"/>
  <c r="D43" i="11"/>
  <c r="D49" i="11" s="1"/>
  <c r="D54" i="11" s="1"/>
  <c r="D17" i="11"/>
  <c r="D34" i="11" s="1"/>
  <c r="F17" i="11"/>
  <c r="F34" i="11" s="1"/>
  <c r="F48" i="11"/>
  <c r="F43" i="11"/>
  <c r="F49" i="11" s="1"/>
  <c r="F54" i="11" s="1"/>
  <c r="F20" i="11"/>
  <c r="E50" i="11"/>
  <c r="E25" i="11"/>
  <c r="E36" i="11" s="1"/>
  <c r="C16" i="15"/>
  <c r="G16" i="15" s="1"/>
  <c r="D33" i="11"/>
  <c r="J33" i="11" s="1"/>
  <c r="J13" i="11"/>
  <c r="D6" i="9"/>
  <c r="D8" i="9" s="1"/>
  <c r="G61" i="11"/>
  <c r="D15" i="16"/>
  <c r="D22" i="7"/>
  <c r="E22" i="9"/>
  <c r="W17" i="16"/>
  <c r="V17" i="16"/>
  <c r="U17" i="16"/>
  <c r="T17" i="16"/>
  <c r="S17" i="16"/>
  <c r="R17" i="16"/>
  <c r="Q17" i="16"/>
  <c r="P17" i="16"/>
  <c r="O17" i="16"/>
  <c r="F6" i="9"/>
  <c r="F8" i="9"/>
  <c r="E16" i="16"/>
  <c r="F16" i="16" s="1"/>
  <c r="J49" i="11"/>
  <c r="C54" i="11"/>
  <c r="J54" i="11" s="1"/>
  <c r="J16" i="11"/>
  <c r="C34" i="11"/>
  <c r="J34" i="11" s="1"/>
  <c r="G23" i="9" l="1"/>
  <c r="G18" i="9"/>
  <c r="G15" i="9"/>
  <c r="G22" i="9" s="1"/>
  <c r="D23" i="9"/>
  <c r="D18" i="9"/>
  <c r="D15" i="9"/>
  <c r="G16" i="16"/>
  <c r="H16" i="16" s="1"/>
  <c r="I16" i="16" s="1"/>
  <c r="J16" i="16" s="1"/>
  <c r="K16" i="16" s="1"/>
  <c r="L16" i="16" s="1"/>
  <c r="M16" i="16" s="1"/>
  <c r="F15" i="9"/>
  <c r="F23" i="9"/>
  <c r="F18" i="9"/>
  <c r="F35" i="11"/>
  <c r="J35" i="11" s="1"/>
  <c r="F24" i="11"/>
  <c r="F22" i="11"/>
  <c r="F39" i="11" s="1"/>
  <c r="E15" i="16"/>
  <c r="F15" i="16" s="1"/>
  <c r="G50" i="11"/>
  <c r="G25" i="11"/>
  <c r="G36" i="11" s="1"/>
  <c r="S6" i="17"/>
  <c r="P16" i="17" s="1"/>
  <c r="M20" i="17"/>
  <c r="L20" i="17"/>
  <c r="K20" i="17"/>
  <c r="J20" i="17"/>
  <c r="I20" i="17"/>
  <c r="H20" i="17"/>
  <c r="M25" i="17"/>
  <c r="G20" i="17"/>
  <c r="L25" i="17"/>
  <c r="F20" i="17"/>
  <c r="K25" i="17"/>
  <c r="E20" i="17"/>
  <c r="J25" i="17"/>
  <c r="D20" i="17"/>
  <c r="J39" i="11"/>
  <c r="C50" i="11"/>
  <c r="C25" i="11"/>
  <c r="C23" i="9"/>
  <c r="C15" i="9"/>
  <c r="C22" i="9" s="1"/>
  <c r="D8" i="17"/>
  <c r="M8" i="17"/>
  <c r="L8" i="17"/>
  <c r="K8" i="17"/>
  <c r="J8" i="17"/>
  <c r="I8" i="17"/>
  <c r="H8" i="17"/>
  <c r="G8" i="17"/>
  <c r="F8" i="17"/>
  <c r="E8" i="17"/>
  <c r="D24" i="11"/>
  <c r="D35" i="11"/>
  <c r="D22" i="11"/>
  <c r="D39" i="11" s="1"/>
  <c r="G13" i="15"/>
  <c r="O4" i="16"/>
  <c r="O25" i="16"/>
  <c r="D11" i="16"/>
  <c r="O11" i="16"/>
  <c r="O12" i="16" s="1"/>
  <c r="G15" i="16" l="1"/>
  <c r="H15" i="16" s="1"/>
  <c r="I15" i="16" s="1"/>
  <c r="J15" i="16" s="1"/>
  <c r="K15" i="16" s="1"/>
  <c r="L15" i="16" s="1"/>
  <c r="M15" i="16" s="1"/>
  <c r="C36" i="11"/>
  <c r="D50" i="11"/>
  <c r="D25" i="11"/>
  <c r="D36" i="11" s="1"/>
  <c r="F22" i="9"/>
  <c r="G25" i="9"/>
  <c r="F25" i="9"/>
  <c r="J50" i="11"/>
  <c r="D21" i="16"/>
  <c r="E11" i="16"/>
  <c r="D10" i="16"/>
  <c r="E10" i="16" s="1"/>
  <c r="E25" i="9"/>
  <c r="D22" i="9"/>
  <c r="D19" i="9"/>
  <c r="D20" i="9"/>
  <c r="O6" i="16"/>
  <c r="O7" i="16" s="1"/>
  <c r="O24" i="16"/>
  <c r="D6" i="16"/>
  <c r="P8" i="17"/>
  <c r="F25" i="11"/>
  <c r="F36" i="11" s="1"/>
  <c r="F50" i="11"/>
  <c r="E21" i="16" l="1"/>
  <c r="E6" i="17" s="1"/>
  <c r="F11" i="16"/>
  <c r="F10" i="16" s="1"/>
  <c r="J36" i="11"/>
  <c r="D6" i="17"/>
  <c r="D20" i="16"/>
  <c r="E6" i="16"/>
  <c r="F6" i="16" s="1"/>
  <c r="G6" i="16" s="1"/>
  <c r="H6" i="16" s="1"/>
  <c r="I6" i="16" s="1"/>
  <c r="J6" i="16" s="1"/>
  <c r="K6" i="16" s="1"/>
  <c r="L6" i="16" s="1"/>
  <c r="M6" i="16" s="1"/>
  <c r="D5" i="16"/>
  <c r="E5" i="16" s="1"/>
  <c r="F5" i="16" s="1"/>
  <c r="G5" i="16" s="1"/>
  <c r="H5" i="16" s="1"/>
  <c r="I5" i="16" s="1"/>
  <c r="J5" i="16" s="1"/>
  <c r="K5" i="16" s="1"/>
  <c r="L5" i="16" s="1"/>
  <c r="M5" i="16" s="1"/>
  <c r="J24" i="11"/>
  <c r="E20" i="16" l="1"/>
  <c r="D5" i="17"/>
  <c r="G11" i="16"/>
  <c r="F21" i="16"/>
  <c r="F6" i="17" s="1"/>
  <c r="H11" i="16" l="1"/>
  <c r="G21" i="16"/>
  <c r="G6" i="17" s="1"/>
  <c r="D11" i="17"/>
  <c r="D12" i="17"/>
  <c r="D7" i="17"/>
  <c r="F20" i="16"/>
  <c r="E5" i="17"/>
  <c r="G10" i="16"/>
  <c r="I11" i="16" l="1"/>
  <c r="H21" i="16"/>
  <c r="H6" i="17" s="1"/>
  <c r="H10" i="16"/>
  <c r="I10" i="16" s="1"/>
  <c r="E11" i="17"/>
  <c r="E7" i="17"/>
  <c r="G20" i="16"/>
  <c r="F5" i="17"/>
  <c r="D9" i="17"/>
  <c r="D10" i="17"/>
  <c r="E12" i="17"/>
  <c r="D13" i="17"/>
  <c r="D14" i="17"/>
  <c r="D16" i="17" s="1"/>
  <c r="D15" i="17" l="1"/>
  <c r="F11" i="17"/>
  <c r="F7" i="17"/>
  <c r="H20" i="16"/>
  <c r="G5" i="17"/>
  <c r="E9" i="17"/>
  <c r="E10" i="17"/>
  <c r="F12" i="17"/>
  <c r="E13" i="17"/>
  <c r="E14" i="17" s="1"/>
  <c r="E16" i="17" s="1"/>
  <c r="J11" i="16"/>
  <c r="I21" i="16"/>
  <c r="I6" i="17" s="1"/>
  <c r="K11" i="16" l="1"/>
  <c r="J21" i="16"/>
  <c r="J6" i="17" s="1"/>
  <c r="J10" i="16"/>
  <c r="K10" i="16" s="1"/>
  <c r="G12" i="17"/>
  <c r="F13" i="17"/>
  <c r="F14" i="17" s="1"/>
  <c r="E15" i="17"/>
  <c r="E22" i="17" s="1"/>
  <c r="G11" i="17"/>
  <c r="G7" i="17"/>
  <c r="I20" i="16"/>
  <c r="H5" i="17"/>
  <c r="F9" i="17"/>
  <c r="F10" i="17" s="1"/>
  <c r="F15" i="17" s="1"/>
  <c r="D22" i="17"/>
  <c r="F22" i="17" l="1"/>
  <c r="F16" i="17"/>
  <c r="H11" i="17"/>
  <c r="H7" i="17"/>
  <c r="J20" i="16"/>
  <c r="I5" i="17"/>
  <c r="G9" i="17"/>
  <c r="G10" i="17"/>
  <c r="H12" i="17"/>
  <c r="G13" i="17"/>
  <c r="G14" i="17" s="1"/>
  <c r="L11" i="16"/>
  <c r="K21" i="16"/>
  <c r="K6" i="17" s="1"/>
  <c r="G15" i="17" l="1"/>
  <c r="G22" i="17" s="1"/>
  <c r="M11" i="16"/>
  <c r="M21" i="16" s="1"/>
  <c r="M6" i="17" s="1"/>
  <c r="L21" i="16"/>
  <c r="L6" i="17" s="1"/>
  <c r="G16" i="17"/>
  <c r="L10" i="16"/>
  <c r="I11" i="17"/>
  <c r="I7" i="17"/>
  <c r="K20" i="16"/>
  <c r="J5" i="17"/>
  <c r="H9" i="17"/>
  <c r="H10" i="17"/>
  <c r="H13" i="17"/>
  <c r="H14" i="17" s="1"/>
  <c r="H16" i="17" s="1"/>
  <c r="I12" i="17"/>
  <c r="H15" i="17" l="1"/>
  <c r="J11" i="17"/>
  <c r="J7" i="17"/>
  <c r="L20" i="16"/>
  <c r="K5" i="17"/>
  <c r="I13" i="17"/>
  <c r="J12" i="17"/>
  <c r="I9" i="17"/>
  <c r="I10" i="17"/>
  <c r="I14" i="17"/>
  <c r="I16" i="17" s="1"/>
  <c r="M10" i="16"/>
  <c r="I15" i="17" l="1"/>
  <c r="I22" i="17" s="1"/>
  <c r="J13" i="17"/>
  <c r="K12" i="17"/>
  <c r="K11" i="17"/>
  <c r="K7" i="17"/>
  <c r="M20" i="16"/>
  <c r="M5" i="17" s="1"/>
  <c r="L5" i="17"/>
  <c r="J9" i="17"/>
  <c r="J10" i="17"/>
  <c r="J14" i="17"/>
  <c r="J16" i="17" s="1"/>
  <c r="H22" i="17"/>
  <c r="J15" i="17" l="1"/>
  <c r="L11" i="17"/>
  <c r="L7" i="17"/>
  <c r="P5" i="17"/>
  <c r="P7" i="17" s="1"/>
  <c r="M11" i="17"/>
  <c r="M7" i="17"/>
  <c r="K9" i="17"/>
  <c r="K10" i="17"/>
  <c r="L12" i="17"/>
  <c r="K13" i="17"/>
  <c r="K14" i="17" s="1"/>
  <c r="K16" i="17" s="1"/>
  <c r="M12" i="17" l="1"/>
  <c r="M13" i="17" s="1"/>
  <c r="M14" i="17" s="1"/>
  <c r="L13" i="17"/>
  <c r="L14" i="17" s="1"/>
  <c r="M9" i="17"/>
  <c r="M10" i="17" s="1"/>
  <c r="K15" i="17"/>
  <c r="K22" i="17" s="1"/>
  <c r="P9" i="17"/>
  <c r="P10" i="17" s="1"/>
  <c r="L9" i="17"/>
  <c r="L10" i="17" s="1"/>
  <c r="J22" i="17"/>
  <c r="M16" i="17" l="1"/>
  <c r="L15" i="17"/>
  <c r="L22" i="17"/>
  <c r="P14" i="17"/>
  <c r="P15" i="17"/>
  <c r="M18" i="17" s="1"/>
  <c r="M23" i="17" s="1"/>
  <c r="L16" i="17"/>
  <c r="M15" i="17"/>
  <c r="M22" i="17" s="1"/>
  <c r="C22" i="17" s="1"/>
  <c r="C25" i="17" l="1"/>
  <c r="C29" i="17" s="1"/>
  <c r="C32" i="17" s="1"/>
  <c r="I25" i="17" s="1"/>
  <c r="M28" i="17"/>
  <c r="M26" i="17"/>
  <c r="J29" i="17"/>
  <c r="L26" i="17"/>
  <c r="M27" i="17"/>
  <c r="J30" i="17"/>
  <c r="K28" i="17"/>
  <c r="L30" i="17"/>
  <c r="K26" i="17"/>
  <c r="M29" i="17"/>
  <c r="L27" i="17"/>
  <c r="J27" i="17"/>
  <c r="L28" i="17"/>
  <c r="K27" i="17"/>
  <c r="J26" i="17"/>
  <c r="K29" i="17"/>
  <c r="K30" i="17"/>
  <c r="M30" i="17"/>
  <c r="J28" i="17"/>
  <c r="L29"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7" authorId="0" shapeId="0" xr:uid="{00000000-0006-0000-0000-000001000000}">
      <text>
        <r>
          <rPr>
            <sz val="10"/>
            <rFont val="Arial"/>
            <family val="2"/>
          </rPr>
          <t>Sources: Screener.in (IOC consolidated), IndianOil Annual Report &amp; BRSR FY2024-25, NSE/BSE filings, CARE Ratings credit note (Dec 2025), Wikipedia - Indian Oil Corporation. Compiled June 2026.</t>
        </r>
      </text>
    </comment>
  </commentList>
</comments>
</file>

<file path=xl/sharedStrings.xml><?xml version="1.0" encoding="utf-8"?>
<sst xmlns="http://schemas.openxmlformats.org/spreadsheetml/2006/main" count="953" uniqueCount="623">
  <si>
    <t>INDIAN OIL CORPORATION LIMITED</t>
  </si>
  <si>
    <t>COMPANY OVERVIEW</t>
  </si>
  <si>
    <t>ABOUT THE COMPANY</t>
  </si>
  <si>
    <t>Source</t>
  </si>
  <si>
    <t>Indian Oil Corporation Limited (NSE: IOC | BSE: 530965), commonly known as IndianOil, is India's largest oil refining and fuel marketing company and a Maharatna public sector enterprise functioning under the Ministry of Petroleum and Natural Gas. Formed in 1959 through the merger of Indian Refineries Limited and the original Indian Oil Company, the group today spans the entire hydrocarbon value chain - exploration and production, refining, pipeline transportation, marketing, petrochemicals and natural gas. IndianOil operates 11 refineries (including those of subsidiary Chennai Petroleum Corporation) with a combined capacity of over 80 million tonnes a year, moves crude and finished products through a cross-country pipeline network exceeding 20,000 km, and serves customers through more than 40,000 retail outlets - the largest fuel retail network in the country. Its portfolio includes well-known brands such as Indane LPG, SERVO lubricants and XtraPremium/XtraMile fuels. Majority owned by the Government of India (around 51.5%), the company is now steadily directing capital toward the energy transition - green hydrogen, biofuels, sustainable aviation fuel, EV charging infrastructure and renewable power - alongside its core refining and marketing businesses.</t>
  </si>
  <si>
    <t>REGISTERED OFFICE</t>
  </si>
  <si>
    <t>Address</t>
  </si>
  <si>
    <t>Indian Oil Bhavan, G-9, Ali Yavar Jung Marg, Bandra (East), Mumbai - 400051, Maharashtra, India</t>
  </si>
  <si>
    <t>S.No</t>
  </si>
  <si>
    <t>Name of Entity</t>
  </si>
  <si>
    <t>Type</t>
  </si>
  <si>
    <t>Country / Region of Operation</t>
  </si>
  <si>
    <t>Primary Business</t>
  </si>
  <si>
    <t>Remarks</t>
  </si>
  <si>
    <t>Chennai Petroleum Corporation Limited (CPCL)</t>
  </si>
  <si>
    <t>Subsidiary</t>
  </si>
  <si>
    <t>India</t>
  </si>
  <si>
    <t>Refining &amp; petrochemicals</t>
  </si>
  <si>
    <t>~51.9% IOCL stake; principal refining subsidiary</t>
  </si>
  <si>
    <t>Lanka IOC PLC</t>
  </si>
  <si>
    <t>Sri Lanka</t>
  </si>
  <si>
    <t>Refining, marketing &amp; retail</t>
  </si>
  <si>
    <t>~75.1% IOCL stake; international downstream arm</t>
  </si>
  <si>
    <t>IOC Middle East FZE</t>
  </si>
  <si>
    <t>UAE</t>
  </si>
  <si>
    <t>Crude &amp; product trading</t>
  </si>
  <si>
    <t>Wholly owned trading and marketing hub</t>
  </si>
  <si>
    <t>IndianOil (Mauritius) Ltd.</t>
  </si>
  <si>
    <t>Mauritius</t>
  </si>
  <si>
    <t>Investment holding</t>
  </si>
  <si>
    <t>Wholly owned holding entity for overseas ventures</t>
  </si>
  <si>
    <t>IOC Sweden AB</t>
  </si>
  <si>
    <t>Sweden</t>
  </si>
  <si>
    <t>Wholly owned European holding company</t>
  </si>
  <si>
    <t>IOCL Singapore Pte. Limited</t>
  </si>
  <si>
    <t>Singapore</t>
  </si>
  <si>
    <t>Trading &amp; shipping</t>
  </si>
  <si>
    <t>Wholly owned trading and chartering hub</t>
  </si>
  <si>
    <t>IOCL (USA) Inc.</t>
  </si>
  <si>
    <t>USA</t>
  </si>
  <si>
    <t>International trading</t>
  </si>
  <si>
    <t>Wholly owned North America trading arm</t>
  </si>
  <si>
    <t>Indian Oil Tanking Limited</t>
  </si>
  <si>
    <t>Joint Venture</t>
  </si>
  <si>
    <t>Petroleum storage &amp; terminalling</t>
  </si>
  <si>
    <t>~49.4% JV with Oiltanking GmbH, Germany</t>
  </si>
  <si>
    <t>Indian Oil Petronas Private Limited</t>
  </si>
  <si>
    <t>LPG bottling &amp; auto LPG</t>
  </si>
  <si>
    <t>~50% JV with Petronas, Malaysia</t>
  </si>
  <si>
    <t>Indian Oil Skytanking Private Limited</t>
  </si>
  <si>
    <t>Aviation fuel storage &amp; handling</t>
  </si>
  <si>
    <t>~50% JV serving major Indian airports</t>
  </si>
  <si>
    <t>Lubrizol India Private Limited</t>
  </si>
  <si>
    <t>Lubricant additives</t>
  </si>
  <si>
    <t>~26% JV with The Lubrizol Corporation, USA</t>
  </si>
  <si>
    <t>NPCIL - IndianOil Nuclear Energy Corporation Ltd.</t>
  </si>
  <si>
    <t>Nuclear power generation</t>
  </si>
  <si>
    <t>~26% JV with NPCIL; diversification into nuclear energy</t>
  </si>
  <si>
    <t>IndianOil Adani Ventures Private Limited</t>
  </si>
  <si>
    <t>City gas distribution</t>
  </si>
  <si>
    <t>~50% JV with Adani Total Gas</t>
  </si>
  <si>
    <t>Indian Oil NTPC Green Energy Private Limited</t>
  </si>
  <si>
    <t>Renewable energy</t>
  </si>
  <si>
    <t>~50% JV with NTPC for solar &amp; wind projects</t>
  </si>
  <si>
    <t>Indian Oil Corporation</t>
  </si>
  <si>
    <t>Consolidated Balance Sheet</t>
  </si>
  <si>
    <t>Mar 26</t>
  </si>
  <si>
    <t>12 mths</t>
  </si>
  <si>
    <t>EQUITIES AND LIABILITIES</t>
  </si>
  <si>
    <t>SHAREHOLDER'S FUNDS</t>
  </si>
  <si>
    <t>Equity Share Capital</t>
  </si>
  <si>
    <t>Total Share Capital</t>
  </si>
  <si>
    <t>Reserves and Surplus</t>
  </si>
  <si>
    <t>Total Reserves and Surplus</t>
  </si>
  <si>
    <t>Total Shareholders Funds</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</si>
  <si>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</si>
  <si>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</si>
  <si>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</si>
  <si>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</si>
  <si>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</si>
  <si>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</si>
  <si>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</si>
  <si>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</si>
  <si>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</si>
  <si>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</si>
  <si>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</si>
  <si>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</si>
  <si>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</si>
  <si>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</si>
  <si>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</si>
  <si>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</si>
  <si>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</si>
  <si>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</si>
  <si>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</si>
  <si>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</si>
  <si>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</si>
  <si>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</si>
  <si>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</si>
  <si>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</si>
  <si>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</si>
  <si>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</si>
  <si>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</si>
  <si>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</si>
  <si>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</si>
  <si>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</si>
  <si>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</si>
  <si>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</si>
  <si>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</si>
  <si>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</si>
  <si>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</si>
  <si>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</si>
  <si>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</si>
  <si>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</si>
  <si>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</si>
  <si>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</si>
  <si>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</si>
  <si>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</si>
  <si>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</si>
  <si>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</si>
  <si>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</si>
  <si>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</si>
  <si>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Source : Dion Global Solutions Limited</t>
  </si>
  <si>
    <t>Consolidated Profit &amp; Loss account</t>
  </si>
  <si>
    <t>INCOME</t>
  </si>
  <si>
    <t>Revenue From Operations [Gross]</t>
  </si>
  <si>
    <t>Less: Excise/Sevice Tax/Other Levies</t>
  </si>
  <si>
    <t>Revenue From Operations [Net]</t>
  </si>
  <si>
    <t>Other Operating Revenues</t>
  </si>
  <si>
    <t>Total Operating Revenues</t>
  </si>
  <si>
    <t>Other Income</t>
  </si>
  <si>
    <t>Total Revenue</t>
  </si>
  <si>
    <t>EXPENSES</t>
  </si>
  <si>
    <t>Cost Of Materials Consumed</t>
  </si>
  <si>
    <t>Purchase Of Stock-In Trade</t>
  </si>
  <si>
    <t>Changes In Inventories Of FG,WIP And Stock-In Trade</t>
  </si>
  <si>
    <t>Employee Benefit Expenses</t>
  </si>
  <si>
    <t>Finance Costs</t>
  </si>
  <si>
    <t>Provsions and Contingencies</t>
  </si>
  <si>
    <t>Depreciation And Amortisation Expenses</t>
  </si>
  <si>
    <t>Other Expenses</t>
  </si>
  <si>
    <t>Total Expenses</t>
  </si>
  <si>
    <t>Profit/Loss Before Exceptional, ExtraOrdinary Items And Tax</t>
  </si>
  <si>
    <t>Exceptional Items</t>
  </si>
  <si>
    <t>Profit/Loss Before Tax</t>
  </si>
  <si>
    <t>Tax Expenses-Continued Operations</t>
  </si>
  <si>
    <t>Current Tax</t>
  </si>
  <si>
    <t>Deferred Tax</t>
  </si>
  <si>
    <t>Total Tax Expenses</t>
  </si>
  <si>
    <t>Profit/Loss After Tax And Before ExtraOrdinary Items</t>
  </si>
  <si>
    <t>Profit/Loss From Continuing Operations</t>
  </si>
  <si>
    <t>Profit/Loss For The Period</t>
  </si>
  <si>
    <t>Share Of Profit/Loss Of Associates</t>
  </si>
  <si>
    <t>Consolidated Profit/Loss After MI And Associates</t>
  </si>
  <si>
    <t>EARNINGS PER SHARE</t>
  </si>
  <si>
    <t>Basic EPS (Rs.)</t>
  </si>
  <si>
    <t>Diluted EPS (Rs.)</t>
  </si>
  <si>
    <t>DIVIDEND AND DIVIDEND PERCENTAGE</t>
  </si>
  <si>
    <t>Equity Share Dividend</t>
  </si>
  <si>
    <t>Cash Flow</t>
  </si>
  <si>
    <t>Net Profit/Loss Before Extraordinary Items And Tax</t>
  </si>
  <si>
    <t>Net CashFlow From Operating Activities</t>
  </si>
  <si>
    <t>Net Cash Used In Investing Activities</t>
  </si>
  <si>
    <t>Net Cash Used From Financing Activities</t>
  </si>
  <si>
    <t>Net Inc/Dec In Cash And Cash Equivalents</t>
  </si>
  <si>
    <t>Cash And Cash Equivalents Begin of Year</t>
  </si>
  <si>
    <t>Cash And Cash Equivalents End Of Year</t>
  </si>
  <si>
    <t xml:space="preserve">     Recommendation - Indian Oil Corporation Ltd: </t>
  </si>
  <si>
    <t>Financial Year</t>
  </si>
  <si>
    <t xml:space="preserve">Revenue </t>
  </si>
  <si>
    <t xml:space="preserve">PAT </t>
  </si>
  <si>
    <t>Revenue Change</t>
  </si>
  <si>
    <t xml:space="preserve">PAT Change </t>
  </si>
  <si>
    <t>TTM (Mar'26)</t>
  </si>
  <si>
    <t>2024-25</t>
  </si>
  <si>
    <t>2023-24</t>
  </si>
  <si>
    <t>2022-23</t>
  </si>
  <si>
    <t>2021-22</t>
  </si>
  <si>
    <t>Indian Oil Corporation Limited</t>
  </si>
  <si>
    <t>Historical Financial Statement</t>
  </si>
  <si>
    <t xml:space="preserve"> in Rs. Cr.</t>
  </si>
  <si>
    <t>Years</t>
  </si>
  <si>
    <t>Income Statement</t>
  </si>
  <si>
    <t>Revenue from Operations (Net)</t>
  </si>
  <si>
    <t>Revenue Growth %</t>
  </si>
  <si>
    <t>Less: Excise/Service Tax/Other Levies</t>
  </si>
  <si>
    <t>Revenue from Operations (Gross)</t>
  </si>
  <si>
    <t>Other Operating Revenue</t>
  </si>
  <si>
    <t>Cost of Materials Consumed</t>
  </si>
  <si>
    <t>Purchase of Stock-in-Trade</t>
  </si>
  <si>
    <t>Changes in Inventories of FG/WIP/SIT</t>
  </si>
  <si>
    <t>Provisions &amp; Contingencies</t>
  </si>
  <si>
    <t>Depreciation &amp; Amortisation Expenses</t>
  </si>
  <si>
    <t>EBITDA</t>
  </si>
  <si>
    <t>EBITDA Margins</t>
  </si>
  <si>
    <t>Depreciation &amp; Amortisation</t>
  </si>
  <si>
    <t>Depreciation % of Sales</t>
  </si>
  <si>
    <t>EBIT</t>
  </si>
  <si>
    <t>EBIT Margin</t>
  </si>
  <si>
    <t>Finance Costs % of Sales</t>
  </si>
  <si>
    <t>Profit Before Tax</t>
  </si>
  <si>
    <t>PBT % Sales</t>
  </si>
  <si>
    <t>Effective Tax Rate</t>
  </si>
  <si>
    <t>Net Profit (after MI &amp; Associates)</t>
  </si>
  <si>
    <t>Net Profit Margins</t>
  </si>
  <si>
    <t>Basic EPS (₹)</t>
  </si>
  <si>
    <t>EPS Growth %</t>
  </si>
  <si>
    <t>Balance Sheet</t>
  </si>
  <si>
    <t>EQUITY &amp; LIABILITIES</t>
  </si>
  <si>
    <t>Reserves &amp; Surplus</t>
  </si>
  <si>
    <t>Total Borrowings</t>
  </si>
  <si>
    <t>Tangible Assets (Net Block)</t>
  </si>
  <si>
    <t>Capital Work-in-Progress</t>
  </si>
  <si>
    <t>Fixed Assets (Net Block)</t>
  </si>
  <si>
    <t>Long Term Loans &amp; Advances</t>
  </si>
  <si>
    <t>Cash &amp; Cash Equivalents</t>
  </si>
  <si>
    <t>Short Term Loans &amp; Advances</t>
  </si>
  <si>
    <t>Other Current Assets</t>
  </si>
  <si>
    <t>Cash Flow Statement</t>
  </si>
  <si>
    <t>Net Cash from Operating Activities</t>
  </si>
  <si>
    <t>Net Cash used in Investing Activities</t>
  </si>
  <si>
    <t>Net Cash from Financing Activities</t>
  </si>
  <si>
    <t>Net Inc/(Dec) in Cash &amp; Equivalents</t>
  </si>
  <si>
    <t>Opening Cash &amp; Cash Equivalents</t>
  </si>
  <si>
    <t>Closing Cash &amp; Cash Equivalents</t>
  </si>
  <si>
    <t>Indian Oil Corporation Limited – Working Capital Analysis</t>
  </si>
  <si>
    <t>Change in Working Capital</t>
  </si>
  <si>
    <t xml:space="preserve">in Rs. Cr. </t>
  </si>
  <si>
    <t>Particulars</t>
  </si>
  <si>
    <t>CURRENT ASSETS (Operating)</t>
  </si>
  <si>
    <t>Total Operating Current Assets (A)</t>
  </si>
  <si>
    <t>CURRENT LIABILITIES (Operating)</t>
  </si>
  <si>
    <t>Total Operating Current Liabilities (B)</t>
  </si>
  <si>
    <t>Non-Cash Working Capital (A − B)</t>
  </si>
  <si>
    <t>Change in Working Capital (YoY)</t>
  </si>
  <si>
    <t>Change in Working Capital / Sales %</t>
  </si>
  <si>
    <t>Median Change in WC / Sales %</t>
  </si>
  <si>
    <t>Average Change in WC / Sales %</t>
  </si>
  <si>
    <t>WORKING CAPITAL EFFICIENCY RATIOS</t>
  </si>
  <si>
    <t>Inventory Days</t>
  </si>
  <si>
    <t>Debtor Days (Receivable Days)</t>
  </si>
  <si>
    <t>Creditor Days (Payable Days)</t>
  </si>
  <si>
    <t>Cash Conversion Cycle (days)</t>
  </si>
  <si>
    <t>Indian Oil Corporation Limited – Fixed Assets Schedule</t>
  </si>
  <si>
    <t>Fixed Assets Schedule</t>
  </si>
  <si>
    <t>Beginning Balance (Net Fixed Assets)</t>
  </si>
  <si>
    <t>Add: Gross Capital Expenditure (Purchases)</t>
  </si>
  <si>
    <t>Gross Fixed Assets (Before Depreciation)</t>
  </si>
  <si>
    <t>Less: Depreciation &amp; Amortisation</t>
  </si>
  <si>
    <t>Closing Balance (Net Fixed Assets)</t>
  </si>
  <si>
    <t>Net Capital Expenditure (Closing − Opening)</t>
  </si>
  <si>
    <t>Net Capex / Sales %</t>
  </si>
  <si>
    <t>Median Net Capex / Sales %</t>
  </si>
  <si>
    <t>Average Net Capex / Sales %</t>
  </si>
  <si>
    <t>Gross Capex / Sales %</t>
  </si>
  <si>
    <t>Median Gross Capex / Sales %</t>
  </si>
  <si>
    <t>Average Gross Capex / Sales %</t>
  </si>
  <si>
    <t>Median Depreciation / Sales %</t>
  </si>
  <si>
    <t>Average Depreciation / Sales %</t>
  </si>
  <si>
    <t>Indian Oil Corporation Limited – FCFF Build</t>
  </si>
  <si>
    <t xml:space="preserve">Free Cash Flow to Firm (FCFF) </t>
  </si>
  <si>
    <t xml:space="preserve">Less: Tax on EBIT </t>
  </si>
  <si>
    <t>EBIT × (1 − t)  [NOPAT]</t>
  </si>
  <si>
    <t>REINVESTMENT</t>
  </si>
  <si>
    <t>Less: Net Capital Expenditure</t>
  </si>
  <si>
    <t>Less: Change in Working Capital</t>
  </si>
  <si>
    <t>Total Reinvestment</t>
  </si>
  <si>
    <t xml:space="preserve">Free Cash Flow to Firm  </t>
  </si>
  <si>
    <t>REINVESTMENT RATE &amp; EFFICIENCY METRICS</t>
  </si>
  <si>
    <t>Reinvestment Rate  (Reinvestment / NOPAT)</t>
  </si>
  <si>
    <t>Median Reinvestment Rate</t>
  </si>
  <si>
    <t>Average Reinvestment Rate</t>
  </si>
  <si>
    <t>FCFF / Net Revenue %</t>
  </si>
  <si>
    <t>NOPAT Margin  (NOPAT / Net Revenue)</t>
  </si>
  <si>
    <t>FCFF Growth (YoY)</t>
  </si>
  <si>
    <t>WACC Calculation</t>
  </si>
  <si>
    <t>Cost Of Capital</t>
  </si>
  <si>
    <t>As On Date:</t>
  </si>
  <si>
    <t>June 2026</t>
  </si>
  <si>
    <t>Cost of Equity using CAPM:</t>
  </si>
  <si>
    <t>Risk-free rate</t>
  </si>
  <si>
    <t>India Default Spread</t>
  </si>
  <si>
    <t>Beta (Regression - IOC vs Nifty 50)</t>
  </si>
  <si>
    <t>Equity Risk Premium (ERP)</t>
  </si>
  <si>
    <t>Cost of Equity (Ke)</t>
  </si>
  <si>
    <t>Cost of Debt:</t>
  </si>
  <si>
    <t>Finance Cost (₹ Cr.)</t>
  </si>
  <si>
    <t>Long Term Borrowings (₹ Cr.)</t>
  </si>
  <si>
    <t>Short Term Borrowings (₹ Cr.)</t>
  </si>
  <si>
    <t>Total Debt (₹ Cr.)</t>
  </si>
  <si>
    <t>Pre-Tax Cost of Debt (Kd)</t>
  </si>
  <si>
    <t>Marginal Tax Rate %</t>
  </si>
  <si>
    <t>Post-Tax Cost of Debt</t>
  </si>
  <si>
    <t>WACC Calculation:</t>
  </si>
  <si>
    <t>Equity Share Capital (₹ Cr.)</t>
  </si>
  <si>
    <t>Face Value (₹)</t>
  </si>
  <si>
    <t>Shares Outstanding (Cr.)</t>
  </si>
  <si>
    <t>Share Price (₹, as on date)</t>
  </si>
  <si>
    <t>Market Value of Equity (₹ Cr.)</t>
  </si>
  <si>
    <t>Capital Structure Weights</t>
  </si>
  <si>
    <t>Total Capital (Equity + Debt) (₹ Cr.)</t>
  </si>
  <si>
    <t>Weight of Debt (Wd)</t>
  </si>
  <si>
    <t>Weight of Equity (We)</t>
  </si>
  <si>
    <t>WACC</t>
  </si>
  <si>
    <t>Metric</t>
  </si>
  <si>
    <t>Value</t>
  </si>
  <si>
    <t>A.  Income Statement Build-up</t>
  </si>
  <si>
    <t>Median Revenue Growth</t>
  </si>
  <si>
    <t>Less: Cost of Materials Consumed</t>
  </si>
  <si>
    <t>Less: Purchase of Stock-in-Trade</t>
  </si>
  <si>
    <t>Less: Changes in Inventories</t>
  </si>
  <si>
    <t>Less: Employee Benefit Expenses</t>
  </si>
  <si>
    <t>Less: Other Expenses</t>
  </si>
  <si>
    <t>Total Operating Expenses</t>
  </si>
  <si>
    <t>Median EBITDA Margin</t>
  </si>
  <si>
    <t>EBITDA Margin %</t>
  </si>
  <si>
    <t>Median EBIT Margin</t>
  </si>
  <si>
    <t>EBIT Margin %</t>
  </si>
  <si>
    <t>Add: Other Income</t>
  </si>
  <si>
    <t>Less: Finance Costs</t>
  </si>
  <si>
    <t>PBT</t>
  </si>
  <si>
    <t>Less: Total Tax Expenses</t>
  </si>
  <si>
    <t>Less: Minority Interest</t>
  </si>
  <si>
    <t>Net Profit - PAT</t>
  </si>
  <si>
    <t>Median PAT Margin</t>
  </si>
  <si>
    <t>Net Profit Margin %</t>
  </si>
  <si>
    <t>B.  Historical Growth Analysis</t>
  </si>
  <si>
    <t>Average Revenue Growth (FY22-26)</t>
  </si>
  <si>
    <t>CAGR Revenue (FY22-26)</t>
  </si>
  <si>
    <t>Median Revenue Growth (FY22-26)</t>
  </si>
  <si>
    <t>C.  Margin Analysis</t>
  </si>
  <si>
    <t>Median EBITDA %</t>
  </si>
  <si>
    <t>Median EBIT %</t>
  </si>
  <si>
    <t>EBT Margin %</t>
  </si>
  <si>
    <t>Median EBT %</t>
  </si>
  <si>
    <t>Median PAT %</t>
  </si>
  <si>
    <t>D.  Tax Rate</t>
  </si>
  <si>
    <t>Median Eff. Tax Rate</t>
  </si>
  <si>
    <t>Marginal Tax Rate (Standard)</t>
  </si>
  <si>
    <t>E.  Return on Capital</t>
  </si>
  <si>
    <t>EBIT × (1 - Tax Rate)</t>
  </si>
  <si>
    <t>Book Equity (Shareholders Funds)</t>
  </si>
  <si>
    <t>Total Debt (LT + ST Borrowings)</t>
  </si>
  <si>
    <t>Capital Employed (Equity + Debt + Cash)</t>
  </si>
  <si>
    <t>Pre-Tax Return on Capital (ROCE)</t>
  </si>
  <si>
    <t>Post-Tax Return on Capital (ROCE)</t>
  </si>
  <si>
    <t>5-Yr Avg Post-Tax ROCE</t>
  </si>
  <si>
    <t>Return on Equity (ROE)</t>
  </si>
  <si>
    <t>5-Yr Avg ROE</t>
  </si>
  <si>
    <t>F.  FCFF Driver: Implied Growth Rate</t>
  </si>
  <si>
    <t>Retention Ratio  (1 - DPS/EPS)</t>
  </si>
  <si>
    <t>Implied Growth Rate  (Retention × Post-Tax ROCE)</t>
  </si>
  <si>
    <t>5-Yr Avg Implied Growth</t>
  </si>
  <si>
    <t xml:space="preserve">G.  Cost of Capital </t>
  </si>
  <si>
    <t>Post-Tax Cost of Debt (Kd)</t>
  </si>
  <si>
    <t>Date</t>
  </si>
  <si>
    <t>Nifty 50 Daily Returns</t>
  </si>
  <si>
    <t>IOC.NS Daily Returns</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</si>
  <si>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</si>
  <si>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</si>
  <si>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</si>
  <si>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</si>
  <si>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</si>
  <si>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</si>
  <si>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</si>
  <si>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</si>
  <si>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</si>
  <si>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</si>
  <si>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</si>
  <si>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</si>
  <si>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</si>
  <si>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</si>
  <si>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</si>
  <si>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</si>
  <si>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</si>
  <si>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</si>
  <si>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</si>
  <si>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</si>
  <si>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</si>
  <si>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</si>
  <si>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</si>
  <si>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</si>
  <si>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</si>
  <si>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</si>
  <si>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RATIO ANALYSIS</t>
  </si>
  <si>
    <t>Ratio</t>
  </si>
  <si>
    <t>5Y Avg</t>
  </si>
  <si>
    <t>1.  Income Statement Ratios</t>
  </si>
  <si>
    <t>Revenue from Operations (Net)  (₹ Cr.)</t>
  </si>
  <si>
    <t>Revenue Growth YoY (%)</t>
  </si>
  <si>
    <t>EBITDA  (₹ Cr.)</t>
  </si>
  <si>
    <t>EBITDA Margin (%)</t>
  </si>
  <si>
    <t>EBITDA Growth YoY (%)</t>
  </si>
  <si>
    <t>EBIT  (₹ Cr.)</t>
  </si>
  <si>
    <t>EBIT Margin (%)</t>
  </si>
  <si>
    <t>Finance Costs  (₹ Cr.)</t>
  </si>
  <si>
    <t>Finance Costs % Revenue</t>
  </si>
  <si>
    <t>Depreciation &amp; Amortisation  (₹ Cr.)</t>
  </si>
  <si>
    <t>Depreciation % of Revenue</t>
  </si>
  <si>
    <t>PBT  (₹ Cr.)</t>
  </si>
  <si>
    <t>PBT Margin (%)</t>
  </si>
  <si>
    <t>Net Profit (Consolidated PAT)  (₹ Cr.)</t>
  </si>
  <si>
    <t>Net Profit Margin (%)</t>
  </si>
  <si>
    <t>PAT Growth YoY (%)</t>
  </si>
  <si>
    <t>Basic EPS  (₹)</t>
  </si>
  <si>
    <t>EPS Growth YoY (%)</t>
  </si>
  <si>
    <t>2.  Balance Sheet Ratios</t>
  </si>
  <si>
    <t>Total Shareholders Funds  (₹ Cr.)</t>
  </si>
  <si>
    <t>Total Equity incl. Minority Interest  (₹ Cr.)</t>
  </si>
  <si>
    <t>Long Term Borrowings  (₹ Cr.)</t>
  </si>
  <si>
    <t>Short Term Borrowings  (₹ Cr.)</t>
  </si>
  <si>
    <t>Gross Debt  (₹ Cr.)</t>
  </si>
  <si>
    <t>Cash &amp; Cash Equivalents  (₹ Cr.)</t>
  </si>
  <si>
    <t>Net Debt  (₹ Cr.)</t>
  </si>
  <si>
    <t>Inventories  (₹ Cr.)</t>
  </si>
  <si>
    <t>Trade Receivables  (₹ Cr.)</t>
  </si>
  <si>
    <t>Trade Payables  (₹ Cr.)</t>
  </si>
  <si>
    <t>Total Assets  (₹ Cr.)</t>
  </si>
  <si>
    <t>Fixed Assets (Net Block)  (₹ Cr.)</t>
  </si>
  <si>
    <t>3.  Return Ratios</t>
  </si>
  <si>
    <t>RoE: PAT / Shareholders Funds (%)</t>
  </si>
  <si>
    <t>RoA: PAT / Total Assets (%)</t>
  </si>
  <si>
    <t>RoCE: EBIT / Capital Employed (%)</t>
  </si>
  <si>
    <t>4.  Leverage &amp; Coverage Ratios</t>
  </si>
  <si>
    <t>Gross Debt / Equity (x)</t>
  </si>
  <si>
    <t>Net Debt / Equity (x)</t>
  </si>
  <si>
    <t>Net Debt / EBITDA (x)</t>
  </si>
  <si>
    <t>Interest Coverage: EBIT / Finance Costs (x)</t>
  </si>
  <si>
    <t>Gross Debt / Total Assets (%)</t>
  </si>
  <si>
    <t>5.  Asset &amp; Efficiency / Working Capital Ratios</t>
  </si>
  <si>
    <t>Asset Turnover: Revenue / Total Assets (x)</t>
  </si>
  <si>
    <t>Fixed Asset Turnover (x)</t>
  </si>
  <si>
    <t>Debtor Days (days)</t>
  </si>
  <si>
    <t>Inventory Days (days)</t>
  </si>
  <si>
    <t>Creditor / Payable Days (days)</t>
  </si>
  <si>
    <t>6.  Growth Ratios (YoY)</t>
  </si>
  <si>
    <t>7.  Per Share Data</t>
  </si>
  <si>
    <t>Diluted EPS  (₹)</t>
  </si>
  <si>
    <t>Book Value per Share  (₹)</t>
  </si>
  <si>
    <t>Net Debt per Share  (₹)</t>
  </si>
  <si>
    <t>Dividend per Share  (₹)</t>
  </si>
  <si>
    <t>Dividend Payout Ratio (%)</t>
  </si>
  <si>
    <t>Relative Valuation</t>
  </si>
  <si>
    <t>Comparable Company Valuation</t>
  </si>
  <si>
    <t>Company Name</t>
  </si>
  <si>
    <t>Market Data</t>
  </si>
  <si>
    <t>Financials (FY26, ₹ Cr.)</t>
  </si>
  <si>
    <t>Valuation Multiples</t>
  </si>
  <si>
    <t>No. of Shares (Cr.)</t>
  </si>
  <si>
    <t>Share Price (₹)</t>
  </si>
  <si>
    <t>Equity Value (₹ Cr.)</t>
  </si>
  <si>
    <t>Debt (₹ Cr.)</t>
  </si>
  <si>
    <t>Cash (₹ Cr.)</t>
  </si>
  <si>
    <t>Enterprise Value (₹ Cr.)</t>
  </si>
  <si>
    <t>Revenue (₹ Cr.)</t>
  </si>
  <si>
    <t>EBITDA (₹ Cr.)</t>
  </si>
  <si>
    <t>Net Profit (₹ Cr.)</t>
  </si>
  <si>
    <t>EPS (₹)</t>
  </si>
  <si>
    <t>EV/Revenue</t>
  </si>
  <si>
    <t>EV/EBITDA</t>
  </si>
  <si>
    <t>P/E Ratio</t>
  </si>
  <si>
    <t>Indian Oil Corp.</t>
  </si>
  <si>
    <t>BPCL</t>
  </si>
  <si>
    <t>HPCL</t>
  </si>
  <si>
    <t>MRPL</t>
  </si>
  <si>
    <t>CPCL</t>
  </si>
  <si>
    <t>ONGC</t>
  </si>
  <si>
    <t>Average</t>
  </si>
  <si>
    <t>M&amp;M Industry Comparable Comps</t>
  </si>
  <si>
    <t>P/E</t>
  </si>
  <si>
    <t>Median</t>
  </si>
  <si>
    <t>Implied Enterprise Value</t>
  </si>
  <si>
    <t>Net Debt (₹ Cr.)</t>
  </si>
  <si>
    <t>Max</t>
  </si>
  <si>
    <t>Implied Market Cap (₹ Cr.)</t>
  </si>
  <si>
    <t>75th %ile</t>
  </si>
  <si>
    <t>Implied Value per Share (₹)</t>
  </si>
  <si>
    <t>25th %ile</t>
  </si>
  <si>
    <t>Min</t>
  </si>
  <si>
    <t>GROWTH RATE ANALYSIS</t>
  </si>
  <si>
    <t>Revenue from Operations</t>
  </si>
  <si>
    <t>Year</t>
  </si>
  <si>
    <t>Approaches to calculate 'g' (Revenue Growth Rate)</t>
  </si>
  <si>
    <t>Method</t>
  </si>
  <si>
    <t>Arithmetic Mean (Avg YoY Growth)</t>
  </si>
  <si>
    <t>Arithmetic</t>
  </si>
  <si>
    <t>CAGR Method</t>
  </si>
  <si>
    <t>CAGR</t>
  </si>
  <si>
    <t>Log Regression (SLOPE)</t>
  </si>
  <si>
    <t>Log Regression</t>
  </si>
  <si>
    <t>Geometric Mean</t>
  </si>
  <si>
    <t>Geomean</t>
  </si>
  <si>
    <t>Fundamental Growth Rate (g = Retention Ratio × Return on Equity)</t>
  </si>
  <si>
    <t>Component</t>
  </si>
  <si>
    <t>Formula / Source</t>
  </si>
  <si>
    <t>Latest year (FY26)</t>
  </si>
  <si>
    <t>Dividend Per Share  (₹)</t>
  </si>
  <si>
    <t>Equity Dividend ÷ Shares Outstanding</t>
  </si>
  <si>
    <t>Dividend Payout Ratio  (D/P Ratio)</t>
  </si>
  <si>
    <t>DPS ÷ EPS</t>
  </si>
  <si>
    <t>Retention Ratio  (Ploughback)</t>
  </si>
  <si>
    <t>1 − D/P Ratio</t>
  </si>
  <si>
    <t>Return on Equity (5-Yr Avg RoE)</t>
  </si>
  <si>
    <t>Avg PAT / Shareholders Funds</t>
  </si>
  <si>
    <t>'g'  —  Implied Growth Rate (Fundamental)</t>
  </si>
  <si>
    <t>Retention Ratio × RoE</t>
  </si>
  <si>
    <t>Growth Scenarios  —  Indian Oil Corporation</t>
  </si>
  <si>
    <t>Scenario 1: High Growth</t>
  </si>
  <si>
    <t>INR Cr.</t>
  </si>
  <si>
    <t>LTM</t>
  </si>
  <si>
    <t>Y1E</t>
  </si>
  <si>
    <t>Y2E</t>
  </si>
  <si>
    <t>Y3E</t>
  </si>
  <si>
    <t>Y4E</t>
  </si>
  <si>
    <t>Y5E</t>
  </si>
  <si>
    <t>Y6E</t>
  </si>
  <si>
    <t>Y7E</t>
  </si>
  <si>
    <t>Y8E</t>
  </si>
  <si>
    <t>Y9E</t>
  </si>
  <si>
    <t>Y10E</t>
  </si>
  <si>
    <t>Avg Revenue Growth</t>
  </si>
  <si>
    <t>Sales</t>
  </si>
  <si>
    <t>Risk Free Rate</t>
  </si>
  <si>
    <t>Sales Growth %</t>
  </si>
  <si>
    <t>Growth Per Year Decay</t>
  </si>
  <si>
    <t>Scenario 2: Average Growth</t>
  </si>
  <si>
    <t>Scenario 3: g (Retention × RoE)</t>
  </si>
  <si>
    <t>Live Scenario</t>
  </si>
  <si>
    <t>Scenario</t>
  </si>
  <si>
    <t>Starting g</t>
  </si>
  <si>
    <t>High Growth (Arithmetic)</t>
  </si>
  <si>
    <t>Avg Growth (CAGR)</t>
  </si>
  <si>
    <t>Fundamental g (Ret × RoE)</t>
  </si>
  <si>
    <t>DCF Valuation  —  Indian Oil Corporation  (₹ Cr.)</t>
  </si>
  <si>
    <t>Terminal Year</t>
  </si>
  <si>
    <t>Terminal growth rate %</t>
  </si>
  <si>
    <t>Terminal Year Revenue</t>
  </si>
  <si>
    <t>Cost of Capital (WACC) %</t>
  </si>
  <si>
    <t>projected sales/revenue</t>
  </si>
  <si>
    <t>Terminal reinvestment rate %</t>
  </si>
  <si>
    <t>Less: Tax on EBIT</t>
  </si>
  <si>
    <t>Tax on EBIT</t>
  </si>
  <si>
    <t>EBIT(1-T)</t>
  </si>
  <si>
    <t>Non Cash Working Capital</t>
  </si>
  <si>
    <t>Reinvestment</t>
  </si>
  <si>
    <t>Free Cash Flow To Firm (FCFF)</t>
  </si>
  <si>
    <t>Implied Reinvestment rate %</t>
  </si>
  <si>
    <t>Terminal Value</t>
  </si>
  <si>
    <t>Present Value Interest Factor (PVIF)</t>
  </si>
  <si>
    <t>Present value of FCFF</t>
  </si>
  <si>
    <t>Present value of Terminal value</t>
  </si>
  <si>
    <t>Sensitivity: Intrinsic Value per Share  (₹)</t>
  </si>
  <si>
    <t>Value of operating assets</t>
  </si>
  <si>
    <t>Add: Cash &amp; Cash Equivalents</t>
  </si>
  <si>
    <t>Less: Total Debt (LT + ST)</t>
  </si>
  <si>
    <t>Equity Value</t>
  </si>
  <si>
    <t>No. of Shares outstanding (Cr.)</t>
  </si>
  <si>
    <t>Intrinsic Value Per Share  (₹)</t>
  </si>
  <si>
    <t>Current CMP  ₹147  (June 2026)</t>
  </si>
  <si>
    <t xml:space="preserve"> </t>
  </si>
  <si>
    <t xml:space="preserve">"HOLD" Indian Oil Corporation remains India's largest refining and fuel-marketing PSU, but earnings have swung sharply over the past two years on volatile crude prices and government-controlled LPG pricing. FY25 consolidated PAT (after minority interest and associates) fell around 67% YoY to ₹13,598 Cr on inventory losses and marketing under-recoveries, even as revenue held broadly flat at ₹7.58 lakh Cr. The trailing-twelve-month print (Mar'26) shows a sharp recovery to ₹42,096 Cr PAT, helped by softer crude, improved refining margins, and the Government's ₹30,000 Cr compensation for past LPG under-recoveries.
The chart reflects this volatility well: the stock rallied sharply through 2024, gave back most of those gains into early 2025, then staged another strong run-up through early 2026 to a 52-week high of ₹188.96, before correcting about 24% to the current ₹143.89 - still roughly 11% above its 52-week low of ₹130.22. At this level, IOC trades at a TTM P/E of approximately 4.8-5.6x and a P/B of about 1.1x - inexpensive on an absolute basis, but broadly in line with how the market has historically priced cyclical, regulation-sensitive OMC earnings rather than signalling a clear valuation gap.
</t>
  </si>
  <si>
    <t>Shareholding Pattern</t>
  </si>
  <si>
    <t>Indian Oil Corporation Ltd</t>
  </si>
  <si>
    <r>
      <t>Scrip Code : </t>
    </r>
    <r>
      <rPr>
        <sz val="7"/>
        <color rgb="FF000000"/>
        <rFont val="Arial"/>
        <family val="2"/>
      </rPr>
      <t>530965</t>
    </r>
  </si>
  <si>
    <r>
      <t>Quarter Ending : </t>
    </r>
    <r>
      <rPr>
        <sz val="7"/>
        <color rgb="FF000000"/>
        <rFont val="Arial"/>
        <family val="2"/>
      </rPr>
      <t>Mar-26</t>
    </r>
  </si>
  <si>
    <t>Statement showing shareholding pattern of the Promoter and Promoter Group</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</si>
  <si>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</si>
  <si>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</si>
  <si>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</si>
  <si>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</si>
  <si>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</si>
  <si>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</si>
  <si>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</si>
  <si>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Total No. Of shares on fully diluted basis (including warrants, ESOP, Convertible Securities etc.)</t>
  </si>
  <si>
    <t>Shareholding , as a % assuming full conversion of convertible securities ( as a percentage of diluted share capital)As a % of (A+B+C2)</t>
  </si>
  <si>
    <t>Number of equity shares held in dematerialized form</t>
  </si>
  <si>
    <t>Class eg: X</t>
  </si>
  <si>
    <t>A7) Indian</t>
  </si>
  <si>
    <t>-</t>
  </si>
  <si>
    <t>Central Government/ State Government(s)</t>
  </si>
  <si>
    <t>President of India</t>
  </si>
  <si>
    <t>Promoter</t>
  </si>
  <si>
    <t>Sub Total A1</t>
  </si>
  <si>
    <t>A8) Foreign</t>
  </si>
  <si>
    <t>A=A1+A2</t>
  </si>
  <si>
    <t>Shareholding Pattern Public Shareholder</t>
  </si>
  <si>
    <r>
      <t>Scrip Code :</t>
    </r>
    <r>
      <rPr>
        <sz val="11"/>
        <color rgb="FF000000"/>
        <rFont val="Calibri"/>
        <family val="2"/>
        <charset val="1"/>
      </rPr>
      <t> 530965</t>
    </r>
  </si>
  <si>
    <r>
      <t>Quarter Ending :</t>
    </r>
    <r>
      <rPr>
        <sz val="11"/>
        <color rgb="FF000000"/>
        <rFont val="Calibri"/>
        <family val="2"/>
        <charset val="1"/>
      </rPr>
      <t> Mar-26</t>
    </r>
  </si>
  <si>
    <t>Statement showing shareholding pattern of the Public shareholder</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</si>
  <si>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</si>
  <si>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</si>
  <si>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</si>
  <si>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</si>
  <si>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</si>
  <si>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</si>
  <si>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</si>
  <si>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</si>
  <si>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</si>
  <si>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</si>
  <si>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</si>
  <si>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</si>
  <si>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</si>
  <si>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</si>
  <si>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</si>
  <si>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Venture Capital Funds</t>
  </si>
  <si>
    <t>Alternate Investment Funds</t>
  </si>
  <si>
    <t>Banks</t>
  </si>
  <si>
    <t>Insurance Companies</t>
  </si>
  <si>
    <t>LIFE INSURANCE CORPORATION OF INDIA</t>
  </si>
  <si>
    <t>Provident Funds/ Pension Funds</t>
  </si>
  <si>
    <t>Asset reconstruction companies</t>
  </si>
  <si>
    <t>Sovereign Wealth Funds</t>
  </si>
  <si>
    <t>NBFCs registered with RBI</t>
  </si>
  <si>
    <t>Other Financial Institutions</t>
  </si>
  <si>
    <t>Sub Total B1</t>
  </si>
  <si>
    <t>B15) Institutions (Foreign)</t>
  </si>
  <si>
    <t>Foreign Direct Investment</t>
  </si>
  <si>
    <t>Foreign Venture Capital Investors</t>
  </si>
  <si>
    <t>Foreign Portfolio Investors Category I</t>
  </si>
  <si>
    <t>Foreign Portfolio Investors Category II</t>
  </si>
  <si>
    <t>Overseas Depositories (holding DRs) (balancing figure)</t>
  </si>
  <si>
    <t>Sub Total B2</t>
  </si>
  <si>
    <t>B23) Central Government/ State Government(s)/ President of India</t>
  </si>
  <si>
    <t>State Government / Governor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</si>
</sst>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yy"/>
    <numFmt numFmtId="165" formatCode="0.0%"/>
    <numFmt numFmtId="166" formatCode="#,##0;\(#,##0\);\-"/>
    <numFmt numFmtId="167" formatCode="0.0%;\(0.0%\);\-"/>
    <numFmt numFmtId="168" formatCode="#,##0.00;\(#,##0.00\);\-"/>
    <numFmt numFmtId="169" formatCode="#,##0.0;\(#,##0.0\);\-"/>
    <numFmt numFmtId="170" formatCode="0.00%;\(0.00%\);\-"/>
    <numFmt numFmtId="171" formatCode="m/d/yyyy"/>
    <numFmt numFmtId="172" formatCode="0.00\x"/>
    <numFmt numFmtId="173" formatCode="0.0"/>
    <numFmt numFmtId="174" formatCode="\₹#,##0.00"/>
    <numFmt numFmtId="175" formatCode="0.0\x"/>
    <numFmt numFmtId="176" formatCode="0.0000"/>
  </numFmts>
  <fonts count="87" x14ac:knownFonts="1">
    <font>
      <sz val="11"/>
      <color theme="1"/>
      <name val="Calibri"/>
      <family val="2"/>
      <charset val="1"/>
    </font>
    <font>
      <b/>
      <sz val="28"/>
      <color rgb="FFFFFFFF"/>
      <name val="Arial"/>
      <family val="2"/>
    </font>
    <font>
      <b/>
      <sz val="22"/>
      <color rgb="FF02164F"/>
      <name val="Arial"/>
      <family val="2"/>
    </font>
    <font>
      <b/>
      <sz val="14"/>
      <color rgb="FFFFFFFF"/>
      <name val="Arial"/>
      <family val="2"/>
    </font>
    <font>
      <sz val="14"/>
      <color rgb="FF0563C1"/>
      <name val="Arial"/>
      <family val="2"/>
    </font>
    <font>
      <sz val="16"/>
      <color rgb="FF000000"/>
      <name val="Arial"/>
      <family val="2"/>
    </font>
    <font>
      <b/>
      <sz val="12"/>
      <color rgb="FF000000"/>
      <name val="Arial"/>
      <family val="2"/>
    </font>
    <font>
      <sz val="12"/>
      <color rgb="FF000000"/>
      <name val="Arial"/>
      <family val="2"/>
    </font>
    <font>
      <b/>
      <sz val="12"/>
      <color rgb="FFFFFFFF"/>
      <name val="Arial"/>
      <family val="2"/>
    </font>
    <font>
      <sz val="12"/>
      <color rgb="FF8B0000"/>
      <name val="Arial"/>
      <family val="2"/>
    </font>
    <font>
      <sz val="10"/>
      <name val="Arial"/>
      <family val="2"/>
    </font>
    <font>
      <b/>
      <sz val="11"/>
      <color theme="1"/>
      <name val="Arial"/>
      <family val="2"/>
      <charset val="1"/>
    </font>
    <font>
      <sz val="11"/>
      <color theme="1"/>
      <name val="Arial"/>
      <family val="2"/>
      <charset val="1"/>
    </font>
    <font>
      <b/>
      <sz val="11"/>
      <color rgb="FFFFFFFF"/>
      <name val="Arial"/>
      <family val="2"/>
    </font>
    <font>
      <sz val="11"/>
      <color rgb="FF000000"/>
      <name val="Arial"/>
      <family val="2"/>
    </font>
    <font>
      <sz val="11"/>
      <name val="Calibri"/>
      <family val="2"/>
      <charset val="1"/>
    </font>
    <font>
      <b/>
      <sz val="13"/>
      <color theme="0"/>
      <name val="Arial"/>
      <family val="2"/>
      <charset val="1"/>
    </font>
    <font>
      <sz val="11"/>
      <color theme="0"/>
      <name val="Calibri"/>
      <family val="2"/>
      <charset val="1"/>
    </font>
    <font>
      <b/>
      <sz val="11"/>
      <name val="Arial"/>
      <family val="2"/>
      <charset val="1"/>
    </font>
    <font>
      <i/>
      <sz val="9"/>
      <name val="Arial"/>
      <family val="2"/>
      <charset val="1"/>
    </font>
    <font>
      <b/>
      <sz val="10"/>
      <color theme="0"/>
      <name val="Arial"/>
      <family val="2"/>
      <charset val="1"/>
    </font>
    <font>
      <sz val="10"/>
      <name val="Arial"/>
      <family val="2"/>
      <charset val="1"/>
    </font>
    <font>
      <i/>
      <sz val="10"/>
      <name val="Arial"/>
      <family val="2"/>
      <charset val="1"/>
    </font>
    <font>
      <b/>
      <sz val="10"/>
      <name val="Arial"/>
      <family val="2"/>
      <charset val="1"/>
    </font>
    <font>
      <b/>
      <sz val="10"/>
      <color rgb="FF000000"/>
      <name val="Arial"/>
      <family val="2"/>
    </font>
    <font>
      <sz val="10"/>
      <color rgb="FF000000"/>
      <name val="Arial"/>
      <family val="2"/>
    </font>
    <font>
      <i/>
      <sz val="9"/>
      <color rgb="FF595959"/>
      <name val="Arial"/>
      <family val="2"/>
    </font>
    <font>
      <b/>
      <sz val="12"/>
      <color theme="0"/>
      <name val="Arial"/>
      <family val="2"/>
      <charset val="1"/>
    </font>
    <font>
      <sz val="10"/>
      <color theme="1"/>
      <name val="Arial"/>
      <family val="2"/>
      <charset val="1"/>
    </font>
    <font>
      <b/>
      <sz val="10"/>
      <color theme="1"/>
      <name val="Arial"/>
      <family val="2"/>
      <charset val="1"/>
    </font>
    <font>
      <b/>
      <i/>
      <sz val="10"/>
      <name val="Arial"/>
      <family val="2"/>
      <charset val="1"/>
    </font>
    <font>
      <i/>
      <sz val="10"/>
      <color theme="1"/>
      <name val="Arial"/>
      <family val="2"/>
      <charset val="1"/>
    </font>
    <font>
      <b/>
      <i/>
      <sz val="10"/>
      <color theme="1"/>
      <name val="Arial"/>
      <family val="2"/>
      <charset val="1"/>
    </font>
    <font>
      <b/>
      <sz val="11"/>
      <color rgb="FF000000"/>
      <name val="Arial"/>
      <family val="2"/>
    </font>
    <font>
      <b/>
      <sz val="11"/>
      <color rgb="FF808080"/>
      <name val="Arial"/>
      <family val="2"/>
    </font>
    <font>
      <sz val="9"/>
      <color rgb="FF808080"/>
      <name val="Arial"/>
      <family val="2"/>
    </font>
    <font>
      <b/>
      <sz val="13"/>
      <color rgb="FFFFFFFF"/>
      <name val="Arial"/>
      <family val="2"/>
    </font>
    <font>
      <sz val="10"/>
      <color rgb="FF808080"/>
      <name val="Arial"/>
      <family val="2"/>
    </font>
    <font>
      <b/>
      <sz val="11"/>
      <color rgb="FFFFFFFF"/>
      <name val="Arial"/>
      <family val="2"/>
      <charset val="1"/>
    </font>
    <font>
      <b/>
      <sz val="11"/>
      <color theme="0"/>
      <name val="Arial"/>
      <family val="2"/>
      <charset val="1"/>
    </font>
    <font>
      <sz val="11"/>
      <name val="Arial"/>
      <family val="2"/>
      <charset val="1"/>
    </font>
    <font>
      <b/>
      <sz val="11"/>
      <color rgb="FF1F3864"/>
      <name val="Arial"/>
      <family val="2"/>
    </font>
    <font>
      <b/>
      <sz val="11"/>
      <color theme="0"/>
      <name val="Calibri"/>
      <family val="2"/>
      <charset val="1"/>
    </font>
    <font>
      <i/>
      <sz val="11"/>
      <color theme="1"/>
      <name val="Calibri"/>
      <family val="2"/>
      <charset val="1"/>
    </font>
    <font>
      <b/>
      <sz val="10"/>
      <color rgb="FFFFFFFF"/>
      <name val="Arial"/>
      <family val="2"/>
    </font>
    <font>
      <b/>
      <sz val="9"/>
      <color rgb="FF1F3864"/>
      <name val="Arial"/>
      <family val="2"/>
    </font>
    <font>
      <i/>
      <sz val="8"/>
      <color rgb="FF808080"/>
      <name val="Arial"/>
      <family val="2"/>
    </font>
    <font>
      <b/>
      <sz val="10"/>
      <color rgb="FFFFFFFF"/>
      <name val="Calibri"/>
      <family val="2"/>
    </font>
    <font>
      <b/>
      <sz val="10"/>
      <color rgb="FF002060"/>
      <name val="Calibri"/>
      <family val="2"/>
      <charset val="1"/>
    </font>
    <font>
      <b/>
      <sz val="9"/>
      <color rgb="FFFFFFFF"/>
      <name val="Calibri"/>
      <family val="2"/>
    </font>
    <font>
      <b/>
      <sz val="10"/>
      <name val="Calibri"/>
      <family val="2"/>
    </font>
    <font>
      <sz val="10"/>
      <name val="Calibri"/>
      <family val="2"/>
    </font>
    <font>
      <sz val="10"/>
      <color rgb="FF000000"/>
      <name val="Calibri"/>
      <family val="2"/>
    </font>
    <font>
      <b/>
      <sz val="10"/>
      <color rgb="FF002060"/>
      <name val="Calibri"/>
      <family val="2"/>
    </font>
    <font>
      <sz val="9"/>
      <name val="Calibri"/>
      <family val="2"/>
    </font>
    <font>
      <b/>
      <sz val="10"/>
      <color theme="0"/>
      <name val="Calibri"/>
      <family val="2"/>
      <charset val="1"/>
    </font>
    <font>
      <b/>
      <sz val="10"/>
      <name val="Calibri"/>
      <family val="2"/>
      <charset val="1"/>
    </font>
    <font>
      <sz val="10"/>
      <name val="Calibri"/>
      <family val="2"/>
      <charset val="1"/>
    </font>
    <font>
      <b/>
      <sz val="10"/>
      <color rgb="FF000000"/>
      <name val="Calibri"/>
      <family val="2"/>
    </font>
    <font>
      <sz val="10"/>
      <color theme="0"/>
      <name val="Calibri"/>
      <family val="2"/>
      <charset val="1"/>
    </font>
    <font>
      <sz val="10"/>
      <color rgb="FF008000"/>
      <name val="Calibri"/>
      <family val="2"/>
    </font>
    <font>
      <b/>
      <sz val="10"/>
      <color rgb="FF000000"/>
      <name val="Calibri"/>
      <family val="2"/>
      <charset val="1"/>
    </font>
    <font>
      <b/>
      <sz val="10"/>
      <color theme="1"/>
      <name val="Calibri"/>
      <family val="2"/>
      <charset val="1"/>
    </font>
    <font>
      <sz val="10"/>
      <color theme="1"/>
      <name val="Calibri"/>
      <family val="2"/>
      <charset val="1"/>
    </font>
    <font>
      <sz val="10"/>
      <color rgb="FF595959"/>
      <name val="Calibri"/>
      <family val="2"/>
    </font>
    <font>
      <sz val="7"/>
      <color rgb="FF000000"/>
      <name val="Arial"/>
      <family val="2"/>
    </font>
    <font>
      <sz val="7"/>
      <color rgb="FF000000"/>
      <name val="Arial"/>
      <family val="2"/>
    </font>
    <font>
      <sz val="7"/>
      <color rgb="FFFFFFFF"/>
      <name val="Arial"/>
      <family val="2"/>
    </font>
    <font>
      <sz val="11"/>
      <color rgb="FF000000"/>
      <name val="Calibri"/>
      <family val="2"/>
      <charset val="1"/>
    </font>
    <font>
      <sz val="11"/>
      <color rgb="FF000000"/>
      <name val="Calibri"/>
      <family val="2"/>
      <charset val="1"/>
    </font>
    <font>
      <sz val="11"/>
      <color rgb="FF000000"/>
      <name val="Arial"/>
      <family val="2"/>
    </font>
    <font>
      <sz val="11"/>
      <color rgb="FF000000"/>
      <name val="Arial"/>
      <family val="2"/>
    </font>
    <font>
      <sz val="7"/>
      <color rgb="FFFFFFFF"/>
      <name val="Calibri"/>
      <family val="2"/>
      <charset val="1"/>
    </font>
    <font>
      <b/>
      <sz val="12"/>
      <color theme="0"/>
      <name val="Arial"/>
      <family val="2"/>
    </font>
    <font>
      <sz val="8"/>
      <color rgb="FF000000"/>
      <name val="Arial"/>
      <family val="2"/>
    </font>
    <font>
      <b/>
      <sz val="14"/>
      <color theme="0"/>
      <name val="Arial"/>
      <family val="2"/>
    </font>
    <font>
      <b/>
      <sz val="16"/>
      <color theme="0"/>
      <name val="Arial"/>
      <family val="2"/>
    </font>
    <font>
      <sz val="11"/>
      <color theme="1"/>
      <name val="Arial"/>
      <family val="2"/>
    </font>
    <font>
      <b/>
      <sz val="8"/>
      <color theme="0"/>
      <name val="Arial"/>
      <family val="2"/>
    </font>
    <font>
      <b/>
      <sz val="6"/>
      <color theme="1"/>
      <name val="Arial"/>
      <family val="2"/>
    </font>
    <font>
      <sz val="6"/>
      <color theme="1"/>
      <name val="Arial"/>
      <family val="2"/>
    </font>
    <font>
      <b/>
      <sz val="6"/>
      <color rgb="FF000000"/>
      <name val="Arial"/>
      <family val="2"/>
    </font>
    <font>
      <b/>
      <sz val="9"/>
      <color theme="0"/>
      <name val="Arial"/>
      <family val="2"/>
    </font>
    <font>
      <b/>
      <sz val="20"/>
      <color theme="0"/>
      <name val="Arial"/>
      <family val="2"/>
    </font>
    <font>
      <b/>
      <sz val="16"/>
      <color theme="0"/>
      <name val="Calibri"/>
      <family val="2"/>
    </font>
    <font>
      <b/>
      <sz val="20"/>
      <color theme="0"/>
      <name val="Calibri"/>
      <family val="2"/>
      <charset val="1"/>
    </font>
    <font>
      <b/>
      <sz val="22"/>
      <color theme="0"/>
      <name val="Calibri"/>
      <family val="2"/>
      <charset val="1"/>
    </font>
  </fonts>
  <fills count="30">
    <fill>
      <patternFill patternType="none"/>
    </fill>
    <fill>
      <patternFill patternType="gray125"/>
    </fill>
    <fill>
      <patternFill patternType="solid">
        <fgColor rgb="FF02164F"/>
        <bgColor rgb="FF002060"/>
      </patternFill>
    </fill>
    <fill>
      <patternFill patternType="solid">
        <fgColor rgb="FFF2F2F2"/>
        <bgColor rgb="FFEEEEEE"/>
      </patternFill>
    </fill>
    <fill>
      <patternFill patternType="solid">
        <fgColor rgb="FFF37022"/>
        <bgColor rgb="FFFF9900"/>
      </patternFill>
    </fill>
    <fill>
      <patternFill patternType="solid">
        <fgColor rgb="FFFFFFFF"/>
        <bgColor rgb="FFFAFAFA"/>
      </patternFill>
    </fill>
    <fill>
      <patternFill patternType="solid">
        <fgColor rgb="FFE8EBEF"/>
        <bgColor rgb="FFEEEEEE"/>
      </patternFill>
    </fill>
    <fill>
      <patternFill patternType="solid">
        <fgColor theme="4" tint="-0.499984740745262"/>
        <bgColor rgb="FF1F3864"/>
      </patternFill>
    </fill>
    <fill>
      <patternFill patternType="solid">
        <fgColor rgb="FFFAFAFA"/>
        <bgColor rgb="FFFFFFFF"/>
      </patternFill>
    </fill>
    <fill>
      <patternFill patternType="solid">
        <fgColor rgb="FFD6E4F0"/>
        <bgColor rgb="FFDAE3F3"/>
      </patternFill>
    </fill>
    <fill>
      <patternFill patternType="solid">
        <fgColor rgb="FFBDD7EE"/>
        <bgColor rgb="FFD0D0D0"/>
      </patternFill>
    </fill>
    <fill>
      <patternFill patternType="solid">
        <fgColor rgb="FF1F3864"/>
        <bgColor rgb="FF203864"/>
      </patternFill>
    </fill>
    <fill>
      <patternFill patternType="solid">
        <fgColor rgb="FFD9E1F2"/>
        <bgColor rgb="FFDAE3F3"/>
      </patternFill>
    </fill>
    <fill>
      <patternFill patternType="solid">
        <fgColor rgb="FFFFFF00"/>
        <bgColor rgb="FFF4B942"/>
      </patternFill>
    </fill>
    <fill>
      <patternFill patternType="solid">
        <fgColor theme="0" tint="-0.14999847407452621"/>
        <bgColor rgb="FFD0D0D0"/>
      </patternFill>
    </fill>
    <fill>
      <patternFill patternType="solid">
        <fgColor theme="4" tint="0.79979857783745845"/>
        <bgColor rgb="FFD9E1F2"/>
      </patternFill>
    </fill>
    <fill>
      <patternFill patternType="solid">
        <fgColor rgb="FF002060"/>
        <bgColor rgb="FF02164F"/>
      </patternFill>
    </fill>
    <fill>
      <patternFill patternType="solid">
        <fgColor rgb="FFDCE6F1"/>
        <bgColor rgb="FFDAE3F3"/>
      </patternFill>
    </fill>
    <fill>
      <patternFill patternType="solid">
        <fgColor rgb="FF4472C4"/>
        <bgColor rgb="FF0563C1"/>
      </patternFill>
    </fill>
    <fill>
      <patternFill patternType="solid">
        <fgColor rgb="FFD9EAF7"/>
        <bgColor rgb="FFDCE6F1"/>
      </patternFill>
    </fill>
    <fill>
      <patternFill patternType="solid">
        <fgColor rgb="FFDDEEFF"/>
        <bgColor rgb="FFD9EAF7"/>
      </patternFill>
    </fill>
    <fill>
      <patternFill patternType="solid">
        <fgColor rgb="FFE2EFDA"/>
        <bgColor rgb="FFE8EBEF"/>
      </patternFill>
    </fill>
    <fill>
      <patternFill patternType="solid">
        <fgColor rgb="FFF4B942"/>
        <bgColor rgb="FFFF9900"/>
      </patternFill>
    </fill>
    <fill>
      <patternFill patternType="solid">
        <fgColor rgb="FFFFF2CC"/>
        <bgColor rgb="FFF2F2F2"/>
      </patternFill>
    </fill>
    <fill>
      <patternFill patternType="solid">
        <fgColor rgb="FFFFFFFF"/>
        <bgColor indexed="64"/>
      </patternFill>
    </fill>
    <fill>
      <patternFill patternType="solid">
        <fgColor rgb="FF243166"/>
        <bgColor indexed="64"/>
      </patternFill>
    </fill>
    <fill>
      <patternFill patternType="solid">
        <fgColor theme="4" tint="-0.249977111117893"/>
        <bgColor indexed="64"/>
      </patternFill>
    </fill>
    <fill>
      <patternFill patternType="solid">
        <fgColor theme="4" tint="-0.249977111117893"/>
        <bgColor rgb="FFFAFAFA"/>
      </patternFill>
    </fill>
    <fill>
      <patternFill patternType="solid">
        <fgColor theme="4" tint="-0.249977111117893"/>
        <bgColor rgb="FFEEEEEE"/>
      </patternFill>
    </fill>
    <fill>
      <patternFill patternType="solid">
        <fgColor rgb="FF002060"/>
        <bgColor indexed="64"/>
      </patternFill>
    </fill>
  </fills>
  <borders count="36">
    <border>
      <left/>
      <right/>
      <top/>
      <bottom/>
      <diagonal/>
    </border>
    <border>
      <left style="thin">
        <color auto="1"/>
      </left>
      <right/>
      <top style="thin">
        <color auto="1"/>
      </top>
      <bottom style="thin">
        <color auto="1"/>
      </bottom>
      <diagonal/>
    </border>
    <border>
      <left style="thin">
        <color rgb="FFD0D0D0"/>
      </left>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medium">
        <color rgb="FFEEEEEE"/>
      </left>
      <right style="medium">
        <color rgb="FFEEEEEE"/>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thin">
        <color auto="1"/>
      </bottom>
      <diagonal/>
    </border>
    <border>
      <left/>
      <right/>
      <top/>
      <bottom style="medium">
        <color auto="1"/>
      </bottom>
      <diagonal/>
    </border>
    <border>
      <left/>
      <right style="thin">
        <color auto="1"/>
      </right>
      <top style="thin">
        <color auto="1"/>
      </top>
      <bottom style="thin">
        <color auto="1"/>
      </bottom>
      <diagonal/>
    </border>
    <border>
      <left/>
      <right/>
      <top/>
      <bottom style="thin">
        <color auto="1"/>
      </bottom>
      <diagonal/>
    </border>
    <border>
      <left style="double">
        <color rgb="FFDDDDDD"/>
      </left>
      <right style="double">
        <color rgb="FFDDDDDD"/>
      </right>
      <top style="double">
        <color rgb="FFDDDDDD"/>
      </top>
      <bottom style="double">
        <color rgb="FFDDDDDD"/>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double">
        <color rgb="FFDDDDDD"/>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EEEEEE"/>
      </left>
      <right/>
      <top/>
      <bottom/>
      <diagonal/>
    </border>
    <border>
      <left style="double">
        <color rgb="FFDDDDDD"/>
      </left>
      <right style="double">
        <color rgb="FFDDDDDD"/>
      </right>
      <top/>
      <bottom style="double">
        <color rgb="FFDDDDDD"/>
      </bottom>
      <diagonal/>
    </border>
    <border>
      <left style="thin">
        <color indexed="64"/>
      </left>
      <right style="double">
        <color rgb="FFDDDDDD"/>
      </right>
      <top/>
      <bottom style="double">
        <color rgb="FFDDDDDD"/>
      </bottom>
      <diagonal/>
    </border>
    <border>
      <left style="thin">
        <color indexed="64"/>
      </left>
      <right/>
      <top style="double">
        <color rgb="FFDDDDDD"/>
      </top>
      <bottom style="thin">
        <color indexed="64"/>
      </bottom>
      <diagonal/>
    </border>
    <border>
      <left/>
      <right style="double">
        <color rgb="FFDDDDDD"/>
      </right>
      <top style="double">
        <color rgb="FFDDDDDD"/>
      </top>
      <bottom style="thin">
        <color indexed="64"/>
      </bottom>
      <diagonal/>
    </border>
    <border>
      <left/>
      <right/>
      <top style="thin">
        <color indexed="64"/>
      </top>
      <bottom style="thin">
        <color indexed="64"/>
      </bottom>
      <diagonal/>
    </border>
  </borders>
  <cellStyleXfs count="1">
    <xf numFmtId="0" fontId="0" fillId="0" borderId="0"/>
  </cellStyleXfs>
  <cellXfs count="343">
    <xf numFmtId="0" fontId="0" fillId="0" borderId="0" xfId="0"/>
    <xf numFmtId="0" fontId="4" fillId="0" borderId="0" xfId="0" applyFont="1"/>
    <xf numFmtId="0" fontId="6" fillId="0" borderId="0" xfId="0" applyFont="1" applyAlignment="1">
      <alignment horizontal="left" vertical="center" wrapText="1"/>
    </xf>
    <xf numFmtId="0" fontId="8" fillId="4" borderId="3" xfId="0" applyFont="1" applyFill="1" applyBorder="1" applyAlignment="1">
      <alignment horizontal="center" vertical="center" wrapText="1"/>
    </xf>
    <xf numFmtId="0" fontId="8" fillId="4" borderId="3" xfId="0" applyFont="1" applyFill="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9" fillId="0" borderId="3" xfId="0" applyFont="1" applyBorder="1" applyAlignment="1">
      <alignment horizontal="center" vertical="center" wrapText="1"/>
    </xf>
    <xf numFmtId="0" fontId="13" fillId="2" borderId="3" xfId="0" applyFont="1" applyFill="1" applyBorder="1" applyAlignment="1">
      <alignment horizontal="left" vertical="center" wrapText="1"/>
    </xf>
    <xf numFmtId="0" fontId="13" fillId="2" borderId="3" xfId="0" applyFont="1" applyFill="1" applyBorder="1" applyAlignment="1">
      <alignment horizontal="right" vertical="center" wrapText="1"/>
    </xf>
    <xf numFmtId="0" fontId="14" fillId="0" borderId="3" xfId="0" applyFont="1" applyBorder="1" applyAlignment="1">
      <alignment horizontal="left" vertical="center" wrapText="1"/>
    </xf>
    <xf numFmtId="3" fontId="14" fillId="0" borderId="3" xfId="0" applyNumberFormat="1" applyFont="1" applyBorder="1" applyAlignment="1">
      <alignment horizontal="right" vertical="center" wrapText="1"/>
    </xf>
    <xf numFmtId="165" fontId="14" fillId="0" borderId="3" xfId="0" applyNumberFormat="1" applyFont="1" applyBorder="1" applyAlignment="1">
      <alignment horizontal="right" vertical="center" wrapText="1"/>
    </xf>
    <xf numFmtId="0" fontId="15" fillId="0" borderId="0" xfId="0" applyFont="1"/>
    <xf numFmtId="0" fontId="16" fillId="7" borderId="0" xfId="0" applyFont="1" applyFill="1" applyAlignment="1">
      <alignment horizontal="left" vertical="center"/>
    </xf>
    <xf numFmtId="0" fontId="17" fillId="7" borderId="0" xfId="0" applyFont="1" applyFill="1"/>
    <xf numFmtId="0" fontId="18" fillId="0" borderId="0" xfId="0" applyFont="1" applyAlignment="1">
      <alignment horizontal="left" vertical="center"/>
    </xf>
    <xf numFmtId="0" fontId="20" fillId="7" borderId="5" xfId="0" applyFont="1" applyFill="1" applyBorder="1" applyAlignment="1">
      <alignment horizontal="center" vertical="center"/>
    </xf>
    <xf numFmtId="0" fontId="20" fillId="7" borderId="0" xfId="0" applyFont="1" applyFill="1" applyAlignment="1">
      <alignment horizontal="left" vertical="center"/>
    </xf>
    <xf numFmtId="0" fontId="21" fillId="8" borderId="5" xfId="0" applyFont="1" applyFill="1" applyBorder="1" applyAlignment="1">
      <alignment horizontal="left" vertical="center"/>
    </xf>
    <xf numFmtId="166" fontId="21" fillId="5" borderId="5" xfId="0" applyNumberFormat="1" applyFont="1" applyFill="1" applyBorder="1" applyAlignment="1">
      <alignment horizontal="right" vertical="center"/>
    </xf>
    <xf numFmtId="0" fontId="22" fillId="8" borderId="5" xfId="0" applyFont="1" applyFill="1" applyBorder="1" applyAlignment="1">
      <alignment horizontal="left" vertical="center"/>
    </xf>
    <xf numFmtId="0" fontId="15" fillId="0" borderId="5" xfId="0" applyFont="1" applyBorder="1"/>
    <xf numFmtId="167" fontId="21" fillId="5" borderId="5" xfId="0" applyNumberFormat="1" applyFont="1" applyFill="1" applyBorder="1" applyAlignment="1">
      <alignment horizontal="right" vertical="center"/>
    </xf>
    <xf numFmtId="0" fontId="23" fillId="9" borderId="5" xfId="0" applyFont="1" applyFill="1" applyBorder="1" applyAlignment="1">
      <alignment horizontal="left" vertical="center"/>
    </xf>
    <xf numFmtId="166" fontId="24" fillId="9" borderId="5" xfId="0" applyNumberFormat="1" applyFont="1" applyFill="1" applyBorder="1" applyAlignment="1">
      <alignment horizontal="right" vertical="center"/>
    </xf>
    <xf numFmtId="0" fontId="23" fillId="8" borderId="5" xfId="0" applyFont="1" applyFill="1" applyBorder="1" applyAlignment="1">
      <alignment horizontal="left" vertical="center"/>
    </xf>
    <xf numFmtId="0" fontId="15" fillId="8" borderId="5" xfId="0" applyFont="1" applyFill="1" applyBorder="1"/>
    <xf numFmtId="167" fontId="25" fillId="5" borderId="5" xfId="0" applyNumberFormat="1" applyFont="1" applyFill="1" applyBorder="1" applyAlignment="1">
      <alignment horizontal="right" vertical="center"/>
    </xf>
    <xf numFmtId="166" fontId="23" fillId="5" borderId="5" xfId="0" applyNumberFormat="1" applyFont="1" applyFill="1" applyBorder="1" applyAlignment="1">
      <alignment horizontal="right" vertical="center"/>
    </xf>
    <xf numFmtId="168" fontId="21" fillId="5" borderId="5" xfId="0" applyNumberFormat="1" applyFont="1" applyFill="1" applyBorder="1" applyAlignment="1">
      <alignment horizontal="right" vertical="center"/>
    </xf>
    <xf numFmtId="0" fontId="0" fillId="8" borderId="5" xfId="0" applyFill="1" applyBorder="1"/>
    <xf numFmtId="166" fontId="23" fillId="9" borderId="5" xfId="0" applyNumberFormat="1" applyFont="1" applyFill="1" applyBorder="1" applyAlignment="1">
      <alignment horizontal="right" vertical="center"/>
    </xf>
    <xf numFmtId="0" fontId="23" fillId="10" borderId="5" xfId="0" applyFont="1" applyFill="1" applyBorder="1" applyAlignment="1">
      <alignment horizontal="left" vertical="center"/>
    </xf>
    <xf numFmtId="166" fontId="23" fillId="10" borderId="5" xfId="0" applyNumberFormat="1" applyFont="1" applyFill="1" applyBorder="1" applyAlignment="1">
      <alignment horizontal="right" vertical="center"/>
    </xf>
    <xf numFmtId="0" fontId="15" fillId="5" borderId="5" xfId="0" applyFont="1" applyFill="1" applyBorder="1"/>
    <xf numFmtId="0" fontId="15" fillId="9" borderId="5" xfId="0" applyFont="1" applyFill="1" applyBorder="1"/>
    <xf numFmtId="0" fontId="27" fillId="7" borderId="0" xfId="0" applyFont="1" applyFill="1" applyAlignment="1">
      <alignment horizontal="left" vertical="center"/>
    </xf>
    <xf numFmtId="0" fontId="23" fillId="0" borderId="5" xfId="0" applyFont="1" applyBorder="1" applyAlignment="1">
      <alignment horizontal="left" vertical="center"/>
    </xf>
    <xf numFmtId="0" fontId="0" fillId="0" borderId="5" xfId="0" applyBorder="1"/>
    <xf numFmtId="0" fontId="21" fillId="0" borderId="5" xfId="0" applyFont="1" applyBorder="1" applyAlignment="1">
      <alignment horizontal="left" vertical="center"/>
    </xf>
    <xf numFmtId="166" fontId="21" fillId="0" borderId="5" xfId="0" applyNumberFormat="1" applyFont="1" applyBorder="1" applyAlignment="1">
      <alignment horizontal="right" vertical="center"/>
    </xf>
    <xf numFmtId="0" fontId="22" fillId="0" borderId="5" xfId="0" applyFont="1" applyBorder="1" applyAlignment="1">
      <alignment horizontal="left" vertical="center"/>
    </xf>
    <xf numFmtId="167" fontId="21" fillId="0" borderId="5" xfId="0" applyNumberFormat="1" applyFont="1" applyBorder="1" applyAlignment="1">
      <alignment horizontal="right" vertical="center"/>
    </xf>
    <xf numFmtId="169" fontId="21" fillId="0" borderId="5" xfId="0" applyNumberFormat="1" applyFont="1" applyBorder="1" applyAlignment="1">
      <alignment horizontal="right" vertical="center"/>
    </xf>
    <xf numFmtId="169" fontId="23" fillId="10" borderId="5" xfId="0" applyNumberFormat="1" applyFont="1" applyFill="1" applyBorder="1" applyAlignment="1">
      <alignment horizontal="right" vertical="center"/>
    </xf>
    <xf numFmtId="0" fontId="0" fillId="7" borderId="0" xfId="0" applyFill="1"/>
    <xf numFmtId="166" fontId="28" fillId="0" borderId="5" xfId="0" applyNumberFormat="1" applyFont="1" applyBorder="1" applyAlignment="1">
      <alignment horizontal="right" vertical="center"/>
    </xf>
    <xf numFmtId="166" fontId="29" fillId="0" borderId="5" xfId="0" applyNumberFormat="1" applyFont="1" applyBorder="1" applyAlignment="1">
      <alignment horizontal="right" vertical="center"/>
    </xf>
    <xf numFmtId="166" fontId="28" fillId="8" borderId="5" xfId="0" applyNumberFormat="1" applyFont="1" applyFill="1" applyBorder="1" applyAlignment="1">
      <alignment horizontal="right" vertical="center"/>
    </xf>
    <xf numFmtId="166" fontId="29" fillId="10" borderId="5" xfId="0" applyNumberFormat="1" applyFont="1" applyFill="1" applyBorder="1" applyAlignment="1">
      <alignment horizontal="right" vertical="center"/>
    </xf>
    <xf numFmtId="0" fontId="30" fillId="0" borderId="5" xfId="0" applyFont="1" applyBorder="1" applyAlignment="1">
      <alignment horizontal="left" vertical="center"/>
    </xf>
    <xf numFmtId="167" fontId="28" fillId="0" borderId="5" xfId="0" applyNumberFormat="1" applyFont="1" applyBorder="1" applyAlignment="1">
      <alignment horizontal="right" vertical="center"/>
    </xf>
    <xf numFmtId="0" fontId="8" fillId="7" borderId="0" xfId="0" applyFont="1" applyFill="1" applyAlignment="1">
      <alignment horizontal="left" vertical="center"/>
    </xf>
    <xf numFmtId="0" fontId="11" fillId="0" borderId="0" xfId="0" applyFont="1" applyAlignment="1">
      <alignment horizontal="left" vertical="center"/>
    </xf>
    <xf numFmtId="0" fontId="29" fillId="0" borderId="5" xfId="0" applyFont="1" applyBorder="1" applyAlignment="1">
      <alignment horizontal="left" vertical="center"/>
    </xf>
    <xf numFmtId="0" fontId="31" fillId="0" borderId="5" xfId="0" applyFont="1" applyBorder="1" applyAlignment="1">
      <alignment horizontal="left" vertical="center"/>
    </xf>
    <xf numFmtId="170" fontId="28" fillId="0" borderId="5" xfId="0" applyNumberFormat="1" applyFont="1" applyBorder="1" applyAlignment="1">
      <alignment horizontal="right" vertical="center"/>
    </xf>
    <xf numFmtId="0" fontId="28" fillId="0" borderId="5" xfId="0" applyFont="1" applyBorder="1" applyAlignment="1">
      <alignment horizontal="left" vertical="center"/>
    </xf>
    <xf numFmtId="0" fontId="29" fillId="10" borderId="6" xfId="0" applyFont="1" applyFill="1" applyBorder="1" applyAlignment="1">
      <alignment horizontal="left" vertical="center"/>
    </xf>
    <xf numFmtId="166" fontId="29" fillId="10" borderId="6" xfId="0" applyNumberFormat="1" applyFont="1" applyFill="1" applyBorder="1" applyAlignment="1">
      <alignment horizontal="right" vertical="center"/>
    </xf>
    <xf numFmtId="0" fontId="11" fillId="10" borderId="6" xfId="0" applyFont="1" applyFill="1" applyBorder="1" applyAlignment="1">
      <alignment horizontal="left" vertical="center"/>
    </xf>
    <xf numFmtId="166" fontId="11" fillId="10" borderId="6" xfId="0" applyNumberFormat="1" applyFont="1" applyFill="1" applyBorder="1" applyAlignment="1">
      <alignment horizontal="right" vertical="center"/>
    </xf>
    <xf numFmtId="0" fontId="29" fillId="8" borderId="5" xfId="0" applyFont="1" applyFill="1" applyBorder="1" applyAlignment="1">
      <alignment horizontal="left" vertical="center"/>
    </xf>
    <xf numFmtId="0" fontId="32" fillId="0" borderId="5" xfId="0" applyFont="1" applyBorder="1" applyAlignment="1">
      <alignment horizontal="left" vertical="center"/>
    </xf>
    <xf numFmtId="0" fontId="33" fillId="0" borderId="5" xfId="0" applyFont="1" applyBorder="1"/>
    <xf numFmtId="0" fontId="12" fillId="0" borderId="5" xfId="0" applyFont="1" applyBorder="1" applyAlignment="1">
      <alignment horizontal="right"/>
    </xf>
    <xf numFmtId="0" fontId="0" fillId="0" borderId="7" xfId="0" applyBorder="1"/>
    <xf numFmtId="0" fontId="0" fillId="0" borderId="8" xfId="0" applyBorder="1"/>
    <xf numFmtId="0" fontId="33" fillId="12" borderId="7" xfId="0" applyFont="1" applyFill="1" applyBorder="1"/>
    <xf numFmtId="10" fontId="12" fillId="0" borderId="5" xfId="0" applyNumberFormat="1" applyFont="1" applyBorder="1"/>
    <xf numFmtId="0" fontId="34" fillId="0" borderId="5" xfId="0" applyFont="1" applyBorder="1"/>
    <xf numFmtId="2" fontId="12" fillId="0" borderId="5" xfId="0" applyNumberFormat="1" applyFont="1" applyBorder="1"/>
    <xf numFmtId="4" fontId="12" fillId="0" borderId="5" xfId="0" applyNumberFormat="1" applyFont="1" applyBorder="1"/>
    <xf numFmtId="0" fontId="8" fillId="11" borderId="7" xfId="0" applyFont="1" applyFill="1" applyBorder="1"/>
    <xf numFmtId="0" fontId="0" fillId="11" borderId="8" xfId="0" applyFill="1" applyBorder="1"/>
    <xf numFmtId="0" fontId="33" fillId="3" borderId="9" xfId="0" applyFont="1" applyFill="1" applyBorder="1"/>
    <xf numFmtId="10" fontId="33" fillId="3" borderId="10" xfId="0" applyNumberFormat="1" applyFont="1" applyFill="1" applyBorder="1"/>
    <xf numFmtId="0" fontId="33" fillId="0" borderId="0" xfId="0" applyFont="1"/>
    <xf numFmtId="0" fontId="35" fillId="0" borderId="0" xfId="0" applyFont="1"/>
    <xf numFmtId="0" fontId="13" fillId="11" borderId="0" xfId="0" applyFont="1" applyFill="1" applyAlignment="1">
      <alignment horizontal="left" vertical="center"/>
    </xf>
    <xf numFmtId="0" fontId="13" fillId="11" borderId="0" xfId="0" applyFont="1" applyFill="1" applyAlignment="1">
      <alignment horizontal="center" vertical="center"/>
    </xf>
    <xf numFmtId="0" fontId="38" fillId="11" borderId="0" xfId="0" applyFont="1" applyFill="1" applyAlignment="1">
      <alignment horizontal="center" vertical="center"/>
    </xf>
    <xf numFmtId="0" fontId="39" fillId="7" borderId="5" xfId="0" applyFont="1" applyFill="1" applyBorder="1" applyAlignment="1">
      <alignment horizontal="left" vertical="center"/>
    </xf>
    <xf numFmtId="0" fontId="39" fillId="7" borderId="5" xfId="0" applyFont="1" applyFill="1" applyBorder="1" applyAlignment="1">
      <alignment horizontal="center" vertical="center"/>
    </xf>
    <xf numFmtId="0" fontId="0" fillId="3" borderId="7" xfId="0" applyFill="1" applyBorder="1"/>
    <xf numFmtId="0" fontId="0" fillId="3" borderId="11" xfId="0" applyFill="1" applyBorder="1"/>
    <xf numFmtId="0" fontId="11" fillId="0" borderId="5" xfId="0" applyFont="1" applyBorder="1" applyAlignment="1">
      <alignment horizontal="left" vertical="center"/>
    </xf>
    <xf numFmtId="4" fontId="11" fillId="0" borderId="5" xfId="0" applyNumberFormat="1" applyFont="1" applyBorder="1" applyAlignment="1">
      <alignment horizontal="right"/>
    </xf>
    <xf numFmtId="0" fontId="0" fillId="3" borderId="12" xfId="0" applyFill="1" applyBorder="1"/>
    <xf numFmtId="0" fontId="12" fillId="0" borderId="5" xfId="0" applyFont="1" applyBorder="1" applyAlignment="1">
      <alignment horizontal="left" vertical="center"/>
    </xf>
    <xf numFmtId="10" fontId="12" fillId="0" borderId="5" xfId="0" applyNumberFormat="1" applyFont="1" applyBorder="1" applyAlignment="1">
      <alignment horizontal="right"/>
    </xf>
    <xf numFmtId="0" fontId="40" fillId="3" borderId="7" xfId="0" applyFont="1" applyFill="1" applyBorder="1" applyAlignment="1">
      <alignment horizontal="left" vertical="center"/>
    </xf>
    <xf numFmtId="10" fontId="41" fillId="3" borderId="12" xfId="0" applyNumberFormat="1" applyFont="1" applyFill="1" applyBorder="1" applyAlignment="1">
      <alignment horizontal="right"/>
    </xf>
    <xf numFmtId="4" fontId="12" fillId="0" borderId="5" xfId="0" applyNumberFormat="1" applyFont="1" applyBorder="1" applyAlignment="1">
      <alignment horizontal="right"/>
    </xf>
    <xf numFmtId="0" fontId="15" fillId="3" borderId="7" xfId="0" applyFont="1" applyFill="1" applyBorder="1"/>
    <xf numFmtId="0" fontId="11" fillId="13" borderId="0" xfId="0" applyFont="1" applyFill="1" applyAlignment="1">
      <alignment horizontal="left" vertical="center"/>
    </xf>
    <xf numFmtId="4" fontId="11" fillId="13" borderId="0" xfId="0" applyNumberFormat="1" applyFont="1" applyFill="1" applyAlignment="1">
      <alignment horizontal="right"/>
    </xf>
    <xf numFmtId="10" fontId="11" fillId="0" borderId="5" xfId="0" applyNumberFormat="1" applyFont="1" applyBorder="1" applyAlignment="1">
      <alignment horizontal="right"/>
    </xf>
    <xf numFmtId="9" fontId="12" fillId="0" borderId="5" xfId="0" applyNumberFormat="1" applyFont="1" applyBorder="1" applyAlignment="1">
      <alignment horizontal="right"/>
    </xf>
    <xf numFmtId="10" fontId="11" fillId="13" borderId="0" xfId="0" applyNumberFormat="1" applyFont="1" applyFill="1" applyAlignment="1">
      <alignment horizontal="right"/>
    </xf>
    <xf numFmtId="0" fontId="40" fillId="3" borderId="9" xfId="0" applyFont="1" applyFill="1" applyBorder="1" applyAlignment="1">
      <alignment horizontal="left" vertical="center"/>
    </xf>
    <xf numFmtId="10" fontId="41" fillId="3" borderId="13" xfId="0" applyNumberFormat="1" applyFont="1" applyFill="1" applyBorder="1" applyAlignment="1">
      <alignment horizontal="right"/>
    </xf>
    <xf numFmtId="0" fontId="12" fillId="0" borderId="0" xfId="0" applyFont="1" applyAlignment="1">
      <alignment horizontal="left" vertical="center"/>
    </xf>
    <xf numFmtId="10" fontId="12" fillId="14" borderId="0" xfId="0" applyNumberFormat="1" applyFont="1" applyFill="1" applyAlignment="1">
      <alignment horizontal="right"/>
    </xf>
    <xf numFmtId="171" fontId="42" fillId="7" borderId="5" xfId="0" applyNumberFormat="1" applyFont="1" applyFill="1" applyBorder="1" applyAlignment="1">
      <alignment horizontal="center" vertical="top"/>
    </xf>
    <xf numFmtId="0" fontId="42" fillId="7" borderId="5" xfId="0" applyFont="1" applyFill="1" applyBorder="1" applyAlignment="1">
      <alignment horizontal="center" vertical="top"/>
    </xf>
    <xf numFmtId="171" fontId="0" fillId="0" borderId="0" xfId="0" applyNumberFormat="1"/>
    <xf numFmtId="0" fontId="0" fillId="15" borderId="0" xfId="0" applyFill="1"/>
    <xf numFmtId="0" fontId="43" fillId="0" borderId="14" xfId="0" applyFont="1" applyBorder="1" applyAlignment="1">
      <alignment horizontal="center"/>
    </xf>
    <xf numFmtId="0" fontId="0" fillId="0" borderId="15" xfId="0" applyBorder="1"/>
    <xf numFmtId="0" fontId="33" fillId="0" borderId="5" xfId="0" applyFont="1" applyBorder="1" applyAlignment="1">
      <alignment horizontal="left" vertical="center"/>
    </xf>
    <xf numFmtId="4" fontId="33" fillId="0" borderId="5" xfId="0" applyNumberFormat="1" applyFont="1" applyBorder="1" applyAlignment="1">
      <alignment horizontal="right" vertical="center"/>
    </xf>
    <xf numFmtId="0" fontId="14" fillId="0" borderId="5" xfId="0" applyFont="1" applyBorder="1" applyAlignment="1">
      <alignment horizontal="left" vertical="center"/>
    </xf>
    <xf numFmtId="165" fontId="14" fillId="0" borderId="5" xfId="0" applyNumberFormat="1" applyFont="1" applyBorder="1" applyAlignment="1">
      <alignment horizontal="right" vertical="center"/>
    </xf>
    <xf numFmtId="165" fontId="33" fillId="0" borderId="5" xfId="0" applyNumberFormat="1" applyFont="1" applyBorder="1" applyAlignment="1">
      <alignment horizontal="right" vertical="center"/>
    </xf>
    <xf numFmtId="4" fontId="14" fillId="0" borderId="5" xfId="0" applyNumberFormat="1" applyFont="1" applyBorder="1" applyAlignment="1">
      <alignment horizontal="right" vertical="center"/>
    </xf>
    <xf numFmtId="172" fontId="14" fillId="0" borderId="5" xfId="0" applyNumberFormat="1" applyFont="1" applyBorder="1" applyAlignment="1">
      <alignment horizontal="right" vertical="center"/>
    </xf>
    <xf numFmtId="172" fontId="33" fillId="0" borderId="5" xfId="0" applyNumberFormat="1" applyFont="1" applyBorder="1" applyAlignment="1">
      <alignment horizontal="right" vertical="center"/>
    </xf>
    <xf numFmtId="173" fontId="14" fillId="0" borderId="5" xfId="0" applyNumberFormat="1" applyFont="1" applyBorder="1" applyAlignment="1">
      <alignment horizontal="right" vertical="center"/>
    </xf>
    <xf numFmtId="173" fontId="33" fillId="0" borderId="5" xfId="0" applyNumberFormat="1" applyFont="1" applyBorder="1" applyAlignment="1">
      <alignment horizontal="right" vertical="center"/>
    </xf>
    <xf numFmtId="0" fontId="33" fillId="13" borderId="0" xfId="0" applyFont="1" applyFill="1" applyAlignment="1">
      <alignment horizontal="left" vertical="center"/>
    </xf>
    <xf numFmtId="173" fontId="33" fillId="13" borderId="0" xfId="0" applyNumberFormat="1" applyFont="1" applyFill="1" applyAlignment="1">
      <alignment horizontal="right" vertical="center"/>
    </xf>
    <xf numFmtId="0" fontId="24" fillId="0" borderId="0" xfId="0" applyFont="1" applyAlignment="1">
      <alignment horizontal="left" vertical="center"/>
    </xf>
    <xf numFmtId="0" fontId="44" fillId="11" borderId="0" xfId="0" applyFont="1" applyFill="1" applyAlignment="1">
      <alignment horizontal="center" vertical="center"/>
    </xf>
    <xf numFmtId="0" fontId="44" fillId="0" borderId="12" xfId="0" applyFont="1" applyBorder="1" applyAlignment="1">
      <alignment horizontal="center" vertical="center"/>
    </xf>
    <xf numFmtId="0" fontId="45" fillId="10" borderId="1" xfId="0" applyFont="1" applyFill="1" applyBorder="1" applyAlignment="1">
      <alignment horizontal="center" vertical="center" wrapText="1"/>
    </xf>
    <xf numFmtId="0" fontId="45" fillId="0" borderId="12" xfId="0" applyFont="1" applyBorder="1" applyAlignment="1">
      <alignment horizontal="center" vertical="center" wrapText="1"/>
    </xf>
    <xf numFmtId="0" fontId="45" fillId="10" borderId="16" xfId="0" applyFont="1" applyFill="1" applyBorder="1" applyAlignment="1">
      <alignment horizontal="center" vertical="center" wrapText="1"/>
    </xf>
    <xf numFmtId="0" fontId="45" fillId="10" borderId="5" xfId="0" applyFont="1" applyFill="1" applyBorder="1" applyAlignment="1">
      <alignment horizontal="center" vertical="center" wrapText="1"/>
    </xf>
    <xf numFmtId="0" fontId="24" fillId="13" borderId="1" xfId="0" applyFont="1" applyFill="1" applyBorder="1" applyAlignment="1">
      <alignment horizontal="left" vertical="center"/>
    </xf>
    <xf numFmtId="0" fontId="24" fillId="0" borderId="12" xfId="0" applyFont="1" applyBorder="1" applyAlignment="1">
      <alignment horizontal="left" vertical="center"/>
    </xf>
    <xf numFmtId="3" fontId="21" fillId="13" borderId="16" xfId="0" applyNumberFormat="1" applyFont="1" applyFill="1" applyBorder="1" applyAlignment="1">
      <alignment horizontal="center" vertical="center"/>
    </xf>
    <xf numFmtId="174" fontId="21" fillId="13" borderId="5" xfId="0" applyNumberFormat="1" applyFont="1" applyFill="1" applyBorder="1" applyAlignment="1">
      <alignment horizontal="center" vertical="center"/>
    </xf>
    <xf numFmtId="0" fontId="21" fillId="13" borderId="5" xfId="0" applyFont="1" applyFill="1" applyBorder="1" applyAlignment="1">
      <alignment horizontal="center" vertical="center"/>
    </xf>
    <xf numFmtId="3" fontId="21" fillId="13" borderId="5" xfId="0" applyNumberFormat="1" applyFont="1" applyFill="1" applyBorder="1" applyAlignment="1">
      <alignment horizontal="center" vertical="center"/>
    </xf>
    <xf numFmtId="4" fontId="21" fillId="13" borderId="5" xfId="0" applyNumberFormat="1" applyFont="1" applyFill="1" applyBorder="1" applyAlignment="1">
      <alignment horizontal="center" vertical="center"/>
    </xf>
    <xf numFmtId="175" fontId="25" fillId="13" borderId="5" xfId="0" applyNumberFormat="1" applyFont="1" applyFill="1" applyBorder="1" applyAlignment="1">
      <alignment horizontal="center" vertical="center"/>
    </xf>
    <xf numFmtId="0" fontId="23" fillId="0" borderId="1" xfId="0" applyFont="1" applyBorder="1" applyAlignment="1">
      <alignment horizontal="left" vertical="center"/>
    </xf>
    <xf numFmtId="0" fontId="23" fillId="0" borderId="12" xfId="0" applyFont="1" applyBorder="1" applyAlignment="1">
      <alignment horizontal="left" vertical="center"/>
    </xf>
    <xf numFmtId="3" fontId="21" fillId="0" borderId="16" xfId="0" applyNumberFormat="1" applyFont="1" applyBorder="1" applyAlignment="1">
      <alignment horizontal="center" vertical="center"/>
    </xf>
    <xf numFmtId="174" fontId="21" fillId="0" borderId="5" xfId="0" applyNumberFormat="1" applyFont="1" applyBorder="1" applyAlignment="1">
      <alignment horizontal="center" vertical="center"/>
    </xf>
    <xf numFmtId="0" fontId="21" fillId="0" borderId="5" xfId="0" applyFont="1" applyBorder="1" applyAlignment="1">
      <alignment horizontal="center" vertical="center"/>
    </xf>
    <xf numFmtId="3" fontId="21" fillId="0" borderId="5" xfId="0" applyNumberFormat="1" applyFont="1" applyBorder="1" applyAlignment="1">
      <alignment horizontal="center" vertical="center"/>
    </xf>
    <xf numFmtId="4" fontId="21" fillId="0" borderId="5" xfId="0" applyNumberFormat="1" applyFont="1" applyBorder="1" applyAlignment="1">
      <alignment horizontal="center" vertical="center"/>
    </xf>
    <xf numFmtId="175" fontId="21" fillId="0" borderId="5" xfId="0" applyNumberFormat="1" applyFont="1" applyBorder="1" applyAlignment="1">
      <alignment horizontal="center" vertical="center"/>
    </xf>
    <xf numFmtId="0" fontId="24" fillId="0" borderId="0" xfId="0" applyFont="1" applyAlignment="1">
      <alignment horizontal="center" vertical="center"/>
    </xf>
    <xf numFmtId="175" fontId="25" fillId="0" borderId="5" xfId="0" applyNumberFormat="1" applyFont="1" applyBorder="1" applyAlignment="1">
      <alignment horizontal="center" vertical="center"/>
    </xf>
    <xf numFmtId="0" fontId="44" fillId="16" borderId="0" xfId="0" applyFont="1" applyFill="1" applyAlignment="1">
      <alignment vertical="center"/>
    </xf>
    <xf numFmtId="0" fontId="44" fillId="16" borderId="12" xfId="0" applyFont="1" applyFill="1" applyBorder="1" applyAlignment="1">
      <alignment vertical="center"/>
    </xf>
    <xf numFmtId="0" fontId="45" fillId="10" borderId="5" xfId="0" applyFont="1" applyFill="1" applyBorder="1" applyAlignment="1">
      <alignment horizontal="center" vertical="center"/>
    </xf>
    <xf numFmtId="174" fontId="23" fillId="0" borderId="5" xfId="0" applyNumberFormat="1" applyFont="1" applyBorder="1" applyAlignment="1">
      <alignment horizontal="center" vertical="center"/>
    </xf>
    <xf numFmtId="0" fontId="46" fillId="0" borderId="0" xfId="0" applyFont="1" applyAlignment="1">
      <alignment horizontal="left" vertical="center"/>
    </xf>
    <xf numFmtId="0" fontId="47" fillId="16" borderId="5" xfId="0" applyFont="1" applyFill="1" applyBorder="1" applyAlignment="1">
      <alignment horizontal="left" vertical="center"/>
    </xf>
    <xf numFmtId="0" fontId="47" fillId="16" borderId="5" xfId="0" applyFont="1" applyFill="1" applyBorder="1" applyAlignment="1">
      <alignment horizontal="center" vertical="center"/>
    </xf>
    <xf numFmtId="0" fontId="47" fillId="0" borderId="0" xfId="0" applyFont="1" applyAlignment="1">
      <alignment horizontal="center" vertical="center"/>
    </xf>
    <xf numFmtId="0" fontId="49" fillId="18" borderId="5" xfId="0" applyFont="1" applyFill="1" applyBorder="1" applyAlignment="1">
      <alignment horizontal="center" vertical="center"/>
    </xf>
    <xf numFmtId="0" fontId="49" fillId="0" borderId="0" xfId="0" applyFont="1" applyAlignment="1">
      <alignment horizontal="center" vertical="center"/>
    </xf>
    <xf numFmtId="0" fontId="50" fillId="0" borderId="5" xfId="0" applyFont="1" applyBorder="1" applyAlignment="1">
      <alignment horizontal="center" vertical="center"/>
    </xf>
    <xf numFmtId="4" fontId="51" fillId="0" borderId="5" xfId="0" applyNumberFormat="1" applyFont="1" applyBorder="1" applyAlignment="1">
      <alignment horizontal="center" vertical="center"/>
    </xf>
    <xf numFmtId="0" fontId="0" fillId="0" borderId="5" xfId="0" applyBorder="1" applyAlignment="1">
      <alignment horizontal="center" vertical="center"/>
    </xf>
    <xf numFmtId="0" fontId="51" fillId="0" borderId="5" xfId="0" applyFont="1" applyBorder="1" applyAlignment="1">
      <alignment horizontal="center" vertical="center"/>
    </xf>
    <xf numFmtId="176" fontId="52" fillId="0" borderId="5" xfId="0" applyNumberFormat="1" applyFont="1" applyBorder="1" applyAlignment="1">
      <alignment horizontal="center" vertical="center"/>
    </xf>
    <xf numFmtId="165" fontId="52" fillId="0" borderId="5" xfId="0" applyNumberFormat="1" applyFont="1" applyBorder="1" applyAlignment="1">
      <alignment horizontal="center" vertical="center"/>
    </xf>
    <xf numFmtId="0" fontId="53" fillId="17" borderId="5" xfId="0" applyFont="1" applyFill="1" applyBorder="1"/>
    <xf numFmtId="0" fontId="53" fillId="17" borderId="5" xfId="0" applyFont="1" applyFill="1" applyBorder="1" applyAlignment="1">
      <alignment horizontal="center" vertical="center"/>
    </xf>
    <xf numFmtId="0" fontId="0" fillId="17" borderId="0" xfId="0" applyFill="1"/>
    <xf numFmtId="0" fontId="51" fillId="0" borderId="5" xfId="0" applyFont="1" applyBorder="1" applyAlignment="1">
      <alignment horizontal="left" vertical="center"/>
    </xf>
    <xf numFmtId="165" fontId="51" fillId="0" borderId="5" xfId="0" applyNumberFormat="1" applyFont="1" applyBorder="1" applyAlignment="1">
      <alignment horizontal="center" vertical="center"/>
    </xf>
    <xf numFmtId="0" fontId="54" fillId="0" borderId="5" xfId="0" applyFont="1" applyBorder="1" applyAlignment="1">
      <alignment horizontal="center" vertical="center"/>
    </xf>
    <xf numFmtId="165" fontId="54" fillId="0" borderId="5" xfId="0" applyNumberFormat="1" applyFont="1" applyBorder="1" applyAlignment="1">
      <alignment horizontal="center" vertical="center"/>
    </xf>
    <xf numFmtId="0" fontId="53" fillId="17" borderId="5" xfId="0" applyFont="1" applyFill="1" applyBorder="1" applyAlignment="1">
      <alignment vertical="center"/>
    </xf>
    <xf numFmtId="0" fontId="53" fillId="0" borderId="0" xfId="0" applyFont="1" applyAlignment="1">
      <alignment vertical="center"/>
    </xf>
    <xf numFmtId="0" fontId="49" fillId="18" borderId="5" xfId="0" applyFont="1" applyFill="1" applyBorder="1" applyAlignment="1">
      <alignment horizontal="left" vertical="center"/>
    </xf>
    <xf numFmtId="0" fontId="51" fillId="0" borderId="5" xfId="0" applyFont="1" applyBorder="1"/>
    <xf numFmtId="4" fontId="0" fillId="0" borderId="5" xfId="0" applyNumberFormat="1" applyBorder="1"/>
    <xf numFmtId="10" fontId="0" fillId="0" borderId="5" xfId="0" applyNumberFormat="1" applyBorder="1"/>
    <xf numFmtId="165" fontId="0" fillId="0" borderId="5" xfId="0" applyNumberFormat="1" applyBorder="1"/>
    <xf numFmtId="165" fontId="53" fillId="0" borderId="5" xfId="0" applyNumberFormat="1" applyFont="1" applyBorder="1"/>
    <xf numFmtId="0" fontId="15" fillId="0" borderId="0" xfId="0" applyFont="1" applyAlignment="1">
      <alignment horizontal="center"/>
    </xf>
    <xf numFmtId="0" fontId="56" fillId="19" borderId="0" xfId="0" applyFont="1" applyFill="1" applyAlignment="1">
      <alignment horizontal="left" vertical="center"/>
    </xf>
    <xf numFmtId="0" fontId="56" fillId="19" borderId="0" xfId="0" applyFont="1" applyFill="1" applyAlignment="1">
      <alignment horizontal="center" vertical="center"/>
    </xf>
    <xf numFmtId="0" fontId="56" fillId="19" borderId="5" xfId="0" applyFont="1" applyFill="1" applyBorder="1" applyAlignment="1">
      <alignment horizontal="center" vertical="center"/>
    </xf>
    <xf numFmtId="165" fontId="57" fillId="0" borderId="5" xfId="0" applyNumberFormat="1" applyFont="1" applyBorder="1" applyAlignment="1">
      <alignment horizontal="center" vertical="center"/>
    </xf>
    <xf numFmtId="0" fontId="56" fillId="0" borderId="5" xfId="0" applyFont="1" applyBorder="1" applyAlignment="1">
      <alignment horizontal="left" vertical="center"/>
    </xf>
    <xf numFmtId="4" fontId="57" fillId="0" borderId="5" xfId="0" applyNumberFormat="1" applyFont="1" applyBorder="1" applyAlignment="1">
      <alignment horizontal="center" vertical="center"/>
    </xf>
    <xf numFmtId="4" fontId="57" fillId="0" borderId="1" xfId="0" applyNumberFormat="1" applyFont="1" applyBorder="1" applyAlignment="1">
      <alignment horizontal="center" vertical="center"/>
    </xf>
    <xf numFmtId="0" fontId="56" fillId="0" borderId="5" xfId="0" applyFont="1" applyBorder="1"/>
    <xf numFmtId="165" fontId="57" fillId="0" borderId="5" xfId="0" applyNumberFormat="1" applyFont="1" applyBorder="1" applyAlignment="1">
      <alignment horizontal="center"/>
    </xf>
    <xf numFmtId="165" fontId="57" fillId="0" borderId="1" xfId="0" applyNumberFormat="1" applyFont="1" applyBorder="1" applyAlignment="1">
      <alignment horizontal="center" vertical="center"/>
    </xf>
    <xf numFmtId="165" fontId="57" fillId="0" borderId="11" xfId="0" applyNumberFormat="1" applyFont="1" applyBorder="1" applyAlignment="1">
      <alignment horizontal="center"/>
    </xf>
    <xf numFmtId="0" fontId="56" fillId="13" borderId="0" xfId="0" applyFont="1" applyFill="1" applyAlignment="1">
      <alignment horizontal="left" vertical="center"/>
    </xf>
    <xf numFmtId="0" fontId="56" fillId="13" borderId="0" xfId="0" applyFont="1" applyFill="1" applyAlignment="1">
      <alignment horizontal="center" vertical="center"/>
    </xf>
    <xf numFmtId="0" fontId="56" fillId="10" borderId="0" xfId="0" applyFont="1" applyFill="1" applyAlignment="1">
      <alignment horizontal="left" vertical="center"/>
    </xf>
    <xf numFmtId="0" fontId="56" fillId="10" borderId="0" xfId="0" applyFont="1" applyFill="1" applyAlignment="1">
      <alignment horizontal="center" vertical="center"/>
    </xf>
    <xf numFmtId="0" fontId="55" fillId="16" borderId="5" xfId="0" applyFont="1" applyFill="1" applyBorder="1" applyAlignment="1">
      <alignment horizontal="center" vertical="center"/>
    </xf>
    <xf numFmtId="0" fontId="57" fillId="0" borderId="5" xfId="0" applyFont="1" applyBorder="1" applyAlignment="1">
      <alignment horizontal="left" vertical="center"/>
    </xf>
    <xf numFmtId="0" fontId="51" fillId="0" borderId="0" xfId="0" applyFont="1"/>
    <xf numFmtId="0" fontId="55" fillId="7" borderId="5" xfId="0" applyFont="1" applyFill="1" applyBorder="1" applyAlignment="1">
      <alignment horizontal="center" vertical="center"/>
    </xf>
    <xf numFmtId="0" fontId="55" fillId="7" borderId="5" xfId="0" applyFont="1" applyFill="1" applyBorder="1" applyAlignment="1">
      <alignment horizontal="left" vertical="center"/>
    </xf>
    <xf numFmtId="0" fontId="55" fillId="7" borderId="1" xfId="0" applyFont="1" applyFill="1" applyBorder="1" applyAlignment="1">
      <alignment horizontal="center" vertical="center"/>
    </xf>
    <xf numFmtId="0" fontId="58" fillId="0" borderId="0" xfId="0" applyFont="1" applyAlignment="1">
      <alignment horizontal="center" vertical="center"/>
    </xf>
    <xf numFmtId="0" fontId="59" fillId="7" borderId="0" xfId="0" applyFont="1" applyFill="1"/>
    <xf numFmtId="0" fontId="58" fillId="19" borderId="5" xfId="0" applyFont="1" applyFill="1" applyBorder="1" applyAlignment="1">
      <alignment horizontal="left" vertical="center"/>
    </xf>
    <xf numFmtId="165" fontId="52" fillId="20" borderId="5" xfId="0" applyNumberFormat="1" applyFont="1" applyFill="1" applyBorder="1" applyAlignment="1">
      <alignment horizontal="center" vertical="center"/>
    </xf>
    <xf numFmtId="0" fontId="58" fillId="0" borderId="5" xfId="0" applyFont="1" applyBorder="1" applyAlignment="1">
      <alignment horizontal="left" vertical="center"/>
    </xf>
    <xf numFmtId="4" fontId="60" fillId="0" borderId="5" xfId="0" applyNumberFormat="1" applyFont="1" applyBorder="1" applyAlignment="1">
      <alignment horizontal="center" vertical="center"/>
    </xf>
    <xf numFmtId="4" fontId="52" fillId="0" borderId="5" xfId="0" applyNumberFormat="1" applyFont="1" applyBorder="1" applyAlignment="1">
      <alignment horizontal="center" vertical="center"/>
    </xf>
    <xf numFmtId="4" fontId="52" fillId="0" borderId="0" xfId="0" applyNumberFormat="1" applyFont="1" applyAlignment="1">
      <alignment horizontal="center" vertical="center"/>
    </xf>
    <xf numFmtId="165" fontId="60" fillId="20" borderId="5" xfId="0" applyNumberFormat="1" applyFont="1" applyFill="1" applyBorder="1" applyAlignment="1">
      <alignment horizontal="center" vertical="center"/>
    </xf>
    <xf numFmtId="0" fontId="52" fillId="0" borderId="5" xfId="0" applyFont="1" applyBorder="1" applyAlignment="1">
      <alignment horizontal="left" vertical="center"/>
    </xf>
    <xf numFmtId="165" fontId="52" fillId="0" borderId="0" xfId="0" applyNumberFormat="1" applyFont="1" applyAlignment="1">
      <alignment horizontal="center" vertical="center"/>
    </xf>
    <xf numFmtId="4" fontId="52" fillId="19" borderId="5" xfId="0" applyNumberFormat="1" applyFont="1" applyFill="1" applyBorder="1" applyAlignment="1">
      <alignment horizontal="center" vertical="center"/>
    </xf>
    <xf numFmtId="4" fontId="55" fillId="7" borderId="5" xfId="0" applyNumberFormat="1" applyFont="1" applyFill="1" applyBorder="1" applyAlignment="1">
      <alignment horizontal="center" vertical="center"/>
    </xf>
    <xf numFmtId="4" fontId="58" fillId="19" borderId="5" xfId="0" applyNumberFormat="1" applyFont="1" applyFill="1" applyBorder="1" applyAlignment="1">
      <alignment horizontal="center" vertical="center"/>
    </xf>
    <xf numFmtId="0" fontId="58" fillId="21" borderId="5" xfId="0" applyFont="1" applyFill="1" applyBorder="1" applyAlignment="1">
      <alignment horizontal="left" vertical="center"/>
    </xf>
    <xf numFmtId="4" fontId="61" fillId="21" borderId="5" xfId="0" applyNumberFormat="1" applyFont="1" applyFill="1" applyBorder="1" applyAlignment="1">
      <alignment horizontal="center" vertical="center"/>
    </xf>
    <xf numFmtId="0" fontId="62" fillId="19" borderId="5" xfId="0" applyFont="1" applyFill="1" applyBorder="1" applyAlignment="1">
      <alignment horizontal="left" vertical="center"/>
    </xf>
    <xf numFmtId="4" fontId="62" fillId="19" borderId="5" xfId="0" applyNumberFormat="1" applyFont="1" applyFill="1" applyBorder="1" applyAlignment="1">
      <alignment horizontal="center" vertical="center"/>
    </xf>
    <xf numFmtId="10" fontId="58" fillId="22" borderId="0" xfId="0" applyNumberFormat="1" applyFont="1" applyFill="1" applyAlignment="1">
      <alignment horizontal="center" vertical="center"/>
    </xf>
    <xf numFmtId="0" fontId="62" fillId="0" borderId="5" xfId="0" applyFont="1" applyBorder="1" applyAlignment="1">
      <alignment horizontal="left" vertical="center"/>
    </xf>
    <xf numFmtId="4" fontId="63" fillId="0" borderId="5" xfId="0" applyNumberFormat="1" applyFont="1" applyBorder="1" applyAlignment="1">
      <alignment horizontal="center" vertical="center"/>
    </xf>
    <xf numFmtId="165" fontId="58" fillId="22" borderId="0" xfId="0" applyNumberFormat="1" applyFont="1" applyFill="1" applyAlignment="1">
      <alignment horizontal="center" vertical="center"/>
    </xf>
    <xf numFmtId="4" fontId="51" fillId="23" borderId="0" xfId="0" applyNumberFormat="1" applyFont="1" applyFill="1" applyAlignment="1">
      <alignment horizontal="center" vertical="center"/>
    </xf>
    <xf numFmtId="0" fontId="62" fillId="21" borderId="5" xfId="0" applyFont="1" applyFill="1" applyBorder="1" applyAlignment="1">
      <alignment horizontal="left" vertical="center"/>
    </xf>
    <xf numFmtId="4" fontId="62" fillId="21" borderId="5" xfId="0" applyNumberFormat="1" applyFont="1" applyFill="1" applyBorder="1" applyAlignment="1">
      <alignment horizontal="center" vertical="center"/>
    </xf>
    <xf numFmtId="0" fontId="64" fillId="0" borderId="17" xfId="0" applyFont="1" applyBorder="1" applyAlignment="1">
      <alignment horizontal="left" vertical="center"/>
    </xf>
    <xf numFmtId="0" fontId="0" fillId="24" borderId="0" xfId="0" applyFill="1"/>
    <xf numFmtId="0" fontId="66" fillId="24" borderId="18" xfId="0" applyFont="1" applyFill="1" applyBorder="1" applyAlignment="1">
      <alignment horizontal="left" vertical="center" wrapText="1"/>
    </xf>
    <xf numFmtId="0" fontId="65" fillId="24" borderId="18" xfId="0" applyFont="1" applyFill="1" applyBorder="1" applyAlignment="1">
      <alignment horizontal="left" vertical="center" wrapText="1"/>
    </xf>
    <xf numFmtId="0" fontId="65" fillId="24" borderId="18" xfId="0" applyFont="1" applyFill="1" applyBorder="1" applyAlignment="1">
      <alignment horizontal="right" vertical="center" wrapText="1"/>
    </xf>
    <xf numFmtId="3" fontId="65" fillId="24" borderId="18" xfId="0" applyNumberFormat="1" applyFont="1" applyFill="1" applyBorder="1" applyAlignment="1">
      <alignment horizontal="right" vertical="center" wrapText="1"/>
    </xf>
    <xf numFmtId="0" fontId="69" fillId="24" borderId="20" xfId="0" applyFont="1" applyFill="1" applyBorder="1" applyAlignment="1">
      <alignment horizontal="right" vertical="center" wrapText="1"/>
    </xf>
    <xf numFmtId="0" fontId="69" fillId="24" borderId="26" xfId="0" applyFont="1" applyFill="1" applyBorder="1" applyAlignment="1">
      <alignment horizontal="left" vertical="center" wrapText="1"/>
    </xf>
    <xf numFmtId="0" fontId="72" fillId="25" borderId="21" xfId="0" applyFont="1" applyFill="1" applyBorder="1" applyAlignment="1">
      <alignment horizontal="center" vertical="center" wrapText="1"/>
    </xf>
    <xf numFmtId="0" fontId="72" fillId="25" borderId="19" xfId="0" applyFont="1" applyFill="1" applyBorder="1" applyAlignment="1">
      <alignment horizontal="center" vertical="center" wrapText="1"/>
    </xf>
    <xf numFmtId="0" fontId="68" fillId="24" borderId="20" xfId="0" applyFont="1" applyFill="1" applyBorder="1" applyAlignment="1">
      <alignment horizontal="right" vertical="center" wrapText="1"/>
    </xf>
    <xf numFmtId="3" fontId="68" fillId="24" borderId="20" xfId="0" applyNumberFormat="1" applyFont="1" applyFill="1" applyBorder="1" applyAlignment="1">
      <alignment horizontal="right" vertical="center" wrapText="1"/>
    </xf>
    <xf numFmtId="0" fontId="68" fillId="24" borderId="25" xfId="0" applyFont="1" applyFill="1" applyBorder="1" applyAlignment="1">
      <alignment horizontal="right" vertical="center" wrapText="1"/>
    </xf>
    <xf numFmtId="0" fontId="68" fillId="24" borderId="26" xfId="0" applyFont="1" applyFill="1" applyBorder="1" applyAlignment="1">
      <alignment horizontal="left" vertical="center" wrapText="1"/>
    </xf>
    <xf numFmtId="0" fontId="7" fillId="0" borderId="0" xfId="0" applyFont="1" applyAlignment="1">
      <alignment horizontal="left" vertical="center" wrapText="1"/>
    </xf>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3" fillId="2" borderId="2" xfId="0" applyFont="1" applyFill="1" applyBorder="1" applyAlignment="1">
      <alignment horizontal="left" vertical="center" wrapText="1"/>
    </xf>
    <xf numFmtId="0" fontId="5" fillId="0" borderId="0" xfId="0" applyFont="1" applyAlignment="1">
      <alignment horizontal="left" vertical="top" wrapText="1"/>
    </xf>
    <xf numFmtId="0" fontId="67" fillId="25" borderId="20" xfId="0" applyFont="1" applyFill="1" applyBorder="1" applyAlignment="1">
      <alignment horizontal="center" vertical="center" wrapText="1"/>
    </xf>
    <xf numFmtId="0" fontId="67" fillId="25" borderId="23" xfId="0" applyFont="1" applyFill="1" applyBorder="1" applyAlignment="1">
      <alignment horizontal="center" vertical="center" wrapText="1"/>
    </xf>
    <xf numFmtId="0" fontId="67" fillId="25" borderId="21" xfId="0" applyFont="1" applyFill="1" applyBorder="1" applyAlignment="1">
      <alignment horizontal="center" vertical="center" wrapText="1"/>
    </xf>
    <xf numFmtId="0" fontId="67" fillId="25" borderId="22" xfId="0" applyFont="1" applyFill="1" applyBorder="1" applyAlignment="1">
      <alignment horizontal="center" vertical="center" wrapText="1"/>
    </xf>
    <xf numFmtId="0" fontId="67" fillId="25" borderId="24" xfId="0" applyFont="1" applyFill="1" applyBorder="1" applyAlignment="1">
      <alignment horizontal="center" vertical="center" wrapText="1"/>
    </xf>
    <xf numFmtId="0" fontId="72" fillId="25" borderId="21" xfId="0" applyFont="1" applyFill="1" applyBorder="1" applyAlignment="1">
      <alignment horizontal="center" vertical="center" wrapText="1"/>
    </xf>
    <xf numFmtId="0" fontId="72" fillId="25" borderId="27" xfId="0" applyFont="1" applyFill="1" applyBorder="1" applyAlignment="1">
      <alignment horizontal="center" vertical="center" wrapText="1"/>
    </xf>
    <xf numFmtId="0" fontId="72" fillId="25" borderId="28" xfId="0" applyFont="1" applyFill="1" applyBorder="1" applyAlignment="1">
      <alignment horizontal="center" vertical="center" wrapText="1"/>
    </xf>
    <xf numFmtId="0" fontId="72" fillId="25" borderId="29" xfId="0" applyFont="1" applyFill="1" applyBorder="1" applyAlignment="1">
      <alignment horizontal="center" vertical="center" wrapText="1"/>
    </xf>
    <xf numFmtId="0" fontId="0" fillId="24" borderId="0" xfId="0" applyFill="1" applyAlignment="1">
      <alignment horizontal="center" vertical="center" wrapText="1"/>
    </xf>
    <xf numFmtId="0" fontId="71" fillId="24" borderId="0" xfId="0" applyFont="1" applyFill="1" applyAlignment="1">
      <alignment horizontal="center" vertical="center" wrapText="1"/>
    </xf>
    <xf numFmtId="0" fontId="70" fillId="24" borderId="0" xfId="0" applyFont="1" applyFill="1" applyAlignment="1">
      <alignment horizontal="center" vertical="center" wrapText="1"/>
    </xf>
    <xf numFmtId="0" fontId="65" fillId="24" borderId="0" xfId="0" applyFont="1" applyFill="1" applyAlignment="1">
      <alignment vertical="center" wrapText="1"/>
    </xf>
    <xf numFmtId="0" fontId="72" fillId="25" borderId="20" xfId="0" applyFont="1" applyFill="1" applyBorder="1" applyAlignment="1">
      <alignment horizontal="center" vertical="center" wrapText="1"/>
    </xf>
    <xf numFmtId="0" fontId="72" fillId="25" borderId="19" xfId="0" applyFont="1" applyFill="1" applyBorder="1" applyAlignment="1">
      <alignment horizontal="center" vertical="center" wrapText="1"/>
    </xf>
    <xf numFmtId="0" fontId="69" fillId="24" borderId="0" xfId="0" applyFont="1" applyFill="1" applyAlignment="1">
      <alignment horizontal="center" vertical="center" wrapText="1"/>
    </xf>
    <xf numFmtId="0" fontId="69" fillId="24" borderId="26" xfId="0" applyFont="1" applyFill="1" applyBorder="1" applyAlignment="1">
      <alignment horizontal="center" vertical="center" wrapText="1"/>
    </xf>
    <xf numFmtId="0" fontId="69" fillId="24" borderId="0" xfId="0" applyFont="1" applyFill="1" applyAlignment="1">
      <alignment horizontal="left" vertical="center" wrapText="1"/>
    </xf>
    <xf numFmtId="0" fontId="69" fillId="24" borderId="26" xfId="0" applyFont="1" applyFill="1" applyBorder="1" applyAlignment="1">
      <alignment horizontal="left" vertical="center" wrapText="1"/>
    </xf>
    <xf numFmtId="0" fontId="72" fillId="25" borderId="26" xfId="0" applyFont="1" applyFill="1" applyBorder="1" applyAlignment="1">
      <alignment horizontal="center" vertical="center" wrapText="1"/>
    </xf>
    <xf numFmtId="0" fontId="72" fillId="25" borderId="22" xfId="0" applyFont="1" applyFill="1" applyBorder="1" applyAlignment="1">
      <alignment horizontal="center" vertical="center" wrapText="1"/>
    </xf>
    <xf numFmtId="0" fontId="14" fillId="3" borderId="0" xfId="0" applyFont="1" applyFill="1" applyAlignment="1">
      <alignment horizontal="left" vertical="top" wrapText="1"/>
    </xf>
    <xf numFmtId="0" fontId="19" fillId="0" borderId="0" xfId="0" applyFont="1" applyAlignment="1">
      <alignment horizontal="right" vertical="center"/>
    </xf>
    <xf numFmtId="0" fontId="26" fillId="0" borderId="0" xfId="0" applyFont="1" applyAlignment="1">
      <alignment horizontal="left" vertical="center"/>
    </xf>
    <xf numFmtId="0" fontId="22" fillId="0" borderId="0" xfId="0" applyFont="1" applyAlignment="1">
      <alignment horizontal="right" vertical="center"/>
    </xf>
    <xf numFmtId="167" fontId="23" fillId="9" borderId="5" xfId="0" applyNumberFormat="1" applyFont="1" applyFill="1" applyBorder="1" applyAlignment="1">
      <alignment horizontal="right" vertical="center"/>
    </xf>
    <xf numFmtId="167" fontId="29" fillId="0" borderId="5" xfId="0" applyNumberFormat="1" applyFont="1" applyBorder="1" applyAlignment="1">
      <alignment horizontal="right" vertical="center"/>
    </xf>
    <xf numFmtId="167" fontId="24" fillId="0" borderId="5" xfId="0" applyNumberFormat="1" applyFont="1" applyBorder="1" applyAlignment="1">
      <alignment horizontal="right" vertical="center"/>
    </xf>
    <xf numFmtId="0" fontId="31" fillId="0" borderId="0" xfId="0" applyFont="1" applyAlignment="1">
      <alignment horizontal="right" vertical="center"/>
    </xf>
    <xf numFmtId="167" fontId="29" fillId="9" borderId="5" xfId="0" applyNumberFormat="1" applyFont="1" applyFill="1" applyBorder="1" applyAlignment="1">
      <alignment horizontal="right" vertical="center"/>
    </xf>
    <xf numFmtId="0" fontId="3" fillId="11" borderId="0" xfId="0" applyFont="1" applyFill="1"/>
    <xf numFmtId="0" fontId="39" fillId="11" borderId="0" xfId="0" applyFont="1" applyFill="1" applyAlignment="1">
      <alignment horizontal="left" vertical="center"/>
    </xf>
    <xf numFmtId="0" fontId="36" fillId="11" borderId="0" xfId="0" applyFont="1" applyFill="1" applyAlignment="1">
      <alignment horizontal="center" vertical="center"/>
    </xf>
    <xf numFmtId="0" fontId="37" fillId="0" borderId="0" xfId="0" applyFont="1" applyAlignment="1">
      <alignment horizontal="left" vertical="center"/>
    </xf>
    <xf numFmtId="0" fontId="13" fillId="11" borderId="0" xfId="0" applyFont="1" applyFill="1" applyAlignment="1">
      <alignment horizontal="left" vertical="center"/>
    </xf>
    <xf numFmtId="0" fontId="43" fillId="0" borderId="14" xfId="0" applyFont="1" applyBorder="1" applyAlignment="1">
      <alignment horizontal="center"/>
    </xf>
    <xf numFmtId="0" fontId="24" fillId="0" borderId="0" xfId="0" applyFont="1" applyAlignment="1">
      <alignment horizontal="left" vertical="center"/>
    </xf>
    <xf numFmtId="0" fontId="44" fillId="11" borderId="0" xfId="0" applyFont="1" applyFill="1" applyAlignment="1">
      <alignment horizontal="center" vertical="center"/>
    </xf>
    <xf numFmtId="0" fontId="48" fillId="17" borderId="5" xfId="0" applyFont="1" applyFill="1" applyBorder="1" applyAlignment="1">
      <alignment horizontal="center"/>
    </xf>
    <xf numFmtId="0" fontId="55" fillId="7" borderId="0" xfId="0" applyFont="1" applyFill="1" applyAlignment="1">
      <alignment horizontal="left" vertical="center"/>
    </xf>
    <xf numFmtId="0" fontId="58" fillId="22" borderId="0" xfId="0" applyFont="1" applyFill="1" applyAlignment="1">
      <alignment horizontal="center" vertical="center"/>
    </xf>
    <xf numFmtId="0" fontId="73" fillId="26" borderId="5" xfId="0" applyFont="1" applyFill="1" applyBorder="1" applyAlignment="1">
      <alignment horizontal="center" vertical="center" wrapText="1"/>
    </xf>
    <xf numFmtId="0" fontId="66" fillId="24" borderId="31" xfId="0" applyFont="1" applyFill="1" applyBorder="1" applyAlignment="1">
      <alignment horizontal="center" vertical="center" wrapText="1"/>
    </xf>
    <xf numFmtId="0" fontId="74" fillId="24" borderId="5" xfId="0" applyFont="1" applyFill="1" applyBorder="1" applyAlignment="1">
      <alignment horizontal="center" vertical="center" wrapText="1"/>
    </xf>
    <xf numFmtId="0" fontId="0" fillId="0" borderId="0" xfId="0" applyBorder="1"/>
    <xf numFmtId="0" fontId="66" fillId="24" borderId="32" xfId="0" applyFont="1" applyFill="1" applyBorder="1" applyAlignment="1">
      <alignment horizontal="center" vertical="center" wrapText="1"/>
    </xf>
    <xf numFmtId="0" fontId="0" fillId="24" borderId="0" xfId="0" applyFill="1" applyBorder="1"/>
    <xf numFmtId="0" fontId="66" fillId="24" borderId="33" xfId="0" applyFont="1" applyFill="1" applyBorder="1" applyAlignment="1">
      <alignment horizontal="center" vertical="center" wrapText="1"/>
    </xf>
    <xf numFmtId="0" fontId="66" fillId="24" borderId="34" xfId="0" applyFont="1" applyFill="1" applyBorder="1" applyAlignment="1">
      <alignment horizontal="center" vertical="center" wrapText="1"/>
    </xf>
    <xf numFmtId="0" fontId="0" fillId="24" borderId="17" xfId="0" applyFill="1" applyBorder="1"/>
    <xf numFmtId="0" fontId="0" fillId="0" borderId="17" xfId="0" applyBorder="1"/>
    <xf numFmtId="0" fontId="0" fillId="0" borderId="10" xfId="0" applyBorder="1"/>
    <xf numFmtId="0" fontId="75" fillId="26" borderId="1" xfId="0" applyFont="1" applyFill="1" applyBorder="1" applyAlignment="1">
      <alignment horizontal="center" vertical="center" wrapText="1"/>
    </xf>
    <xf numFmtId="0" fontId="75" fillId="26" borderId="35" xfId="0" applyFont="1" applyFill="1" applyBorder="1" applyAlignment="1">
      <alignment horizontal="center" vertical="center" wrapText="1"/>
    </xf>
    <xf numFmtId="0" fontId="75" fillId="26" borderId="16" xfId="0" applyFont="1" applyFill="1" applyBorder="1" applyAlignment="1">
      <alignment horizontal="center" vertical="center" wrapText="1"/>
    </xf>
    <xf numFmtId="0" fontId="76" fillId="27" borderId="0" xfId="0" applyFont="1" applyFill="1" applyAlignment="1">
      <alignment horizontal="center" vertical="center" wrapText="1"/>
    </xf>
    <xf numFmtId="0" fontId="77" fillId="0" borderId="0" xfId="0" applyFont="1"/>
    <xf numFmtId="0" fontId="78" fillId="28" borderId="1" xfId="0" applyFont="1" applyFill="1" applyBorder="1" applyAlignment="1">
      <alignment horizontal="center" vertical="center" wrapText="1"/>
    </xf>
    <xf numFmtId="0" fontId="78" fillId="28" borderId="35" xfId="0" applyFont="1" applyFill="1" applyBorder="1" applyAlignment="1">
      <alignment horizontal="center" vertical="center" wrapText="1"/>
    </xf>
    <xf numFmtId="0" fontId="78" fillId="28" borderId="16" xfId="0" applyFont="1" applyFill="1" applyBorder="1" applyAlignment="1">
      <alignment horizontal="center" vertical="center" wrapText="1"/>
    </xf>
    <xf numFmtId="0" fontId="79" fillId="5" borderId="4" xfId="0" applyFont="1" applyFill="1" applyBorder="1" applyAlignment="1">
      <alignment vertical="center" wrapText="1"/>
    </xf>
    <xf numFmtId="0" fontId="79" fillId="5" borderId="4" xfId="0" applyFont="1" applyFill="1" applyBorder="1" applyAlignment="1">
      <alignment horizontal="right" vertical="center" wrapText="1"/>
    </xf>
    <xf numFmtId="164" fontId="79" fillId="5" borderId="4" xfId="0" applyNumberFormat="1" applyFont="1" applyFill="1" applyBorder="1" applyAlignment="1">
      <alignment horizontal="right" vertical="center" wrapText="1"/>
    </xf>
    <xf numFmtId="164" fontId="79" fillId="5" borderId="30" xfId="0" applyNumberFormat="1" applyFont="1" applyFill="1" applyBorder="1" applyAlignment="1">
      <alignment horizontal="right" vertical="center" wrapText="1"/>
    </xf>
    <xf numFmtId="0" fontId="79" fillId="6" borderId="0" xfId="0" applyFont="1" applyFill="1" applyAlignment="1">
      <alignment vertical="center" wrapText="1"/>
    </xf>
    <xf numFmtId="0" fontId="79" fillId="0" borderId="0" xfId="0" applyFont="1" applyAlignment="1">
      <alignment vertical="center" wrapText="1"/>
    </xf>
    <xf numFmtId="0" fontId="80" fillId="5" borderId="4" xfId="0" applyFont="1" applyFill="1" applyBorder="1" applyAlignment="1">
      <alignment vertical="center" wrapText="1"/>
    </xf>
    <xf numFmtId="0" fontId="80" fillId="5" borderId="4" xfId="0" applyFont="1" applyFill="1" applyBorder="1" applyAlignment="1">
      <alignment horizontal="right" vertical="center" wrapText="1"/>
    </xf>
    <xf numFmtId="0" fontId="80" fillId="5" borderId="30" xfId="0" applyFont="1" applyFill="1" applyBorder="1" applyAlignment="1">
      <alignment horizontal="right" vertical="center" wrapText="1"/>
    </xf>
    <xf numFmtId="0" fontId="79" fillId="5" borderId="4" xfId="0" applyFont="1" applyFill="1" applyBorder="1" applyAlignment="1">
      <alignment vertical="center" wrapText="1"/>
    </xf>
    <xf numFmtId="0" fontId="77" fillId="5" borderId="0" xfId="0" applyFont="1" applyFill="1"/>
    <xf numFmtId="4" fontId="80" fillId="5" borderId="4" xfId="0" applyNumberFormat="1" applyFont="1" applyFill="1" applyBorder="1" applyAlignment="1">
      <alignment horizontal="right" vertical="center" wrapText="1"/>
    </xf>
    <xf numFmtId="0" fontId="79" fillId="6" borderId="4" xfId="0" applyFont="1" applyFill="1" applyBorder="1" applyAlignment="1">
      <alignment vertical="center" wrapText="1"/>
    </xf>
    <xf numFmtId="4" fontId="79" fillId="6" borderId="4" xfId="0" applyNumberFormat="1" applyFont="1" applyFill="1" applyBorder="1" applyAlignment="1">
      <alignment horizontal="right" vertical="center" wrapText="1"/>
    </xf>
    <xf numFmtId="0" fontId="77" fillId="5" borderId="4" xfId="0" applyFont="1" applyFill="1" applyBorder="1" applyAlignment="1">
      <alignment vertical="center" wrapText="1"/>
    </xf>
    <xf numFmtId="0" fontId="77" fillId="5" borderId="4" xfId="0" applyFont="1" applyFill="1" applyBorder="1" applyAlignment="1">
      <alignment horizontal="right" vertical="center" wrapText="1"/>
    </xf>
    <xf numFmtId="0" fontId="80" fillId="5" borderId="0" xfId="0" applyFont="1" applyFill="1" applyAlignment="1">
      <alignment vertical="center" wrapText="1"/>
    </xf>
    <xf numFmtId="0" fontId="77" fillId="5" borderId="0" xfId="0" applyFont="1" applyFill="1" applyAlignment="1">
      <alignment vertical="center" wrapText="1"/>
    </xf>
    <xf numFmtId="0" fontId="81" fillId="5" borderId="0" xfId="0" applyFont="1" applyFill="1" applyAlignment="1">
      <alignment horizontal="left" vertical="center" wrapText="1"/>
    </xf>
    <xf numFmtId="4" fontId="79" fillId="5" borderId="4" xfId="0" applyNumberFormat="1" applyFont="1" applyFill="1" applyBorder="1" applyAlignment="1">
      <alignment horizontal="right" vertical="center" wrapText="1"/>
    </xf>
    <xf numFmtId="0" fontId="76" fillId="27" borderId="1" xfId="0" applyFont="1" applyFill="1" applyBorder="1" applyAlignment="1">
      <alignment horizontal="center" vertical="center" wrapText="1"/>
    </xf>
    <xf numFmtId="0" fontId="76" fillId="27" borderId="35" xfId="0" applyFont="1" applyFill="1" applyBorder="1" applyAlignment="1">
      <alignment horizontal="center" vertical="center" wrapText="1"/>
    </xf>
    <xf numFmtId="0" fontId="76" fillId="27" borderId="16" xfId="0" applyFont="1" applyFill="1" applyBorder="1" applyAlignment="1">
      <alignment horizontal="center" vertical="center" wrapText="1"/>
    </xf>
    <xf numFmtId="0" fontId="79" fillId="6" borderId="4" xfId="0" applyFont="1" applyFill="1" applyBorder="1" applyAlignment="1">
      <alignment horizontal="right" vertical="center" wrapText="1"/>
    </xf>
    <xf numFmtId="0" fontId="82" fillId="28" borderId="1" xfId="0" applyFont="1" applyFill="1" applyBorder="1" applyAlignment="1">
      <alignment horizontal="center" vertical="center" wrapText="1"/>
    </xf>
    <xf numFmtId="0" fontId="82" fillId="28" borderId="35" xfId="0" applyFont="1" applyFill="1" applyBorder="1" applyAlignment="1">
      <alignment horizontal="center" vertical="center" wrapText="1"/>
    </xf>
    <xf numFmtId="0" fontId="82" fillId="28" borderId="16" xfId="0" applyFont="1" applyFill="1" applyBorder="1" applyAlignment="1">
      <alignment horizontal="center" vertical="center" wrapText="1"/>
    </xf>
    <xf numFmtId="0" fontId="13" fillId="2" borderId="0" xfId="0" applyFont="1" applyFill="1" applyAlignment="1">
      <alignment horizontal="left" vertical="center"/>
    </xf>
    <xf numFmtId="0" fontId="13" fillId="11" borderId="5" xfId="0" applyFont="1" applyFill="1" applyBorder="1" applyAlignment="1">
      <alignment horizontal="left" vertical="center"/>
    </xf>
    <xf numFmtId="0" fontId="13" fillId="11" borderId="5" xfId="0" applyFont="1" applyFill="1" applyBorder="1" applyAlignment="1">
      <alignment horizontal="center" vertical="center"/>
    </xf>
    <xf numFmtId="0" fontId="83" fillId="29" borderId="0" xfId="0" applyFont="1" applyFill="1" applyAlignment="1">
      <alignment horizontal="left" vertical="center"/>
    </xf>
    <xf numFmtId="0" fontId="84" fillId="29" borderId="1" xfId="0" applyFont="1" applyFill="1" applyBorder="1" applyAlignment="1">
      <alignment horizontal="center" vertical="center"/>
    </xf>
    <xf numFmtId="0" fontId="84" fillId="29" borderId="35" xfId="0" applyFont="1" applyFill="1" applyBorder="1" applyAlignment="1">
      <alignment horizontal="center" vertical="center"/>
    </xf>
    <xf numFmtId="0" fontId="84" fillId="29" borderId="16" xfId="0" applyFont="1" applyFill="1" applyBorder="1" applyAlignment="1">
      <alignment horizontal="center" vertical="center"/>
    </xf>
    <xf numFmtId="0" fontId="86" fillId="29" borderId="5" xfId="0" applyFont="1" applyFill="1" applyBorder="1" applyAlignment="1">
      <alignment horizontal="center" vertical="center"/>
    </xf>
    <xf numFmtId="0" fontId="85" fillId="29" borderId="1" xfId="0" applyFont="1" applyFill="1" applyBorder="1" applyAlignment="1">
      <alignment horizontal="center" vertical="center"/>
    </xf>
    <xf numFmtId="0" fontId="85" fillId="29" borderId="35" xfId="0" applyFont="1" applyFill="1" applyBorder="1" applyAlignment="1">
      <alignment horizontal="center" vertical="center"/>
    </xf>
    <xf numFmtId="0" fontId="85" fillId="29" borderId="1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2164F"/>
      <rgbColor rgb="FF808000"/>
      <rgbColor rgb="FF800080"/>
      <rgbColor rgb="FF008080"/>
      <rgbColor rgb="FFD0D0D0"/>
      <rgbColor rgb="FF808080"/>
      <rgbColor rgb="FFDCE6F1"/>
      <rgbColor rgb="FF993366"/>
      <rgbColor rgb="FFFFF2CC"/>
      <rgbColor rgb="FFDDEEFF"/>
      <rgbColor rgb="FF660066"/>
      <rgbColor rgb="FFFAFAFA"/>
      <rgbColor rgb="FF0563C1"/>
      <rgbColor rgb="FFBDD7EE"/>
      <rgbColor rgb="FF000080"/>
      <rgbColor rgb="FFFF00FF"/>
      <rgbColor rgb="FFEEEEEE"/>
      <rgbColor rgb="FF00FFFF"/>
      <rgbColor rgb="FF800080"/>
      <rgbColor rgb="FF800000"/>
      <rgbColor rgb="FF008080"/>
      <rgbColor rgb="FF0000FF"/>
      <rgbColor rgb="FF00CCFF"/>
      <rgbColor rgb="FFD9EAF7"/>
      <rgbColor rgb="FFE2EFDA"/>
      <rgbColor rgb="FFF2F2F2"/>
      <rgbColor rgb="FFD6E4F0"/>
      <rgbColor rgb="FFDAE3F3"/>
      <rgbColor rgb="FFD9E1F2"/>
      <rgbColor rgb="FFD9D9D9"/>
      <rgbColor rgb="FF4472C4"/>
      <rgbColor rgb="FF33CCCC"/>
      <rgbColor rgb="FF99CC00"/>
      <rgbColor rgb="FFF4B942"/>
      <rgbColor rgb="FFFF9900"/>
      <rgbColor rgb="FFF37022"/>
      <rgbColor rgb="FF595959"/>
      <rgbColor rgb="FFE8EBEF"/>
      <rgbColor rgb="FF002060"/>
      <rgbColor rgb="FF339966"/>
      <rgbColor rgb="FF003300"/>
      <rgbColor rgb="FF333300"/>
      <rgbColor rgb="FF993300"/>
      <rgbColor rgb="FF993366"/>
      <rgbColor rgb="FF1F3864"/>
      <rgbColor rgb="FF20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gif"/><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gif"/><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1929901</xdr:colOff>
      <xdr:row>1</xdr:row>
      <xdr:rowOff>174314</xdr:rowOff>
    </xdr:from>
    <xdr:to>
      <xdr:col>6</xdr:col>
      <xdr:colOff>1289858</xdr:colOff>
      <xdr:row>4</xdr:row>
      <xdr:rowOff>901887</xdr:rowOff>
    </xdr:to>
    <xdr:pic>
      <xdr:nvPicPr>
        <xdr:cNvPr id="2" name="Picture 1">
          <a:extLst>
            <a:ext uri="{FF2B5EF4-FFF2-40B4-BE49-F238E27FC236}">
              <a16:creationId xmlns:a16="http://schemas.microsoft.com/office/drawing/2014/main" id="{F32DFF58-A739-0D77-3F8D-8C061CD5265F}"/>
            </a:ext>
          </a:extLst>
        </xdr:cNvPr>
        <xdr:cNvPicPr>
          <a:picLocks noChangeAspect="1"/>
        </xdr:cNvPicPr>
      </xdr:nvPicPr>
      <xdr:blipFill>
        <a:blip xmlns:r="http://schemas.openxmlformats.org/officeDocument/2006/relationships" r:embed="rId1"/>
        <a:stretch>
          <a:fillRect/>
        </a:stretch>
      </xdr:blipFill>
      <xdr:spPr>
        <a:xfrm>
          <a:off x="6785783" y="796863"/>
          <a:ext cx="5934075" cy="456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70560</xdr:colOff>
      <xdr:row>3</xdr:row>
      <xdr:rowOff>70560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22040" y="1190520"/>
          <a:ext cx="70560" cy="70560"/>
        </a:xfrm>
        <a:prstGeom prst="rect">
          <a:avLst/>
        </a:prstGeom>
        <a:ln w="0">
          <a:noFill/>
        </a:ln>
      </xdr:spPr>
    </xdr:pic>
    <xdr:clientData/>
  </xdr:twoCellAnchor>
  <xdr:twoCellAnchor editAs="oneCell">
    <xdr:from>
      <xdr:col>1</xdr:col>
      <xdr:colOff>0</xdr:colOff>
      <xdr:row>5</xdr:row>
      <xdr:rowOff>0</xdr:rowOff>
    </xdr:from>
    <xdr:to>
      <xdr:col>1</xdr:col>
      <xdr:colOff>70560</xdr:colOff>
      <xdr:row>5</xdr:row>
      <xdr:rowOff>70560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xdr:blipFill>
      <xdr:spPr>
        <a:xfrm>
          <a:off x="122040" y="1552680"/>
          <a:ext cx="70560" cy="70560"/>
        </a:xfrm>
        <a:prstGeom prst="rect">
          <a:avLst/>
        </a:prstGeom>
        <a:ln w="0">
          <a:noFill/>
        </a:ln>
      </xdr:spPr>
    </xdr:pic>
    <xdr:clientData/>
  </xdr:twoCellAnchor>
  <xdr:twoCellAnchor editAs="oneCell">
    <xdr:from>
      <xdr:col>1</xdr:col>
      <xdr:colOff>0</xdr:colOff>
      <xdr:row>61</xdr:row>
      <xdr:rowOff>0</xdr:rowOff>
    </xdr:from>
    <xdr:to>
      <xdr:col>1</xdr:col>
      <xdr:colOff>70560</xdr:colOff>
      <xdr:row>61</xdr:row>
      <xdr:rowOff>70560</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stretch/>
      </xdr:blipFill>
      <xdr:spPr>
        <a:xfrm>
          <a:off x="122040" y="13716000"/>
          <a:ext cx="70560" cy="70560"/>
        </a:xfrm>
        <a:prstGeom prst="rect">
          <a:avLst/>
        </a:prstGeom>
        <a:ln w="0">
          <a:noFill/>
        </a:ln>
      </xdr:spPr>
    </xdr:pic>
    <xdr:clientData/>
  </xdr:twoCellAnchor>
  <xdr:twoCellAnchor editAs="oneCell">
    <xdr:from>
      <xdr:col>1</xdr:col>
      <xdr:colOff>0</xdr:colOff>
      <xdr:row>63</xdr:row>
      <xdr:rowOff>0</xdr:rowOff>
    </xdr:from>
    <xdr:to>
      <xdr:col>1</xdr:col>
      <xdr:colOff>70560</xdr:colOff>
      <xdr:row>63</xdr:row>
      <xdr:rowOff>70560</xdr:rowOff>
    </xdr:to>
    <xdr:pic>
      <xdr:nvPicPr>
        <xdr:cNvPr id="5" name="Picture 4">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tretch/>
      </xdr:blipFill>
      <xdr:spPr>
        <a:xfrm>
          <a:off x="122040" y="14077800"/>
          <a:ext cx="70560" cy="70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70560</xdr:colOff>
      <xdr:row>3</xdr:row>
      <xdr:rowOff>70560</xdr:rowOff>
    </xdr:to>
    <xdr:pic>
      <xdr:nvPicPr>
        <xdr:cNvPr id="4" name="Picture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141120" y="1190520"/>
          <a:ext cx="70560" cy="70560"/>
        </a:xfrm>
        <a:prstGeom prst="rect">
          <a:avLst/>
        </a:prstGeom>
        <a:ln w="0">
          <a:noFill/>
        </a:ln>
      </xdr:spPr>
    </xdr:pic>
    <xdr:clientData/>
  </xdr:twoCellAnchor>
  <xdr:twoCellAnchor editAs="oneCell">
    <xdr:from>
      <xdr:col>1</xdr:col>
      <xdr:colOff>0</xdr:colOff>
      <xdr:row>5</xdr:row>
      <xdr:rowOff>0</xdr:rowOff>
    </xdr:from>
    <xdr:to>
      <xdr:col>1</xdr:col>
      <xdr:colOff>70560</xdr:colOff>
      <xdr:row>5</xdr:row>
      <xdr:rowOff>70560</xdr:rowOff>
    </xdr:to>
    <xdr:pic>
      <xdr:nvPicPr>
        <xdr:cNvPr id="5" name="Picture 2">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stretch/>
      </xdr:blipFill>
      <xdr:spPr>
        <a:xfrm>
          <a:off x="141120" y="1552680"/>
          <a:ext cx="70560" cy="705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70560</xdr:colOff>
      <xdr:row>3</xdr:row>
      <xdr:rowOff>70560</xdr:rowOff>
    </xdr:to>
    <xdr:pic>
      <xdr:nvPicPr>
        <xdr:cNvPr id="6" name="Picture 1">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a:stretch/>
      </xdr:blipFill>
      <xdr:spPr>
        <a:xfrm>
          <a:off x="160200" y="1190520"/>
          <a:ext cx="70560" cy="70560"/>
        </a:xfrm>
        <a:prstGeom prst="rect">
          <a:avLst/>
        </a:prstGeom>
        <a:ln w="0">
          <a:noFill/>
        </a:ln>
      </xdr:spPr>
    </xdr:pic>
    <xdr:clientData/>
  </xdr:twoCellAnchor>
  <xdr:twoCellAnchor editAs="oneCell">
    <xdr:from>
      <xdr:col>1</xdr:col>
      <xdr:colOff>0</xdr:colOff>
      <xdr:row>5</xdr:row>
      <xdr:rowOff>0</xdr:rowOff>
    </xdr:from>
    <xdr:to>
      <xdr:col>1</xdr:col>
      <xdr:colOff>70560</xdr:colOff>
      <xdr:row>5</xdr:row>
      <xdr:rowOff>70560</xdr:rowOff>
    </xdr:to>
    <xdr:pic>
      <xdr:nvPicPr>
        <xdr:cNvPr id="7" name="Picture 2">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1"/>
        <a:stretch/>
      </xdr:blipFill>
      <xdr:spPr>
        <a:xfrm>
          <a:off x="160200" y="1552680"/>
          <a:ext cx="70560" cy="70560"/>
        </a:xfrm>
        <a:prstGeom prst="rect">
          <a:avLst/>
        </a:prstGeom>
        <a:ln w="0">
          <a:noFill/>
        </a:ln>
      </xdr:spPr>
    </xdr:pic>
    <xdr:clientData/>
  </xdr:twoCellAnchor>
  <xdr:twoCellAnchor editAs="oneCell">
    <xdr:from>
      <xdr:col>1</xdr:col>
      <xdr:colOff>0</xdr:colOff>
      <xdr:row>15</xdr:row>
      <xdr:rowOff>0</xdr:rowOff>
    </xdr:from>
    <xdr:to>
      <xdr:col>1</xdr:col>
      <xdr:colOff>70560</xdr:colOff>
      <xdr:row>15</xdr:row>
      <xdr:rowOff>70560</xdr:rowOff>
    </xdr:to>
    <xdr:pic>
      <xdr:nvPicPr>
        <xdr:cNvPr id="8" name="Picture 3">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2"/>
        <a:stretch/>
      </xdr:blipFill>
      <xdr:spPr>
        <a:xfrm>
          <a:off x="160200" y="4324320"/>
          <a:ext cx="70560" cy="70560"/>
        </a:xfrm>
        <a:prstGeom prst="rect">
          <a:avLst/>
        </a:prstGeom>
        <a:ln w="0">
          <a:noFill/>
        </a:ln>
      </xdr:spPr>
    </xdr:pic>
    <xdr:clientData/>
  </xdr:twoCellAnchor>
  <xdr:twoCellAnchor editAs="oneCell">
    <xdr:from>
      <xdr:col>1</xdr:col>
      <xdr:colOff>0</xdr:colOff>
      <xdr:row>17</xdr:row>
      <xdr:rowOff>0</xdr:rowOff>
    </xdr:from>
    <xdr:to>
      <xdr:col>1</xdr:col>
      <xdr:colOff>70560</xdr:colOff>
      <xdr:row>17</xdr:row>
      <xdr:rowOff>70560</xdr:rowOff>
    </xdr:to>
    <xdr:pic>
      <xdr:nvPicPr>
        <xdr:cNvPr id="9" name="Picture 4">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2"/>
        <a:stretch/>
      </xdr:blipFill>
      <xdr:spPr>
        <a:xfrm>
          <a:off x="160200" y="4686480"/>
          <a:ext cx="70560" cy="70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10080</xdr:colOff>
      <xdr:row>0</xdr:row>
      <xdr:rowOff>133200</xdr:rowOff>
    </xdr:from>
    <xdr:to>
      <xdr:col>13</xdr:col>
      <xdr:colOff>311040</xdr:colOff>
      <xdr:row>17</xdr:row>
      <xdr:rowOff>21600</xdr:rowOff>
    </xdr:to>
    <xdr:pic>
      <xdr:nvPicPr>
        <xdr:cNvPr id="10" name="Picture 1">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stretch/>
      </xdr:blipFill>
      <xdr:spPr>
        <a:xfrm>
          <a:off x="202320" y="133200"/>
          <a:ext cx="9852120" cy="29649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showGridLines="0" zoomScale="40" zoomScaleNormal="33" workbookViewId="0">
      <selection activeCell="I16" sqref="I16"/>
    </sheetView>
  </sheetViews>
  <sheetFormatPr defaultColWidth="8.6328125" defaultRowHeight="14.5" x14ac:dyDescent="0.35"/>
  <cols>
    <col min="1" max="1" width="2.08984375" customWidth="1"/>
    <col min="2" max="2" width="17.1796875" customWidth="1"/>
    <col min="3" max="3" width="50.1796875" customWidth="1"/>
    <col min="4" max="4" width="36.08984375" customWidth="1"/>
    <col min="5" max="5" width="25" customWidth="1"/>
    <col min="6" max="6" width="33.1796875" customWidth="1"/>
    <col min="7" max="7" width="53.08984375" customWidth="1"/>
    <col min="8" max="8" width="34.6328125" customWidth="1"/>
    <col min="9" max="9" width="18" customWidth="1"/>
    <col min="10" max="10" width="10.1796875" customWidth="1"/>
    <col min="11" max="11" width="0.36328125" customWidth="1"/>
  </cols>
  <sheetData>
    <row r="1" spans="1:12" ht="49.5" customHeight="1" x14ac:dyDescent="0.35">
      <c r="A1" s="241" t="s">
        <v>0</v>
      </c>
      <c r="B1" s="241"/>
      <c r="C1" s="241"/>
      <c r="D1" s="241"/>
      <c r="E1" s="241"/>
      <c r="F1" s="241"/>
      <c r="G1" s="241"/>
      <c r="H1" s="241"/>
      <c r="I1" s="241"/>
      <c r="J1" s="241"/>
      <c r="K1" s="241"/>
    </row>
    <row r="2" spans="1:12" ht="49.5" customHeight="1" x14ac:dyDescent="0.35"/>
    <row r="3" spans="1:12" ht="49.5" customHeight="1" x14ac:dyDescent="0.35"/>
    <row r="4" spans="1:12" ht="204" customHeight="1" x14ac:dyDescent="0.35"/>
    <row r="5" spans="1:12" ht="78" customHeight="1" x14ac:dyDescent="0.35"/>
    <row r="6" spans="1:12" ht="61.5" customHeight="1" x14ac:dyDescent="0.35">
      <c r="B6" s="242" t="s">
        <v>1</v>
      </c>
      <c r="C6" s="242"/>
      <c r="D6" s="242"/>
      <c r="E6" s="242"/>
      <c r="F6" s="242"/>
      <c r="G6" s="242"/>
      <c r="H6" s="242"/>
      <c r="I6" s="242"/>
      <c r="J6" s="242"/>
      <c r="K6" s="242"/>
    </row>
    <row r="7" spans="1:12" ht="22.5" customHeight="1" x14ac:dyDescent="0.35">
      <c r="B7" s="243" t="s">
        <v>2</v>
      </c>
      <c r="C7" s="243"/>
      <c r="D7" s="243"/>
      <c r="E7" s="243"/>
      <c r="F7" s="243"/>
      <c r="G7" s="243"/>
      <c r="H7" s="243"/>
      <c r="I7" s="243"/>
      <c r="J7" s="243"/>
      <c r="K7" s="243"/>
      <c r="L7" s="1" t="s">
        <v>3</v>
      </c>
    </row>
    <row r="8" spans="1:12" ht="150" customHeight="1" x14ac:dyDescent="0.35">
      <c r="B8" s="244" t="s">
        <v>4</v>
      </c>
      <c r="C8" s="244"/>
      <c r="D8" s="244"/>
      <c r="E8" s="244"/>
      <c r="F8" s="244"/>
      <c r="G8" s="244"/>
      <c r="H8" s="244"/>
      <c r="I8" s="244"/>
      <c r="J8" s="244"/>
      <c r="K8" s="244"/>
    </row>
    <row r="9" spans="1:12" ht="27" customHeight="1" x14ac:dyDescent="0.35">
      <c r="B9" s="243" t="s">
        <v>5</v>
      </c>
      <c r="C9" s="243"/>
      <c r="D9" s="243"/>
      <c r="E9" s="243"/>
      <c r="F9" s="243"/>
      <c r="G9" s="243"/>
      <c r="H9" s="243"/>
      <c r="I9" s="243"/>
      <c r="J9" s="243"/>
      <c r="K9" s="243"/>
    </row>
    <row r="10" spans="1:12" ht="13.5" customHeight="1" x14ac:dyDescent="0.35">
      <c r="B10" s="2" t="s">
        <v>6</v>
      </c>
      <c r="C10" s="240" t="s">
        <v>7</v>
      </c>
      <c r="D10" s="240"/>
      <c r="E10" s="240"/>
      <c r="F10" s="240"/>
      <c r="G10" s="240"/>
      <c r="H10" s="240"/>
      <c r="I10" s="240"/>
      <c r="J10" s="240"/>
      <c r="K10" s="240"/>
    </row>
    <row r="11" spans="1:12" ht="13.5" customHeight="1" x14ac:dyDescent="0.35"/>
    <row r="12" spans="1:12" ht="24.75" customHeight="1" x14ac:dyDescent="0.35">
      <c r="B12" s="3" t="s">
        <v>8</v>
      </c>
      <c r="C12" s="4" t="s">
        <v>9</v>
      </c>
      <c r="D12" s="4" t="s">
        <v>10</v>
      </c>
      <c r="F12" s="3" t="s">
        <v>11</v>
      </c>
      <c r="G12" s="3" t="s">
        <v>12</v>
      </c>
      <c r="H12" s="3" t="s">
        <v>13</v>
      </c>
    </row>
    <row r="13" spans="1:12" ht="22.5" customHeight="1" x14ac:dyDescent="0.35">
      <c r="B13" s="5">
        <v>1</v>
      </c>
      <c r="C13" s="6" t="s">
        <v>14</v>
      </c>
      <c r="D13" s="7" t="s">
        <v>15</v>
      </c>
      <c r="F13" s="6" t="s">
        <v>16</v>
      </c>
      <c r="G13" s="6" t="s">
        <v>17</v>
      </c>
      <c r="H13" s="6" t="s">
        <v>18</v>
      </c>
    </row>
    <row r="14" spans="1:12" ht="22.5" customHeight="1" x14ac:dyDescent="0.35">
      <c r="B14" s="5">
        <v>2</v>
      </c>
      <c r="C14" s="6" t="s">
        <v>19</v>
      </c>
      <c r="D14" s="7" t="s">
        <v>15</v>
      </c>
      <c r="F14" s="6" t="s">
        <v>20</v>
      </c>
      <c r="G14" s="6" t="s">
        <v>21</v>
      </c>
      <c r="H14" s="6" t="s">
        <v>22</v>
      </c>
    </row>
    <row r="15" spans="1:12" ht="22.5" customHeight="1" x14ac:dyDescent="0.35">
      <c r="B15" s="5">
        <v>3</v>
      </c>
      <c r="C15" s="6" t="s">
        <v>23</v>
      </c>
      <c r="D15" s="7" t="s">
        <v>15</v>
      </c>
      <c r="F15" s="6" t="s">
        <v>24</v>
      </c>
      <c r="G15" s="6" t="s">
        <v>25</v>
      </c>
      <c r="H15" s="6" t="s">
        <v>26</v>
      </c>
    </row>
    <row r="16" spans="1:12" ht="22.5" customHeight="1" x14ac:dyDescent="0.35">
      <c r="B16" s="5">
        <v>4</v>
      </c>
      <c r="C16" s="6" t="s">
        <v>27</v>
      </c>
      <c r="D16" s="7" t="s">
        <v>15</v>
      </c>
      <c r="F16" s="6" t="s">
        <v>28</v>
      </c>
      <c r="G16" s="6" t="s">
        <v>29</v>
      </c>
      <c r="H16" s="6" t="s">
        <v>30</v>
      </c>
    </row>
    <row r="17" spans="2:8" ht="22.5" customHeight="1" x14ac:dyDescent="0.35">
      <c r="B17" s="5">
        <v>5</v>
      </c>
      <c r="C17" s="6" t="s">
        <v>31</v>
      </c>
      <c r="D17" s="7" t="s">
        <v>15</v>
      </c>
      <c r="F17" s="6" t="s">
        <v>32</v>
      </c>
      <c r="G17" s="6" t="s">
        <v>29</v>
      </c>
      <c r="H17" s="6" t="s">
        <v>33</v>
      </c>
    </row>
    <row r="18" spans="2:8" ht="22.5" customHeight="1" x14ac:dyDescent="0.35">
      <c r="B18" s="5">
        <v>6</v>
      </c>
      <c r="C18" s="6" t="s">
        <v>34</v>
      </c>
      <c r="D18" s="7" t="s">
        <v>15</v>
      </c>
      <c r="F18" s="6" t="s">
        <v>35</v>
      </c>
      <c r="G18" s="6" t="s">
        <v>36</v>
      </c>
      <c r="H18" s="6" t="s">
        <v>37</v>
      </c>
    </row>
    <row r="19" spans="2:8" ht="22.5" customHeight="1" x14ac:dyDescent="0.35">
      <c r="B19" s="5">
        <v>7</v>
      </c>
      <c r="C19" s="6" t="s">
        <v>38</v>
      </c>
      <c r="D19" s="7" t="s">
        <v>15</v>
      </c>
      <c r="F19" s="6" t="s">
        <v>39</v>
      </c>
      <c r="G19" s="6" t="s">
        <v>40</v>
      </c>
      <c r="H19" s="6" t="s">
        <v>41</v>
      </c>
    </row>
    <row r="20" spans="2:8" ht="22.5" customHeight="1" x14ac:dyDescent="0.35">
      <c r="B20" s="5">
        <v>8</v>
      </c>
      <c r="C20" s="6" t="s">
        <v>42</v>
      </c>
      <c r="D20" s="7" t="s">
        <v>43</v>
      </c>
      <c r="F20" s="6" t="s">
        <v>16</v>
      </c>
      <c r="G20" s="6" t="s">
        <v>44</v>
      </c>
      <c r="H20" s="6" t="s">
        <v>45</v>
      </c>
    </row>
    <row r="21" spans="2:8" ht="22.5" customHeight="1" x14ac:dyDescent="0.35">
      <c r="B21" s="5">
        <v>9</v>
      </c>
      <c r="C21" s="6" t="s">
        <v>46</v>
      </c>
      <c r="D21" s="7" t="s">
        <v>43</v>
      </c>
      <c r="F21" s="6" t="s">
        <v>16</v>
      </c>
      <c r="G21" s="6" t="s">
        <v>47</v>
      </c>
      <c r="H21" s="6" t="s">
        <v>48</v>
      </c>
    </row>
    <row r="22" spans="2:8" ht="22.5" customHeight="1" x14ac:dyDescent="0.35">
      <c r="B22" s="5">
        <v>10</v>
      </c>
      <c r="C22" s="6" t="s">
        <v>49</v>
      </c>
      <c r="D22" s="7" t="s">
        <v>43</v>
      </c>
      <c r="F22" s="6" t="s">
        <v>16</v>
      </c>
      <c r="G22" s="6" t="s">
        <v>50</v>
      </c>
      <c r="H22" s="6" t="s">
        <v>51</v>
      </c>
    </row>
    <row r="23" spans="2:8" ht="22.5" customHeight="1" x14ac:dyDescent="0.35">
      <c r="B23" s="5">
        <v>11</v>
      </c>
      <c r="C23" s="6" t="s">
        <v>52</v>
      </c>
      <c r="D23" s="7" t="s">
        <v>43</v>
      </c>
      <c r="F23" s="6" t="s">
        <v>16</v>
      </c>
      <c r="G23" s="6" t="s">
        <v>53</v>
      </c>
      <c r="H23" s="6" t="s">
        <v>54</v>
      </c>
    </row>
    <row r="24" spans="2:8" ht="22.5" customHeight="1" x14ac:dyDescent="0.35">
      <c r="B24" s="5">
        <v>12</v>
      </c>
      <c r="C24" s="6" t="s">
        <v>55</v>
      </c>
      <c r="D24" s="7" t="s">
        <v>43</v>
      </c>
      <c r="F24" s="6" t="s">
        <v>16</v>
      </c>
      <c r="G24" s="6" t="s">
        <v>56</v>
      </c>
      <c r="H24" s="6" t="s">
        <v>57</v>
      </c>
    </row>
    <row r="25" spans="2:8" ht="22.5" customHeight="1" x14ac:dyDescent="0.35">
      <c r="B25" s="5">
        <v>13</v>
      </c>
      <c r="C25" s="6" t="s">
        <v>58</v>
      </c>
      <c r="D25" s="7" t="s">
        <v>43</v>
      </c>
      <c r="F25" s="6" t="s">
        <v>16</v>
      </c>
      <c r="G25" s="6" t="s">
        <v>59</v>
      </c>
      <c r="H25" s="6" t="s">
        <v>60</v>
      </c>
    </row>
    <row r="26" spans="2:8" ht="22.5" customHeight="1" x14ac:dyDescent="0.35">
      <c r="B26" s="5">
        <v>14</v>
      </c>
      <c r="C26" s="6" t="s">
        <v>61</v>
      </c>
      <c r="D26" s="7" t="s">
        <v>43</v>
      </c>
      <c r="F26" s="6" t="s">
        <v>16</v>
      </c>
      <c r="G26" s="6" t="s">
        <v>62</v>
      </c>
      <c r="H26" s="6" t="s">
        <v>63</v>
      </c>
    </row>
  </sheetData>
  <mergeCells count="6">
    <mergeCell ref="C10:K10"/>
    <mergeCell ref="A1:K1"/>
    <mergeCell ref="B6:K6"/>
    <mergeCell ref="B7:K7"/>
    <mergeCell ref="B8:K8"/>
    <mergeCell ref="B9:K9"/>
  </mergeCells>
  <pageMargins left="0.7" right="0.7" top="0.75" bottom="0.75"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1CFA-86F6-41C6-AA31-2566B03327F1}">
  <dimension ref="B1:L15"/>
  <sheetViews>
    <sheetView showGridLines="0" zoomScale="81" zoomScaleNormal="81" workbookViewId="0">
      <selection activeCell="N4" sqref="N4"/>
    </sheetView>
  </sheetViews>
  <sheetFormatPr defaultRowHeight="14.5" x14ac:dyDescent="0.35"/>
  <cols>
    <col min="1" max="1" width="1.54296875" customWidth="1"/>
    <col min="3" max="3" width="8.26953125" bestFit="1" customWidth="1"/>
    <col min="5" max="6" width="9.36328125" bestFit="1" customWidth="1"/>
    <col min="8" max="8" width="9.36328125" bestFit="1" customWidth="1"/>
    <col min="9" max="9" width="4.1796875" bestFit="1" customWidth="1"/>
    <col min="10" max="10" width="9.36328125" bestFit="1" customWidth="1"/>
    <col min="11" max="11" width="10.26953125" bestFit="1" customWidth="1"/>
    <col min="12" max="12" width="9.36328125" bestFit="1" customWidth="1"/>
  </cols>
  <sheetData>
    <row r="1" spans="2:12" ht="23" customHeight="1" x14ac:dyDescent="0.35">
      <c r="B1" s="286" t="s">
        <v>560</v>
      </c>
      <c r="C1" s="286"/>
      <c r="D1" s="286"/>
      <c r="E1" s="286"/>
      <c r="F1" s="286"/>
      <c r="G1" s="286"/>
      <c r="H1" s="286"/>
      <c r="I1" s="286"/>
      <c r="J1" s="286"/>
      <c r="K1" s="286"/>
      <c r="L1" s="286"/>
    </row>
    <row r="2" spans="2:12" x14ac:dyDescent="0.35">
      <c r="B2" s="67"/>
      <c r="C2" s="289"/>
      <c r="D2" s="289"/>
      <c r="E2" s="289"/>
      <c r="F2" s="289"/>
      <c r="G2" s="289"/>
      <c r="H2" s="289"/>
      <c r="I2" s="289"/>
      <c r="J2" s="289"/>
      <c r="K2" s="289"/>
      <c r="L2" s="68"/>
    </row>
    <row r="3" spans="2:12" ht="15.5" customHeight="1" x14ac:dyDescent="0.35">
      <c r="B3" s="288" t="s">
        <v>561</v>
      </c>
      <c r="C3" s="288"/>
      <c r="D3" s="288"/>
      <c r="E3" s="288"/>
      <c r="F3" s="288"/>
      <c r="G3" s="288"/>
      <c r="H3" s="288"/>
      <c r="I3" s="288"/>
      <c r="J3" s="288"/>
      <c r="K3" s="288"/>
      <c r="L3" s="288"/>
    </row>
    <row r="4" spans="2:12" ht="27.5" thickBot="1" x14ac:dyDescent="0.4">
      <c r="B4" s="290" t="s">
        <v>562</v>
      </c>
      <c r="C4" s="287" t="s">
        <v>563</v>
      </c>
      <c r="D4" s="291"/>
      <c r="E4" s="291"/>
      <c r="F4" s="289"/>
      <c r="G4" s="289"/>
      <c r="H4" s="289"/>
      <c r="I4" s="289"/>
      <c r="J4" s="289"/>
      <c r="K4" s="289"/>
      <c r="L4" s="68"/>
    </row>
    <row r="5" spans="2:12" ht="36" customHeight="1" thickTop="1" x14ac:dyDescent="0.35">
      <c r="B5" s="292" t="s">
        <v>564</v>
      </c>
      <c r="C5" s="293"/>
      <c r="D5" s="294"/>
      <c r="E5" s="294"/>
      <c r="F5" s="295"/>
      <c r="G5" s="295"/>
      <c r="H5" s="295"/>
      <c r="I5" s="295"/>
      <c r="J5" s="295"/>
      <c r="K5" s="295"/>
      <c r="L5" s="296"/>
    </row>
    <row r="6" spans="2:12" ht="105.5" customHeight="1" thickBot="1" x14ac:dyDescent="0.4">
      <c r="B6" s="245" t="s">
        <v>565</v>
      </c>
      <c r="C6" s="245" t="s">
        <v>566</v>
      </c>
      <c r="D6" s="245" t="s">
        <v>567</v>
      </c>
      <c r="E6" s="245" t="s">
        <v>568</v>
      </c>
      <c r="F6" s="245" t="s">
        <v>569</v>
      </c>
      <c r="G6" s="245" t="s">
        <v>570</v>
      </c>
      <c r="H6" s="247" t="s">
        <v>571</v>
      </c>
      <c r="I6" s="248"/>
      <c r="J6" s="245" t="s">
        <v>572</v>
      </c>
      <c r="K6" s="245" t="s">
        <v>573</v>
      </c>
      <c r="L6" s="245" t="s">
        <v>574</v>
      </c>
    </row>
    <row r="7" spans="2:12" x14ac:dyDescent="0.35">
      <c r="B7" s="245"/>
      <c r="C7" s="245"/>
      <c r="D7" s="245"/>
      <c r="E7" s="245"/>
      <c r="F7" s="245"/>
      <c r="G7" s="245"/>
      <c r="H7" s="249" t="s">
        <v>575</v>
      </c>
      <c r="I7" s="249" t="s">
        <v>373</v>
      </c>
      <c r="J7" s="245"/>
      <c r="K7" s="245"/>
      <c r="L7" s="245"/>
    </row>
    <row r="8" spans="2:12" ht="15" thickBot="1" x14ac:dyDescent="0.4">
      <c r="B8" s="246"/>
      <c r="C8" s="246"/>
      <c r="D8" s="246"/>
      <c r="E8" s="246"/>
      <c r="F8" s="246"/>
      <c r="G8" s="246"/>
      <c r="H8" s="246"/>
      <c r="I8" s="246"/>
      <c r="J8" s="246"/>
      <c r="K8" s="246"/>
      <c r="L8" s="246"/>
    </row>
    <row r="9" spans="2:12" ht="15.5" thickTop="1" thickBot="1" x14ac:dyDescent="0.4">
      <c r="B9" s="228" t="s">
        <v>576</v>
      </c>
      <c r="C9" s="229"/>
      <c r="D9" s="230" t="s">
        <v>577</v>
      </c>
      <c r="E9" s="230" t="s">
        <v>577</v>
      </c>
      <c r="F9" s="230" t="s">
        <v>577</v>
      </c>
      <c r="G9" s="230">
        <v>0</v>
      </c>
      <c r="H9" s="230" t="s">
        <v>577</v>
      </c>
      <c r="I9" s="230">
        <v>0</v>
      </c>
      <c r="J9" s="230" t="s">
        <v>577</v>
      </c>
      <c r="K9" s="230">
        <v>0</v>
      </c>
      <c r="L9" s="230" t="s">
        <v>577</v>
      </c>
    </row>
    <row r="10" spans="2:12" ht="46" thickTop="1" thickBot="1" x14ac:dyDescent="0.4">
      <c r="B10" s="228" t="s">
        <v>578</v>
      </c>
      <c r="C10" s="229"/>
      <c r="D10" s="230">
        <v>1</v>
      </c>
      <c r="E10" s="231">
        <v>7272199767</v>
      </c>
      <c r="F10" s="231">
        <v>7272199767</v>
      </c>
      <c r="G10" s="230">
        <v>51.5</v>
      </c>
      <c r="H10" s="231">
        <v>7272199767</v>
      </c>
      <c r="I10" s="230">
        <v>51.5</v>
      </c>
      <c r="J10" s="231">
        <v>7272199767</v>
      </c>
      <c r="K10" s="230">
        <v>51.5</v>
      </c>
      <c r="L10" s="231">
        <v>7272199767</v>
      </c>
    </row>
    <row r="11" spans="2:12" ht="19" thickTop="1" thickBot="1" x14ac:dyDescent="0.4">
      <c r="B11" s="229" t="s">
        <v>579</v>
      </c>
      <c r="C11" s="229" t="s">
        <v>580</v>
      </c>
      <c r="D11" s="230">
        <v>1</v>
      </c>
      <c r="E11" s="231">
        <v>7272199767</v>
      </c>
      <c r="F11" s="231">
        <v>7272199767</v>
      </c>
      <c r="G11" s="230">
        <v>51.5</v>
      </c>
      <c r="H11" s="231">
        <v>7272199767</v>
      </c>
      <c r="I11" s="230">
        <v>51.5</v>
      </c>
      <c r="J11" s="231">
        <v>7272199767</v>
      </c>
      <c r="K11" s="230">
        <v>51.5</v>
      </c>
      <c r="L11" s="231">
        <v>7272199767</v>
      </c>
    </row>
    <row r="12" spans="2:12" ht="15.5" thickTop="1" thickBot="1" x14ac:dyDescent="0.4">
      <c r="B12" s="228" t="s">
        <v>581</v>
      </c>
      <c r="C12" s="229"/>
      <c r="D12" s="230">
        <v>1</v>
      </c>
      <c r="E12" s="231">
        <v>7272199767</v>
      </c>
      <c r="F12" s="231">
        <v>7272199767</v>
      </c>
      <c r="G12" s="230">
        <v>51.5</v>
      </c>
      <c r="H12" s="231">
        <v>7272199767</v>
      </c>
      <c r="I12" s="230">
        <v>51.5</v>
      </c>
      <c r="J12" s="231">
        <v>7272199767</v>
      </c>
      <c r="K12" s="230">
        <v>51.5</v>
      </c>
      <c r="L12" s="231">
        <v>7272199767</v>
      </c>
    </row>
    <row r="13" spans="2:12" ht="15.5" thickTop="1" thickBot="1" x14ac:dyDescent="0.4">
      <c r="B13" s="228" t="s">
        <v>582</v>
      </c>
      <c r="C13" s="229"/>
      <c r="D13" s="230" t="s">
        <v>577</v>
      </c>
      <c r="E13" s="230" t="s">
        <v>577</v>
      </c>
      <c r="F13" s="230" t="s">
        <v>577</v>
      </c>
      <c r="G13" s="230">
        <v>0</v>
      </c>
      <c r="H13" s="230" t="s">
        <v>577</v>
      </c>
      <c r="I13" s="230">
        <v>0</v>
      </c>
      <c r="J13" s="230" t="s">
        <v>577</v>
      </c>
      <c r="K13" s="230">
        <v>0</v>
      </c>
      <c r="L13" s="230" t="s">
        <v>577</v>
      </c>
    </row>
    <row r="14" spans="2:12" ht="15.5" thickTop="1" thickBot="1" x14ac:dyDescent="0.4">
      <c r="B14" s="228" t="s">
        <v>583</v>
      </c>
      <c r="C14" s="229"/>
      <c r="D14" s="230">
        <v>1</v>
      </c>
      <c r="E14" s="231">
        <v>7272199767</v>
      </c>
      <c r="F14" s="231">
        <v>7272199767</v>
      </c>
      <c r="G14" s="230">
        <v>51.5</v>
      </c>
      <c r="H14" s="231">
        <v>7272199767</v>
      </c>
      <c r="I14" s="230">
        <v>51.5</v>
      </c>
      <c r="J14" s="231">
        <v>7272199767</v>
      </c>
      <c r="K14" s="230">
        <v>51.5</v>
      </c>
      <c r="L14" s="231">
        <v>7272199767</v>
      </c>
    </row>
    <row r="15" spans="2:12" ht="15" thickTop="1" x14ac:dyDescent="0.35"/>
  </sheetData>
  <mergeCells count="15">
    <mergeCell ref="B1:L1"/>
    <mergeCell ref="B3:L3"/>
    <mergeCell ref="L6:L8"/>
    <mergeCell ref="H7:H8"/>
    <mergeCell ref="I7:I8"/>
    <mergeCell ref="B5:C5"/>
    <mergeCell ref="B6:B8"/>
    <mergeCell ref="C6:C8"/>
    <mergeCell ref="D6:D8"/>
    <mergeCell ref="E6:E8"/>
    <mergeCell ref="F6:F8"/>
    <mergeCell ref="G6:G8"/>
    <mergeCell ref="H6:I6"/>
    <mergeCell ref="J6:J8"/>
    <mergeCell ref="K6:K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9FB5-D5A3-41ED-AD22-EA16A1F060D1}">
  <dimension ref="B1:N34"/>
  <sheetViews>
    <sheetView showGridLines="0" zoomScale="83" workbookViewId="0">
      <selection activeCell="B1" sqref="B1:N1"/>
    </sheetView>
  </sheetViews>
  <sheetFormatPr defaultRowHeight="14.5" x14ac:dyDescent="0.35"/>
  <cols>
    <col min="1" max="1" width="3.26953125" customWidth="1"/>
    <col min="3" max="3" width="8.81640625" bestFit="1" customWidth="1"/>
    <col min="4" max="4" width="12.7265625" bestFit="1" customWidth="1"/>
    <col min="5" max="5" width="11.1796875" bestFit="1" customWidth="1"/>
    <col min="6" max="6" width="8.81640625" bestFit="1" customWidth="1"/>
    <col min="7" max="7" width="11.1796875" bestFit="1" customWidth="1"/>
    <col min="8" max="8" width="8.81640625" bestFit="1" customWidth="1"/>
    <col min="9" max="9" width="11.1796875" bestFit="1" customWidth="1"/>
    <col min="10" max="10" width="8.81640625" bestFit="1" customWidth="1"/>
    <col min="11" max="11" width="11.1796875" bestFit="1" customWidth="1"/>
  </cols>
  <sheetData>
    <row r="1" spans="2:14" ht="25.5" customHeight="1" x14ac:dyDescent="0.35">
      <c r="B1" s="297" t="s">
        <v>584</v>
      </c>
      <c r="C1" s="298"/>
      <c r="D1" s="298"/>
      <c r="E1" s="298"/>
      <c r="F1" s="298"/>
      <c r="G1" s="298"/>
      <c r="H1" s="298"/>
      <c r="I1" s="298"/>
      <c r="J1" s="298"/>
      <c r="K1" s="298"/>
      <c r="L1" s="298"/>
      <c r="M1" s="298"/>
      <c r="N1" s="299"/>
    </row>
    <row r="2" spans="2:14" x14ac:dyDescent="0.35">
      <c r="B2" s="257"/>
      <c r="C2" s="257"/>
      <c r="D2" s="257"/>
      <c r="E2" s="257"/>
      <c r="F2" s="257"/>
      <c r="G2" s="257"/>
      <c r="H2" s="257"/>
      <c r="I2" s="257"/>
      <c r="J2" s="257"/>
      <c r="K2" s="257"/>
      <c r="L2" s="257"/>
      <c r="M2" s="257"/>
      <c r="N2" s="257"/>
    </row>
    <row r="3" spans="2:14" ht="14.5" customHeight="1" x14ac:dyDescent="0.35">
      <c r="B3" s="260" t="s">
        <v>561</v>
      </c>
      <c r="C3" s="260"/>
      <c r="D3" s="260"/>
      <c r="E3" s="261"/>
      <c r="F3" s="227"/>
      <c r="G3" s="227"/>
      <c r="H3" s="227"/>
      <c r="I3" s="227"/>
      <c r="J3" s="227"/>
      <c r="K3" s="227"/>
      <c r="L3" s="227"/>
      <c r="M3" s="227"/>
      <c r="N3" s="227"/>
    </row>
    <row r="4" spans="2:14" ht="43.5" x14ac:dyDescent="0.35">
      <c r="B4" s="262" t="s">
        <v>585</v>
      </c>
      <c r="C4" s="262"/>
      <c r="D4" s="263"/>
      <c r="E4" s="232" t="s">
        <v>586</v>
      </c>
      <c r="F4" s="227"/>
      <c r="G4" s="227"/>
      <c r="H4" s="227"/>
      <c r="I4" s="227"/>
      <c r="J4" s="227"/>
      <c r="K4" s="227"/>
      <c r="L4" s="227"/>
      <c r="M4" s="227"/>
      <c r="N4" s="227"/>
    </row>
    <row r="5" spans="2:14" x14ac:dyDescent="0.35">
      <c r="B5" s="254"/>
      <c r="C5" s="254"/>
      <c r="D5" s="254"/>
      <c r="E5" s="254"/>
      <c r="F5" s="254"/>
      <c r="G5" s="254"/>
      <c r="H5" s="254"/>
      <c r="I5" s="254"/>
      <c r="J5" s="254"/>
      <c r="K5" s="254"/>
      <c r="L5" s="254"/>
      <c r="M5" s="254"/>
      <c r="N5" s="254"/>
    </row>
    <row r="6" spans="2:14" x14ac:dyDescent="0.35">
      <c r="B6" s="255" t="s">
        <v>587</v>
      </c>
      <c r="C6" s="255"/>
      <c r="D6" s="255"/>
      <c r="E6" s="255"/>
      <c r="F6" s="255"/>
      <c r="G6" s="255"/>
      <c r="H6" s="255"/>
      <c r="I6" s="255"/>
      <c r="J6" s="255"/>
      <c r="K6" s="255"/>
      <c r="L6" s="255"/>
      <c r="M6" s="255"/>
      <c r="N6" s="255"/>
    </row>
    <row r="7" spans="2:14" x14ac:dyDescent="0.35">
      <c r="B7" s="256"/>
      <c r="C7" s="256"/>
      <c r="D7" s="256"/>
      <c r="E7" s="256"/>
      <c r="F7" s="256"/>
      <c r="G7" s="256"/>
      <c r="H7" s="256"/>
      <c r="I7" s="256"/>
      <c r="J7" s="256"/>
      <c r="K7" s="256"/>
      <c r="L7" s="256"/>
      <c r="M7" s="256"/>
      <c r="N7" s="256"/>
    </row>
    <row r="8" spans="2:14" ht="79.5" customHeight="1" thickBot="1" x14ac:dyDescent="0.4">
      <c r="B8" s="264" t="s">
        <v>588</v>
      </c>
      <c r="C8" s="258" t="s">
        <v>589</v>
      </c>
      <c r="D8" s="258" t="s">
        <v>568</v>
      </c>
      <c r="E8" s="258" t="s">
        <v>590</v>
      </c>
      <c r="F8" s="258" t="s">
        <v>591</v>
      </c>
      <c r="G8" s="258" t="s">
        <v>592</v>
      </c>
      <c r="H8" s="258" t="s">
        <v>593</v>
      </c>
      <c r="I8" s="258" t="s">
        <v>572</v>
      </c>
      <c r="J8" s="258" t="s">
        <v>573</v>
      </c>
      <c r="K8" s="258" t="s">
        <v>594</v>
      </c>
      <c r="L8" s="250" t="s">
        <v>595</v>
      </c>
      <c r="M8" s="251"/>
      <c r="N8" s="251"/>
    </row>
    <row r="9" spans="2:14" ht="15" thickBot="1" x14ac:dyDescent="0.4">
      <c r="B9" s="264"/>
      <c r="C9" s="258"/>
      <c r="D9" s="258"/>
      <c r="E9" s="258"/>
      <c r="F9" s="258"/>
      <c r="G9" s="258"/>
      <c r="H9" s="258"/>
      <c r="I9" s="258"/>
      <c r="J9" s="258"/>
      <c r="K9" s="258"/>
      <c r="L9" s="252" t="s">
        <v>596</v>
      </c>
      <c r="M9" s="253"/>
      <c r="N9" s="253"/>
    </row>
    <row r="10" spans="2:14" ht="19.5" thickBot="1" x14ac:dyDescent="0.4">
      <c r="B10" s="265"/>
      <c r="C10" s="259"/>
      <c r="D10" s="259"/>
      <c r="E10" s="259"/>
      <c r="F10" s="259"/>
      <c r="G10" s="259"/>
      <c r="H10" s="259"/>
      <c r="I10" s="259"/>
      <c r="J10" s="259"/>
      <c r="K10" s="259"/>
      <c r="L10" s="235" t="s">
        <v>597</v>
      </c>
      <c r="M10" s="235" t="s">
        <v>598</v>
      </c>
      <c r="N10" s="234" t="s">
        <v>599</v>
      </c>
    </row>
    <row r="11" spans="2:14" ht="29" x14ac:dyDescent="0.35">
      <c r="B11" s="233" t="s">
        <v>600</v>
      </c>
      <c r="C11" s="236">
        <v>0</v>
      </c>
      <c r="D11" s="236">
        <v>0</v>
      </c>
      <c r="E11" s="236" t="s">
        <v>577</v>
      </c>
      <c r="F11" s="236">
        <v>0</v>
      </c>
      <c r="G11" s="236" t="s">
        <v>577</v>
      </c>
      <c r="H11" s="236">
        <v>0</v>
      </c>
      <c r="I11" s="236" t="s">
        <v>577</v>
      </c>
      <c r="J11" s="236">
        <v>0</v>
      </c>
      <c r="K11" s="236" t="s">
        <v>577</v>
      </c>
      <c r="L11" s="236" t="s">
        <v>577</v>
      </c>
      <c r="M11" s="236" t="s">
        <v>577</v>
      </c>
      <c r="N11" s="238" t="s">
        <v>577</v>
      </c>
    </row>
    <row r="12" spans="2:14" ht="72.5" x14ac:dyDescent="0.35">
      <c r="B12" s="233" t="s">
        <v>601</v>
      </c>
      <c r="C12" s="236">
        <v>0</v>
      </c>
      <c r="D12" s="236">
        <v>0</v>
      </c>
      <c r="E12" s="236" t="s">
        <v>577</v>
      </c>
      <c r="F12" s="236">
        <v>0</v>
      </c>
      <c r="G12" s="236" t="s">
        <v>577</v>
      </c>
      <c r="H12" s="236">
        <v>0</v>
      </c>
      <c r="I12" s="236" t="s">
        <v>577</v>
      </c>
      <c r="J12" s="236">
        <v>0</v>
      </c>
      <c r="K12" s="236" t="s">
        <v>577</v>
      </c>
      <c r="L12" s="236" t="s">
        <v>577</v>
      </c>
      <c r="M12" s="236" t="s">
        <v>577</v>
      </c>
      <c r="N12" s="238" t="s">
        <v>577</v>
      </c>
    </row>
    <row r="13" spans="2:14" ht="29" x14ac:dyDescent="0.35">
      <c r="B13" s="233" t="s">
        <v>602</v>
      </c>
      <c r="C13" s="236">
        <v>34</v>
      </c>
      <c r="D13" s="237">
        <v>355639743</v>
      </c>
      <c r="E13" s="237">
        <v>355639743</v>
      </c>
      <c r="F13" s="236">
        <v>2.52</v>
      </c>
      <c r="G13" s="237">
        <v>355639743</v>
      </c>
      <c r="H13" s="236">
        <v>2.52</v>
      </c>
      <c r="I13" s="237">
        <v>355639743</v>
      </c>
      <c r="J13" s="236">
        <v>2.52</v>
      </c>
      <c r="K13" s="237">
        <v>355639683</v>
      </c>
      <c r="L13" s="236" t="s">
        <v>577</v>
      </c>
      <c r="M13" s="236" t="s">
        <v>577</v>
      </c>
      <c r="N13" s="238" t="s">
        <v>577</v>
      </c>
    </row>
    <row r="14" spans="2:14" ht="43.5" x14ac:dyDescent="0.35">
      <c r="B14" s="233" t="s">
        <v>603</v>
      </c>
      <c r="C14" s="236">
        <v>0</v>
      </c>
      <c r="D14" s="236">
        <v>0</v>
      </c>
      <c r="E14" s="236" t="s">
        <v>577</v>
      </c>
      <c r="F14" s="236">
        <v>0</v>
      </c>
      <c r="G14" s="236" t="s">
        <v>577</v>
      </c>
      <c r="H14" s="236">
        <v>0</v>
      </c>
      <c r="I14" s="236" t="s">
        <v>577</v>
      </c>
      <c r="J14" s="236">
        <v>0</v>
      </c>
      <c r="K14" s="236" t="s">
        <v>577</v>
      </c>
      <c r="L14" s="236" t="s">
        <v>577</v>
      </c>
      <c r="M14" s="236" t="s">
        <v>577</v>
      </c>
      <c r="N14" s="238" t="s">
        <v>577</v>
      </c>
    </row>
    <row r="15" spans="2:14" ht="43.5" x14ac:dyDescent="0.35">
      <c r="B15" s="233" t="s">
        <v>604</v>
      </c>
      <c r="C15" s="236">
        <v>7</v>
      </c>
      <c r="D15" s="237">
        <v>564435</v>
      </c>
      <c r="E15" s="237">
        <v>564435</v>
      </c>
      <c r="F15" s="236">
        <v>0</v>
      </c>
      <c r="G15" s="237">
        <v>564435</v>
      </c>
      <c r="H15" s="236">
        <v>0</v>
      </c>
      <c r="I15" s="237">
        <v>564435</v>
      </c>
      <c r="J15" s="236">
        <v>0</v>
      </c>
      <c r="K15" s="237">
        <v>564435</v>
      </c>
      <c r="L15" s="236" t="s">
        <v>577</v>
      </c>
      <c r="M15" s="236" t="s">
        <v>577</v>
      </c>
      <c r="N15" s="238" t="s">
        <v>577</v>
      </c>
    </row>
    <row r="16" spans="2:14" x14ac:dyDescent="0.35">
      <c r="B16" s="233" t="s">
        <v>605</v>
      </c>
      <c r="C16" s="236">
        <v>21</v>
      </c>
      <c r="D16" s="237">
        <v>81338</v>
      </c>
      <c r="E16" s="237">
        <v>81338</v>
      </c>
      <c r="F16" s="236">
        <v>0</v>
      </c>
      <c r="G16" s="237">
        <v>81338</v>
      </c>
      <c r="H16" s="236">
        <v>0</v>
      </c>
      <c r="I16" s="237">
        <v>81338</v>
      </c>
      <c r="J16" s="236">
        <v>0</v>
      </c>
      <c r="K16" s="237">
        <v>25171</v>
      </c>
      <c r="L16" s="236" t="s">
        <v>577</v>
      </c>
      <c r="M16" s="236" t="s">
        <v>577</v>
      </c>
      <c r="N16" s="238" t="s">
        <v>577</v>
      </c>
    </row>
    <row r="17" spans="2:14" ht="58" x14ac:dyDescent="0.35">
      <c r="B17" s="233" t="s">
        <v>606</v>
      </c>
      <c r="C17" s="236">
        <v>22</v>
      </c>
      <c r="D17" s="237">
        <v>929160203</v>
      </c>
      <c r="E17" s="237">
        <v>929160203</v>
      </c>
      <c r="F17" s="236">
        <v>6.58</v>
      </c>
      <c r="G17" s="237">
        <v>929160203</v>
      </c>
      <c r="H17" s="236">
        <v>6.58</v>
      </c>
      <c r="I17" s="237">
        <v>929160203</v>
      </c>
      <c r="J17" s="236">
        <v>6.58</v>
      </c>
      <c r="K17" s="237">
        <v>929159703</v>
      </c>
      <c r="L17" s="236" t="s">
        <v>577</v>
      </c>
      <c r="M17" s="236" t="s">
        <v>577</v>
      </c>
      <c r="N17" s="238" t="s">
        <v>577</v>
      </c>
    </row>
    <row r="18" spans="2:14" ht="87" x14ac:dyDescent="0.35">
      <c r="B18" s="239" t="s">
        <v>607</v>
      </c>
      <c r="C18" s="236">
        <v>1</v>
      </c>
      <c r="D18" s="237">
        <v>853418670</v>
      </c>
      <c r="E18" s="237">
        <v>853418670</v>
      </c>
      <c r="F18" s="236">
        <v>6.04</v>
      </c>
      <c r="G18" s="237">
        <v>853418670</v>
      </c>
      <c r="H18" s="236">
        <v>6.04</v>
      </c>
      <c r="I18" s="237">
        <v>853418670</v>
      </c>
      <c r="J18" s="236">
        <v>6.04</v>
      </c>
      <c r="K18" s="237">
        <v>853418170</v>
      </c>
      <c r="L18" s="236" t="s">
        <v>577</v>
      </c>
      <c r="M18" s="236" t="s">
        <v>577</v>
      </c>
      <c r="N18" s="238" t="s">
        <v>577</v>
      </c>
    </row>
    <row r="19" spans="2:14" ht="58" x14ac:dyDescent="0.35">
      <c r="B19" s="233" t="s">
        <v>608</v>
      </c>
      <c r="C19" s="236">
        <v>0</v>
      </c>
      <c r="D19" s="236">
        <v>0</v>
      </c>
      <c r="E19" s="236" t="s">
        <v>577</v>
      </c>
      <c r="F19" s="236">
        <v>0</v>
      </c>
      <c r="G19" s="236" t="s">
        <v>577</v>
      </c>
      <c r="H19" s="236">
        <v>0</v>
      </c>
      <c r="I19" s="236" t="s">
        <v>577</v>
      </c>
      <c r="J19" s="236">
        <v>0</v>
      </c>
      <c r="K19" s="236" t="s">
        <v>577</v>
      </c>
      <c r="L19" s="236" t="s">
        <v>577</v>
      </c>
      <c r="M19" s="236" t="s">
        <v>577</v>
      </c>
      <c r="N19" s="238" t="s">
        <v>577</v>
      </c>
    </row>
    <row r="20" spans="2:14" ht="72.5" x14ac:dyDescent="0.35">
      <c r="B20" s="233" t="s">
        <v>609</v>
      </c>
      <c r="C20" s="236">
        <v>0</v>
      </c>
      <c r="D20" s="236">
        <v>0</v>
      </c>
      <c r="E20" s="236" t="s">
        <v>577</v>
      </c>
      <c r="F20" s="236">
        <v>0</v>
      </c>
      <c r="G20" s="236" t="s">
        <v>577</v>
      </c>
      <c r="H20" s="236">
        <v>0</v>
      </c>
      <c r="I20" s="236" t="s">
        <v>577</v>
      </c>
      <c r="J20" s="236">
        <v>0</v>
      </c>
      <c r="K20" s="236" t="s">
        <v>577</v>
      </c>
      <c r="L20" s="236" t="s">
        <v>577</v>
      </c>
      <c r="M20" s="236" t="s">
        <v>577</v>
      </c>
      <c r="N20" s="238" t="s">
        <v>577</v>
      </c>
    </row>
    <row r="21" spans="2:14" ht="43.5" x14ac:dyDescent="0.35">
      <c r="B21" s="233" t="s">
        <v>610</v>
      </c>
      <c r="C21" s="236">
        <v>2</v>
      </c>
      <c r="D21" s="237">
        <v>14670520</v>
      </c>
      <c r="E21" s="237">
        <v>14670520</v>
      </c>
      <c r="F21" s="236">
        <v>0.1</v>
      </c>
      <c r="G21" s="237">
        <v>14670520</v>
      </c>
      <c r="H21" s="236">
        <v>0.1</v>
      </c>
      <c r="I21" s="237">
        <v>14670520</v>
      </c>
      <c r="J21" s="236">
        <v>0.1</v>
      </c>
      <c r="K21" s="237">
        <v>14670520</v>
      </c>
      <c r="L21" s="236" t="s">
        <v>577</v>
      </c>
      <c r="M21" s="236" t="s">
        <v>577</v>
      </c>
      <c r="N21" s="238" t="s">
        <v>577</v>
      </c>
    </row>
    <row r="22" spans="2:14" ht="58" x14ac:dyDescent="0.35">
      <c r="B22" s="233" t="s">
        <v>611</v>
      </c>
      <c r="C22" s="236">
        <v>14</v>
      </c>
      <c r="D22" s="237">
        <v>96399</v>
      </c>
      <c r="E22" s="237">
        <v>96399</v>
      </c>
      <c r="F22" s="236">
        <v>0</v>
      </c>
      <c r="G22" s="237">
        <v>96399</v>
      </c>
      <c r="H22" s="236">
        <v>0</v>
      </c>
      <c r="I22" s="237">
        <v>96399</v>
      </c>
      <c r="J22" s="236">
        <v>0</v>
      </c>
      <c r="K22" s="237">
        <v>96399</v>
      </c>
      <c r="L22" s="236" t="s">
        <v>577</v>
      </c>
      <c r="M22" s="236" t="s">
        <v>577</v>
      </c>
      <c r="N22" s="238" t="s">
        <v>577</v>
      </c>
    </row>
    <row r="23" spans="2:14" ht="58" x14ac:dyDescent="0.35">
      <c r="B23" s="233" t="s">
        <v>612</v>
      </c>
      <c r="C23" s="236">
        <v>0</v>
      </c>
      <c r="D23" s="236">
        <v>0</v>
      </c>
      <c r="E23" s="236" t="s">
        <v>577</v>
      </c>
      <c r="F23" s="236">
        <v>0</v>
      </c>
      <c r="G23" s="236" t="s">
        <v>577</v>
      </c>
      <c r="H23" s="236">
        <v>0</v>
      </c>
      <c r="I23" s="236" t="s">
        <v>577</v>
      </c>
      <c r="J23" s="236">
        <v>0</v>
      </c>
      <c r="K23" s="236" t="s">
        <v>577</v>
      </c>
      <c r="L23" s="236" t="s">
        <v>577</v>
      </c>
      <c r="M23" s="236" t="s">
        <v>577</v>
      </c>
      <c r="N23" s="238" t="s">
        <v>577</v>
      </c>
    </row>
    <row r="24" spans="2:14" ht="29" x14ac:dyDescent="0.35">
      <c r="B24" s="233" t="s">
        <v>613</v>
      </c>
      <c r="C24" s="236">
        <v>100</v>
      </c>
      <c r="D24" s="237">
        <v>1300212638</v>
      </c>
      <c r="E24" s="237">
        <v>1300212638</v>
      </c>
      <c r="F24" s="236">
        <v>9.2100000000000009</v>
      </c>
      <c r="G24" s="237">
        <v>1300212638</v>
      </c>
      <c r="H24" s="236">
        <v>9.2100000000000009</v>
      </c>
      <c r="I24" s="237">
        <v>1300212638</v>
      </c>
      <c r="J24" s="236">
        <v>9.2100000000000009</v>
      </c>
      <c r="K24" s="237">
        <v>1300155911</v>
      </c>
      <c r="L24" s="236" t="s">
        <v>577</v>
      </c>
      <c r="M24" s="236" t="s">
        <v>577</v>
      </c>
      <c r="N24" s="238" t="s">
        <v>577</v>
      </c>
    </row>
    <row r="25" spans="2:14" ht="58" x14ac:dyDescent="0.35">
      <c r="B25" s="233" t="s">
        <v>614</v>
      </c>
      <c r="C25" s="236">
        <v>0</v>
      </c>
      <c r="D25" s="236">
        <v>0</v>
      </c>
      <c r="E25" s="236" t="s">
        <v>577</v>
      </c>
      <c r="F25" s="236">
        <v>0</v>
      </c>
      <c r="G25" s="236" t="s">
        <v>577</v>
      </c>
      <c r="H25" s="236">
        <v>0</v>
      </c>
      <c r="I25" s="236" t="s">
        <v>577</v>
      </c>
      <c r="J25" s="236">
        <v>0</v>
      </c>
      <c r="K25" s="236" t="s">
        <v>577</v>
      </c>
      <c r="L25" s="236" t="s">
        <v>577</v>
      </c>
      <c r="M25" s="236" t="s">
        <v>577</v>
      </c>
      <c r="N25" s="238" t="s">
        <v>577</v>
      </c>
    </row>
    <row r="26" spans="2:14" ht="58" x14ac:dyDescent="0.35">
      <c r="B26" s="233" t="s">
        <v>615</v>
      </c>
      <c r="C26" s="236">
        <v>0</v>
      </c>
      <c r="D26" s="236">
        <v>0</v>
      </c>
      <c r="E26" s="236" t="s">
        <v>577</v>
      </c>
      <c r="F26" s="236">
        <v>0</v>
      </c>
      <c r="G26" s="236" t="s">
        <v>577</v>
      </c>
      <c r="H26" s="236">
        <v>0</v>
      </c>
      <c r="I26" s="236" t="s">
        <v>577</v>
      </c>
      <c r="J26" s="236">
        <v>0</v>
      </c>
      <c r="K26" s="236" t="s">
        <v>577</v>
      </c>
      <c r="L26" s="236" t="s">
        <v>577</v>
      </c>
      <c r="M26" s="236" t="s">
        <v>577</v>
      </c>
      <c r="N26" s="238" t="s">
        <v>577</v>
      </c>
    </row>
    <row r="27" spans="2:14" ht="58" x14ac:dyDescent="0.35">
      <c r="B27" s="233" t="s">
        <v>616</v>
      </c>
      <c r="C27" s="236">
        <v>0</v>
      </c>
      <c r="D27" s="236">
        <v>0</v>
      </c>
      <c r="E27" s="236" t="s">
        <v>577</v>
      </c>
      <c r="F27" s="236">
        <v>0</v>
      </c>
      <c r="G27" s="236" t="s">
        <v>577</v>
      </c>
      <c r="H27" s="236">
        <v>0</v>
      </c>
      <c r="I27" s="236" t="s">
        <v>577</v>
      </c>
      <c r="J27" s="236">
        <v>0</v>
      </c>
      <c r="K27" s="236" t="s">
        <v>577</v>
      </c>
      <c r="L27" s="236" t="s">
        <v>577</v>
      </c>
      <c r="M27" s="236" t="s">
        <v>577</v>
      </c>
      <c r="N27" s="238" t="s">
        <v>577</v>
      </c>
    </row>
    <row r="28" spans="2:14" ht="43.5" x14ac:dyDescent="0.35">
      <c r="B28" s="233" t="s">
        <v>610</v>
      </c>
      <c r="C28" s="236">
        <v>0</v>
      </c>
      <c r="D28" s="236">
        <v>0</v>
      </c>
      <c r="E28" s="236" t="s">
        <v>577</v>
      </c>
      <c r="F28" s="236">
        <v>0</v>
      </c>
      <c r="G28" s="236" t="s">
        <v>577</v>
      </c>
      <c r="H28" s="236">
        <v>0</v>
      </c>
      <c r="I28" s="236" t="s">
        <v>577</v>
      </c>
      <c r="J28" s="236">
        <v>0</v>
      </c>
      <c r="K28" s="236" t="s">
        <v>577</v>
      </c>
      <c r="L28" s="236" t="s">
        <v>577</v>
      </c>
      <c r="M28" s="236" t="s">
        <v>577</v>
      </c>
      <c r="N28" s="238" t="s">
        <v>577</v>
      </c>
    </row>
    <row r="29" spans="2:14" ht="72.5" x14ac:dyDescent="0.35">
      <c r="B29" s="233" t="s">
        <v>617</v>
      </c>
      <c r="C29" s="236">
        <v>751</v>
      </c>
      <c r="D29" s="237">
        <v>1332327749</v>
      </c>
      <c r="E29" s="237">
        <v>1332327749</v>
      </c>
      <c r="F29" s="236">
        <v>9.43</v>
      </c>
      <c r="G29" s="237">
        <v>1332327749</v>
      </c>
      <c r="H29" s="236">
        <v>9.43</v>
      </c>
      <c r="I29" s="237">
        <v>1332327749</v>
      </c>
      <c r="J29" s="236">
        <v>9.43</v>
      </c>
      <c r="K29" s="237">
        <v>1332327749</v>
      </c>
      <c r="L29" s="236" t="s">
        <v>577</v>
      </c>
      <c r="M29" s="236" t="s">
        <v>577</v>
      </c>
      <c r="N29" s="238" t="s">
        <v>577</v>
      </c>
    </row>
    <row r="30" spans="2:14" ht="72.5" x14ac:dyDescent="0.35">
      <c r="B30" s="233" t="s">
        <v>618</v>
      </c>
      <c r="C30" s="236">
        <v>49</v>
      </c>
      <c r="D30" s="237">
        <v>58141121</v>
      </c>
      <c r="E30" s="237">
        <v>58141121</v>
      </c>
      <c r="F30" s="236">
        <v>0.41</v>
      </c>
      <c r="G30" s="237">
        <v>58141121</v>
      </c>
      <c r="H30" s="236">
        <v>0.41</v>
      </c>
      <c r="I30" s="237">
        <v>58141121</v>
      </c>
      <c r="J30" s="236">
        <v>0.41</v>
      </c>
      <c r="K30" s="237">
        <v>58141121</v>
      </c>
      <c r="L30" s="236" t="s">
        <v>577</v>
      </c>
      <c r="M30" s="236" t="s">
        <v>577</v>
      </c>
      <c r="N30" s="238" t="s">
        <v>577</v>
      </c>
    </row>
    <row r="31" spans="2:14" ht="101.5" x14ac:dyDescent="0.35">
      <c r="B31" s="233" t="s">
        <v>619</v>
      </c>
      <c r="C31" s="236">
        <v>0</v>
      </c>
      <c r="D31" s="236">
        <v>0</v>
      </c>
      <c r="E31" s="236" t="s">
        <v>577</v>
      </c>
      <c r="F31" s="236">
        <v>0</v>
      </c>
      <c r="G31" s="236" t="s">
        <v>577</v>
      </c>
      <c r="H31" s="236">
        <v>0</v>
      </c>
      <c r="I31" s="236" t="s">
        <v>577</v>
      </c>
      <c r="J31" s="236">
        <v>0</v>
      </c>
      <c r="K31" s="236" t="s">
        <v>577</v>
      </c>
      <c r="L31" s="236" t="s">
        <v>577</v>
      </c>
      <c r="M31" s="236" t="s">
        <v>577</v>
      </c>
      <c r="N31" s="238" t="s">
        <v>577</v>
      </c>
    </row>
    <row r="32" spans="2:14" ht="29" x14ac:dyDescent="0.35">
      <c r="B32" s="233" t="s">
        <v>620</v>
      </c>
      <c r="C32" s="236">
        <v>800</v>
      </c>
      <c r="D32" s="237">
        <v>1390468870</v>
      </c>
      <c r="E32" s="237">
        <v>1390468870</v>
      </c>
      <c r="F32" s="236">
        <v>9.85</v>
      </c>
      <c r="G32" s="237">
        <v>1390468870</v>
      </c>
      <c r="H32" s="236">
        <v>9.85</v>
      </c>
      <c r="I32" s="237">
        <v>1390468870</v>
      </c>
      <c r="J32" s="236">
        <v>9.85</v>
      </c>
      <c r="K32" s="237">
        <v>1390468870</v>
      </c>
      <c r="L32" s="236" t="s">
        <v>577</v>
      </c>
      <c r="M32" s="236" t="s">
        <v>577</v>
      </c>
      <c r="N32" s="238" t="s">
        <v>577</v>
      </c>
    </row>
    <row r="33" spans="2:14" ht="130.5" x14ac:dyDescent="0.35">
      <c r="B33" s="233" t="s">
        <v>621</v>
      </c>
      <c r="C33" s="236">
        <v>0</v>
      </c>
      <c r="D33" s="236">
        <v>0</v>
      </c>
      <c r="E33" s="236" t="s">
        <v>577</v>
      </c>
      <c r="F33" s="236">
        <v>0</v>
      </c>
      <c r="G33" s="236" t="s">
        <v>577</v>
      </c>
      <c r="H33" s="236">
        <v>0</v>
      </c>
      <c r="I33" s="236" t="s">
        <v>577</v>
      </c>
      <c r="J33" s="236">
        <v>0</v>
      </c>
      <c r="K33" s="236" t="s">
        <v>577</v>
      </c>
      <c r="L33" s="236" t="s">
        <v>577</v>
      </c>
      <c r="M33" s="236" t="s">
        <v>577</v>
      </c>
      <c r="N33" s="238" t="s">
        <v>577</v>
      </c>
    </row>
    <row r="34" spans="2:14" ht="58" x14ac:dyDescent="0.35">
      <c r="B34" s="233" t="s">
        <v>622</v>
      </c>
      <c r="C34" s="236">
        <v>1</v>
      </c>
      <c r="D34" s="237">
        <v>16200000</v>
      </c>
      <c r="E34" s="237">
        <v>16200000</v>
      </c>
      <c r="F34" s="236">
        <v>0.11</v>
      </c>
      <c r="G34" s="237">
        <v>16200000</v>
      </c>
      <c r="H34" s="236">
        <v>0.11</v>
      </c>
      <c r="I34" s="237">
        <v>16200000</v>
      </c>
      <c r="J34" s="236">
        <v>0.11</v>
      </c>
      <c r="K34" s="237">
        <v>16200000</v>
      </c>
      <c r="L34" s="236" t="s">
        <v>577</v>
      </c>
      <c r="M34" s="236" t="s">
        <v>577</v>
      </c>
      <c r="N34" s="238" t="s">
        <v>577</v>
      </c>
    </row>
  </sheetData>
  <mergeCells count="19">
    <mergeCell ref="B1:N1"/>
    <mergeCell ref="B2:N2"/>
    <mergeCell ref="F8:F10"/>
    <mergeCell ref="G8:G10"/>
    <mergeCell ref="H8:H10"/>
    <mergeCell ref="I8:I10"/>
    <mergeCell ref="J8:J10"/>
    <mergeCell ref="K8:K10"/>
    <mergeCell ref="B3:E3"/>
    <mergeCell ref="B4:D4"/>
    <mergeCell ref="B8:B10"/>
    <mergeCell ref="C8:C10"/>
    <mergeCell ref="D8:D10"/>
    <mergeCell ref="E8:E10"/>
    <mergeCell ref="L8:N8"/>
    <mergeCell ref="L9:N9"/>
    <mergeCell ref="B5:N5"/>
    <mergeCell ref="B6:N6"/>
    <mergeCell ref="B7:N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64"/>
  <sheetViews>
    <sheetView showGridLines="0" zoomScaleNormal="100" workbookViewId="0">
      <selection activeCell="K4" sqref="K4"/>
    </sheetView>
  </sheetViews>
  <sheetFormatPr defaultColWidth="8.6328125" defaultRowHeight="14" x14ac:dyDescent="0.3"/>
  <cols>
    <col min="1" max="1" width="1.7265625" style="301" customWidth="1"/>
    <col min="2" max="2" width="14.90625" style="301" bestFit="1" customWidth="1"/>
    <col min="3" max="3" width="13.36328125" style="301" customWidth="1"/>
    <col min="4" max="4" width="11.1796875" style="301" customWidth="1"/>
    <col min="5" max="5" width="9.36328125" style="301" customWidth="1"/>
    <col min="6" max="6" width="14.26953125" style="301" customWidth="1"/>
    <col min="7" max="7" width="11.453125" style="301" customWidth="1"/>
    <col min="8" max="16384" width="8.6328125" style="301"/>
  </cols>
  <sheetData>
    <row r="1" spans="2:12" ht="29.5" customHeight="1" x14ac:dyDescent="0.3">
      <c r="B1" s="300" t="s">
        <v>64</v>
      </c>
      <c r="C1" s="300"/>
      <c r="D1" s="300"/>
      <c r="E1" s="300"/>
      <c r="F1" s="300"/>
      <c r="G1" s="300"/>
    </row>
    <row r="2" spans="2:12" ht="24" customHeight="1" x14ac:dyDescent="0.3">
      <c r="B2" s="302" t="s">
        <v>65</v>
      </c>
      <c r="C2" s="303"/>
      <c r="D2" s="303"/>
      <c r="E2" s="303"/>
      <c r="F2" s="303"/>
      <c r="G2" s="304"/>
    </row>
    <row r="3" spans="2:12" ht="14.25" customHeight="1" x14ac:dyDescent="0.3">
      <c r="B3" s="305"/>
      <c r="C3" s="306" t="s">
        <v>66</v>
      </c>
      <c r="D3" s="307">
        <v>45717</v>
      </c>
      <c r="E3" s="307">
        <v>45352</v>
      </c>
      <c r="F3" s="307">
        <v>44986</v>
      </c>
      <c r="G3" s="308">
        <v>44621</v>
      </c>
    </row>
    <row r="4" spans="2:12" ht="14.25" customHeight="1" x14ac:dyDescent="0.3">
      <c r="B4" s="309"/>
      <c r="C4" s="309"/>
      <c r="D4" s="309"/>
      <c r="E4" s="309"/>
      <c r="F4" s="309"/>
      <c r="G4" s="309"/>
      <c r="H4" s="310"/>
      <c r="I4" s="310"/>
      <c r="J4" s="310"/>
      <c r="K4" s="310"/>
      <c r="L4" s="310"/>
    </row>
    <row r="5" spans="2:12" ht="14.25" customHeight="1" x14ac:dyDescent="0.3">
      <c r="B5" s="311"/>
      <c r="C5" s="312" t="s">
        <v>67</v>
      </c>
      <c r="D5" s="312" t="s">
        <v>67</v>
      </c>
      <c r="E5" s="312" t="s">
        <v>67</v>
      </c>
      <c r="F5" s="312" t="s">
        <v>67</v>
      </c>
      <c r="G5" s="313" t="s">
        <v>67</v>
      </c>
    </row>
    <row r="6" spans="2:12" ht="14.25" customHeight="1" x14ac:dyDescent="0.3">
      <c r="B6" s="309"/>
      <c r="C6" s="309"/>
      <c r="D6" s="309"/>
      <c r="E6" s="309"/>
      <c r="F6" s="309"/>
      <c r="G6" s="309"/>
      <c r="H6" s="310"/>
      <c r="I6" s="310"/>
      <c r="J6" s="310"/>
      <c r="K6" s="310"/>
      <c r="L6" s="310"/>
    </row>
    <row r="7" spans="2:12" ht="14.25" customHeight="1" x14ac:dyDescent="0.3">
      <c r="B7" s="314" t="s">
        <v>68</v>
      </c>
      <c r="C7" s="314"/>
      <c r="D7" s="306"/>
      <c r="E7" s="306"/>
      <c r="F7" s="306"/>
      <c r="G7" s="306"/>
      <c r="H7" s="315"/>
      <c r="I7" s="315"/>
      <c r="J7" s="315"/>
      <c r="K7" s="315"/>
      <c r="L7" s="315"/>
    </row>
    <row r="8" spans="2:12" ht="14.25" customHeight="1" x14ac:dyDescent="0.3">
      <c r="B8" s="314" t="s">
        <v>69</v>
      </c>
      <c r="C8" s="314"/>
      <c r="D8" s="306"/>
      <c r="E8" s="306"/>
      <c r="F8" s="306"/>
      <c r="G8" s="306"/>
      <c r="H8" s="315"/>
      <c r="I8" s="315"/>
      <c r="J8" s="315"/>
      <c r="K8" s="315"/>
      <c r="L8" s="315"/>
    </row>
    <row r="9" spans="2:12" ht="15.75" customHeight="1" x14ac:dyDescent="0.3">
      <c r="B9" s="311" t="s">
        <v>70</v>
      </c>
      <c r="C9" s="316">
        <v>13771.56</v>
      </c>
      <c r="D9" s="316">
        <v>13771.56</v>
      </c>
      <c r="E9" s="316">
        <v>13771.56</v>
      </c>
      <c r="F9" s="316">
        <v>13771.56</v>
      </c>
      <c r="G9" s="316">
        <v>9181.0400000000009</v>
      </c>
      <c r="H9" s="315"/>
      <c r="I9" s="315"/>
      <c r="J9" s="315"/>
      <c r="K9" s="315"/>
      <c r="L9" s="315"/>
    </row>
    <row r="10" spans="2:12" ht="15.75" customHeight="1" x14ac:dyDescent="0.3">
      <c r="B10" s="317" t="s">
        <v>71</v>
      </c>
      <c r="C10" s="318">
        <v>13771.56</v>
      </c>
      <c r="D10" s="318">
        <v>13771.56</v>
      </c>
      <c r="E10" s="318">
        <v>13771.56</v>
      </c>
      <c r="F10" s="318">
        <v>13771.56</v>
      </c>
      <c r="G10" s="318">
        <v>9181.0400000000009</v>
      </c>
      <c r="H10" s="315"/>
      <c r="I10" s="315"/>
      <c r="J10" s="315"/>
      <c r="K10" s="315"/>
      <c r="L10" s="315"/>
    </row>
    <row r="11" spans="2:12" ht="15.75" customHeight="1" x14ac:dyDescent="0.3">
      <c r="B11" s="311" t="s">
        <v>72</v>
      </c>
      <c r="C11" s="316">
        <v>205745.99</v>
      </c>
      <c r="D11" s="316">
        <v>172715.76</v>
      </c>
      <c r="E11" s="316">
        <v>169644.71</v>
      </c>
      <c r="F11" s="316">
        <v>125948.68</v>
      </c>
      <c r="G11" s="316">
        <v>124354.14</v>
      </c>
      <c r="H11" s="315"/>
      <c r="I11" s="315"/>
      <c r="J11" s="315"/>
      <c r="K11" s="315"/>
      <c r="L11" s="315"/>
    </row>
    <row r="12" spans="2:12" ht="15.75" customHeight="1" x14ac:dyDescent="0.3">
      <c r="B12" s="317" t="s">
        <v>73</v>
      </c>
      <c r="C12" s="318">
        <v>205745.99</v>
      </c>
      <c r="D12" s="318">
        <v>172715.76</v>
      </c>
      <c r="E12" s="318">
        <v>169644.71</v>
      </c>
      <c r="F12" s="318">
        <v>125948.68</v>
      </c>
      <c r="G12" s="318">
        <v>124354.14</v>
      </c>
      <c r="H12" s="315"/>
      <c r="I12" s="315"/>
      <c r="J12" s="315"/>
      <c r="K12" s="315"/>
      <c r="L12" s="315"/>
    </row>
    <row r="13" spans="2:12" ht="24" customHeight="1" x14ac:dyDescent="0.3">
      <c r="B13" s="317" t="s">
        <v>74</v>
      </c>
      <c r="C13" s="318">
        <v>219517.55</v>
      </c>
      <c r="D13" s="318">
        <v>186487.32</v>
      </c>
      <c r="E13" s="318">
        <v>183416.27</v>
      </c>
      <c r="F13" s="318">
        <v>139720.24</v>
      </c>
      <c r="G13" s="318">
        <v>133535.18</v>
      </c>
      <c r="H13" s="315"/>
      <c r="I13" s="315"/>
      <c r="J13" s="315"/>
      <c r="K13" s="315"/>
      <c r="L13" s="315"/>
    </row>
    <row r="14" spans="2:12" ht="14.25" customHeight="1" x14ac:dyDescent="0.3">
      <c r="B14" s="311" t="s">
        <v>75</v>
      </c>
      <c r="C14" s="316">
        <v>6029.56</v>
      </c>
      <c r="D14" s="316">
        <v>4537.34</v>
      </c>
      <c r="E14" s="316">
        <v>4746.71</v>
      </c>
      <c r="F14" s="316">
        <v>3494.1</v>
      </c>
      <c r="G14" s="316">
        <v>1591.47</v>
      </c>
      <c r="H14" s="315"/>
      <c r="I14" s="315"/>
      <c r="J14" s="315"/>
      <c r="K14" s="315"/>
      <c r="L14" s="315"/>
    </row>
    <row r="15" spans="2:12" ht="14.25" customHeight="1" x14ac:dyDescent="0.3">
      <c r="B15" s="314" t="s">
        <v>76</v>
      </c>
      <c r="C15" s="314"/>
      <c r="D15" s="306"/>
      <c r="E15" s="306"/>
      <c r="F15" s="306"/>
      <c r="G15" s="306"/>
      <c r="H15" s="315"/>
      <c r="I15" s="315"/>
      <c r="J15" s="315"/>
      <c r="K15" s="315"/>
      <c r="L15" s="315"/>
    </row>
    <row r="16" spans="2:12" ht="15.75" customHeight="1" x14ac:dyDescent="0.3">
      <c r="B16" s="311" t="s">
        <v>77</v>
      </c>
      <c r="C16" s="316">
        <v>63652.1</v>
      </c>
      <c r="D16" s="316">
        <v>51755.75</v>
      </c>
      <c r="E16" s="316">
        <v>46792.9</v>
      </c>
      <c r="F16" s="316">
        <v>63312.94</v>
      </c>
      <c r="G16" s="316">
        <v>55944.54</v>
      </c>
      <c r="H16" s="315"/>
      <c r="I16" s="315"/>
      <c r="J16" s="315"/>
      <c r="K16" s="315"/>
      <c r="L16" s="315"/>
    </row>
    <row r="17" spans="2:12" ht="15.75" customHeight="1" x14ac:dyDescent="0.3">
      <c r="B17" s="311" t="s">
        <v>78</v>
      </c>
      <c r="C17" s="316">
        <v>21615.85</v>
      </c>
      <c r="D17" s="316">
        <v>20664.96</v>
      </c>
      <c r="E17" s="316">
        <v>18960.7</v>
      </c>
      <c r="F17" s="316">
        <v>16800.419999999998</v>
      </c>
      <c r="G17" s="316">
        <v>15354.37</v>
      </c>
      <c r="H17" s="315"/>
      <c r="I17" s="315"/>
      <c r="J17" s="315"/>
      <c r="K17" s="315"/>
      <c r="L17" s="315"/>
    </row>
    <row r="18" spans="2:12" ht="15.75" customHeight="1" x14ac:dyDescent="0.3">
      <c r="B18" s="311" t="s">
        <v>79</v>
      </c>
      <c r="C18" s="316">
        <v>5492.46</v>
      </c>
      <c r="D18" s="316">
        <v>11400.64</v>
      </c>
      <c r="E18" s="316">
        <v>10626.67</v>
      </c>
      <c r="F18" s="316">
        <v>10379.620000000001</v>
      </c>
      <c r="G18" s="316">
        <v>10458</v>
      </c>
      <c r="H18" s="315"/>
      <c r="I18" s="315"/>
      <c r="J18" s="315"/>
      <c r="K18" s="315"/>
      <c r="L18" s="315"/>
    </row>
    <row r="19" spans="2:12" ht="15.75" customHeight="1" x14ac:dyDescent="0.3">
      <c r="B19" s="311" t="s">
        <v>80</v>
      </c>
      <c r="C19" s="316">
        <v>1441.64</v>
      </c>
      <c r="D19" s="316">
        <v>1406.63</v>
      </c>
      <c r="E19" s="316">
        <v>1414.82</v>
      </c>
      <c r="F19" s="316">
        <v>1396.44</v>
      </c>
      <c r="G19" s="316">
        <v>1586.59</v>
      </c>
      <c r="H19" s="315"/>
      <c r="I19" s="315"/>
      <c r="J19" s="315"/>
      <c r="K19" s="315"/>
      <c r="L19" s="315"/>
    </row>
    <row r="20" spans="2:12" ht="24" customHeight="1" x14ac:dyDescent="0.3">
      <c r="B20" s="317" t="s">
        <v>81</v>
      </c>
      <c r="C20" s="318">
        <v>92202.05</v>
      </c>
      <c r="D20" s="318">
        <v>85227.98</v>
      </c>
      <c r="E20" s="318">
        <v>77795.09</v>
      </c>
      <c r="F20" s="318">
        <v>91889.42</v>
      </c>
      <c r="G20" s="318">
        <v>83343.5</v>
      </c>
      <c r="H20" s="315"/>
      <c r="I20" s="315"/>
      <c r="J20" s="315"/>
      <c r="K20" s="315"/>
      <c r="L20" s="315"/>
    </row>
    <row r="21" spans="2:12" ht="14.25" customHeight="1" x14ac:dyDescent="0.3">
      <c r="B21" s="314" t="s">
        <v>82</v>
      </c>
      <c r="C21" s="314"/>
      <c r="D21" s="306"/>
      <c r="E21" s="306"/>
      <c r="F21" s="306"/>
      <c r="G21" s="306"/>
      <c r="H21" s="315"/>
      <c r="I21" s="315"/>
      <c r="J21" s="315"/>
      <c r="K21" s="315"/>
      <c r="L21" s="315"/>
    </row>
    <row r="22" spans="2:12" ht="15.75" customHeight="1" x14ac:dyDescent="0.3">
      <c r="B22" s="311" t="s">
        <v>83</v>
      </c>
      <c r="C22" s="316">
        <v>68170.289999999994</v>
      </c>
      <c r="D22" s="316">
        <v>90804.15</v>
      </c>
      <c r="E22" s="316">
        <v>76660.67</v>
      </c>
      <c r="F22" s="316">
        <v>76801.88</v>
      </c>
      <c r="G22" s="316">
        <v>67605.56</v>
      </c>
      <c r="H22" s="315"/>
      <c r="I22" s="315"/>
      <c r="J22" s="315"/>
      <c r="K22" s="315"/>
      <c r="L22" s="315"/>
    </row>
    <row r="23" spans="2:12" ht="14.25" customHeight="1" x14ac:dyDescent="0.3">
      <c r="B23" s="311" t="s">
        <v>84</v>
      </c>
      <c r="C23" s="316">
        <v>57368.69</v>
      </c>
      <c r="D23" s="316">
        <v>60534.94</v>
      </c>
      <c r="E23" s="316">
        <v>59454.1</v>
      </c>
      <c r="F23" s="316">
        <v>54734.1</v>
      </c>
      <c r="G23" s="316">
        <v>49045.91</v>
      </c>
      <c r="H23" s="315"/>
      <c r="I23" s="315"/>
      <c r="J23" s="315"/>
      <c r="K23" s="315"/>
      <c r="L23" s="315"/>
    </row>
    <row r="24" spans="2:12" ht="15.75" customHeight="1" x14ac:dyDescent="0.3">
      <c r="B24" s="311" t="s">
        <v>85</v>
      </c>
      <c r="C24" s="316">
        <v>75160.710000000006</v>
      </c>
      <c r="D24" s="316">
        <v>69262.58</v>
      </c>
      <c r="E24" s="316">
        <v>69660.899999999994</v>
      </c>
      <c r="F24" s="316">
        <v>64966.07</v>
      </c>
      <c r="G24" s="316">
        <v>65754.64</v>
      </c>
      <c r="H24" s="315"/>
      <c r="I24" s="315"/>
      <c r="J24" s="315"/>
      <c r="K24" s="315"/>
      <c r="L24" s="315"/>
    </row>
    <row r="25" spans="2:12" ht="15.75" customHeight="1" x14ac:dyDescent="0.3">
      <c r="B25" s="311" t="s">
        <v>86</v>
      </c>
      <c r="C25" s="316">
        <v>10506.11</v>
      </c>
      <c r="D25" s="316">
        <v>10012.74</v>
      </c>
      <c r="E25" s="316">
        <v>10628.26</v>
      </c>
      <c r="F25" s="316">
        <v>10156.280000000001</v>
      </c>
      <c r="G25" s="316">
        <v>9748.59</v>
      </c>
      <c r="H25" s="315"/>
      <c r="I25" s="315"/>
      <c r="J25" s="315"/>
      <c r="K25" s="315"/>
      <c r="L25" s="315"/>
    </row>
    <row r="26" spans="2:12" ht="15.75" customHeight="1" x14ac:dyDescent="0.3">
      <c r="B26" s="317" t="s">
        <v>87</v>
      </c>
      <c r="C26" s="318">
        <v>211205.8</v>
      </c>
      <c r="D26" s="318">
        <v>230614.41</v>
      </c>
      <c r="E26" s="318">
        <v>216403.93</v>
      </c>
      <c r="F26" s="318">
        <v>206658.33</v>
      </c>
      <c r="G26" s="318">
        <v>192154.7</v>
      </c>
      <c r="H26" s="315"/>
      <c r="I26" s="315"/>
      <c r="J26" s="315"/>
      <c r="K26" s="315"/>
      <c r="L26" s="315"/>
    </row>
    <row r="27" spans="2:12" ht="15.75" customHeight="1" x14ac:dyDescent="0.3">
      <c r="B27" s="317" t="s">
        <v>88</v>
      </c>
      <c r="C27" s="318">
        <v>528954.96</v>
      </c>
      <c r="D27" s="318">
        <v>506867.05</v>
      </c>
      <c r="E27" s="318">
        <v>482362</v>
      </c>
      <c r="F27" s="318">
        <v>441762.09</v>
      </c>
      <c r="G27" s="318">
        <v>410624.85</v>
      </c>
      <c r="H27" s="315"/>
      <c r="I27" s="315"/>
      <c r="J27" s="315"/>
      <c r="K27" s="315"/>
      <c r="L27" s="315"/>
    </row>
    <row r="28" spans="2:12" ht="14.25" customHeight="1" x14ac:dyDescent="0.3">
      <c r="B28" s="314" t="s">
        <v>89</v>
      </c>
      <c r="C28" s="314"/>
      <c r="D28" s="306"/>
      <c r="E28" s="306"/>
      <c r="F28" s="306"/>
      <c r="G28" s="306"/>
      <c r="H28" s="315"/>
      <c r="I28" s="315"/>
      <c r="J28" s="315"/>
      <c r="K28" s="315"/>
      <c r="L28" s="315"/>
    </row>
    <row r="29" spans="2:12" ht="14.25" customHeight="1" x14ac:dyDescent="0.3">
      <c r="B29" s="314" t="s">
        <v>90</v>
      </c>
      <c r="C29" s="314"/>
      <c r="D29" s="306"/>
      <c r="E29" s="306"/>
      <c r="F29" s="306"/>
      <c r="G29" s="306"/>
      <c r="H29" s="315"/>
      <c r="I29" s="315"/>
      <c r="J29" s="315"/>
      <c r="K29" s="315"/>
      <c r="L29" s="315"/>
    </row>
    <row r="30" spans="2:12" ht="14.25" customHeight="1" x14ac:dyDescent="0.3">
      <c r="B30" s="311" t="s">
        <v>91</v>
      </c>
      <c r="C30" s="316">
        <v>207625.53</v>
      </c>
      <c r="D30" s="316">
        <v>197162.03</v>
      </c>
      <c r="E30" s="316">
        <v>192159.52</v>
      </c>
      <c r="F30" s="316">
        <v>176532.05</v>
      </c>
      <c r="G30" s="316">
        <v>157194.98000000001</v>
      </c>
      <c r="H30" s="315"/>
      <c r="I30" s="315"/>
      <c r="J30" s="315"/>
      <c r="K30" s="315"/>
      <c r="L30" s="315"/>
    </row>
    <row r="31" spans="2:12" ht="15.75" customHeight="1" x14ac:dyDescent="0.3">
      <c r="B31" s="311" t="s">
        <v>92</v>
      </c>
      <c r="C31" s="316">
        <v>4095.37</v>
      </c>
      <c r="D31" s="316">
        <v>3979.1</v>
      </c>
      <c r="E31" s="316">
        <v>3837.23</v>
      </c>
      <c r="F31" s="316">
        <v>3514.48</v>
      </c>
      <c r="G31" s="316">
        <v>3318.33</v>
      </c>
      <c r="H31" s="315"/>
      <c r="I31" s="315"/>
      <c r="J31" s="315"/>
      <c r="K31" s="315"/>
      <c r="L31" s="315"/>
    </row>
    <row r="32" spans="2:12" ht="15.75" customHeight="1" x14ac:dyDescent="0.3">
      <c r="B32" s="311" t="s">
        <v>93</v>
      </c>
      <c r="C32" s="316">
        <v>82896.789999999994</v>
      </c>
      <c r="D32" s="316">
        <v>73740.41</v>
      </c>
      <c r="E32" s="316">
        <v>57316.86</v>
      </c>
      <c r="F32" s="316">
        <v>47550.080000000002</v>
      </c>
      <c r="G32" s="316">
        <v>44049.82</v>
      </c>
      <c r="H32" s="315"/>
      <c r="I32" s="315"/>
      <c r="J32" s="315"/>
      <c r="K32" s="315"/>
      <c r="L32" s="315"/>
    </row>
    <row r="33" spans="2:12" ht="24" customHeight="1" x14ac:dyDescent="0.3">
      <c r="B33" s="311" t="s">
        <v>94</v>
      </c>
      <c r="C33" s="312">
        <v>0</v>
      </c>
      <c r="D33" s="316">
        <v>4180.87</v>
      </c>
      <c r="E33" s="316">
        <v>3715.56</v>
      </c>
      <c r="F33" s="316">
        <v>3583.39</v>
      </c>
      <c r="G33" s="316">
        <v>3419.45</v>
      </c>
      <c r="H33" s="315"/>
      <c r="I33" s="315"/>
      <c r="J33" s="315"/>
      <c r="K33" s="315"/>
      <c r="L33" s="315"/>
    </row>
    <row r="34" spans="2:12" ht="14.25" customHeight="1" x14ac:dyDescent="0.3">
      <c r="B34" s="317" t="s">
        <v>95</v>
      </c>
      <c r="C34" s="318">
        <v>294617.69</v>
      </c>
      <c r="D34" s="318">
        <v>279062.40999999997</v>
      </c>
      <c r="E34" s="318">
        <v>257029.17</v>
      </c>
      <c r="F34" s="318">
        <v>231180</v>
      </c>
      <c r="G34" s="318">
        <v>207982.58</v>
      </c>
      <c r="H34" s="315"/>
      <c r="I34" s="315"/>
      <c r="J34" s="315"/>
      <c r="K34" s="315"/>
      <c r="L34" s="315"/>
    </row>
    <row r="35" spans="2:12" ht="15.75" customHeight="1" x14ac:dyDescent="0.3">
      <c r="B35" s="311" t="s">
        <v>96</v>
      </c>
      <c r="C35" s="316">
        <v>66160.990000000005</v>
      </c>
      <c r="D35" s="316">
        <v>56849.59</v>
      </c>
      <c r="E35" s="316">
        <v>55162.04</v>
      </c>
      <c r="F35" s="316">
        <v>41753.919999999998</v>
      </c>
      <c r="G35" s="316">
        <v>44338.76</v>
      </c>
      <c r="H35" s="315"/>
      <c r="I35" s="315"/>
      <c r="J35" s="315"/>
      <c r="K35" s="315"/>
      <c r="L35" s="315"/>
    </row>
    <row r="36" spans="2:12" ht="15.75" customHeight="1" x14ac:dyDescent="0.3">
      <c r="B36" s="311" t="s">
        <v>97</v>
      </c>
      <c r="C36" s="316">
        <v>1364.02</v>
      </c>
      <c r="D36" s="312">
        <v>0</v>
      </c>
      <c r="E36" s="312">
        <v>0</v>
      </c>
      <c r="F36" s="312">
        <v>0</v>
      </c>
      <c r="G36" s="312">
        <v>0</v>
      </c>
      <c r="H36" s="315"/>
      <c r="I36" s="315"/>
      <c r="J36" s="315"/>
      <c r="K36" s="315"/>
      <c r="L36" s="315"/>
    </row>
    <row r="37" spans="2:12" ht="24" customHeight="1" x14ac:dyDescent="0.3">
      <c r="B37" s="311" t="s">
        <v>98</v>
      </c>
      <c r="C37" s="316">
        <v>3357.31</v>
      </c>
      <c r="D37" s="316">
        <v>3223.44</v>
      </c>
      <c r="E37" s="316">
        <v>2586.98</v>
      </c>
      <c r="F37" s="316">
        <v>2285.11</v>
      </c>
      <c r="G37" s="316">
        <v>2292.96</v>
      </c>
      <c r="H37" s="315"/>
      <c r="I37" s="315"/>
      <c r="J37" s="315"/>
      <c r="K37" s="315"/>
      <c r="L37" s="315"/>
    </row>
    <row r="38" spans="2:12" ht="15.75" customHeight="1" x14ac:dyDescent="0.3">
      <c r="B38" s="311" t="s">
        <v>99</v>
      </c>
      <c r="C38" s="316">
        <v>6643.14</v>
      </c>
      <c r="D38" s="316">
        <v>10087.42</v>
      </c>
      <c r="E38" s="316">
        <v>9134.5</v>
      </c>
      <c r="F38" s="316">
        <v>7676.53</v>
      </c>
      <c r="G38" s="316">
        <v>9148.82</v>
      </c>
      <c r="H38" s="315"/>
      <c r="I38" s="315"/>
      <c r="J38" s="315"/>
      <c r="K38" s="315"/>
      <c r="L38" s="315"/>
    </row>
    <row r="39" spans="2:12" ht="15.75" customHeight="1" x14ac:dyDescent="0.3">
      <c r="B39" s="317" t="s">
        <v>100</v>
      </c>
      <c r="C39" s="318">
        <v>372144.19</v>
      </c>
      <c r="D39" s="318">
        <v>349223.9</v>
      </c>
      <c r="E39" s="318">
        <v>323913.73</v>
      </c>
      <c r="F39" s="318">
        <v>282896.59999999998</v>
      </c>
      <c r="G39" s="318">
        <v>263764.15999999997</v>
      </c>
      <c r="H39" s="315"/>
      <c r="I39" s="315"/>
      <c r="J39" s="315"/>
      <c r="K39" s="315"/>
      <c r="L39" s="315"/>
    </row>
    <row r="40" spans="2:12" ht="14.25" customHeight="1" x14ac:dyDescent="0.3">
      <c r="B40" s="314" t="s">
        <v>101</v>
      </c>
      <c r="C40" s="314"/>
      <c r="D40" s="306"/>
      <c r="E40" s="306"/>
      <c r="F40" s="306"/>
      <c r="G40" s="306"/>
      <c r="H40" s="315"/>
      <c r="I40" s="315"/>
      <c r="J40" s="315"/>
      <c r="K40" s="315"/>
      <c r="L40" s="315"/>
    </row>
    <row r="41" spans="2:12" ht="15.75" customHeight="1" x14ac:dyDescent="0.3">
      <c r="B41" s="311" t="s">
        <v>102</v>
      </c>
      <c r="C41" s="316">
        <v>7136.54</v>
      </c>
      <c r="D41" s="316">
        <v>10368.91</v>
      </c>
      <c r="E41" s="316">
        <v>10379.86</v>
      </c>
      <c r="F41" s="316">
        <v>10436.540000000001</v>
      </c>
      <c r="G41" s="316">
        <v>8013.2</v>
      </c>
      <c r="H41" s="315"/>
      <c r="I41" s="315"/>
      <c r="J41" s="315"/>
      <c r="K41" s="315"/>
      <c r="L41" s="315"/>
    </row>
    <row r="42" spans="2:12" ht="14.25" customHeight="1" x14ac:dyDescent="0.3">
      <c r="B42" s="311" t="s">
        <v>103</v>
      </c>
      <c r="C42" s="316">
        <v>117132.72</v>
      </c>
      <c r="D42" s="316">
        <v>113878.49</v>
      </c>
      <c r="E42" s="316">
        <v>121375.83</v>
      </c>
      <c r="F42" s="316">
        <v>121107.58</v>
      </c>
      <c r="G42" s="316">
        <v>111736.51</v>
      </c>
      <c r="H42" s="315"/>
      <c r="I42" s="315"/>
      <c r="J42" s="315"/>
      <c r="K42" s="315"/>
      <c r="L42" s="315"/>
    </row>
    <row r="43" spans="2:12" ht="15.75" customHeight="1" x14ac:dyDescent="0.3">
      <c r="B43" s="311" t="s">
        <v>104</v>
      </c>
      <c r="C43" s="316">
        <v>14634.83</v>
      </c>
      <c r="D43" s="316">
        <v>18550.96</v>
      </c>
      <c r="E43" s="316">
        <v>13831.45</v>
      </c>
      <c r="F43" s="316">
        <v>16271.21</v>
      </c>
      <c r="G43" s="316">
        <v>18700.419999999998</v>
      </c>
      <c r="H43" s="315"/>
      <c r="I43" s="315"/>
      <c r="J43" s="315"/>
      <c r="K43" s="315"/>
      <c r="L43" s="315"/>
    </row>
    <row r="44" spans="2:12" ht="15.75" customHeight="1" x14ac:dyDescent="0.3">
      <c r="B44" s="311" t="s">
        <v>105</v>
      </c>
      <c r="C44" s="316">
        <v>4414.66</v>
      </c>
      <c r="D44" s="316">
        <v>3304.94</v>
      </c>
      <c r="E44" s="316">
        <v>3158.79</v>
      </c>
      <c r="F44" s="316">
        <v>2096.64</v>
      </c>
      <c r="G44" s="316">
        <v>1820.14</v>
      </c>
      <c r="H44" s="315"/>
      <c r="I44" s="315"/>
      <c r="J44" s="315"/>
      <c r="K44" s="315"/>
      <c r="L44" s="315"/>
    </row>
    <row r="45" spans="2:12" ht="24" customHeight="1" x14ac:dyDescent="0.3">
      <c r="B45" s="311" t="s">
        <v>106</v>
      </c>
      <c r="C45" s="312">
        <v>698.58</v>
      </c>
      <c r="D45" s="312">
        <v>628.76</v>
      </c>
      <c r="E45" s="312">
        <v>492.94</v>
      </c>
      <c r="F45" s="312">
        <v>379.73</v>
      </c>
      <c r="G45" s="312">
        <v>450.92</v>
      </c>
      <c r="H45" s="315"/>
      <c r="I45" s="315"/>
      <c r="J45" s="315"/>
      <c r="K45" s="315"/>
      <c r="L45" s="315"/>
    </row>
    <row r="46" spans="2:12" ht="15.75" customHeight="1" x14ac:dyDescent="0.3">
      <c r="B46" s="311" t="s">
        <v>107</v>
      </c>
      <c r="C46" s="316">
        <v>12793.44</v>
      </c>
      <c r="D46" s="316">
        <v>10911.09</v>
      </c>
      <c r="E46" s="316">
        <v>9209.4</v>
      </c>
      <c r="F46" s="316">
        <v>8573.7900000000009</v>
      </c>
      <c r="G46" s="316">
        <v>6139.5</v>
      </c>
      <c r="H46" s="315"/>
      <c r="I46" s="315"/>
      <c r="J46" s="315"/>
      <c r="K46" s="315"/>
      <c r="L46" s="315"/>
    </row>
    <row r="47" spans="2:12" ht="15.75" customHeight="1" x14ac:dyDescent="0.3">
      <c r="B47" s="317" t="s">
        <v>108</v>
      </c>
      <c r="C47" s="318">
        <v>156810.76999999999</v>
      </c>
      <c r="D47" s="318">
        <v>157643.15</v>
      </c>
      <c r="E47" s="318">
        <v>158448.26999999999</v>
      </c>
      <c r="F47" s="318">
        <v>158865.49</v>
      </c>
      <c r="G47" s="318">
        <v>146860.69</v>
      </c>
      <c r="H47" s="315"/>
      <c r="I47" s="315"/>
      <c r="J47" s="315"/>
      <c r="K47" s="315"/>
      <c r="L47" s="315"/>
    </row>
    <row r="48" spans="2:12" ht="14.25" customHeight="1" x14ac:dyDescent="0.3">
      <c r="B48" s="317" t="s">
        <v>109</v>
      </c>
      <c r="C48" s="318">
        <v>528954.96</v>
      </c>
      <c r="D48" s="318">
        <v>506867.05</v>
      </c>
      <c r="E48" s="318">
        <v>482362</v>
      </c>
      <c r="F48" s="318">
        <v>441762.09</v>
      </c>
      <c r="G48" s="318">
        <v>410624.85</v>
      </c>
      <c r="H48" s="315"/>
      <c r="I48" s="315"/>
      <c r="J48" s="315"/>
      <c r="K48" s="315"/>
      <c r="L48" s="315"/>
    </row>
    <row r="49" spans="2:12" ht="15.75" customHeight="1" x14ac:dyDescent="0.3">
      <c r="B49" s="314" t="s">
        <v>110</v>
      </c>
      <c r="C49" s="314"/>
      <c r="D49" s="306"/>
      <c r="E49" s="306"/>
      <c r="F49" s="306"/>
      <c r="G49" s="306"/>
      <c r="H49" s="315"/>
      <c r="I49" s="315"/>
      <c r="J49" s="315"/>
      <c r="K49" s="315"/>
      <c r="L49" s="315"/>
    </row>
    <row r="50" spans="2:12" ht="15.75" customHeight="1" x14ac:dyDescent="0.3">
      <c r="B50" s="314" t="s">
        <v>111</v>
      </c>
      <c r="C50" s="314"/>
      <c r="D50" s="306"/>
      <c r="E50" s="306"/>
      <c r="F50" s="306"/>
      <c r="G50" s="306"/>
      <c r="H50" s="315"/>
      <c r="I50" s="315"/>
      <c r="J50" s="315"/>
      <c r="K50" s="315"/>
      <c r="L50" s="315"/>
    </row>
    <row r="51" spans="2:12" ht="15.75" customHeight="1" x14ac:dyDescent="0.3">
      <c r="B51" s="311" t="s">
        <v>112</v>
      </c>
      <c r="C51" s="312">
        <v>0</v>
      </c>
      <c r="D51" s="316">
        <v>64066.62</v>
      </c>
      <c r="E51" s="316">
        <v>77963.87</v>
      </c>
      <c r="F51" s="316">
        <v>18483.75</v>
      </c>
      <c r="G51" s="316">
        <v>69357.88</v>
      </c>
      <c r="H51" s="315"/>
      <c r="I51" s="315"/>
      <c r="J51" s="315"/>
      <c r="K51" s="315"/>
      <c r="L51" s="315"/>
    </row>
    <row r="52" spans="2:12" ht="14.25" customHeight="1" x14ac:dyDescent="0.3">
      <c r="B52" s="314" t="s">
        <v>113</v>
      </c>
      <c r="C52" s="314"/>
      <c r="D52" s="306"/>
      <c r="E52" s="306"/>
      <c r="F52" s="306"/>
      <c r="G52" s="306"/>
      <c r="H52" s="315"/>
      <c r="I52" s="315"/>
      <c r="J52" s="315"/>
      <c r="K52" s="315"/>
      <c r="L52" s="315"/>
    </row>
    <row r="53" spans="2:12" ht="15.75" customHeight="1" x14ac:dyDescent="0.3">
      <c r="B53" s="311" t="s">
        <v>114</v>
      </c>
      <c r="C53" s="312">
        <v>0</v>
      </c>
      <c r="D53" s="316">
        <v>9037.98</v>
      </c>
      <c r="E53" s="316">
        <v>9037.98</v>
      </c>
      <c r="F53" s="316">
        <v>9037.98</v>
      </c>
      <c r="G53" s="316">
        <v>9037.98</v>
      </c>
      <c r="H53" s="315"/>
      <c r="I53" s="315"/>
      <c r="J53" s="315"/>
      <c r="K53" s="315"/>
      <c r="L53" s="315"/>
    </row>
    <row r="54" spans="2:12" ht="14.25" customHeight="1" x14ac:dyDescent="0.3">
      <c r="B54" s="314" t="s">
        <v>115</v>
      </c>
      <c r="C54" s="314"/>
      <c r="D54" s="306"/>
      <c r="E54" s="306"/>
      <c r="F54" s="306"/>
      <c r="G54" s="306"/>
      <c r="H54" s="315"/>
      <c r="I54" s="315"/>
      <c r="J54" s="315"/>
      <c r="K54" s="315"/>
      <c r="L54" s="315"/>
    </row>
    <row r="55" spans="2:12" ht="31.5" customHeight="1" x14ac:dyDescent="0.3">
      <c r="B55" s="311" t="s">
        <v>116</v>
      </c>
      <c r="C55" s="312">
        <v>0</v>
      </c>
      <c r="D55" s="316">
        <v>35969.01</v>
      </c>
      <c r="E55" s="316">
        <v>37901.25</v>
      </c>
      <c r="F55" s="316">
        <v>33570.1</v>
      </c>
      <c r="G55" s="316">
        <v>34445.57</v>
      </c>
      <c r="H55" s="315"/>
      <c r="I55" s="315"/>
      <c r="J55" s="315"/>
      <c r="K55" s="315"/>
      <c r="L55" s="315"/>
    </row>
    <row r="56" spans="2:12" ht="31.5" customHeight="1" x14ac:dyDescent="0.3">
      <c r="B56" s="311" t="s">
        <v>117</v>
      </c>
      <c r="C56" s="312">
        <v>0</v>
      </c>
      <c r="D56" s="316">
        <v>23895.22</v>
      </c>
      <c r="E56" s="316">
        <v>20039.599999999999</v>
      </c>
      <c r="F56" s="316">
        <v>21003.23</v>
      </c>
      <c r="G56" s="316">
        <v>19830.689999999999</v>
      </c>
      <c r="H56" s="315"/>
      <c r="I56" s="315"/>
      <c r="J56" s="315"/>
      <c r="K56" s="315"/>
      <c r="L56" s="315"/>
    </row>
    <row r="57" spans="2:12" ht="14.25" customHeight="1" x14ac:dyDescent="0.3">
      <c r="B57" s="314" t="s">
        <v>118</v>
      </c>
      <c r="C57" s="314"/>
      <c r="D57" s="306"/>
      <c r="E57" s="306"/>
      <c r="F57" s="306"/>
      <c r="G57" s="306"/>
      <c r="H57" s="315"/>
      <c r="I57" s="315"/>
      <c r="J57" s="315"/>
      <c r="K57" s="315"/>
      <c r="L57" s="315"/>
    </row>
    <row r="58" spans="2:12" ht="31.5" customHeight="1" x14ac:dyDescent="0.3">
      <c r="B58" s="311" t="s">
        <v>119</v>
      </c>
      <c r="C58" s="312">
        <v>0</v>
      </c>
      <c r="D58" s="316">
        <v>9516.68</v>
      </c>
      <c r="E58" s="316">
        <v>9530.9</v>
      </c>
      <c r="F58" s="312">
        <v>0</v>
      </c>
      <c r="G58" s="312">
        <v>0</v>
      </c>
      <c r="H58" s="315"/>
      <c r="I58" s="315"/>
      <c r="J58" s="315"/>
      <c r="K58" s="315"/>
      <c r="L58" s="315"/>
    </row>
    <row r="59" spans="2:12" ht="31.5" customHeight="1" x14ac:dyDescent="0.3">
      <c r="B59" s="311" t="s">
        <v>120</v>
      </c>
      <c r="C59" s="312">
        <v>0</v>
      </c>
      <c r="D59" s="312">
        <v>852.23</v>
      </c>
      <c r="E59" s="312">
        <v>848.96</v>
      </c>
      <c r="F59" s="312">
        <v>0</v>
      </c>
      <c r="G59" s="312">
        <v>0</v>
      </c>
      <c r="H59" s="315"/>
      <c r="I59" s="315"/>
      <c r="J59" s="315"/>
      <c r="K59" s="315"/>
      <c r="L59" s="315"/>
    </row>
    <row r="60" spans="2:12" ht="14.25" customHeight="1" x14ac:dyDescent="0.3">
      <c r="B60" s="319"/>
      <c r="C60" s="320"/>
      <c r="D60" s="315"/>
      <c r="E60" s="315"/>
      <c r="F60" s="315"/>
      <c r="G60" s="315"/>
      <c r="H60" s="315"/>
      <c r="I60" s="315"/>
      <c r="J60" s="315"/>
      <c r="K60" s="315"/>
      <c r="L60" s="315"/>
    </row>
    <row r="61" spans="2:12" ht="14.25" customHeight="1" x14ac:dyDescent="0.3">
      <c r="B61" s="321"/>
      <c r="C61" s="321"/>
      <c r="D61" s="321"/>
      <c r="E61" s="321"/>
      <c r="F61" s="321"/>
      <c r="G61" s="321"/>
      <c r="H61" s="315"/>
      <c r="I61" s="315"/>
      <c r="J61" s="315"/>
      <c r="K61" s="315"/>
      <c r="L61" s="315"/>
    </row>
    <row r="62" spans="2:12" ht="14.25" customHeight="1" x14ac:dyDescent="0.3">
      <c r="B62" s="322"/>
      <c r="C62" s="322"/>
      <c r="D62" s="322"/>
      <c r="E62" s="322"/>
      <c r="F62" s="322"/>
      <c r="G62" s="322"/>
      <c r="H62" s="315"/>
      <c r="I62" s="315"/>
      <c r="J62" s="315"/>
      <c r="K62" s="315"/>
      <c r="L62" s="315"/>
    </row>
    <row r="63" spans="2:12" ht="14.25" customHeight="1" x14ac:dyDescent="0.3">
      <c r="B63" s="323" t="s">
        <v>121</v>
      </c>
      <c r="C63" s="323"/>
      <c r="D63" s="323"/>
      <c r="E63" s="323"/>
      <c r="F63" s="323"/>
      <c r="G63" s="323"/>
      <c r="H63" s="315"/>
      <c r="I63" s="315"/>
      <c r="J63" s="315"/>
      <c r="K63" s="315"/>
      <c r="L63" s="315"/>
    </row>
    <row r="64" spans="2:12" ht="14.25" customHeight="1" x14ac:dyDescent="0.3">
      <c r="B64" s="322"/>
      <c r="C64" s="322"/>
      <c r="D64" s="322"/>
      <c r="E64" s="322"/>
      <c r="F64" s="322"/>
      <c r="G64" s="322"/>
      <c r="H64" s="315"/>
      <c r="I64" s="315"/>
      <c r="J64" s="315"/>
      <c r="K64" s="315"/>
      <c r="L64" s="315"/>
    </row>
  </sheetData>
  <mergeCells count="18">
    <mergeCell ref="B8:C8"/>
    <mergeCell ref="B15:C15"/>
    <mergeCell ref="B2:G2"/>
    <mergeCell ref="B62:G62"/>
    <mergeCell ref="B63:G63"/>
    <mergeCell ref="B64:G64"/>
    <mergeCell ref="B1:G1"/>
    <mergeCell ref="B50:C50"/>
    <mergeCell ref="B52:C52"/>
    <mergeCell ref="B54:C54"/>
    <mergeCell ref="B57:C57"/>
    <mergeCell ref="B61:G61"/>
    <mergeCell ref="B21:C21"/>
    <mergeCell ref="B28:C28"/>
    <mergeCell ref="B29:C29"/>
    <mergeCell ref="B40:C40"/>
    <mergeCell ref="B49:C49"/>
    <mergeCell ref="B7:C7"/>
  </mergeCell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43"/>
  <sheetViews>
    <sheetView showGridLines="0" zoomScaleNormal="100" workbookViewId="0">
      <selection activeCell="I2" sqref="I2"/>
    </sheetView>
  </sheetViews>
  <sheetFormatPr defaultColWidth="8.6328125" defaultRowHeight="14" x14ac:dyDescent="0.3"/>
  <cols>
    <col min="1" max="1" width="2" style="301" customWidth="1"/>
    <col min="2" max="2" width="15.7265625" style="301" customWidth="1"/>
    <col min="3" max="3" width="13.1796875" style="301" customWidth="1"/>
    <col min="4" max="4" width="11.7265625" style="301" customWidth="1"/>
    <col min="5" max="5" width="8.6328125" style="301"/>
    <col min="6" max="6" width="16.08984375" style="301" customWidth="1"/>
    <col min="7" max="16384" width="8.6328125" style="301"/>
  </cols>
  <sheetData>
    <row r="1" spans="2:12" ht="29.5" customHeight="1" x14ac:dyDescent="0.3">
      <c r="B1" s="325" t="s">
        <v>64</v>
      </c>
      <c r="C1" s="326"/>
      <c r="D1" s="326"/>
      <c r="E1" s="326"/>
      <c r="F1" s="326"/>
      <c r="G1" s="327"/>
    </row>
    <row r="2" spans="2:12" ht="24" customHeight="1" x14ac:dyDescent="0.3">
      <c r="B2" s="302" t="s">
        <v>122</v>
      </c>
      <c r="C2" s="303"/>
      <c r="D2" s="303"/>
      <c r="E2" s="303"/>
      <c r="F2" s="303"/>
      <c r="G2" s="304"/>
    </row>
    <row r="3" spans="2:12" ht="14.25" customHeight="1" x14ac:dyDescent="0.3">
      <c r="B3" s="305"/>
      <c r="C3" s="306" t="s">
        <v>66</v>
      </c>
      <c r="D3" s="307">
        <v>45717</v>
      </c>
      <c r="E3" s="307">
        <v>45352</v>
      </c>
      <c r="F3" s="307">
        <v>44986</v>
      </c>
      <c r="G3" s="307">
        <v>44621</v>
      </c>
      <c r="H3" s="315"/>
      <c r="I3" s="315"/>
      <c r="J3" s="315"/>
      <c r="K3" s="315"/>
      <c r="L3" s="315"/>
    </row>
    <row r="4" spans="2:12" ht="14.25" customHeight="1" x14ac:dyDescent="0.3">
      <c r="B4" s="309"/>
      <c r="C4" s="309"/>
      <c r="D4" s="309"/>
      <c r="E4" s="309"/>
      <c r="F4" s="309"/>
      <c r="G4" s="309"/>
      <c r="H4" s="310"/>
      <c r="I4" s="310"/>
      <c r="J4" s="310"/>
      <c r="K4" s="310"/>
      <c r="L4" s="310"/>
    </row>
    <row r="5" spans="2:12" ht="14.25" customHeight="1" x14ac:dyDescent="0.3">
      <c r="B5" s="311"/>
      <c r="C5" s="312" t="s">
        <v>67</v>
      </c>
      <c r="D5" s="312" t="s">
        <v>67</v>
      </c>
      <c r="E5" s="312" t="s">
        <v>67</v>
      </c>
      <c r="F5" s="312" t="s">
        <v>67</v>
      </c>
      <c r="G5" s="312" t="s">
        <v>67</v>
      </c>
    </row>
    <row r="6" spans="2:12" ht="14.25" customHeight="1" x14ac:dyDescent="0.3">
      <c r="B6" s="309"/>
      <c r="C6" s="309"/>
      <c r="D6" s="309"/>
      <c r="E6" s="309"/>
      <c r="F6" s="309"/>
      <c r="G6" s="309"/>
      <c r="H6" s="310"/>
      <c r="I6" s="310"/>
      <c r="J6" s="310"/>
      <c r="K6" s="310"/>
      <c r="L6" s="310"/>
    </row>
    <row r="7" spans="2:12" ht="14.25" customHeight="1" x14ac:dyDescent="0.3">
      <c r="B7" s="314" t="s">
        <v>123</v>
      </c>
      <c r="C7" s="314"/>
      <c r="D7" s="306"/>
      <c r="E7" s="306"/>
      <c r="F7" s="306"/>
      <c r="G7" s="306"/>
      <c r="H7" s="315"/>
      <c r="I7" s="315"/>
      <c r="J7" s="315"/>
      <c r="K7" s="315"/>
      <c r="L7" s="315"/>
    </row>
    <row r="8" spans="2:12" ht="24" customHeight="1" x14ac:dyDescent="0.3">
      <c r="B8" s="305" t="s">
        <v>124</v>
      </c>
      <c r="C8" s="324">
        <v>901452.7</v>
      </c>
      <c r="D8" s="324">
        <v>854952.77</v>
      </c>
      <c r="E8" s="324">
        <v>876951.19</v>
      </c>
      <c r="F8" s="324">
        <v>947418.92</v>
      </c>
      <c r="G8" s="324">
        <v>732879.32</v>
      </c>
      <c r="H8" s="315"/>
      <c r="I8" s="315"/>
      <c r="J8" s="315"/>
      <c r="K8" s="315"/>
      <c r="L8" s="315"/>
    </row>
    <row r="9" spans="2:12" ht="31.5" customHeight="1" x14ac:dyDescent="0.3">
      <c r="B9" s="311" t="s">
        <v>125</v>
      </c>
      <c r="C9" s="316">
        <v>117037.27</v>
      </c>
      <c r="D9" s="316">
        <v>101256.92</v>
      </c>
      <c r="E9" s="316">
        <v>104883.6</v>
      </c>
      <c r="F9" s="316">
        <v>109654.03</v>
      </c>
      <c r="G9" s="316">
        <v>147395.1</v>
      </c>
      <c r="H9" s="315"/>
      <c r="I9" s="315"/>
      <c r="J9" s="315"/>
      <c r="K9" s="315"/>
      <c r="L9" s="315"/>
    </row>
    <row r="10" spans="2:12" ht="24" customHeight="1" x14ac:dyDescent="0.3">
      <c r="B10" s="305" t="s">
        <v>126</v>
      </c>
      <c r="C10" s="324">
        <v>784415.43</v>
      </c>
      <c r="D10" s="324">
        <v>753695.85</v>
      </c>
      <c r="E10" s="324">
        <v>772067.59</v>
      </c>
      <c r="F10" s="324">
        <v>837764.89</v>
      </c>
      <c r="G10" s="324">
        <v>585484.22</v>
      </c>
      <c r="H10" s="315"/>
      <c r="I10" s="315"/>
      <c r="J10" s="315"/>
      <c r="K10" s="315"/>
      <c r="L10" s="315"/>
    </row>
    <row r="11" spans="2:12" ht="15.75" customHeight="1" x14ac:dyDescent="0.3">
      <c r="B11" s="311" t="s">
        <v>127</v>
      </c>
      <c r="C11" s="312">
        <v>0</v>
      </c>
      <c r="D11" s="316">
        <v>4409.96</v>
      </c>
      <c r="E11" s="316">
        <v>4284.26</v>
      </c>
      <c r="F11" s="316">
        <v>3991.02</v>
      </c>
      <c r="G11" s="316">
        <v>3851.52</v>
      </c>
      <c r="H11" s="315"/>
      <c r="I11" s="315"/>
      <c r="J11" s="315"/>
      <c r="K11" s="315"/>
      <c r="L11" s="315"/>
    </row>
    <row r="12" spans="2:12" ht="15.75" customHeight="1" x14ac:dyDescent="0.3">
      <c r="B12" s="305" t="s">
        <v>128</v>
      </c>
      <c r="C12" s="324">
        <v>784415.43</v>
      </c>
      <c r="D12" s="324">
        <v>758105.81</v>
      </c>
      <c r="E12" s="324">
        <v>776351.85</v>
      </c>
      <c r="F12" s="324">
        <v>841755.91</v>
      </c>
      <c r="G12" s="324">
        <v>589335.74</v>
      </c>
      <c r="H12" s="315"/>
      <c r="I12" s="315"/>
      <c r="J12" s="315"/>
      <c r="K12" s="315"/>
      <c r="L12" s="315"/>
    </row>
    <row r="13" spans="2:12" ht="14.25" customHeight="1" x14ac:dyDescent="0.3">
      <c r="B13" s="311" t="s">
        <v>129</v>
      </c>
      <c r="C13" s="316">
        <v>4162.99</v>
      </c>
      <c r="D13" s="316">
        <v>3513.73</v>
      </c>
      <c r="E13" s="316">
        <v>3842.85</v>
      </c>
      <c r="F13" s="316">
        <v>4198.92</v>
      </c>
      <c r="G13" s="316">
        <v>3082.22</v>
      </c>
      <c r="H13" s="315"/>
      <c r="I13" s="315"/>
      <c r="J13" s="315"/>
      <c r="K13" s="315"/>
      <c r="L13" s="315"/>
    </row>
    <row r="14" spans="2:12" ht="14.25" customHeight="1" x14ac:dyDescent="0.3">
      <c r="B14" s="317" t="s">
        <v>130</v>
      </c>
      <c r="C14" s="318">
        <v>788578.42</v>
      </c>
      <c r="D14" s="318">
        <v>761619.54</v>
      </c>
      <c r="E14" s="318">
        <v>780194.7</v>
      </c>
      <c r="F14" s="318">
        <v>845954.83</v>
      </c>
      <c r="G14" s="318">
        <v>592417.96</v>
      </c>
      <c r="H14" s="315"/>
      <c r="I14" s="315"/>
      <c r="J14" s="315"/>
      <c r="K14" s="315"/>
      <c r="L14" s="315"/>
    </row>
    <row r="15" spans="2:12" ht="14.25" customHeight="1" x14ac:dyDescent="0.3">
      <c r="B15" s="314" t="s">
        <v>131</v>
      </c>
      <c r="C15" s="314"/>
      <c r="D15" s="306"/>
      <c r="E15" s="306"/>
      <c r="F15" s="306"/>
      <c r="G15" s="306"/>
      <c r="H15" s="315"/>
      <c r="I15" s="315"/>
      <c r="J15" s="315"/>
      <c r="K15" s="315"/>
      <c r="L15" s="315"/>
    </row>
    <row r="16" spans="2:12" ht="24" customHeight="1" x14ac:dyDescent="0.3">
      <c r="B16" s="311" t="s">
        <v>132</v>
      </c>
      <c r="C16" s="316">
        <v>433584.37</v>
      </c>
      <c r="D16" s="316">
        <v>449812.63</v>
      </c>
      <c r="E16" s="316">
        <v>446251.39</v>
      </c>
      <c r="F16" s="316">
        <v>503757.28</v>
      </c>
      <c r="G16" s="316">
        <v>330672.38</v>
      </c>
      <c r="H16" s="315"/>
      <c r="I16" s="315"/>
      <c r="J16" s="315"/>
      <c r="K16" s="315"/>
      <c r="L16" s="315"/>
    </row>
    <row r="17" spans="2:12" ht="15.75" customHeight="1" x14ac:dyDescent="0.3">
      <c r="B17" s="311" t="s">
        <v>133</v>
      </c>
      <c r="C17" s="316">
        <v>193977.16</v>
      </c>
      <c r="D17" s="316">
        <v>207762.62</v>
      </c>
      <c r="E17" s="316">
        <v>191316.43</v>
      </c>
      <c r="F17" s="316">
        <v>250207.42</v>
      </c>
      <c r="G17" s="316">
        <v>169991.5</v>
      </c>
      <c r="H17" s="315"/>
      <c r="I17" s="315"/>
      <c r="J17" s="315"/>
      <c r="K17" s="315"/>
      <c r="L17" s="315"/>
    </row>
    <row r="18" spans="2:12" ht="31.5" customHeight="1" x14ac:dyDescent="0.3">
      <c r="B18" s="311" t="s">
        <v>134</v>
      </c>
      <c r="C18" s="316">
        <v>5562.28</v>
      </c>
      <c r="D18" s="312">
        <v>-789.75</v>
      </c>
      <c r="E18" s="316">
        <v>1231.3399999999999</v>
      </c>
      <c r="F18" s="316">
        <v>-6329.71</v>
      </c>
      <c r="G18" s="316">
        <v>-13710.98</v>
      </c>
      <c r="H18" s="315"/>
      <c r="I18" s="315"/>
      <c r="J18" s="315"/>
      <c r="K18" s="315"/>
      <c r="L18" s="315"/>
    </row>
    <row r="19" spans="2:12" ht="24" customHeight="1" x14ac:dyDescent="0.3">
      <c r="B19" s="311" t="s">
        <v>135</v>
      </c>
      <c r="C19" s="316">
        <v>11434.58</v>
      </c>
      <c r="D19" s="316">
        <v>10879.86</v>
      </c>
      <c r="E19" s="316">
        <v>11670.94</v>
      </c>
      <c r="F19" s="316">
        <v>9359.14</v>
      </c>
      <c r="G19" s="316">
        <v>11582.92</v>
      </c>
      <c r="H19" s="315"/>
      <c r="I19" s="315"/>
      <c r="J19" s="315"/>
      <c r="K19" s="315"/>
      <c r="L19" s="315"/>
    </row>
    <row r="20" spans="2:12" ht="14.25" customHeight="1" x14ac:dyDescent="0.3">
      <c r="B20" s="311" t="s">
        <v>136</v>
      </c>
      <c r="C20" s="316">
        <v>8307.8799999999992</v>
      </c>
      <c r="D20" s="316">
        <v>9261.93</v>
      </c>
      <c r="E20" s="316">
        <v>7825.65</v>
      </c>
      <c r="F20" s="316">
        <v>7541.36</v>
      </c>
      <c r="G20" s="316">
        <v>5423.26</v>
      </c>
      <c r="H20" s="315"/>
      <c r="I20" s="315"/>
      <c r="J20" s="315"/>
      <c r="K20" s="315"/>
      <c r="L20" s="315"/>
    </row>
    <row r="21" spans="2:12" ht="15.75" customHeight="1" x14ac:dyDescent="0.3">
      <c r="B21" s="311" t="s">
        <v>137</v>
      </c>
      <c r="C21" s="316">
        <v>1129.99</v>
      </c>
      <c r="D21" s="312">
        <v>173.27</v>
      </c>
      <c r="E21" s="312">
        <v>274.47000000000003</v>
      </c>
      <c r="F21" s="312">
        <v>683.33</v>
      </c>
      <c r="G21" s="312">
        <v>-272.23</v>
      </c>
      <c r="H21" s="315"/>
      <c r="I21" s="315"/>
      <c r="J21" s="315"/>
      <c r="K21" s="315"/>
      <c r="L21" s="315"/>
    </row>
    <row r="22" spans="2:12" ht="31.5" customHeight="1" x14ac:dyDescent="0.3">
      <c r="B22" s="311" t="s">
        <v>138</v>
      </c>
      <c r="C22" s="316">
        <v>18420.240000000002</v>
      </c>
      <c r="D22" s="316">
        <v>16777.34</v>
      </c>
      <c r="E22" s="316">
        <v>15866.11</v>
      </c>
      <c r="F22" s="316">
        <v>13181.05</v>
      </c>
      <c r="G22" s="316">
        <v>12347.58</v>
      </c>
      <c r="H22" s="315"/>
      <c r="I22" s="315"/>
      <c r="J22" s="315"/>
      <c r="K22" s="315"/>
      <c r="L22" s="315"/>
    </row>
    <row r="23" spans="2:12" ht="14.25" customHeight="1" x14ac:dyDescent="0.3">
      <c r="B23" s="311" t="s">
        <v>139</v>
      </c>
      <c r="C23" s="316">
        <v>61665.4</v>
      </c>
      <c r="D23" s="316">
        <v>54276.639999999999</v>
      </c>
      <c r="E23" s="316">
        <v>50016.51</v>
      </c>
      <c r="F23" s="316">
        <v>53379.46</v>
      </c>
      <c r="G23" s="316">
        <v>43330.47</v>
      </c>
      <c r="H23" s="315"/>
      <c r="I23" s="315"/>
      <c r="J23" s="315"/>
      <c r="K23" s="315"/>
      <c r="L23" s="315"/>
    </row>
    <row r="24" spans="2:12" ht="14.25" customHeight="1" x14ac:dyDescent="0.3">
      <c r="B24" s="317" t="s">
        <v>140</v>
      </c>
      <c r="C24" s="318">
        <v>734081.9</v>
      </c>
      <c r="D24" s="318">
        <v>748154.54</v>
      </c>
      <c r="E24" s="318">
        <v>724452.84</v>
      </c>
      <c r="F24" s="318">
        <v>831779.33</v>
      </c>
      <c r="G24" s="318">
        <v>559364.9</v>
      </c>
      <c r="H24" s="315"/>
      <c r="I24" s="315"/>
      <c r="J24" s="315"/>
      <c r="K24" s="315"/>
      <c r="L24" s="315"/>
    </row>
    <row r="25" spans="2:12" ht="39.75" customHeight="1" x14ac:dyDescent="0.3">
      <c r="B25" s="317" t="s">
        <v>141</v>
      </c>
      <c r="C25" s="318">
        <v>54496.52</v>
      </c>
      <c r="D25" s="318">
        <v>13465</v>
      </c>
      <c r="E25" s="318">
        <v>55741.86</v>
      </c>
      <c r="F25" s="318">
        <v>14175.5</v>
      </c>
      <c r="G25" s="318">
        <v>33053.06</v>
      </c>
      <c r="H25" s="315"/>
      <c r="I25" s="315"/>
      <c r="J25" s="315"/>
      <c r="K25" s="315"/>
      <c r="L25" s="315"/>
    </row>
    <row r="26" spans="2:12" ht="15.75" customHeight="1" x14ac:dyDescent="0.3">
      <c r="B26" s="311" t="s">
        <v>142</v>
      </c>
      <c r="C26" s="312">
        <v>0</v>
      </c>
      <c r="D26" s="316">
        <v>1838.02</v>
      </c>
      <c r="E26" s="312">
        <v>0</v>
      </c>
      <c r="F26" s="312">
        <v>0</v>
      </c>
      <c r="G26" s="312">
        <v>0</v>
      </c>
      <c r="H26" s="315"/>
      <c r="I26" s="315"/>
      <c r="J26" s="315"/>
      <c r="K26" s="315"/>
      <c r="L26" s="315"/>
    </row>
    <row r="27" spans="2:12" ht="15.75" customHeight="1" x14ac:dyDescent="0.3">
      <c r="B27" s="305" t="s">
        <v>143</v>
      </c>
      <c r="C27" s="324">
        <v>54496.52</v>
      </c>
      <c r="D27" s="324">
        <v>15303.02</v>
      </c>
      <c r="E27" s="324">
        <v>55741.86</v>
      </c>
      <c r="F27" s="324">
        <v>14175.5</v>
      </c>
      <c r="G27" s="324">
        <v>33053.06</v>
      </c>
      <c r="H27" s="315"/>
      <c r="I27" s="315"/>
      <c r="J27" s="315"/>
      <c r="K27" s="315"/>
      <c r="L27" s="315"/>
    </row>
    <row r="28" spans="2:12" ht="15.75" customHeight="1" x14ac:dyDescent="0.3">
      <c r="B28" s="314" t="s">
        <v>144</v>
      </c>
      <c r="C28" s="314"/>
      <c r="D28" s="306"/>
      <c r="E28" s="306"/>
      <c r="F28" s="306"/>
      <c r="G28" s="306"/>
      <c r="H28" s="315"/>
      <c r="I28" s="315"/>
      <c r="J28" s="315"/>
      <c r="K28" s="315"/>
      <c r="L28" s="315"/>
    </row>
    <row r="29" spans="2:12" ht="14.25" customHeight="1" x14ac:dyDescent="0.3">
      <c r="B29" s="311" t="s">
        <v>145</v>
      </c>
      <c r="C29" s="316">
        <v>13794.76</v>
      </c>
      <c r="D29" s="316">
        <v>1700.08</v>
      </c>
      <c r="E29" s="316">
        <v>12895.91</v>
      </c>
      <c r="F29" s="316">
        <v>1922.46</v>
      </c>
      <c r="G29" s="316">
        <v>7234.66</v>
      </c>
      <c r="H29" s="315"/>
      <c r="I29" s="315"/>
      <c r="J29" s="315"/>
      <c r="K29" s="315"/>
      <c r="L29" s="315"/>
    </row>
    <row r="30" spans="2:12" ht="14.25" customHeight="1" x14ac:dyDescent="0.3">
      <c r="B30" s="311" t="s">
        <v>146</v>
      </c>
      <c r="C30" s="312">
        <v>0</v>
      </c>
      <c r="D30" s="316">
        <v>1574.54</v>
      </c>
      <c r="E30" s="316">
        <v>1230.73</v>
      </c>
      <c r="F30" s="316">
        <v>1410.97</v>
      </c>
      <c r="G30" s="316">
        <v>1327.36</v>
      </c>
      <c r="H30" s="315"/>
      <c r="I30" s="315"/>
      <c r="J30" s="315"/>
      <c r="K30" s="315"/>
      <c r="L30" s="315"/>
    </row>
    <row r="31" spans="2:12" ht="15.75" customHeight="1" x14ac:dyDescent="0.3">
      <c r="B31" s="305" t="s">
        <v>147</v>
      </c>
      <c r="C31" s="324">
        <v>13794.76</v>
      </c>
      <c r="D31" s="324">
        <v>3274.62</v>
      </c>
      <c r="E31" s="324">
        <v>14126.64</v>
      </c>
      <c r="F31" s="324">
        <v>3333.43</v>
      </c>
      <c r="G31" s="324">
        <v>8562.02</v>
      </c>
      <c r="H31" s="315"/>
      <c r="I31" s="315"/>
      <c r="J31" s="315"/>
      <c r="K31" s="315"/>
      <c r="L31" s="315"/>
    </row>
    <row r="32" spans="2:12" ht="39.75" customHeight="1" x14ac:dyDescent="0.3">
      <c r="B32" s="305" t="s">
        <v>148</v>
      </c>
      <c r="C32" s="324">
        <v>40701.760000000002</v>
      </c>
      <c r="D32" s="324">
        <v>12028.4</v>
      </c>
      <c r="E32" s="324">
        <v>41615.22</v>
      </c>
      <c r="F32" s="324">
        <v>10842.07</v>
      </c>
      <c r="G32" s="324">
        <v>24491.040000000001</v>
      </c>
      <c r="H32" s="315"/>
      <c r="I32" s="315"/>
      <c r="J32" s="315"/>
      <c r="K32" s="315"/>
      <c r="L32" s="315"/>
    </row>
    <row r="33" spans="2:12" ht="31.5" customHeight="1" x14ac:dyDescent="0.3">
      <c r="B33" s="305" t="s">
        <v>149</v>
      </c>
      <c r="C33" s="324">
        <v>40701.760000000002</v>
      </c>
      <c r="D33" s="324">
        <v>12028.4</v>
      </c>
      <c r="E33" s="324">
        <v>41615.22</v>
      </c>
      <c r="F33" s="324">
        <v>10842.07</v>
      </c>
      <c r="G33" s="324">
        <v>24491.040000000001</v>
      </c>
      <c r="H33" s="315"/>
      <c r="I33" s="315"/>
      <c r="J33" s="315"/>
      <c r="K33" s="315"/>
      <c r="L33" s="315"/>
    </row>
    <row r="34" spans="2:12" ht="15.75" customHeight="1" x14ac:dyDescent="0.3">
      <c r="B34" s="317" t="s">
        <v>150</v>
      </c>
      <c r="C34" s="318">
        <v>40701.760000000002</v>
      </c>
      <c r="D34" s="318">
        <v>12028.4</v>
      </c>
      <c r="E34" s="318">
        <v>41615.22</v>
      </c>
      <c r="F34" s="318">
        <v>10842.07</v>
      </c>
      <c r="G34" s="318">
        <v>24491.040000000001</v>
      </c>
      <c r="H34" s="315"/>
      <c r="I34" s="315"/>
      <c r="J34" s="315"/>
      <c r="K34" s="315"/>
      <c r="L34" s="315"/>
    </row>
    <row r="35" spans="2:12" ht="14.25" customHeight="1" x14ac:dyDescent="0.3">
      <c r="B35" s="311" t="s">
        <v>75</v>
      </c>
      <c r="C35" s="316">
        <v>-1581.06</v>
      </c>
      <c r="D35" s="312">
        <v>-190.99</v>
      </c>
      <c r="E35" s="316">
        <v>-1431.46</v>
      </c>
      <c r="F35" s="316">
        <v>-1912.14</v>
      </c>
      <c r="G35" s="312">
        <v>-624.37</v>
      </c>
      <c r="H35" s="315"/>
      <c r="I35" s="315"/>
      <c r="J35" s="315"/>
      <c r="K35" s="315"/>
      <c r="L35" s="315"/>
    </row>
    <row r="36" spans="2:12" ht="24" customHeight="1" x14ac:dyDescent="0.3">
      <c r="B36" s="311" t="s">
        <v>151</v>
      </c>
      <c r="C36" s="316">
        <v>2975.56</v>
      </c>
      <c r="D36" s="316">
        <v>1760.43</v>
      </c>
      <c r="E36" s="316">
        <v>1545.93</v>
      </c>
      <c r="F36" s="312">
        <v>862.19</v>
      </c>
      <c r="G36" s="316">
        <v>1235.56</v>
      </c>
      <c r="H36" s="315"/>
      <c r="I36" s="315"/>
      <c r="J36" s="315"/>
      <c r="K36" s="315"/>
      <c r="L36" s="315"/>
    </row>
    <row r="37" spans="2:12" ht="31.5" customHeight="1" x14ac:dyDescent="0.3">
      <c r="B37" s="305" t="s">
        <v>152</v>
      </c>
      <c r="C37" s="324">
        <v>42096.26</v>
      </c>
      <c r="D37" s="324">
        <v>13597.84</v>
      </c>
      <c r="E37" s="324">
        <v>41729.69</v>
      </c>
      <c r="F37" s="324">
        <v>9792.1200000000008</v>
      </c>
      <c r="G37" s="324">
        <v>25102.23</v>
      </c>
      <c r="H37" s="315"/>
      <c r="I37" s="315"/>
      <c r="J37" s="315"/>
      <c r="K37" s="315"/>
      <c r="L37" s="315"/>
    </row>
    <row r="38" spans="2:12" ht="15.75" customHeight="1" x14ac:dyDescent="0.3">
      <c r="B38" s="314" t="s">
        <v>110</v>
      </c>
      <c r="C38" s="314"/>
      <c r="D38" s="306"/>
      <c r="E38" s="306"/>
      <c r="F38" s="306"/>
      <c r="G38" s="306"/>
      <c r="H38" s="315"/>
      <c r="I38" s="315"/>
      <c r="J38" s="315"/>
      <c r="K38" s="315"/>
      <c r="L38" s="315"/>
    </row>
    <row r="39" spans="2:12" ht="14.25" customHeight="1" x14ac:dyDescent="0.3">
      <c r="B39" s="314" t="s">
        <v>153</v>
      </c>
      <c r="C39" s="314"/>
      <c r="D39" s="306"/>
      <c r="E39" s="306"/>
      <c r="F39" s="306"/>
      <c r="G39" s="306"/>
      <c r="H39" s="315"/>
      <c r="I39" s="315"/>
      <c r="J39" s="315"/>
      <c r="K39" s="315"/>
      <c r="L39" s="315"/>
    </row>
    <row r="40" spans="2:12" ht="14.25" customHeight="1" x14ac:dyDescent="0.3">
      <c r="B40" s="311" t="s">
        <v>154</v>
      </c>
      <c r="C40" s="312">
        <v>31</v>
      </c>
      <c r="D40" s="312">
        <v>10</v>
      </c>
      <c r="E40" s="312">
        <v>30</v>
      </c>
      <c r="F40" s="312">
        <v>7</v>
      </c>
      <c r="G40" s="312">
        <v>27</v>
      </c>
      <c r="H40" s="315"/>
      <c r="I40" s="315"/>
      <c r="J40" s="315"/>
      <c r="K40" s="315"/>
      <c r="L40" s="315"/>
    </row>
    <row r="41" spans="2:12" ht="15.75" customHeight="1" x14ac:dyDescent="0.3">
      <c r="B41" s="311" t="s">
        <v>155</v>
      </c>
      <c r="C41" s="312">
        <v>31</v>
      </c>
      <c r="D41" s="312">
        <v>10</v>
      </c>
      <c r="E41" s="312">
        <v>30</v>
      </c>
      <c r="F41" s="312">
        <v>7</v>
      </c>
      <c r="G41" s="312">
        <v>27</v>
      </c>
      <c r="H41" s="315"/>
      <c r="I41" s="315"/>
      <c r="J41" s="315"/>
      <c r="K41" s="315"/>
      <c r="L41" s="315"/>
    </row>
    <row r="42" spans="2:12" ht="15.75" customHeight="1" x14ac:dyDescent="0.3">
      <c r="B42" s="314" t="s">
        <v>156</v>
      </c>
      <c r="C42" s="314"/>
      <c r="D42" s="306"/>
      <c r="E42" s="306"/>
      <c r="F42" s="306"/>
      <c r="G42" s="306"/>
      <c r="H42" s="315"/>
      <c r="I42" s="315"/>
      <c r="J42" s="315"/>
      <c r="K42" s="315"/>
      <c r="L42" s="315"/>
    </row>
    <row r="43" spans="2:12" ht="15.75" customHeight="1" x14ac:dyDescent="0.3">
      <c r="B43" s="311" t="s">
        <v>157</v>
      </c>
      <c r="C43" s="312">
        <v>0</v>
      </c>
      <c r="D43" s="316">
        <v>9640.2800000000007</v>
      </c>
      <c r="E43" s="316">
        <v>11017.62</v>
      </c>
      <c r="F43" s="316">
        <v>3305.36</v>
      </c>
      <c r="G43" s="316">
        <v>9640.7999999999993</v>
      </c>
      <c r="H43" s="315"/>
      <c r="I43" s="315"/>
      <c r="J43" s="315"/>
      <c r="K43" s="315"/>
      <c r="L43" s="315"/>
    </row>
  </sheetData>
  <mergeCells count="8">
    <mergeCell ref="B38:C38"/>
    <mergeCell ref="B39:C39"/>
    <mergeCell ref="B42:C42"/>
    <mergeCell ref="B1:G1"/>
    <mergeCell ref="B7:C7"/>
    <mergeCell ref="B15:C15"/>
    <mergeCell ref="B28:C28"/>
    <mergeCell ref="B2:G2"/>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18"/>
  <sheetViews>
    <sheetView showGridLines="0" zoomScaleNormal="100" workbookViewId="0">
      <selection activeCell="I5" sqref="I5"/>
    </sheetView>
  </sheetViews>
  <sheetFormatPr defaultColWidth="8.6328125" defaultRowHeight="14" x14ac:dyDescent="0.3"/>
  <cols>
    <col min="1" max="1" width="2.26953125" style="301" customWidth="1"/>
    <col min="2" max="2" width="13.7265625" style="301" customWidth="1"/>
    <col min="3" max="3" width="13.6328125" style="301" customWidth="1"/>
    <col min="4" max="4" width="11.81640625" style="301" customWidth="1"/>
    <col min="5" max="5" width="15.54296875" style="301" customWidth="1"/>
    <col min="6" max="6" width="11.90625" style="301" customWidth="1"/>
    <col min="7" max="7" width="12" style="301" customWidth="1"/>
    <col min="8" max="16384" width="8.6328125" style="301"/>
  </cols>
  <sheetData>
    <row r="1" spans="2:12" ht="29.5" customHeight="1" x14ac:dyDescent="0.3">
      <c r="B1" s="325" t="s">
        <v>64</v>
      </c>
      <c r="C1" s="326"/>
      <c r="D1" s="326"/>
      <c r="E1" s="326"/>
      <c r="F1" s="326"/>
      <c r="G1" s="327"/>
    </row>
    <row r="2" spans="2:12" ht="24" customHeight="1" x14ac:dyDescent="0.3">
      <c r="B2" s="329" t="s">
        <v>158</v>
      </c>
      <c r="C2" s="330"/>
      <c r="D2" s="330"/>
      <c r="E2" s="330"/>
      <c r="F2" s="330"/>
      <c r="G2" s="331"/>
    </row>
    <row r="3" spans="2:12" ht="14.25" customHeight="1" x14ac:dyDescent="0.3">
      <c r="B3" s="305"/>
      <c r="C3" s="306" t="s">
        <v>66</v>
      </c>
      <c r="D3" s="307">
        <v>45717</v>
      </c>
      <c r="E3" s="307">
        <v>45717</v>
      </c>
      <c r="F3" s="307">
        <v>45352</v>
      </c>
      <c r="G3" s="307">
        <v>45352</v>
      </c>
    </row>
    <row r="4" spans="2:12" ht="14.25" customHeight="1" x14ac:dyDescent="0.3">
      <c r="B4" s="309"/>
      <c r="C4" s="309"/>
      <c r="D4" s="309"/>
      <c r="E4" s="309"/>
      <c r="F4" s="309"/>
      <c r="G4" s="309"/>
      <c r="H4" s="310"/>
      <c r="I4" s="310"/>
      <c r="J4" s="310"/>
      <c r="K4" s="310"/>
      <c r="L4" s="310"/>
    </row>
    <row r="5" spans="2:12" ht="14.25" customHeight="1" x14ac:dyDescent="0.3">
      <c r="B5" s="311"/>
      <c r="C5" s="312" t="s">
        <v>67</v>
      </c>
      <c r="D5" s="312" t="s">
        <v>67</v>
      </c>
      <c r="E5" s="312" t="s">
        <v>67</v>
      </c>
      <c r="F5" s="312" t="s">
        <v>67</v>
      </c>
      <c r="G5" s="312" t="s">
        <v>67</v>
      </c>
    </row>
    <row r="6" spans="2:12" ht="14.25" customHeight="1" x14ac:dyDescent="0.3">
      <c r="B6" s="309"/>
      <c r="C6" s="309"/>
      <c r="D6" s="309"/>
      <c r="E6" s="309"/>
      <c r="F6" s="309"/>
      <c r="G6" s="309"/>
      <c r="H6" s="310"/>
      <c r="I6" s="310"/>
      <c r="J6" s="310"/>
      <c r="K6" s="310"/>
      <c r="L6" s="310"/>
    </row>
    <row r="7" spans="2:12" ht="31.5" customHeight="1" x14ac:dyDescent="0.3">
      <c r="B7" s="317" t="s">
        <v>159</v>
      </c>
      <c r="C7" s="318">
        <v>48784.41</v>
      </c>
      <c r="D7" s="318">
        <v>15882.34</v>
      </c>
      <c r="E7" s="318">
        <v>15882.34</v>
      </c>
      <c r="F7" s="318">
        <v>52344.21</v>
      </c>
      <c r="G7" s="318">
        <v>52344.21</v>
      </c>
    </row>
    <row r="8" spans="2:12" ht="24" customHeight="1" x14ac:dyDescent="0.3">
      <c r="B8" s="311" t="s">
        <v>160</v>
      </c>
      <c r="C8" s="316">
        <v>71398.570000000007</v>
      </c>
      <c r="D8" s="316">
        <v>33170.46</v>
      </c>
      <c r="E8" s="316">
        <v>33170.46</v>
      </c>
      <c r="F8" s="316">
        <v>68096.600000000006</v>
      </c>
      <c r="G8" s="316">
        <v>68096.600000000006</v>
      </c>
      <c r="H8" s="315"/>
      <c r="I8" s="315"/>
      <c r="J8" s="315"/>
      <c r="K8" s="315"/>
      <c r="L8" s="315"/>
    </row>
    <row r="9" spans="2:12" ht="24" customHeight="1" x14ac:dyDescent="0.3">
      <c r="B9" s="311" t="s">
        <v>161</v>
      </c>
      <c r="C9" s="316">
        <v>-17661.78</v>
      </c>
      <c r="D9" s="316">
        <v>-29261.29</v>
      </c>
      <c r="E9" s="316">
        <v>-29261.29</v>
      </c>
      <c r="F9" s="316">
        <v>-29701.62</v>
      </c>
      <c r="G9" s="316">
        <v>-29701.62</v>
      </c>
      <c r="H9" s="315"/>
      <c r="I9" s="315"/>
      <c r="J9" s="315"/>
      <c r="K9" s="315"/>
      <c r="L9" s="315"/>
    </row>
    <row r="10" spans="2:12" ht="24" customHeight="1" x14ac:dyDescent="0.3">
      <c r="B10" s="311" t="s">
        <v>162</v>
      </c>
      <c r="C10" s="316">
        <v>-53718.55</v>
      </c>
      <c r="D10" s="316">
        <v>-4110.28</v>
      </c>
      <c r="E10" s="316">
        <v>-4110.28</v>
      </c>
      <c r="F10" s="316">
        <v>-38294.019999999997</v>
      </c>
      <c r="G10" s="316">
        <v>-38294.019999999997</v>
      </c>
      <c r="H10" s="315"/>
      <c r="I10" s="315"/>
      <c r="J10" s="315"/>
      <c r="K10" s="315"/>
      <c r="L10" s="315"/>
    </row>
    <row r="11" spans="2:12" ht="24" customHeight="1" x14ac:dyDescent="0.3">
      <c r="B11" s="317" t="s">
        <v>163</v>
      </c>
      <c r="C11" s="328">
        <v>18.239999999999998</v>
      </c>
      <c r="D11" s="328">
        <v>-201.11</v>
      </c>
      <c r="E11" s="328">
        <v>-201.11</v>
      </c>
      <c r="F11" s="328">
        <v>100.96</v>
      </c>
      <c r="G11" s="328">
        <v>100.96</v>
      </c>
      <c r="H11" s="315"/>
      <c r="I11" s="315"/>
      <c r="J11" s="315"/>
      <c r="K11" s="315"/>
      <c r="L11" s="315"/>
    </row>
    <row r="12" spans="2:12" ht="24" customHeight="1" x14ac:dyDescent="0.3">
      <c r="B12" s="311" t="s">
        <v>164</v>
      </c>
      <c r="C12" s="312">
        <v>263.17</v>
      </c>
      <c r="D12" s="312">
        <v>464.28</v>
      </c>
      <c r="E12" s="312">
        <v>464.28</v>
      </c>
      <c r="F12" s="312">
        <v>363.32</v>
      </c>
      <c r="G12" s="312">
        <v>363.32</v>
      </c>
      <c r="H12" s="315"/>
      <c r="I12" s="315"/>
      <c r="J12" s="315"/>
      <c r="K12" s="315"/>
      <c r="L12" s="315"/>
    </row>
    <row r="13" spans="2:12" ht="24" customHeight="1" x14ac:dyDescent="0.3">
      <c r="B13" s="311" t="s">
        <v>165</v>
      </c>
      <c r="C13" s="312">
        <v>281.41000000000003</v>
      </c>
      <c r="D13" s="312">
        <v>263.17</v>
      </c>
      <c r="E13" s="312">
        <v>263.17</v>
      </c>
      <c r="F13" s="312">
        <v>464.28</v>
      </c>
      <c r="G13" s="312">
        <v>464.28</v>
      </c>
      <c r="H13" s="315"/>
      <c r="I13" s="315"/>
      <c r="J13" s="315"/>
      <c r="K13" s="315"/>
      <c r="L13" s="315"/>
    </row>
    <row r="14" spans="2:12" ht="14.25" customHeight="1" x14ac:dyDescent="0.3">
      <c r="B14" s="319"/>
      <c r="C14" s="320"/>
      <c r="D14" s="315"/>
      <c r="E14" s="315"/>
      <c r="F14" s="315"/>
      <c r="G14" s="315"/>
      <c r="H14" s="315"/>
      <c r="I14" s="315"/>
      <c r="J14" s="315"/>
      <c r="K14" s="315"/>
      <c r="L14" s="315"/>
    </row>
    <row r="15" spans="2:12" ht="14.25" customHeight="1" x14ac:dyDescent="0.3">
      <c r="B15" s="321"/>
      <c r="C15" s="321"/>
      <c r="D15" s="321"/>
      <c r="E15" s="321"/>
      <c r="F15" s="321"/>
      <c r="G15" s="321"/>
      <c r="H15" s="315"/>
      <c r="I15" s="315"/>
      <c r="J15" s="315"/>
      <c r="K15" s="315"/>
      <c r="L15" s="315"/>
    </row>
    <row r="16" spans="2:12" ht="14.25" customHeight="1" x14ac:dyDescent="0.3">
      <c r="B16" s="322"/>
      <c r="C16" s="322"/>
      <c r="D16" s="322"/>
      <c r="E16" s="322"/>
      <c r="F16" s="322"/>
      <c r="G16" s="322"/>
      <c r="H16" s="315"/>
      <c r="I16" s="315"/>
      <c r="J16" s="315"/>
      <c r="K16" s="315"/>
      <c r="L16" s="315"/>
    </row>
    <row r="17" spans="2:12" ht="14.25" customHeight="1" x14ac:dyDescent="0.3">
      <c r="B17" s="323" t="s">
        <v>121</v>
      </c>
      <c r="C17" s="323"/>
      <c r="D17" s="323"/>
      <c r="E17" s="323"/>
      <c r="F17" s="323"/>
      <c r="G17" s="323"/>
      <c r="H17" s="315"/>
      <c r="I17" s="315"/>
      <c r="J17" s="315"/>
      <c r="K17" s="315"/>
      <c r="L17" s="315"/>
    </row>
    <row r="18" spans="2:12" ht="14.25" customHeight="1" x14ac:dyDescent="0.3">
      <c r="B18" s="322"/>
      <c r="C18" s="322"/>
      <c r="D18" s="322"/>
      <c r="E18" s="322"/>
      <c r="F18" s="322"/>
      <c r="G18" s="322"/>
      <c r="H18" s="315"/>
      <c r="I18" s="315"/>
      <c r="J18" s="315"/>
      <c r="K18" s="315"/>
      <c r="L18" s="315"/>
    </row>
  </sheetData>
  <mergeCells count="6">
    <mergeCell ref="B18:G18"/>
    <mergeCell ref="B1:G1"/>
    <mergeCell ref="B15:G15"/>
    <mergeCell ref="B16:G16"/>
    <mergeCell ref="B17:G17"/>
    <mergeCell ref="B2:G2"/>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8:M24"/>
  <sheetViews>
    <sheetView showGridLines="0" zoomScaleNormal="100" workbookViewId="0">
      <selection activeCell="H18" sqref="H18"/>
    </sheetView>
  </sheetViews>
  <sheetFormatPr defaultColWidth="8.6328125" defaultRowHeight="14.5" x14ac:dyDescent="0.35"/>
  <cols>
    <col min="1" max="1" width="2.7265625" customWidth="1"/>
    <col min="9" max="9" width="15" customWidth="1"/>
    <col min="10" max="10" width="13.453125" customWidth="1"/>
    <col min="11" max="11" width="13" customWidth="1"/>
    <col min="12" max="12" width="18.36328125" customWidth="1"/>
    <col min="13" max="13" width="14.90625" customWidth="1"/>
    <col min="14" max="14" width="17.90625" customWidth="1"/>
  </cols>
  <sheetData>
    <row r="18" spans="2:13" ht="18" customHeight="1" x14ac:dyDescent="0.35">
      <c r="B18" s="332" t="s">
        <v>166</v>
      </c>
      <c r="C18" s="332"/>
      <c r="D18" s="332"/>
      <c r="E18" s="332"/>
      <c r="F18" s="332"/>
      <c r="G18" s="332"/>
      <c r="I18" s="8" t="s">
        <v>167</v>
      </c>
      <c r="J18" s="9" t="s">
        <v>168</v>
      </c>
      <c r="K18" s="9" t="s">
        <v>169</v>
      </c>
      <c r="L18" s="9" t="s">
        <v>170</v>
      </c>
      <c r="M18" s="9" t="s">
        <v>171</v>
      </c>
    </row>
    <row r="19" spans="2:13" ht="14.25" customHeight="1" x14ac:dyDescent="0.35">
      <c r="B19" s="266" t="s">
        <v>559</v>
      </c>
      <c r="C19" s="266"/>
      <c r="D19" s="266"/>
      <c r="E19" s="266"/>
      <c r="F19" s="266"/>
      <c r="G19" s="266"/>
      <c r="I19" s="10" t="s">
        <v>172</v>
      </c>
      <c r="J19" s="11">
        <f>'Profit &amp; Loss'!C12</f>
        <v>784415.43</v>
      </c>
      <c r="K19" s="11">
        <f>'Profit &amp; Loss'!C37</f>
        <v>42096.26</v>
      </c>
      <c r="L19" s="12">
        <f t="shared" ref="L19:M22" si="0">(J19-J20)/J20</f>
        <v>3.4704416788469139E-2</v>
      </c>
      <c r="M19" s="12">
        <f t="shared" si="0"/>
        <v>2.0958049219581936</v>
      </c>
    </row>
    <row r="20" spans="2:13" ht="14.25" customHeight="1" x14ac:dyDescent="0.35">
      <c r="B20" s="266"/>
      <c r="C20" s="266"/>
      <c r="D20" s="266"/>
      <c r="E20" s="266"/>
      <c r="F20" s="266"/>
      <c r="G20" s="266"/>
      <c r="I20" s="10" t="s">
        <v>173</v>
      </c>
      <c r="J20" s="11">
        <f>'Profit &amp; Loss'!D12</f>
        <v>758105.81</v>
      </c>
      <c r="K20" s="11">
        <f>'Profit &amp; Loss'!D37</f>
        <v>13597.84</v>
      </c>
      <c r="L20" s="12">
        <f t="shared" si="0"/>
        <v>-2.3502281858412421E-2</v>
      </c>
      <c r="M20" s="12">
        <f t="shared" si="0"/>
        <v>-0.67414471566886791</v>
      </c>
    </row>
    <row r="21" spans="2:13" ht="14.25" customHeight="1" x14ac:dyDescent="0.35">
      <c r="B21" s="266"/>
      <c r="C21" s="266"/>
      <c r="D21" s="266"/>
      <c r="E21" s="266"/>
      <c r="F21" s="266"/>
      <c r="G21" s="266"/>
      <c r="I21" s="10" t="s">
        <v>174</v>
      </c>
      <c r="J21" s="11">
        <f>'Profit &amp; Loss'!E12</f>
        <v>776351.85</v>
      </c>
      <c r="K21" s="11">
        <f>'Profit &amp; Loss'!E37</f>
        <v>41729.69</v>
      </c>
      <c r="L21" s="12">
        <f t="shared" si="0"/>
        <v>-7.7699555444760759E-2</v>
      </c>
      <c r="M21" s="12">
        <f t="shared" si="0"/>
        <v>3.2615582733871724</v>
      </c>
    </row>
    <row r="22" spans="2:13" ht="14.25" customHeight="1" x14ac:dyDescent="0.35">
      <c r="B22" s="266"/>
      <c r="C22" s="266"/>
      <c r="D22" s="266"/>
      <c r="E22" s="266"/>
      <c r="F22" s="266"/>
      <c r="G22" s="266"/>
      <c r="I22" s="10" t="s">
        <v>175</v>
      </c>
      <c r="J22" s="11">
        <f>'Profit &amp; Loss'!F12</f>
        <v>841755.91</v>
      </c>
      <c r="K22" s="11">
        <f>'Profit &amp; Loss'!F37</f>
        <v>9792.1200000000008</v>
      </c>
      <c r="L22" s="12">
        <f t="shared" si="0"/>
        <v>0.42831301899321439</v>
      </c>
      <c r="M22" s="12">
        <f t="shared" si="0"/>
        <v>-0.60991035457805931</v>
      </c>
    </row>
    <row r="23" spans="2:13" ht="14.25" customHeight="1" x14ac:dyDescent="0.35">
      <c r="B23" s="266"/>
      <c r="C23" s="266"/>
      <c r="D23" s="266"/>
      <c r="E23" s="266"/>
      <c r="F23" s="266"/>
      <c r="G23" s="266"/>
      <c r="I23" s="10" t="s">
        <v>176</v>
      </c>
      <c r="J23" s="11">
        <f>'Profit &amp; Loss'!G12</f>
        <v>589335.74</v>
      </c>
      <c r="K23" s="11">
        <f>'Profit &amp; Loss'!G37</f>
        <v>25102.23</v>
      </c>
      <c r="L23" s="12">
        <f>IFERROR(J23/J24,0)</f>
        <v>0</v>
      </c>
      <c r="M23" s="12">
        <f>IFERROR(K23/K24,0)</f>
        <v>0</v>
      </c>
    </row>
    <row r="24" spans="2:13" ht="300" customHeight="1" x14ac:dyDescent="0.35">
      <c r="B24" s="266"/>
      <c r="C24" s="266"/>
      <c r="D24" s="266"/>
      <c r="E24" s="266"/>
      <c r="F24" s="266"/>
      <c r="G24" s="266"/>
    </row>
  </sheetData>
  <mergeCells count="2">
    <mergeCell ref="B18:G18"/>
    <mergeCell ref="B19:G24"/>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98"/>
  <sheetViews>
    <sheetView showGridLines="0" topLeftCell="B1" zoomScale="70" zoomScaleNormal="70" workbookViewId="0">
      <selection activeCell="L6" sqref="L6"/>
    </sheetView>
  </sheetViews>
  <sheetFormatPr defaultColWidth="8.6328125" defaultRowHeight="14.5" x14ac:dyDescent="0.35"/>
  <cols>
    <col min="1" max="1" width="3" customWidth="1"/>
    <col min="2" max="2" width="42" style="13" customWidth="1"/>
    <col min="3" max="7" width="16" customWidth="1"/>
    <col min="8" max="8" width="3" customWidth="1"/>
  </cols>
  <sheetData>
    <row r="1" spans="2:7" ht="24" customHeight="1" x14ac:dyDescent="0.35">
      <c r="B1" s="14" t="s">
        <v>177</v>
      </c>
      <c r="C1" s="15"/>
      <c r="D1" s="15"/>
      <c r="E1" s="15"/>
      <c r="F1" s="15"/>
      <c r="G1" s="15"/>
    </row>
    <row r="2" spans="2:7" ht="18" customHeight="1" x14ac:dyDescent="0.35">
      <c r="B2" s="16" t="s">
        <v>178</v>
      </c>
      <c r="C2" s="267" t="s">
        <v>179</v>
      </c>
      <c r="D2" s="267"/>
      <c r="E2" s="267"/>
      <c r="F2" s="267"/>
      <c r="G2" s="267"/>
    </row>
    <row r="3" spans="2:7" ht="18" customHeight="1" x14ac:dyDescent="0.35">
      <c r="B3" s="17" t="s">
        <v>180</v>
      </c>
      <c r="C3" s="17">
        <v>2022</v>
      </c>
      <c r="D3" s="17">
        <v>2023</v>
      </c>
      <c r="E3" s="17">
        <v>2024</v>
      </c>
      <c r="F3" s="17">
        <v>2025</v>
      </c>
      <c r="G3" s="17">
        <v>2026</v>
      </c>
    </row>
    <row r="4" spans="2:7" ht="15.75" customHeight="1" x14ac:dyDescent="0.35">
      <c r="B4" s="18" t="s">
        <v>181</v>
      </c>
      <c r="C4" s="15"/>
      <c r="D4" s="15"/>
      <c r="E4" s="15"/>
      <c r="F4" s="15"/>
      <c r="G4" s="15"/>
    </row>
    <row r="5" spans="2:7" ht="15" customHeight="1" x14ac:dyDescent="0.35">
      <c r="B5" s="19" t="s">
        <v>182</v>
      </c>
      <c r="C5" s="20">
        <v>585484.22</v>
      </c>
      <c r="D5" s="20">
        <v>837764.89</v>
      </c>
      <c r="E5" s="20">
        <v>772067.59</v>
      </c>
      <c r="F5" s="20">
        <v>753695.85</v>
      </c>
      <c r="G5" s="20">
        <v>784415.43</v>
      </c>
    </row>
    <row r="6" spans="2:7" ht="15" customHeight="1" x14ac:dyDescent="0.35">
      <c r="B6" s="21" t="s">
        <v>183</v>
      </c>
      <c r="C6" s="22"/>
      <c r="D6" s="23">
        <f>(D5-C5)/C5</f>
        <v>0.43089234753414885</v>
      </c>
      <c r="E6" s="23">
        <f>(E5-D5)/D5</f>
        <v>-7.8419734204903294E-2</v>
      </c>
      <c r="F6" s="23">
        <f>(F5-E5)/E5</f>
        <v>-2.3795507333755572E-2</v>
      </c>
      <c r="G6" s="23">
        <f>(G5-F5)/F5</f>
        <v>4.0758589821079785E-2</v>
      </c>
    </row>
    <row r="7" spans="2:7" ht="6" customHeight="1" x14ac:dyDescent="0.35">
      <c r="C7" s="13"/>
      <c r="D7" s="13"/>
      <c r="E7" s="13"/>
      <c r="F7" s="13"/>
      <c r="G7" s="13"/>
    </row>
    <row r="8" spans="2:7" ht="15" customHeight="1" x14ac:dyDescent="0.35">
      <c r="B8" s="19" t="s">
        <v>184</v>
      </c>
      <c r="C8" s="20">
        <v>147395.1</v>
      </c>
      <c r="D8" s="20">
        <v>109654.03</v>
      </c>
      <c r="E8" s="20">
        <v>104883.6</v>
      </c>
      <c r="F8" s="20">
        <v>101256.92</v>
      </c>
      <c r="G8" s="20">
        <v>117037.27</v>
      </c>
    </row>
    <row r="9" spans="2:7" ht="15" customHeight="1" x14ac:dyDescent="0.35">
      <c r="B9" s="19" t="s">
        <v>185</v>
      </c>
      <c r="C9" s="20">
        <v>732879.32</v>
      </c>
      <c r="D9" s="20">
        <v>947418.92</v>
      </c>
      <c r="E9" s="20">
        <v>876951.19</v>
      </c>
      <c r="F9" s="20">
        <v>854952.77</v>
      </c>
      <c r="G9" s="20">
        <v>901452.7</v>
      </c>
    </row>
    <row r="10" spans="2:7" ht="15" customHeight="1" x14ac:dyDescent="0.35">
      <c r="B10" s="19" t="s">
        <v>186</v>
      </c>
      <c r="C10" s="20">
        <v>3851.52</v>
      </c>
      <c r="D10" s="20">
        <v>3991.02</v>
      </c>
      <c r="E10" s="20">
        <v>4284.26</v>
      </c>
      <c r="F10" s="20">
        <v>4409.96</v>
      </c>
      <c r="G10" s="20">
        <v>0</v>
      </c>
    </row>
    <row r="11" spans="2:7" ht="15" customHeight="1" x14ac:dyDescent="0.35">
      <c r="B11" s="19" t="s">
        <v>129</v>
      </c>
      <c r="C11" s="20">
        <v>3082.22</v>
      </c>
      <c r="D11" s="20">
        <v>4198.92</v>
      </c>
      <c r="E11" s="20">
        <v>3842.85</v>
      </c>
      <c r="F11" s="20">
        <v>3513.73</v>
      </c>
      <c r="G11" s="20">
        <v>4162.99</v>
      </c>
    </row>
    <row r="12" spans="2:7" ht="15" customHeight="1" x14ac:dyDescent="0.35">
      <c r="B12" s="24" t="s">
        <v>130</v>
      </c>
      <c r="C12" s="25">
        <f>C8+C11</f>
        <v>150477.32</v>
      </c>
      <c r="D12" s="25">
        <f>D8+D11</f>
        <v>113852.95</v>
      </c>
      <c r="E12" s="25">
        <f>E8+E11</f>
        <v>108726.45000000001</v>
      </c>
      <c r="F12" s="25">
        <f>F8+F11</f>
        <v>104770.65</v>
      </c>
      <c r="G12" s="25">
        <f>G8+G11</f>
        <v>121200.26000000001</v>
      </c>
    </row>
    <row r="13" spans="2:7" ht="6" customHeight="1" x14ac:dyDescent="0.35"/>
    <row r="14" spans="2:7" ht="15" customHeight="1" x14ac:dyDescent="0.35">
      <c r="B14" s="26" t="s">
        <v>131</v>
      </c>
      <c r="C14" s="27"/>
      <c r="D14" s="27"/>
      <c r="E14" s="27"/>
      <c r="F14" s="27"/>
      <c r="G14" s="27"/>
    </row>
    <row r="15" spans="2:7" ht="15" customHeight="1" x14ac:dyDescent="0.35">
      <c r="B15" s="19" t="s">
        <v>187</v>
      </c>
      <c r="C15" s="20">
        <v>330672.38</v>
      </c>
      <c r="D15" s="20">
        <v>503757.28</v>
      </c>
      <c r="E15" s="20">
        <v>446251.39</v>
      </c>
      <c r="F15" s="20">
        <v>449812.63</v>
      </c>
      <c r="G15" s="20">
        <v>433584.37</v>
      </c>
    </row>
    <row r="16" spans="2:7" ht="15" customHeight="1" x14ac:dyDescent="0.35">
      <c r="B16" s="19" t="s">
        <v>188</v>
      </c>
      <c r="C16" s="20">
        <v>169991.5</v>
      </c>
      <c r="D16" s="20">
        <v>250207.42</v>
      </c>
      <c r="E16" s="20">
        <v>191316.43</v>
      </c>
      <c r="F16" s="20">
        <v>207762.62</v>
      </c>
      <c r="G16" s="20">
        <v>193977.16</v>
      </c>
    </row>
    <row r="17" spans="2:7" ht="15" customHeight="1" x14ac:dyDescent="0.35">
      <c r="B17" s="19" t="s">
        <v>189</v>
      </c>
      <c r="C17" s="20">
        <v>-13710.98</v>
      </c>
      <c r="D17" s="20">
        <v>-6329.71</v>
      </c>
      <c r="E17" s="20">
        <v>1231.3399999999999</v>
      </c>
      <c r="F17" s="20">
        <v>-789.75</v>
      </c>
      <c r="G17" s="20">
        <v>5562.28</v>
      </c>
    </row>
    <row r="18" spans="2:7" ht="15" customHeight="1" x14ac:dyDescent="0.35">
      <c r="B18" s="19" t="s">
        <v>135</v>
      </c>
      <c r="C18" s="20">
        <v>11582.92</v>
      </c>
      <c r="D18" s="20">
        <v>9359.14</v>
      </c>
      <c r="E18" s="20">
        <v>11670.94</v>
      </c>
      <c r="F18" s="20">
        <v>10879.86</v>
      </c>
      <c r="G18" s="20">
        <v>11434.58</v>
      </c>
    </row>
    <row r="19" spans="2:7" ht="15" customHeight="1" x14ac:dyDescent="0.35">
      <c r="B19" s="19" t="s">
        <v>136</v>
      </c>
      <c r="C19" s="20">
        <v>5423.26</v>
      </c>
      <c r="D19" s="20">
        <v>7541.36</v>
      </c>
      <c r="E19" s="20">
        <v>7825.65</v>
      </c>
      <c r="F19" s="20">
        <v>9261.93</v>
      </c>
      <c r="G19" s="20">
        <v>8307.8799999999992</v>
      </c>
    </row>
    <row r="20" spans="2:7" ht="15" customHeight="1" x14ac:dyDescent="0.35">
      <c r="B20" s="19" t="s">
        <v>190</v>
      </c>
      <c r="C20" s="20">
        <v>-272.23</v>
      </c>
      <c r="D20" s="20">
        <v>683.33</v>
      </c>
      <c r="E20" s="20">
        <v>274.47000000000003</v>
      </c>
      <c r="F20" s="20">
        <v>173.27</v>
      </c>
      <c r="G20" s="20">
        <v>1129.99</v>
      </c>
    </row>
    <row r="21" spans="2:7" ht="15" customHeight="1" x14ac:dyDescent="0.35">
      <c r="B21" s="19" t="s">
        <v>191</v>
      </c>
      <c r="C21" s="20">
        <v>12347.58</v>
      </c>
      <c r="D21" s="20">
        <v>13181.05</v>
      </c>
      <c r="E21" s="20">
        <v>15866.11</v>
      </c>
      <c r="F21" s="20">
        <v>16777.34</v>
      </c>
      <c r="G21" s="20">
        <v>18420.240000000002</v>
      </c>
    </row>
    <row r="22" spans="2:7" ht="15" customHeight="1" x14ac:dyDescent="0.35">
      <c r="B22" s="19" t="s">
        <v>139</v>
      </c>
      <c r="C22" s="20">
        <v>43330.47</v>
      </c>
      <c r="D22" s="20">
        <v>53379.46</v>
      </c>
      <c r="E22" s="20">
        <v>50016.51</v>
      </c>
      <c r="F22" s="20">
        <v>54276.639999999999</v>
      </c>
      <c r="G22" s="20">
        <v>61665.4</v>
      </c>
    </row>
    <row r="23" spans="2:7" ht="15" customHeight="1" x14ac:dyDescent="0.35">
      <c r="B23" s="24" t="s">
        <v>140</v>
      </c>
      <c r="C23" s="25">
        <f>SUM(C15:C22)</f>
        <v>559364.9</v>
      </c>
      <c r="D23" s="25">
        <f>SUM(D15:D22)</f>
        <v>831779.33000000007</v>
      </c>
      <c r="E23" s="25">
        <f>SUM(E15:E22)</f>
        <v>724452.84</v>
      </c>
      <c r="F23" s="25">
        <f>SUM(F15:F22)</f>
        <v>748154.54</v>
      </c>
      <c r="G23" s="25">
        <f>SUM(G15:G22)</f>
        <v>734081.9</v>
      </c>
    </row>
    <row r="24" spans="2:7" ht="6" customHeight="1" x14ac:dyDescent="0.35"/>
    <row r="25" spans="2:7" ht="15" customHeight="1" x14ac:dyDescent="0.35">
      <c r="B25" s="24" t="s">
        <v>192</v>
      </c>
      <c r="C25" s="25">
        <f>C5+C8-C23+C18+C21</f>
        <v>197444.91999999993</v>
      </c>
      <c r="D25" s="25">
        <f>D5+D8-D23+D18+D21</f>
        <v>138179.77999999997</v>
      </c>
      <c r="E25" s="25">
        <f>E5+E8-E23+E18+E21</f>
        <v>180035.39999999997</v>
      </c>
      <c r="F25" s="25">
        <f>F5+F8-F23+F18+F21</f>
        <v>134455.43</v>
      </c>
      <c r="G25" s="25">
        <f>G5+G8-G23+G18+G21</f>
        <v>197225.62000000002</v>
      </c>
    </row>
    <row r="26" spans="2:7" ht="15" customHeight="1" x14ac:dyDescent="0.35">
      <c r="B26" s="21" t="s">
        <v>193</v>
      </c>
      <c r="C26" s="28">
        <f>C25/C5</f>
        <v>0.33723354661889937</v>
      </c>
      <c r="D26" s="28">
        <f>D25/D5</f>
        <v>0.16493861422146727</v>
      </c>
      <c r="E26" s="28">
        <f>E25/E5</f>
        <v>0.23318606082143659</v>
      </c>
      <c r="F26" s="28">
        <f>F25/F5</f>
        <v>0.17839481270860122</v>
      </c>
      <c r="G26" s="28">
        <f>G25/G5</f>
        <v>0.25143006174674559</v>
      </c>
    </row>
    <row r="27" spans="2:7" ht="6" customHeight="1" x14ac:dyDescent="0.35"/>
    <row r="28" spans="2:7" ht="15" customHeight="1" x14ac:dyDescent="0.35">
      <c r="B28" s="19" t="s">
        <v>194</v>
      </c>
      <c r="C28" s="20">
        <v>12347.58</v>
      </c>
      <c r="D28" s="20">
        <v>13181.05</v>
      </c>
      <c r="E28" s="20">
        <v>15866.11</v>
      </c>
      <c r="F28" s="20">
        <v>16777.34</v>
      </c>
      <c r="G28" s="20">
        <v>18420.240000000002</v>
      </c>
    </row>
    <row r="29" spans="2:7" ht="15" customHeight="1" x14ac:dyDescent="0.35">
      <c r="B29" s="21" t="s">
        <v>195</v>
      </c>
      <c r="C29" s="28">
        <f>C28/C5</f>
        <v>2.1089518006138577E-2</v>
      </c>
      <c r="D29" s="28">
        <f>D28/D5</f>
        <v>1.5733590840742918E-2</v>
      </c>
      <c r="E29" s="28">
        <f>E28/E5</f>
        <v>2.0550156755058197E-2</v>
      </c>
      <c r="F29" s="28">
        <f>F28/F5</f>
        <v>2.2260093378516015E-2</v>
      </c>
      <c r="G29" s="28">
        <f>G28/G5</f>
        <v>2.3482760914073298E-2</v>
      </c>
    </row>
    <row r="30" spans="2:7" ht="6" customHeight="1" x14ac:dyDescent="0.35"/>
    <row r="31" spans="2:7" ht="15" customHeight="1" x14ac:dyDescent="0.35">
      <c r="B31" s="24" t="s">
        <v>196</v>
      </c>
      <c r="C31" s="25">
        <f>C25-C28</f>
        <v>185097.33999999994</v>
      </c>
      <c r="D31" s="25">
        <f>D25-D28</f>
        <v>124998.72999999997</v>
      </c>
      <c r="E31" s="25">
        <f>E25-E28</f>
        <v>164169.28999999998</v>
      </c>
      <c r="F31" s="25">
        <f>F25-F28</f>
        <v>117678.09</v>
      </c>
      <c r="G31" s="25">
        <f>G25-G28</f>
        <v>178805.38000000003</v>
      </c>
    </row>
    <row r="32" spans="2:7" ht="15" customHeight="1" x14ac:dyDescent="0.35">
      <c r="B32" s="21" t="s">
        <v>197</v>
      </c>
      <c r="C32" s="23">
        <f>C31/C5</f>
        <v>0.31614402861276081</v>
      </c>
      <c r="D32" s="23">
        <f>D31/D5</f>
        <v>0.14920502338072436</v>
      </c>
      <c r="E32" s="23">
        <f>E31/E5</f>
        <v>0.21263590406637842</v>
      </c>
      <c r="F32" s="23">
        <f>F31/F5</f>
        <v>0.15613471933008521</v>
      </c>
      <c r="G32" s="23">
        <f>G31/G5</f>
        <v>0.22794730083267234</v>
      </c>
    </row>
    <row r="33" spans="2:7" ht="6" customHeight="1" x14ac:dyDescent="0.35">
      <c r="C33" s="13"/>
      <c r="D33" s="13"/>
      <c r="E33" s="13"/>
      <c r="F33" s="13"/>
      <c r="G33" s="13"/>
    </row>
    <row r="34" spans="2:7" ht="15" customHeight="1" x14ac:dyDescent="0.35">
      <c r="B34" s="19" t="s">
        <v>136</v>
      </c>
      <c r="C34" s="20">
        <v>5423.26</v>
      </c>
      <c r="D34" s="20">
        <v>7541.36</v>
      </c>
      <c r="E34" s="20">
        <v>7825.65</v>
      </c>
      <c r="F34" s="20">
        <v>9261.93</v>
      </c>
      <c r="G34" s="20">
        <v>8307.8799999999992</v>
      </c>
    </row>
    <row r="35" spans="2:7" ht="15" customHeight="1" x14ac:dyDescent="0.35">
      <c r="B35" s="21" t="s">
        <v>198</v>
      </c>
      <c r="C35" s="23">
        <f>C34/C5</f>
        <v>9.2628627975660915E-3</v>
      </c>
      <c r="D35" s="23">
        <f>D34/D5</f>
        <v>9.0017618188797562E-3</v>
      </c>
      <c r="E35" s="23">
        <f>E34/E5</f>
        <v>1.0135964909497107E-2</v>
      </c>
      <c r="F35" s="23">
        <f>F34/F5</f>
        <v>1.2288683823852819E-2</v>
      </c>
      <c r="G35" s="23">
        <f>G34/G5</f>
        <v>1.0591173608096922E-2</v>
      </c>
    </row>
    <row r="36" spans="2:7" ht="6" customHeight="1" x14ac:dyDescent="0.35">
      <c r="C36" s="13"/>
      <c r="D36" s="13"/>
      <c r="E36" s="13"/>
      <c r="F36" s="13"/>
      <c r="G36" s="13"/>
    </row>
    <row r="37" spans="2:7" ht="15" customHeight="1" x14ac:dyDescent="0.35">
      <c r="B37" s="19" t="s">
        <v>199</v>
      </c>
      <c r="C37" s="20">
        <v>33053.06</v>
      </c>
      <c r="D37" s="20">
        <v>14175.5</v>
      </c>
      <c r="E37" s="20">
        <v>55741.86</v>
      </c>
      <c r="F37" s="20">
        <v>15303.02</v>
      </c>
      <c r="G37" s="20">
        <v>54496.52</v>
      </c>
    </row>
    <row r="38" spans="2:7" ht="15" customHeight="1" x14ac:dyDescent="0.35">
      <c r="B38" s="21" t="s">
        <v>200</v>
      </c>
      <c r="C38" s="23">
        <f>C37/C5</f>
        <v>5.6454228604145812E-2</v>
      </c>
      <c r="D38" s="23">
        <f>D37/D5</f>
        <v>1.6920618384950459E-2</v>
      </c>
      <c r="E38" s="23">
        <f>E37/E5</f>
        <v>7.2198160785378912E-2</v>
      </c>
      <c r="F38" s="23">
        <f>F37/F5</f>
        <v>2.0303972749750449E-2</v>
      </c>
      <c r="G38" s="23">
        <f>G37/G5</f>
        <v>6.9474054073617592E-2</v>
      </c>
    </row>
    <row r="39" spans="2:7" ht="6" customHeight="1" x14ac:dyDescent="0.35">
      <c r="C39" s="13"/>
      <c r="D39" s="13"/>
      <c r="E39" s="13"/>
      <c r="F39" s="13"/>
      <c r="G39" s="13"/>
    </row>
    <row r="40" spans="2:7" ht="15" customHeight="1" x14ac:dyDescent="0.35">
      <c r="B40" s="19" t="s">
        <v>147</v>
      </c>
      <c r="C40" s="20">
        <v>8562.02</v>
      </c>
      <c r="D40" s="20">
        <v>3333.43</v>
      </c>
      <c r="E40" s="20">
        <v>14126.64</v>
      </c>
      <c r="F40" s="20">
        <v>3274.62</v>
      </c>
      <c r="G40" s="20">
        <v>13794.76</v>
      </c>
    </row>
    <row r="41" spans="2:7" ht="15" customHeight="1" x14ac:dyDescent="0.35">
      <c r="B41" s="21" t="s">
        <v>201</v>
      </c>
      <c r="C41" s="23">
        <f>C40/C37</f>
        <v>0.25903864876655902</v>
      </c>
      <c r="D41" s="23">
        <f>D40/D37</f>
        <v>0.23515431554442523</v>
      </c>
      <c r="E41" s="23">
        <f>E40/E37</f>
        <v>0.25342964874153823</v>
      </c>
      <c r="F41" s="23">
        <f>F40/F37</f>
        <v>0.21398521337618326</v>
      </c>
      <c r="G41" s="23">
        <f>G40/G37</f>
        <v>0.2531310256141126</v>
      </c>
    </row>
    <row r="42" spans="2:7" ht="6" customHeight="1" x14ac:dyDescent="0.35">
      <c r="C42" s="13"/>
      <c r="D42" s="13"/>
      <c r="E42" s="13"/>
      <c r="F42" s="13"/>
      <c r="G42" s="13"/>
    </row>
    <row r="43" spans="2:7" ht="15" customHeight="1" x14ac:dyDescent="0.35">
      <c r="B43" s="26" t="s">
        <v>202</v>
      </c>
      <c r="C43" s="29">
        <v>25102.23</v>
      </c>
      <c r="D43" s="29">
        <v>9792.1200000000008</v>
      </c>
      <c r="E43" s="29">
        <v>41729.69</v>
      </c>
      <c r="F43" s="29">
        <v>13597.84</v>
      </c>
      <c r="G43" s="29">
        <v>42096.26</v>
      </c>
    </row>
    <row r="44" spans="2:7" ht="15" customHeight="1" x14ac:dyDescent="0.35">
      <c r="B44" s="21" t="s">
        <v>203</v>
      </c>
      <c r="C44" s="23">
        <f>C43/C5</f>
        <v>4.2874306672176413E-2</v>
      </c>
      <c r="D44" s="23">
        <f>D43/D5</f>
        <v>1.1688386702383769E-2</v>
      </c>
      <c r="E44" s="23">
        <f>E43/E5</f>
        <v>5.4049270479026329E-2</v>
      </c>
      <c r="F44" s="23">
        <f>F43/F5</f>
        <v>1.8041548192152049E-2</v>
      </c>
      <c r="G44" s="23">
        <f>G43/G5</f>
        <v>5.3665772484868125E-2</v>
      </c>
    </row>
    <row r="45" spans="2:7" ht="6" customHeight="1" x14ac:dyDescent="0.35">
      <c r="C45" s="13"/>
      <c r="D45" s="13"/>
      <c r="E45" s="13"/>
      <c r="F45" s="13"/>
      <c r="G45" s="13"/>
    </row>
    <row r="46" spans="2:7" ht="15" customHeight="1" x14ac:dyDescent="0.35">
      <c r="B46" s="19" t="s">
        <v>204</v>
      </c>
      <c r="C46" s="30">
        <v>27</v>
      </c>
      <c r="D46" s="30">
        <v>7</v>
      </c>
      <c r="E46" s="30">
        <v>30</v>
      </c>
      <c r="F46" s="30">
        <v>10</v>
      </c>
      <c r="G46" s="30">
        <v>31</v>
      </c>
    </row>
    <row r="47" spans="2:7" ht="15" customHeight="1" x14ac:dyDescent="0.35">
      <c r="B47" s="21" t="s">
        <v>205</v>
      </c>
      <c r="C47" s="22"/>
      <c r="D47" s="23">
        <f>(D46-C46)/C46</f>
        <v>-0.7407407407407407</v>
      </c>
      <c r="E47" s="23">
        <f>(E46-D46)/D46</f>
        <v>3.2857142857142856</v>
      </c>
      <c r="F47" s="23">
        <f>(F46-E46)/E46</f>
        <v>-0.66666666666666663</v>
      </c>
      <c r="G47" s="23">
        <f>(G46-F46)/F46</f>
        <v>2.1</v>
      </c>
    </row>
    <row r="48" spans="2:7" ht="6" customHeight="1" x14ac:dyDescent="0.35">
      <c r="C48" s="13"/>
      <c r="D48" s="13"/>
      <c r="E48" s="13"/>
      <c r="F48" s="13"/>
      <c r="G48" s="13"/>
    </row>
    <row r="49" spans="2:7" ht="6" customHeight="1" x14ac:dyDescent="0.35"/>
    <row r="50" spans="2:7" ht="15.75" customHeight="1" x14ac:dyDescent="0.35">
      <c r="B50" s="18" t="s">
        <v>206</v>
      </c>
      <c r="C50" s="15"/>
      <c r="D50" s="15"/>
      <c r="E50" s="15"/>
      <c r="F50" s="15"/>
      <c r="G50" s="15"/>
    </row>
    <row r="51" spans="2:7" ht="15.75" customHeight="1" x14ac:dyDescent="0.35">
      <c r="B51" s="17" t="s">
        <v>180</v>
      </c>
      <c r="C51" s="17">
        <v>2022</v>
      </c>
      <c r="D51" s="17">
        <v>2023</v>
      </c>
      <c r="E51" s="17">
        <v>2024</v>
      </c>
      <c r="F51" s="17">
        <v>2025</v>
      </c>
      <c r="G51" s="17">
        <v>2026</v>
      </c>
    </row>
    <row r="52" spans="2:7" ht="13.5" customHeight="1" x14ac:dyDescent="0.35">
      <c r="B52" s="26" t="s">
        <v>207</v>
      </c>
      <c r="C52" s="31"/>
      <c r="D52" s="31"/>
      <c r="E52" s="31"/>
      <c r="F52" s="31"/>
      <c r="G52" s="31"/>
    </row>
    <row r="53" spans="2:7" ht="15" customHeight="1" x14ac:dyDescent="0.35">
      <c r="B53" s="19" t="s">
        <v>70</v>
      </c>
      <c r="C53" s="20">
        <v>9181.0400000000009</v>
      </c>
      <c r="D53" s="20">
        <v>13771.56</v>
      </c>
      <c r="E53" s="20">
        <v>13771.56</v>
      </c>
      <c r="F53" s="20">
        <v>13771.56</v>
      </c>
      <c r="G53" s="20">
        <v>13771.56</v>
      </c>
    </row>
    <row r="54" spans="2:7" ht="15" customHeight="1" x14ac:dyDescent="0.35">
      <c r="B54" s="19" t="s">
        <v>208</v>
      </c>
      <c r="C54" s="20">
        <v>124354.14</v>
      </c>
      <c r="D54" s="20">
        <v>125948.68</v>
      </c>
      <c r="E54" s="20">
        <v>169644.71</v>
      </c>
      <c r="F54" s="20">
        <v>172715.76</v>
      </c>
      <c r="G54" s="20">
        <v>205745.99</v>
      </c>
    </row>
    <row r="55" spans="2:7" ht="15" customHeight="1" x14ac:dyDescent="0.35">
      <c r="B55" s="24" t="s">
        <v>74</v>
      </c>
      <c r="C55" s="32">
        <f>C53+C54</f>
        <v>133535.18</v>
      </c>
      <c r="D55" s="32">
        <f>D53+D54</f>
        <v>139720.24</v>
      </c>
      <c r="E55" s="32">
        <f>E53+E54</f>
        <v>183416.27</v>
      </c>
      <c r="F55" s="32">
        <f>F53+F54</f>
        <v>186487.32</v>
      </c>
      <c r="G55" s="32">
        <f>G53+G54</f>
        <v>219517.55</v>
      </c>
    </row>
    <row r="56" spans="2:7" ht="15" customHeight="1" x14ac:dyDescent="0.35">
      <c r="B56" s="19" t="s">
        <v>75</v>
      </c>
      <c r="C56" s="20">
        <v>1591.47</v>
      </c>
      <c r="D56" s="20">
        <v>3494.1</v>
      </c>
      <c r="E56" s="20">
        <v>4746.71</v>
      </c>
      <c r="F56" s="20">
        <v>4537.34</v>
      </c>
      <c r="G56" s="20">
        <v>6029.56</v>
      </c>
    </row>
    <row r="57" spans="2:7" ht="15" customHeight="1" x14ac:dyDescent="0.35">
      <c r="B57" s="19" t="s">
        <v>77</v>
      </c>
      <c r="C57" s="20">
        <v>55944.54</v>
      </c>
      <c r="D57" s="20">
        <v>63312.94</v>
      </c>
      <c r="E57" s="20">
        <v>46792.9</v>
      </c>
      <c r="F57" s="20">
        <v>51755.75</v>
      </c>
      <c r="G57" s="20">
        <v>63652.1</v>
      </c>
    </row>
    <row r="58" spans="2:7" ht="15" customHeight="1" x14ac:dyDescent="0.35">
      <c r="B58" s="19" t="s">
        <v>83</v>
      </c>
      <c r="C58" s="20">
        <v>67605.56</v>
      </c>
      <c r="D58" s="20">
        <v>76801.88</v>
      </c>
      <c r="E58" s="20">
        <v>76660.67</v>
      </c>
      <c r="F58" s="20">
        <v>90804.15</v>
      </c>
      <c r="G58" s="20">
        <v>68170.289999999994</v>
      </c>
    </row>
    <row r="59" spans="2:7" ht="15" customHeight="1" x14ac:dyDescent="0.35">
      <c r="B59" s="24" t="s">
        <v>209</v>
      </c>
      <c r="C59" s="32">
        <f>C57+C58</f>
        <v>123550.1</v>
      </c>
      <c r="D59" s="32">
        <f>D57+D58</f>
        <v>140114.82</v>
      </c>
      <c r="E59" s="32">
        <f>E57+E58</f>
        <v>123453.57</v>
      </c>
      <c r="F59" s="32">
        <f>F57+F58</f>
        <v>142559.9</v>
      </c>
      <c r="G59" s="32">
        <f>G57+G58</f>
        <v>131822.38999999998</v>
      </c>
    </row>
    <row r="60" spans="2:7" ht="15" customHeight="1" x14ac:dyDescent="0.35">
      <c r="B60" s="19" t="s">
        <v>84</v>
      </c>
      <c r="C60" s="20">
        <v>49045.91</v>
      </c>
      <c r="D60" s="20">
        <v>54734.1</v>
      </c>
      <c r="E60" s="20">
        <v>59454.1</v>
      </c>
      <c r="F60" s="20">
        <v>60534.94</v>
      </c>
      <c r="G60" s="20">
        <v>57368.69</v>
      </c>
    </row>
    <row r="61" spans="2:7" ht="15" customHeight="1" x14ac:dyDescent="0.35">
      <c r="B61" s="19" t="s">
        <v>85</v>
      </c>
      <c r="C61" s="20">
        <v>65754.64</v>
      </c>
      <c r="D61" s="20">
        <v>64966.07</v>
      </c>
      <c r="E61" s="20">
        <v>69660.899999999994</v>
      </c>
      <c r="F61" s="20">
        <v>69262.58</v>
      </c>
      <c r="G61" s="20">
        <v>75160.710000000006</v>
      </c>
    </row>
    <row r="62" spans="2:7" ht="15" customHeight="1" x14ac:dyDescent="0.35">
      <c r="B62" s="19" t="s">
        <v>86</v>
      </c>
      <c r="C62" s="20">
        <v>9748.59</v>
      </c>
      <c r="D62" s="20">
        <v>10156.280000000001</v>
      </c>
      <c r="E62" s="20">
        <v>10628.26</v>
      </c>
      <c r="F62" s="20">
        <v>10012.74</v>
      </c>
      <c r="G62" s="20">
        <v>10506.11</v>
      </c>
    </row>
    <row r="63" spans="2:7" ht="15" customHeight="1" x14ac:dyDescent="0.35">
      <c r="B63" s="24" t="s">
        <v>87</v>
      </c>
      <c r="C63" s="32">
        <f>SUM(C60:C62)</f>
        <v>124549.14</v>
      </c>
      <c r="D63" s="32">
        <f>SUM(D60:D62)</f>
        <v>129856.45</v>
      </c>
      <c r="E63" s="32">
        <f>SUM(E60:E62)</f>
        <v>139743.26</v>
      </c>
      <c r="F63" s="32">
        <f>SUM(F60:F62)</f>
        <v>139810.26</v>
      </c>
      <c r="G63" s="32">
        <f>SUM(G60:G62)</f>
        <v>143035.51</v>
      </c>
    </row>
    <row r="64" spans="2:7" ht="15" customHeight="1" x14ac:dyDescent="0.35">
      <c r="B64" s="19" t="s">
        <v>78</v>
      </c>
      <c r="C64" s="20">
        <v>15354.37</v>
      </c>
      <c r="D64" s="20">
        <v>16800.419999999998</v>
      </c>
      <c r="E64" s="20">
        <v>18960.7</v>
      </c>
      <c r="F64" s="20">
        <v>20664.96</v>
      </c>
      <c r="G64" s="20">
        <v>21615.85</v>
      </c>
    </row>
    <row r="65" spans="2:7" ht="15" customHeight="1" x14ac:dyDescent="0.35">
      <c r="B65" s="19" t="s">
        <v>79</v>
      </c>
      <c r="C65" s="20">
        <v>10458</v>
      </c>
      <c r="D65" s="20">
        <v>10379.620000000001</v>
      </c>
      <c r="E65" s="20">
        <v>10626.67</v>
      </c>
      <c r="F65" s="20">
        <v>11400.64</v>
      </c>
      <c r="G65" s="20">
        <v>5492.46</v>
      </c>
    </row>
    <row r="66" spans="2:7" ht="15" customHeight="1" x14ac:dyDescent="0.35">
      <c r="B66" s="19" t="s">
        <v>80</v>
      </c>
      <c r="C66" s="20">
        <v>1586.59</v>
      </c>
      <c r="D66" s="20">
        <v>1396.44</v>
      </c>
      <c r="E66" s="20">
        <v>1414.82</v>
      </c>
      <c r="F66" s="20">
        <v>1406.63</v>
      </c>
      <c r="G66" s="20">
        <v>1441.64</v>
      </c>
    </row>
    <row r="67" spans="2:7" ht="6" customHeight="1" x14ac:dyDescent="0.35">
      <c r="C67" s="13"/>
      <c r="D67" s="13"/>
      <c r="E67" s="13"/>
      <c r="F67" s="13"/>
      <c r="G67" s="13"/>
    </row>
    <row r="68" spans="2:7" ht="13.5" customHeight="1" x14ac:dyDescent="0.35">
      <c r="B68" s="26" t="s">
        <v>89</v>
      </c>
      <c r="C68" s="27"/>
      <c r="D68" s="27"/>
      <c r="E68" s="27"/>
      <c r="F68" s="27"/>
      <c r="G68" s="27"/>
    </row>
    <row r="69" spans="2:7" ht="15" customHeight="1" x14ac:dyDescent="0.35">
      <c r="B69" s="19" t="s">
        <v>210</v>
      </c>
      <c r="C69" s="20">
        <v>157194.98000000001</v>
      </c>
      <c r="D69" s="20">
        <v>176532.05</v>
      </c>
      <c r="E69" s="20">
        <v>192159.52</v>
      </c>
      <c r="F69" s="20">
        <v>197162.03</v>
      </c>
      <c r="G69" s="20">
        <v>207625.53</v>
      </c>
    </row>
    <row r="70" spans="2:7" ht="15" customHeight="1" x14ac:dyDescent="0.35">
      <c r="B70" s="19" t="s">
        <v>92</v>
      </c>
      <c r="C70" s="20">
        <v>3318.33</v>
      </c>
      <c r="D70" s="20">
        <v>3514.48</v>
      </c>
      <c r="E70" s="20">
        <v>3837.23</v>
      </c>
      <c r="F70" s="20">
        <v>3979.1</v>
      </c>
      <c r="G70" s="20">
        <v>4095.37</v>
      </c>
    </row>
    <row r="71" spans="2:7" ht="15" customHeight="1" x14ac:dyDescent="0.35">
      <c r="B71" s="19" t="s">
        <v>211</v>
      </c>
      <c r="C71" s="20">
        <v>44049.82</v>
      </c>
      <c r="D71" s="20">
        <v>47550.080000000002</v>
      </c>
      <c r="E71" s="20">
        <v>57316.86</v>
      </c>
      <c r="F71" s="20">
        <v>73740.41</v>
      </c>
      <c r="G71" s="20">
        <v>82896.789999999994</v>
      </c>
    </row>
    <row r="72" spans="2:7" ht="15" customHeight="1" x14ac:dyDescent="0.35">
      <c r="B72" s="24" t="s">
        <v>212</v>
      </c>
      <c r="C72" s="32">
        <f>SUM(C69:C71)</f>
        <v>204563.13</v>
      </c>
      <c r="D72" s="32">
        <f>SUM(D69:D71)</f>
        <v>227596.61</v>
      </c>
      <c r="E72" s="32">
        <f>SUM(E69:E71)</f>
        <v>253313.61</v>
      </c>
      <c r="F72" s="32">
        <f>SUM(F69:F71)</f>
        <v>274881.54000000004</v>
      </c>
      <c r="G72" s="32">
        <f>SUM(G69:G71)</f>
        <v>294617.69</v>
      </c>
    </row>
    <row r="73" spans="2:7" ht="15" customHeight="1" x14ac:dyDescent="0.35">
      <c r="B73" s="19" t="s">
        <v>96</v>
      </c>
      <c r="C73" s="20">
        <v>44338.76</v>
      </c>
      <c r="D73" s="20">
        <v>41753.919999999998</v>
      </c>
      <c r="E73" s="20">
        <v>55162.04</v>
      </c>
      <c r="F73" s="20">
        <v>56849.59</v>
      </c>
      <c r="G73" s="20">
        <v>66160.990000000005</v>
      </c>
    </row>
    <row r="74" spans="2:7" ht="15" customHeight="1" x14ac:dyDescent="0.35">
      <c r="B74" s="19" t="s">
        <v>97</v>
      </c>
      <c r="C74" s="20">
        <v>0</v>
      </c>
      <c r="D74" s="20">
        <v>0</v>
      </c>
      <c r="E74" s="20">
        <v>0</v>
      </c>
      <c r="F74" s="20">
        <v>0</v>
      </c>
      <c r="G74" s="20">
        <v>1364.02</v>
      </c>
    </row>
    <row r="75" spans="2:7" ht="15" customHeight="1" x14ac:dyDescent="0.35">
      <c r="B75" s="19" t="s">
        <v>213</v>
      </c>
      <c r="C75" s="20">
        <v>2292.96</v>
      </c>
      <c r="D75" s="20">
        <v>2285.11</v>
      </c>
      <c r="E75" s="20">
        <v>2586.98</v>
      </c>
      <c r="F75" s="20">
        <v>3223.44</v>
      </c>
      <c r="G75" s="20">
        <v>3357.31</v>
      </c>
    </row>
    <row r="76" spans="2:7" ht="15" customHeight="1" x14ac:dyDescent="0.35">
      <c r="B76" s="19" t="s">
        <v>99</v>
      </c>
      <c r="C76" s="20">
        <v>9148.82</v>
      </c>
      <c r="D76" s="20">
        <v>7676.53</v>
      </c>
      <c r="E76" s="20">
        <v>9134.5</v>
      </c>
      <c r="F76" s="20">
        <v>10087.42</v>
      </c>
      <c r="G76" s="20">
        <v>6643.14</v>
      </c>
    </row>
    <row r="77" spans="2:7" ht="15" customHeight="1" x14ac:dyDescent="0.35">
      <c r="B77" s="24" t="s">
        <v>100</v>
      </c>
      <c r="C77" s="32">
        <f>C72+C73+C74+C75+C76</f>
        <v>260343.67</v>
      </c>
      <c r="D77" s="32">
        <f>D72+D73+D74+D75+D76</f>
        <v>279312.17</v>
      </c>
      <c r="E77" s="32">
        <f>E72+E73+E74+E75+E76</f>
        <v>320197.12999999995</v>
      </c>
      <c r="F77" s="32">
        <f>F72+F73+F74+F75+F76</f>
        <v>345041.99</v>
      </c>
      <c r="G77" s="32">
        <f>G72+G73+G74+G75+G76</f>
        <v>372143.15</v>
      </c>
    </row>
    <row r="78" spans="2:7" ht="6" customHeight="1" x14ac:dyDescent="0.35">
      <c r="C78" s="13"/>
      <c r="D78" s="13"/>
      <c r="E78" s="13"/>
      <c r="F78" s="13"/>
      <c r="G78" s="13"/>
    </row>
    <row r="79" spans="2:7" ht="15" customHeight="1" x14ac:dyDescent="0.35">
      <c r="B79" s="19" t="s">
        <v>102</v>
      </c>
      <c r="C79" s="20">
        <v>8013.2</v>
      </c>
      <c r="D79" s="20">
        <v>10436.540000000001</v>
      </c>
      <c r="E79" s="20">
        <v>10379.86</v>
      </c>
      <c r="F79" s="20">
        <v>10368.91</v>
      </c>
      <c r="G79" s="20">
        <v>7136.54</v>
      </c>
    </row>
    <row r="80" spans="2:7" ht="15" customHeight="1" x14ac:dyDescent="0.35">
      <c r="B80" s="19" t="s">
        <v>103</v>
      </c>
      <c r="C80" s="20">
        <v>111736.51</v>
      </c>
      <c r="D80" s="20">
        <v>121107.58</v>
      </c>
      <c r="E80" s="20">
        <v>121375.83</v>
      </c>
      <c r="F80" s="20">
        <v>113878.49</v>
      </c>
      <c r="G80" s="20">
        <v>117132.72</v>
      </c>
    </row>
    <row r="81" spans="2:7" ht="15" customHeight="1" x14ac:dyDescent="0.35">
      <c r="B81" s="19" t="s">
        <v>104</v>
      </c>
      <c r="C81" s="20">
        <v>18700.419999999998</v>
      </c>
      <c r="D81" s="20">
        <v>16271.21</v>
      </c>
      <c r="E81" s="20">
        <v>13831.45</v>
      </c>
      <c r="F81" s="20">
        <v>18550.96</v>
      </c>
      <c r="G81" s="20">
        <v>14634.83</v>
      </c>
    </row>
    <row r="82" spans="2:7" ht="15" customHeight="1" x14ac:dyDescent="0.35">
      <c r="B82" s="19" t="s">
        <v>214</v>
      </c>
      <c r="C82" s="20">
        <v>1820.14</v>
      </c>
      <c r="D82" s="20">
        <v>2096.64</v>
      </c>
      <c r="E82" s="20">
        <v>3158.79</v>
      </c>
      <c r="F82" s="20">
        <v>3304.94</v>
      </c>
      <c r="G82" s="20">
        <v>4414.66</v>
      </c>
    </row>
    <row r="83" spans="2:7" ht="15" customHeight="1" x14ac:dyDescent="0.35">
      <c r="B83" s="19" t="s">
        <v>215</v>
      </c>
      <c r="C83" s="20">
        <v>450.92</v>
      </c>
      <c r="D83" s="20">
        <v>379.73</v>
      </c>
      <c r="E83" s="20">
        <v>492.94</v>
      </c>
      <c r="F83" s="20">
        <v>628.76</v>
      </c>
      <c r="G83" s="20">
        <v>698.58</v>
      </c>
    </row>
    <row r="84" spans="2:7" ht="15" customHeight="1" x14ac:dyDescent="0.35">
      <c r="B84" s="19" t="s">
        <v>216</v>
      </c>
      <c r="C84" s="20">
        <v>6139.5</v>
      </c>
      <c r="D84" s="20">
        <v>8573.7900000000009</v>
      </c>
      <c r="E84" s="20">
        <v>9209.4</v>
      </c>
      <c r="F84" s="20">
        <v>10911.09</v>
      </c>
      <c r="G84" s="20">
        <v>12793.44</v>
      </c>
    </row>
    <row r="85" spans="2:7" ht="15" customHeight="1" x14ac:dyDescent="0.35">
      <c r="B85" s="24" t="s">
        <v>108</v>
      </c>
      <c r="C85" s="32">
        <f>SUM(C79:C84)</f>
        <v>146860.69000000003</v>
      </c>
      <c r="D85" s="32">
        <f>SUM(D79:D84)</f>
        <v>158865.49000000002</v>
      </c>
      <c r="E85" s="32">
        <f>SUM(E79:E84)</f>
        <v>158448.27000000002</v>
      </c>
      <c r="F85" s="32">
        <f>SUM(F79:F84)</f>
        <v>157643.15000000002</v>
      </c>
      <c r="G85" s="32">
        <f>SUM(G79:G84)</f>
        <v>156810.76999999999</v>
      </c>
    </row>
    <row r="86" spans="2:7" ht="15" customHeight="1" x14ac:dyDescent="0.35">
      <c r="B86" s="33" t="s">
        <v>109</v>
      </c>
      <c r="C86" s="34">
        <f>C77+C84</f>
        <v>266483.17000000004</v>
      </c>
      <c r="D86" s="34">
        <f>D77+D84</f>
        <v>287885.95999999996</v>
      </c>
      <c r="E86" s="34">
        <f>E77+E84</f>
        <v>329406.52999999997</v>
      </c>
      <c r="F86" s="34">
        <f>F77+F84</f>
        <v>355953.08</v>
      </c>
      <c r="G86" s="34">
        <f>G77+G84</f>
        <v>384936.59</v>
      </c>
    </row>
    <row r="87" spans="2:7" ht="6" customHeight="1" x14ac:dyDescent="0.35">
      <c r="C87" s="13"/>
      <c r="D87" s="13"/>
      <c r="E87" s="13"/>
      <c r="F87" s="13"/>
      <c r="G87" s="13"/>
    </row>
    <row r="88" spans="2:7" ht="6" customHeight="1" x14ac:dyDescent="0.35">
      <c r="C88" s="13"/>
      <c r="D88" s="13"/>
      <c r="E88" s="13"/>
      <c r="F88" s="13"/>
      <c r="G88" s="13"/>
    </row>
    <row r="89" spans="2:7" ht="15.75" customHeight="1" x14ac:dyDescent="0.35">
      <c r="B89" s="18" t="s">
        <v>217</v>
      </c>
      <c r="C89" s="15"/>
      <c r="D89" s="15"/>
      <c r="E89" s="15"/>
      <c r="F89" s="15"/>
      <c r="G89" s="15"/>
    </row>
    <row r="90" spans="2:7" ht="15.75" customHeight="1" x14ac:dyDescent="0.35">
      <c r="B90" s="17" t="s">
        <v>180</v>
      </c>
      <c r="C90" s="17">
        <v>2022</v>
      </c>
      <c r="D90" s="17">
        <v>2023</v>
      </c>
      <c r="E90" s="17">
        <v>2024</v>
      </c>
      <c r="F90" s="17">
        <v>2025</v>
      </c>
      <c r="G90" s="17">
        <v>2026</v>
      </c>
    </row>
    <row r="91" spans="2:7" ht="15" customHeight="1" x14ac:dyDescent="0.35">
      <c r="B91" s="26" t="s">
        <v>218</v>
      </c>
      <c r="C91" s="35"/>
      <c r="D91" s="35"/>
      <c r="E91" s="29">
        <v>68096.600000000006</v>
      </c>
      <c r="F91" s="29">
        <v>33170.46</v>
      </c>
      <c r="G91" s="29">
        <v>71398.570000000007</v>
      </c>
    </row>
    <row r="92" spans="2:7" ht="15" customHeight="1" x14ac:dyDescent="0.35">
      <c r="B92" s="19" t="s">
        <v>219</v>
      </c>
      <c r="C92" s="35"/>
      <c r="D92" s="35"/>
      <c r="E92" s="20">
        <v>-29701.62</v>
      </c>
      <c r="F92" s="20">
        <v>-29261.29</v>
      </c>
      <c r="G92" s="20">
        <v>-17661.78</v>
      </c>
    </row>
    <row r="93" spans="2:7" ht="15" customHeight="1" x14ac:dyDescent="0.35">
      <c r="B93" s="19" t="s">
        <v>220</v>
      </c>
      <c r="C93" s="35"/>
      <c r="D93" s="35"/>
      <c r="E93" s="20">
        <v>-38294.019999999997</v>
      </c>
      <c r="F93" s="20">
        <v>-4110.28</v>
      </c>
      <c r="G93" s="20">
        <v>-53718.55</v>
      </c>
    </row>
    <row r="94" spans="2:7" ht="15" customHeight="1" x14ac:dyDescent="0.35">
      <c r="B94" s="24" t="s">
        <v>221</v>
      </c>
      <c r="C94" s="36"/>
      <c r="D94" s="36"/>
      <c r="E94" s="32">
        <f>SUM(E91:E93)</f>
        <v>100.96000000001368</v>
      </c>
      <c r="F94" s="32">
        <f>SUM(F91:F93)</f>
        <v>-201.11000000000149</v>
      </c>
      <c r="G94" s="32">
        <f>SUM(G91:G93)</f>
        <v>18.240000000005239</v>
      </c>
    </row>
    <row r="95" spans="2:7" ht="15" customHeight="1" x14ac:dyDescent="0.35">
      <c r="B95" s="19" t="s">
        <v>222</v>
      </c>
      <c r="C95" s="35"/>
      <c r="D95" s="35"/>
      <c r="E95" s="20">
        <v>363.32</v>
      </c>
      <c r="F95" s="20">
        <v>464.28</v>
      </c>
      <c r="G95" s="20">
        <v>263.17</v>
      </c>
    </row>
    <row r="96" spans="2:7" ht="15" customHeight="1" x14ac:dyDescent="0.35">
      <c r="B96" s="19" t="s">
        <v>223</v>
      </c>
      <c r="C96" s="35"/>
      <c r="D96" s="35"/>
      <c r="E96" s="20">
        <v>464.28</v>
      </c>
      <c r="F96" s="20">
        <v>263.17</v>
      </c>
      <c r="G96" s="20">
        <v>281.41000000000003</v>
      </c>
    </row>
    <row r="97" spans="2:7" ht="6" customHeight="1" x14ac:dyDescent="0.35">
      <c r="C97" s="13"/>
      <c r="D97" s="13"/>
      <c r="E97" s="13"/>
      <c r="F97" s="13"/>
      <c r="G97" s="13"/>
    </row>
    <row r="98" spans="2:7" ht="13.5" customHeight="1" x14ac:dyDescent="0.35">
      <c r="B98" s="268"/>
      <c r="C98" s="268"/>
      <c r="D98" s="268"/>
      <c r="E98" s="268"/>
      <c r="F98" s="268"/>
      <c r="G98" s="268"/>
    </row>
  </sheetData>
  <mergeCells count="2">
    <mergeCell ref="C2:G2"/>
    <mergeCell ref="B98:G98"/>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30"/>
  <sheetViews>
    <sheetView showGridLines="0" topLeftCell="B1" zoomScale="70" zoomScaleNormal="70" workbookViewId="0">
      <selection activeCell="I6" sqref="I6"/>
    </sheetView>
  </sheetViews>
  <sheetFormatPr defaultColWidth="8.6328125" defaultRowHeight="14.5" x14ac:dyDescent="0.35"/>
  <cols>
    <col min="1" max="1" width="3" customWidth="1"/>
    <col min="2" max="2" width="42" style="13" customWidth="1"/>
    <col min="3" max="7" width="17" customWidth="1"/>
  </cols>
  <sheetData>
    <row r="1" spans="2:7" ht="24" customHeight="1" x14ac:dyDescent="0.35">
      <c r="B1" s="37" t="s">
        <v>224</v>
      </c>
      <c r="C1" s="15"/>
      <c r="D1" s="15"/>
      <c r="E1" s="15"/>
      <c r="F1" s="15"/>
      <c r="G1" s="15"/>
    </row>
    <row r="2" spans="2:7" ht="15.75" customHeight="1" x14ac:dyDescent="0.35">
      <c r="B2" s="16" t="s">
        <v>225</v>
      </c>
      <c r="C2" s="269" t="s">
        <v>226</v>
      </c>
      <c r="D2" s="269"/>
      <c r="E2" s="269"/>
      <c r="F2" s="269"/>
      <c r="G2" s="269"/>
    </row>
    <row r="3" spans="2:7" ht="18" customHeight="1" x14ac:dyDescent="0.35">
      <c r="B3" s="17" t="s">
        <v>227</v>
      </c>
      <c r="C3" s="17">
        <v>2022</v>
      </c>
      <c r="D3" s="17">
        <v>2023</v>
      </c>
      <c r="E3" s="17">
        <v>2024</v>
      </c>
      <c r="F3" s="17">
        <v>2025</v>
      </c>
      <c r="G3" s="17">
        <v>2026</v>
      </c>
    </row>
    <row r="4" spans="2:7" ht="15" customHeight="1" x14ac:dyDescent="0.35">
      <c r="B4" s="38" t="s">
        <v>228</v>
      </c>
      <c r="C4" s="39"/>
      <c r="D4" s="39"/>
      <c r="E4" s="39"/>
      <c r="F4" s="39"/>
      <c r="G4" s="39"/>
    </row>
    <row r="5" spans="2:7" ht="15" customHeight="1" x14ac:dyDescent="0.35">
      <c r="B5" s="40" t="s">
        <v>103</v>
      </c>
      <c r="C5" s="41">
        <v>111736.51</v>
      </c>
      <c r="D5" s="41">
        <v>121107.58</v>
      </c>
      <c r="E5" s="41">
        <v>121375.83</v>
      </c>
      <c r="F5" s="41">
        <v>113878.49</v>
      </c>
      <c r="G5" s="41">
        <v>117132.72</v>
      </c>
    </row>
    <row r="6" spans="2:7" ht="15" customHeight="1" x14ac:dyDescent="0.35">
      <c r="B6" s="40" t="s">
        <v>104</v>
      </c>
      <c r="C6" s="41">
        <v>18700.419999999998</v>
      </c>
      <c r="D6" s="41">
        <v>16271.21</v>
      </c>
      <c r="E6" s="41">
        <v>13831.45</v>
      </c>
      <c r="F6" s="41">
        <v>18550.96</v>
      </c>
      <c r="G6" s="41">
        <v>14634.83</v>
      </c>
    </row>
    <row r="7" spans="2:7" ht="15" customHeight="1" x14ac:dyDescent="0.35">
      <c r="B7" s="40" t="s">
        <v>215</v>
      </c>
      <c r="C7" s="41">
        <v>450.92</v>
      </c>
      <c r="D7" s="41">
        <v>379.73</v>
      </c>
      <c r="E7" s="41">
        <v>492.94</v>
      </c>
      <c r="F7" s="41">
        <v>628.76</v>
      </c>
      <c r="G7" s="41">
        <v>698.58</v>
      </c>
    </row>
    <row r="8" spans="2:7" ht="15" customHeight="1" x14ac:dyDescent="0.35">
      <c r="B8" s="40" t="s">
        <v>216</v>
      </c>
      <c r="C8" s="41">
        <v>6139.5</v>
      </c>
      <c r="D8" s="41">
        <v>8573.7900000000009</v>
      </c>
      <c r="E8" s="41">
        <v>9209.4</v>
      </c>
      <c r="F8" s="41">
        <v>10911.09</v>
      </c>
      <c r="G8" s="41">
        <v>12793.44</v>
      </c>
    </row>
    <row r="9" spans="2:7" ht="15" customHeight="1" x14ac:dyDescent="0.35">
      <c r="B9" s="24" t="s">
        <v>229</v>
      </c>
      <c r="C9" s="32">
        <f>C5+C6+C7+C8</f>
        <v>137027.34999999998</v>
      </c>
      <c r="D9" s="32">
        <f>D5+D6+D7+D8</f>
        <v>146332.31000000003</v>
      </c>
      <c r="E9" s="32">
        <f>E5+E6+E7+E8</f>
        <v>144909.62</v>
      </c>
      <c r="F9" s="32">
        <f>F5+F6+F7+F8</f>
        <v>143969.30000000002</v>
      </c>
      <c r="G9" s="32">
        <f>G5+G6+G7+G8</f>
        <v>145259.56999999998</v>
      </c>
    </row>
    <row r="10" spans="2:7" ht="12.75" customHeight="1" x14ac:dyDescent="0.35">
      <c r="C10" s="13"/>
      <c r="D10" s="13"/>
      <c r="E10" s="13"/>
      <c r="F10" s="13"/>
      <c r="G10" s="13"/>
    </row>
    <row r="11" spans="2:7" ht="15" customHeight="1" x14ac:dyDescent="0.35">
      <c r="B11" s="38" t="s">
        <v>230</v>
      </c>
      <c r="C11" s="22"/>
      <c r="D11" s="22"/>
      <c r="E11" s="22"/>
      <c r="F11" s="22"/>
      <c r="G11" s="22"/>
    </row>
    <row r="12" spans="2:7" ht="15" customHeight="1" x14ac:dyDescent="0.35">
      <c r="B12" s="40" t="s">
        <v>84</v>
      </c>
      <c r="C12" s="41">
        <v>49045.91</v>
      </c>
      <c r="D12" s="41">
        <v>54734.1</v>
      </c>
      <c r="E12" s="41">
        <v>59454.1</v>
      </c>
      <c r="F12" s="41">
        <v>60534.94</v>
      </c>
      <c r="G12" s="41">
        <v>57368.69</v>
      </c>
    </row>
    <row r="13" spans="2:7" ht="15" customHeight="1" x14ac:dyDescent="0.35">
      <c r="B13" s="40" t="s">
        <v>85</v>
      </c>
      <c r="C13" s="41">
        <v>65754.64</v>
      </c>
      <c r="D13" s="41">
        <v>64966.07</v>
      </c>
      <c r="E13" s="41">
        <v>69660.899999999994</v>
      </c>
      <c r="F13" s="41">
        <v>69262.58</v>
      </c>
      <c r="G13" s="41">
        <v>75160.710000000006</v>
      </c>
    </row>
    <row r="14" spans="2:7" ht="15" customHeight="1" x14ac:dyDescent="0.35">
      <c r="B14" s="40" t="s">
        <v>86</v>
      </c>
      <c r="C14" s="41">
        <v>9748.59</v>
      </c>
      <c r="D14" s="41">
        <v>10156.280000000001</v>
      </c>
      <c r="E14" s="41">
        <v>10628.26</v>
      </c>
      <c r="F14" s="41">
        <v>10012.74</v>
      </c>
      <c r="G14" s="41">
        <v>10506.11</v>
      </c>
    </row>
    <row r="15" spans="2:7" ht="15" customHeight="1" x14ac:dyDescent="0.35">
      <c r="B15" s="24" t="s">
        <v>231</v>
      </c>
      <c r="C15" s="32">
        <f>C12+C13+C14</f>
        <v>124549.14</v>
      </c>
      <c r="D15" s="32">
        <f>D12+D13+D14</f>
        <v>129856.45</v>
      </c>
      <c r="E15" s="32">
        <f>E12+E13+E14</f>
        <v>139743.26</v>
      </c>
      <c r="F15" s="32">
        <f>F12+F13+F14</f>
        <v>139810.26</v>
      </c>
      <c r="G15" s="32">
        <f>G12+G13+G14</f>
        <v>143035.51</v>
      </c>
    </row>
    <row r="16" spans="2:7" ht="11.25" customHeight="1" x14ac:dyDescent="0.35">
      <c r="C16" s="13"/>
      <c r="D16" s="13"/>
      <c r="E16" s="13"/>
      <c r="F16" s="13"/>
      <c r="G16" s="13"/>
    </row>
    <row r="17" spans="2:7" ht="15.75" customHeight="1" x14ac:dyDescent="0.35">
      <c r="B17" s="33" t="s">
        <v>232</v>
      </c>
      <c r="C17" s="34">
        <f>C9-C15</f>
        <v>12478.209999999977</v>
      </c>
      <c r="D17" s="34">
        <f>D9-D15</f>
        <v>16475.86000000003</v>
      </c>
      <c r="E17" s="34">
        <f>E9-E15</f>
        <v>5166.359999999986</v>
      </c>
      <c r="F17" s="34">
        <f>F9-F15</f>
        <v>4159.0400000000081</v>
      </c>
      <c r="G17" s="34">
        <f>G9-G15</f>
        <v>2224.0599999999686</v>
      </c>
    </row>
    <row r="18" spans="2:7" ht="6" customHeight="1" x14ac:dyDescent="0.35">
      <c r="C18" s="13"/>
      <c r="D18" s="13"/>
      <c r="E18" s="13"/>
      <c r="F18" s="13"/>
      <c r="G18" s="13"/>
    </row>
    <row r="19" spans="2:7" ht="15" customHeight="1" x14ac:dyDescent="0.35">
      <c r="B19" s="24" t="s">
        <v>233</v>
      </c>
      <c r="C19" s="36"/>
      <c r="D19" s="32">
        <f>D17-C17</f>
        <v>3997.6500000000524</v>
      </c>
      <c r="E19" s="32">
        <f>E17-D17</f>
        <v>-11309.500000000044</v>
      </c>
      <c r="F19" s="32">
        <f>F17-E17</f>
        <v>-1007.3199999999779</v>
      </c>
      <c r="G19" s="32">
        <f>G17-F17</f>
        <v>-1934.9800000000396</v>
      </c>
    </row>
    <row r="20" spans="2:7" ht="15" customHeight="1" x14ac:dyDescent="0.35">
      <c r="B20" s="42" t="s">
        <v>234</v>
      </c>
      <c r="C20" s="22"/>
      <c r="D20" s="43">
        <f>D19/837764.89</f>
        <v>4.7718041752741061E-3</v>
      </c>
      <c r="E20" s="43">
        <f>E19/772067.59</f>
        <v>-1.4648328911203285E-2</v>
      </c>
      <c r="F20" s="43">
        <f>F19/753695.85</f>
        <v>-1.3365072926963548E-3</v>
      </c>
      <c r="G20" s="43">
        <f>G19/784415.43</f>
        <v>-2.4667796246690857E-3</v>
      </c>
    </row>
    <row r="21" spans="2:7" ht="15" customHeight="1" x14ac:dyDescent="0.35">
      <c r="B21" s="42" t="s">
        <v>235</v>
      </c>
      <c r="C21" s="22"/>
      <c r="D21" s="270">
        <f>MEDIAN(D20:G20)</f>
        <v>-1.9016434586827202E-3</v>
      </c>
      <c r="E21" s="270"/>
      <c r="F21" s="270"/>
      <c r="G21" s="270"/>
    </row>
    <row r="22" spans="2:7" ht="15" customHeight="1" x14ac:dyDescent="0.35">
      <c r="B22" s="42" t="s">
        <v>236</v>
      </c>
      <c r="C22" s="22"/>
      <c r="D22" s="270">
        <f>AVERAGE(D20:G20)</f>
        <v>-3.419952913323655E-3</v>
      </c>
      <c r="E22" s="270"/>
      <c r="F22" s="270"/>
      <c r="G22" s="270"/>
    </row>
    <row r="23" spans="2:7" ht="12" customHeight="1" x14ac:dyDescent="0.35">
      <c r="C23" s="13"/>
      <c r="D23" s="13"/>
      <c r="E23" s="13"/>
      <c r="F23" s="13"/>
      <c r="G23" s="13"/>
    </row>
    <row r="24" spans="2:7" ht="15" customHeight="1" x14ac:dyDescent="0.35">
      <c r="B24" s="38" t="s">
        <v>237</v>
      </c>
      <c r="C24" s="22"/>
      <c r="D24" s="22"/>
      <c r="E24" s="22"/>
      <c r="F24" s="22"/>
      <c r="G24" s="22"/>
    </row>
    <row r="25" spans="2:7" ht="15" customHeight="1" x14ac:dyDescent="0.35">
      <c r="B25" s="40" t="s">
        <v>238</v>
      </c>
      <c r="C25" s="44">
        <f>C5/585484.22*365</f>
        <v>69.658284129331435</v>
      </c>
      <c r="D25" s="44">
        <f>D5/837764.89*365</f>
        <v>52.764525259586847</v>
      </c>
      <c r="E25" s="44">
        <f>E5/772067.59*365</f>
        <v>57.381217038264751</v>
      </c>
      <c r="F25" s="44">
        <f>F5/753695.85*365</f>
        <v>55.149101391496323</v>
      </c>
      <c r="G25" s="44">
        <f>G5/784415.43*365</f>
        <v>54.503571914693211</v>
      </c>
    </row>
    <row r="26" spans="2:7" ht="15" customHeight="1" x14ac:dyDescent="0.35">
      <c r="B26" s="40" t="s">
        <v>239</v>
      </c>
      <c r="C26" s="44">
        <f>C6/585484.22*365</f>
        <v>11.658133672671827</v>
      </c>
      <c r="D26" s="44">
        <f>D6/837764.89*365</f>
        <v>7.0890911291352872</v>
      </c>
      <c r="E26" s="44">
        <f>E6/772067.59*365</f>
        <v>6.5389084004937965</v>
      </c>
      <c r="F26" s="44">
        <f>F6/753695.85*365</f>
        <v>8.9838631856603701</v>
      </c>
      <c r="G26" s="44">
        <f>G6/784415.43*365</f>
        <v>6.8098009622273752</v>
      </c>
    </row>
    <row r="27" spans="2:7" ht="15" customHeight="1" x14ac:dyDescent="0.35">
      <c r="B27" s="40" t="s">
        <v>240</v>
      </c>
      <c r="C27" s="44">
        <f>C12/585484.22*365</f>
        <v>30.575985719990889</v>
      </c>
      <c r="D27" s="44">
        <f>D12/837764.89*365</f>
        <v>23.846722079747217</v>
      </c>
      <c r="E27" s="44">
        <f>E12/772067.59*365</f>
        <v>28.107314412718711</v>
      </c>
      <c r="F27" s="44">
        <f>F12/753695.85*365</f>
        <v>29.315874699323345</v>
      </c>
      <c r="G27" s="44">
        <f>G12/784415.43*365</f>
        <v>26.694492547144311</v>
      </c>
    </row>
    <row r="28" spans="2:7" ht="15" customHeight="1" x14ac:dyDescent="0.35">
      <c r="B28" s="33" t="s">
        <v>241</v>
      </c>
      <c r="C28" s="45">
        <f>C25+C26-C27</f>
        <v>50.740432082012369</v>
      </c>
      <c r="D28" s="45">
        <f>D25+D26-D27</f>
        <v>36.006894308974914</v>
      </c>
      <c r="E28" s="45">
        <f>E25+E26-E27</f>
        <v>35.812811026039839</v>
      </c>
      <c r="F28" s="45">
        <f>F25+F26-F27</f>
        <v>34.817089877833354</v>
      </c>
      <c r="G28" s="45">
        <f>G25+G26-G27</f>
        <v>34.618880329776275</v>
      </c>
    </row>
    <row r="29" spans="2:7" ht="6" customHeight="1" x14ac:dyDescent="0.35"/>
    <row r="30" spans="2:7" ht="12.75" customHeight="1" x14ac:dyDescent="0.35">
      <c r="B30" s="268"/>
      <c r="C30" s="268"/>
      <c r="D30" s="268"/>
      <c r="E30" s="268"/>
      <c r="F30" s="268"/>
      <c r="G30" s="268"/>
    </row>
  </sheetData>
  <mergeCells count="4">
    <mergeCell ref="C2:G2"/>
    <mergeCell ref="D21:G21"/>
    <mergeCell ref="D22:G22"/>
    <mergeCell ref="B30:G30"/>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23"/>
  <sheetViews>
    <sheetView showGridLines="0" zoomScale="85" zoomScaleNormal="85" workbookViewId="0">
      <selection activeCell="H12" sqref="H12"/>
    </sheetView>
  </sheetViews>
  <sheetFormatPr defaultColWidth="8.6328125" defaultRowHeight="14.5" x14ac:dyDescent="0.35"/>
  <cols>
    <col min="1" max="1" width="3" customWidth="1"/>
    <col min="2" max="2" width="42" style="13" customWidth="1"/>
    <col min="3" max="7" width="17" customWidth="1"/>
  </cols>
  <sheetData>
    <row r="1" spans="2:7" ht="24" customHeight="1" x14ac:dyDescent="0.35">
      <c r="B1" s="37" t="s">
        <v>242</v>
      </c>
      <c r="C1" s="46"/>
      <c r="D1" s="46"/>
      <c r="E1" s="46"/>
      <c r="F1" s="46"/>
      <c r="G1" s="46"/>
    </row>
    <row r="2" spans="2:7" ht="15.75" customHeight="1" x14ac:dyDescent="0.35">
      <c r="B2" s="16" t="s">
        <v>243</v>
      </c>
      <c r="C2" s="269" t="s">
        <v>179</v>
      </c>
      <c r="D2" s="269"/>
      <c r="E2" s="269"/>
      <c r="F2" s="269"/>
      <c r="G2" s="269"/>
    </row>
    <row r="3" spans="2:7" ht="18" customHeight="1" x14ac:dyDescent="0.35">
      <c r="B3" s="17" t="s">
        <v>227</v>
      </c>
      <c r="C3" s="17">
        <v>2022</v>
      </c>
      <c r="D3" s="17">
        <v>2023</v>
      </c>
      <c r="E3" s="17">
        <v>2024</v>
      </c>
      <c r="F3" s="17">
        <v>2025</v>
      </c>
      <c r="G3" s="17">
        <v>2026</v>
      </c>
    </row>
    <row r="4" spans="2:7" ht="15" customHeight="1" x14ac:dyDescent="0.35">
      <c r="B4" s="40" t="s">
        <v>244</v>
      </c>
      <c r="C4" s="39"/>
      <c r="D4" s="47">
        <v>207982.58</v>
      </c>
      <c r="E4" s="47">
        <v>231180</v>
      </c>
      <c r="F4" s="47">
        <v>257029.17</v>
      </c>
      <c r="G4" s="47">
        <v>279062.40999999997</v>
      </c>
    </row>
    <row r="5" spans="2:7" ht="15" customHeight="1" x14ac:dyDescent="0.35">
      <c r="B5" s="40" t="s">
        <v>245</v>
      </c>
      <c r="C5" s="39"/>
      <c r="D5" s="47">
        <v>36378.47</v>
      </c>
      <c r="E5" s="47">
        <v>41715.279999999999</v>
      </c>
      <c r="F5" s="47">
        <v>38810.58</v>
      </c>
      <c r="G5" s="47">
        <v>33975.519999999997</v>
      </c>
    </row>
    <row r="6" spans="2:7" ht="15" customHeight="1" x14ac:dyDescent="0.35">
      <c r="B6" s="38" t="s">
        <v>246</v>
      </c>
      <c r="C6" s="48">
        <v>220330.16</v>
      </c>
      <c r="D6" s="48">
        <f>D4+D5</f>
        <v>244361.05</v>
      </c>
      <c r="E6" s="48">
        <f>E4+E5</f>
        <v>272895.28000000003</v>
      </c>
      <c r="F6" s="48">
        <f>F4+F5</f>
        <v>295839.75</v>
      </c>
      <c r="G6" s="48">
        <f>G4+G5</f>
        <v>313037.93</v>
      </c>
    </row>
    <row r="7" spans="2:7" ht="15" customHeight="1" x14ac:dyDescent="0.35">
      <c r="B7" s="19" t="s">
        <v>247</v>
      </c>
      <c r="C7" s="49">
        <v>12347.58</v>
      </c>
      <c r="D7" s="49">
        <v>13181.05</v>
      </c>
      <c r="E7" s="49">
        <v>15866.11</v>
      </c>
      <c r="F7" s="49">
        <v>16777.34</v>
      </c>
      <c r="G7" s="49">
        <v>18420.240000000002</v>
      </c>
    </row>
    <row r="8" spans="2:7" ht="15.75" customHeight="1" x14ac:dyDescent="0.35">
      <c r="B8" s="33" t="s">
        <v>248</v>
      </c>
      <c r="C8" s="50">
        <f>C6-C7</f>
        <v>207982.58000000002</v>
      </c>
      <c r="D8" s="50">
        <f>D6-D7</f>
        <v>231180</v>
      </c>
      <c r="E8" s="50">
        <f>E6-E7</f>
        <v>257029.17000000004</v>
      </c>
      <c r="F8" s="50">
        <f>F6-F7</f>
        <v>279062.40999999997</v>
      </c>
      <c r="G8" s="50">
        <f>G6-G7</f>
        <v>294617.69</v>
      </c>
    </row>
    <row r="9" spans="2:7" ht="21" customHeight="1" x14ac:dyDescent="0.35"/>
    <row r="10" spans="2:7" ht="15" customHeight="1" x14ac:dyDescent="0.35">
      <c r="B10" s="40" t="s">
        <v>249</v>
      </c>
      <c r="C10" s="39"/>
      <c r="D10" s="47">
        <f>D8-D4</f>
        <v>23197.420000000013</v>
      </c>
      <c r="E10" s="47">
        <f>E8-E4</f>
        <v>25849.170000000042</v>
      </c>
      <c r="F10" s="47">
        <f>F8-F4</f>
        <v>22033.239999999962</v>
      </c>
      <c r="G10" s="47">
        <f>G8-G4</f>
        <v>15555.280000000028</v>
      </c>
    </row>
    <row r="11" spans="2:7" ht="15" customHeight="1" x14ac:dyDescent="0.35">
      <c r="B11" s="51" t="s">
        <v>250</v>
      </c>
      <c r="C11" s="39"/>
      <c r="D11" s="52">
        <f>D10/837764.89</f>
        <v>2.7689654074665282E-2</v>
      </c>
      <c r="E11" s="52">
        <f>E10/772067.59</f>
        <v>3.348044955494122E-2</v>
      </c>
      <c r="F11" s="52">
        <f>F10/753695.85</f>
        <v>2.9233596018871488E-2</v>
      </c>
      <c r="G11" s="52">
        <f>G10/784415.43</f>
        <v>1.9830410526218267E-2</v>
      </c>
    </row>
    <row r="12" spans="2:7" ht="15" customHeight="1" x14ac:dyDescent="0.35">
      <c r="B12" s="42" t="s">
        <v>251</v>
      </c>
      <c r="C12" s="39"/>
      <c r="D12" s="271">
        <f>MEDIAN(D11:G11)</f>
        <v>2.8461625046768385E-2</v>
      </c>
      <c r="E12" s="271"/>
      <c r="F12" s="271"/>
      <c r="G12" s="271"/>
    </row>
    <row r="13" spans="2:7" ht="15" customHeight="1" x14ac:dyDescent="0.35">
      <c r="B13" s="42" t="s">
        <v>252</v>
      </c>
      <c r="C13" s="39"/>
      <c r="D13" s="271">
        <f>AVERAGE(D11:G11)</f>
        <v>2.7558527543674067E-2</v>
      </c>
      <c r="E13" s="271"/>
      <c r="F13" s="271"/>
      <c r="G13" s="271"/>
    </row>
    <row r="14" spans="2:7" ht="15" customHeight="1" x14ac:dyDescent="0.35"/>
    <row r="15" spans="2:7" ht="15" customHeight="1" x14ac:dyDescent="0.35">
      <c r="B15" s="51" t="s">
        <v>253</v>
      </c>
      <c r="C15" s="39"/>
      <c r="D15" s="52">
        <f>D5/837764.89</f>
        <v>4.3423244915408186E-2</v>
      </c>
      <c r="E15" s="52">
        <f>E5/772067.59</f>
        <v>5.4030606309999361E-2</v>
      </c>
      <c r="F15" s="52">
        <f>F5/753695.85</f>
        <v>5.1493689397387556E-2</v>
      </c>
      <c r="G15" s="52">
        <f>G5/784415.43</f>
        <v>4.3313171440291523E-2</v>
      </c>
    </row>
    <row r="16" spans="2:7" ht="15" customHeight="1" x14ac:dyDescent="0.35">
      <c r="B16" s="42" t="s">
        <v>254</v>
      </c>
      <c r="C16" s="39"/>
      <c r="D16" s="271">
        <f>MEDIAN(D15:G15)</f>
        <v>4.7458467156397871E-2</v>
      </c>
      <c r="E16" s="271"/>
      <c r="F16" s="271"/>
      <c r="G16" s="271"/>
    </row>
    <row r="17" spans="2:7" ht="15" customHeight="1" x14ac:dyDescent="0.35">
      <c r="B17" s="42" t="s">
        <v>255</v>
      </c>
      <c r="C17" s="39"/>
      <c r="D17" s="271">
        <f>AVERAGE(D15:G15)</f>
        <v>4.8065178015771662E-2</v>
      </c>
      <c r="E17" s="271"/>
      <c r="F17" s="271"/>
      <c r="G17" s="271"/>
    </row>
    <row r="18" spans="2:7" ht="18" customHeight="1" x14ac:dyDescent="0.35"/>
    <row r="19" spans="2:7" ht="15" customHeight="1" x14ac:dyDescent="0.35">
      <c r="B19" s="51" t="s">
        <v>195</v>
      </c>
      <c r="C19" s="52">
        <f>C7/585484.22</f>
        <v>2.1089518006138577E-2</v>
      </c>
      <c r="D19" s="52">
        <f>D7/837764.89</f>
        <v>1.5733590840742918E-2</v>
      </c>
      <c r="E19" s="52">
        <f>E7/772067.59</f>
        <v>2.0550156755058197E-2</v>
      </c>
      <c r="F19" s="52">
        <f>F7/753695.85</f>
        <v>2.2260093378516015E-2</v>
      </c>
      <c r="G19" s="52">
        <f>G7/784415.43</f>
        <v>2.3482760914073298E-2</v>
      </c>
    </row>
    <row r="20" spans="2:7" ht="15" customHeight="1" x14ac:dyDescent="0.35">
      <c r="B20" s="42" t="s">
        <v>256</v>
      </c>
      <c r="C20" s="271">
        <f>MEDIAN(C19:G19)</f>
        <v>2.1089518006138577E-2</v>
      </c>
      <c r="D20" s="271"/>
      <c r="E20" s="271"/>
      <c r="F20" s="271"/>
      <c r="G20" s="271"/>
    </row>
    <row r="21" spans="2:7" ht="15" customHeight="1" x14ac:dyDescent="0.35">
      <c r="B21" s="42" t="s">
        <v>257</v>
      </c>
      <c r="C21" s="272">
        <f>AVERAGE(C19:G19)</f>
        <v>2.06232239789058E-2</v>
      </c>
      <c r="D21" s="272"/>
      <c r="E21" s="272"/>
      <c r="F21" s="272"/>
      <c r="G21" s="272"/>
    </row>
    <row r="22" spans="2:7" ht="6" customHeight="1" x14ac:dyDescent="0.35"/>
    <row r="23" spans="2:7" ht="12.75" customHeight="1" x14ac:dyDescent="0.35">
      <c r="B23" s="268"/>
      <c r="C23" s="268"/>
      <c r="D23" s="268"/>
      <c r="E23" s="268"/>
      <c r="F23" s="268"/>
      <c r="G23" s="268"/>
    </row>
  </sheetData>
  <mergeCells count="8">
    <mergeCell ref="C20:G20"/>
    <mergeCell ref="C21:G21"/>
    <mergeCell ref="B23:G23"/>
    <mergeCell ref="C2:G2"/>
    <mergeCell ref="D12:G12"/>
    <mergeCell ref="D13:G13"/>
    <mergeCell ref="D16:G16"/>
    <mergeCell ref="D17:G17"/>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27"/>
  <sheetViews>
    <sheetView showGridLines="0" zoomScale="67" zoomScaleNormal="67" workbookViewId="0">
      <selection activeCell="K17" sqref="K17"/>
    </sheetView>
  </sheetViews>
  <sheetFormatPr defaultColWidth="8.6328125" defaultRowHeight="14.5" x14ac:dyDescent="0.35"/>
  <cols>
    <col min="1" max="1" width="3" customWidth="1"/>
    <col min="2" max="2" width="46" customWidth="1"/>
    <col min="3" max="7" width="17" customWidth="1"/>
    <col min="8" max="8" width="3" customWidth="1"/>
  </cols>
  <sheetData>
    <row r="1" spans="2:7" ht="24" customHeight="1" x14ac:dyDescent="0.35">
      <c r="B1" s="53" t="s">
        <v>258</v>
      </c>
      <c r="C1" s="46"/>
      <c r="D1" s="46"/>
      <c r="E1" s="46"/>
      <c r="F1" s="46"/>
      <c r="G1" s="46"/>
    </row>
    <row r="2" spans="2:7" ht="15.75" customHeight="1" x14ac:dyDescent="0.35">
      <c r="B2" s="54" t="s">
        <v>259</v>
      </c>
      <c r="C2" s="273" t="s">
        <v>179</v>
      </c>
      <c r="D2" s="273"/>
      <c r="E2" s="273"/>
      <c r="F2" s="273"/>
      <c r="G2" s="273"/>
    </row>
    <row r="3" spans="2:7" ht="18" customHeight="1" x14ac:dyDescent="0.35">
      <c r="B3" s="17" t="s">
        <v>227</v>
      </c>
      <c r="C3" s="17">
        <v>2022</v>
      </c>
      <c r="D3" s="17">
        <v>2023</v>
      </c>
      <c r="E3" s="17">
        <v>2024</v>
      </c>
      <c r="F3" s="17">
        <v>2025</v>
      </c>
      <c r="G3" s="17">
        <v>2026</v>
      </c>
    </row>
    <row r="4" spans="2:7" ht="15" customHeight="1" x14ac:dyDescent="0.35">
      <c r="B4" s="55" t="s">
        <v>196</v>
      </c>
      <c r="C4" s="48">
        <f>'Historical FS'!C31</f>
        <v>185097.33999999994</v>
      </c>
      <c r="D4" s="48">
        <f>'Historical FS'!D31</f>
        <v>124998.72999999997</v>
      </c>
      <c r="E4" s="48">
        <f>'Historical FS'!E31</f>
        <v>164169.28999999998</v>
      </c>
      <c r="F4" s="48">
        <f>'Historical FS'!F31</f>
        <v>117678.09</v>
      </c>
      <c r="G4" s="48">
        <f>'Historical FS'!G31</f>
        <v>178805.38000000003</v>
      </c>
    </row>
    <row r="5" spans="2:7" ht="15" customHeight="1" x14ac:dyDescent="0.35">
      <c r="B5" s="56" t="s">
        <v>201</v>
      </c>
      <c r="C5" s="57">
        <f>'Historical FS'!C41</f>
        <v>0.25903864876655902</v>
      </c>
      <c r="D5" s="57">
        <f>'Historical FS'!D41</f>
        <v>0.23515431554442523</v>
      </c>
      <c r="E5" s="57">
        <f>'Historical FS'!E41</f>
        <v>0.25342964874153823</v>
      </c>
      <c r="F5" s="57">
        <f>'Historical FS'!F41</f>
        <v>0.21398521337618326</v>
      </c>
      <c r="G5" s="57">
        <f>'Historical FS'!G41</f>
        <v>0.2531310256141126</v>
      </c>
    </row>
    <row r="6" spans="2:7" ht="15" customHeight="1" x14ac:dyDescent="0.35">
      <c r="B6" s="58" t="s">
        <v>260</v>
      </c>
      <c r="C6" s="47">
        <f>C4*C5</f>
        <v>47947.364843884337</v>
      </c>
      <c r="D6" s="47">
        <f>D4*D5</f>
        <v>29393.990797072405</v>
      </c>
      <c r="E6" s="47">
        <f>E4*E5</f>
        <v>41605.365498847721</v>
      </c>
      <c r="F6" s="47">
        <f>F4*F5</f>
        <v>25181.371198351695</v>
      </c>
      <c r="G6" s="47">
        <f>G4*G5</f>
        <v>45261.189224721144</v>
      </c>
    </row>
    <row r="7" spans="2:7" ht="18" customHeight="1" x14ac:dyDescent="0.35"/>
    <row r="8" spans="2:7" ht="15.75" customHeight="1" x14ac:dyDescent="0.35">
      <c r="B8" s="59" t="s">
        <v>261</v>
      </c>
      <c r="C8" s="60">
        <f>C4-C6</f>
        <v>137149.9751561156</v>
      </c>
      <c r="D8" s="60">
        <f>D4-D6</f>
        <v>95604.739202927565</v>
      </c>
      <c r="E8" s="60">
        <f>E4-E6</f>
        <v>122563.92450115226</v>
      </c>
      <c r="F8" s="60">
        <f>F4-F6</f>
        <v>92496.718801648298</v>
      </c>
      <c r="G8" s="60">
        <f>G4-G6</f>
        <v>133544.1907752789</v>
      </c>
    </row>
    <row r="9" spans="2:7" ht="6" customHeight="1" x14ac:dyDescent="0.35"/>
    <row r="10" spans="2:7" ht="15" customHeight="1" x14ac:dyDescent="0.35">
      <c r="B10" s="55" t="s">
        <v>262</v>
      </c>
      <c r="C10" s="39"/>
      <c r="D10" s="39"/>
      <c r="E10" s="39"/>
      <c r="F10" s="39"/>
      <c r="G10" s="39"/>
    </row>
    <row r="11" spans="2:7" ht="15" customHeight="1" x14ac:dyDescent="0.35">
      <c r="B11" s="58" t="s">
        <v>263</v>
      </c>
      <c r="C11" s="39"/>
      <c r="D11" s="47">
        <f>'Fixed Assets Schedule'!D10</f>
        <v>23197.420000000013</v>
      </c>
      <c r="E11" s="47">
        <f>'Fixed Assets Schedule'!E10</f>
        <v>25849.170000000042</v>
      </c>
      <c r="F11" s="47">
        <f>'Fixed Assets Schedule'!F10</f>
        <v>22033.239999999962</v>
      </c>
      <c r="G11" s="47">
        <f>'Fixed Assets Schedule'!G10</f>
        <v>15555.280000000028</v>
      </c>
    </row>
    <row r="12" spans="2:7" ht="15" customHeight="1" x14ac:dyDescent="0.35">
      <c r="B12" s="58" t="s">
        <v>264</v>
      </c>
      <c r="C12" s="39"/>
      <c r="D12" s="47">
        <f>'Working Capital Changes'!D19</f>
        <v>3997.6500000000524</v>
      </c>
      <c r="E12" s="47">
        <f>'Working Capital Changes'!E19</f>
        <v>-11309.500000000044</v>
      </c>
      <c r="F12" s="47">
        <f>'Working Capital Changes'!F19</f>
        <v>-1007.3199999999779</v>
      </c>
      <c r="G12" s="47">
        <f>'Working Capital Changes'!G19</f>
        <v>-1934.9800000000396</v>
      </c>
    </row>
    <row r="13" spans="2:7" ht="15" customHeight="1" x14ac:dyDescent="0.35">
      <c r="B13" s="55" t="s">
        <v>265</v>
      </c>
      <c r="C13" s="39"/>
      <c r="D13" s="48">
        <f>D11+D12</f>
        <v>27195.070000000065</v>
      </c>
      <c r="E13" s="48">
        <f>E11+E12</f>
        <v>14539.669999999998</v>
      </c>
      <c r="F13" s="48">
        <f>F11+F12</f>
        <v>21025.919999999984</v>
      </c>
      <c r="G13" s="48">
        <f>G11+G12</f>
        <v>13620.299999999988</v>
      </c>
    </row>
    <row r="14" spans="2:7" ht="18" customHeight="1" x14ac:dyDescent="0.35"/>
    <row r="15" spans="2:7" ht="18" customHeight="1" x14ac:dyDescent="0.35">
      <c r="B15" s="61" t="s">
        <v>266</v>
      </c>
      <c r="C15" s="62">
        <f>C8</f>
        <v>137149.9751561156</v>
      </c>
      <c r="D15" s="62">
        <f>D8-D13</f>
        <v>68409.6692029275</v>
      </c>
      <c r="E15" s="62">
        <f>E8-E13</f>
        <v>108024.25450115226</v>
      </c>
      <c r="F15" s="62">
        <f>F8-F13</f>
        <v>71470.798801648314</v>
      </c>
      <c r="G15" s="62">
        <f>G8-G13</f>
        <v>119923.89077527891</v>
      </c>
    </row>
    <row r="16" spans="2:7" ht="6" customHeight="1" x14ac:dyDescent="0.35"/>
    <row r="17" spans="2:7" ht="15" customHeight="1" x14ac:dyDescent="0.35">
      <c r="B17" s="63" t="s">
        <v>267</v>
      </c>
      <c r="C17" s="39"/>
      <c r="D17" s="39"/>
      <c r="E17" s="39"/>
      <c r="F17" s="39"/>
      <c r="G17" s="39"/>
    </row>
    <row r="18" spans="2:7" ht="15" customHeight="1" x14ac:dyDescent="0.35">
      <c r="B18" s="64" t="s">
        <v>268</v>
      </c>
      <c r="C18" s="39"/>
      <c r="D18" s="52">
        <f>IF(D8&lt;&gt;0,D13/D8,0)</f>
        <v>0.28445315814602745</v>
      </c>
      <c r="E18" s="52">
        <f>IF(E8&lt;&gt;0,E13/E8,0)</f>
        <v>0.11862927904094085</v>
      </c>
      <c r="F18" s="52">
        <f>IF(F8&lt;&gt;0,F13/F8,0)</f>
        <v>0.22731530666604902</v>
      </c>
      <c r="G18" s="52">
        <f>IF(G8&lt;&gt;0,G13/G8,0)</f>
        <v>0.10199095835564655</v>
      </c>
    </row>
    <row r="19" spans="2:7" ht="15" customHeight="1" x14ac:dyDescent="0.35">
      <c r="B19" s="56" t="s">
        <v>269</v>
      </c>
      <c r="C19" s="39"/>
      <c r="D19" s="274">
        <f>MEDIAN(D18:G18)</f>
        <v>0.17297229285349494</v>
      </c>
      <c r="E19" s="274"/>
      <c r="F19" s="274"/>
      <c r="G19" s="274"/>
    </row>
    <row r="20" spans="2:7" ht="15" customHeight="1" x14ac:dyDescent="0.35">
      <c r="B20" s="56" t="s">
        <v>270</v>
      </c>
      <c r="C20" s="39"/>
      <c r="D20" s="274">
        <f>AVERAGE(D18:G18)</f>
        <v>0.18309717555216595</v>
      </c>
      <c r="E20" s="274"/>
      <c r="F20" s="274"/>
      <c r="G20" s="274"/>
    </row>
    <row r="21" spans="2:7" ht="16.5" customHeight="1" x14ac:dyDescent="0.35"/>
    <row r="22" spans="2:7" ht="15" customHeight="1" x14ac:dyDescent="0.35">
      <c r="B22" s="64" t="s">
        <v>271</v>
      </c>
      <c r="C22" s="52">
        <f>C15/('Historical FS'!C5)</f>
        <v>0.2342505066252949</v>
      </c>
      <c r="D22" s="52">
        <f>D15/('Historical FS'!D5)</f>
        <v>8.1657359981900768E-2</v>
      </c>
      <c r="E22" s="52">
        <f>E15/('Historical FS'!E5)</f>
        <v>0.13991554094525877</v>
      </c>
      <c r="F22" s="52">
        <f>F15/('Historical FS'!F5)</f>
        <v>9.4827109372631307E-2</v>
      </c>
      <c r="G22" s="52">
        <f>G15/('Historical FS'!G5)</f>
        <v>0.15288313588538016</v>
      </c>
    </row>
    <row r="23" spans="2:7" ht="15" customHeight="1" x14ac:dyDescent="0.35">
      <c r="B23" s="56" t="s">
        <v>272</v>
      </c>
      <c r="C23" s="52">
        <f>C8/('Historical FS'!C5)</f>
        <v>0.2342505066252949</v>
      </c>
      <c r="D23" s="52">
        <f>D8/('Historical FS'!D5)</f>
        <v>0.11411881823184016</v>
      </c>
      <c r="E23" s="52">
        <f>E8/('Historical FS'!E5)</f>
        <v>0.15874766158899672</v>
      </c>
      <c r="F23" s="52">
        <f>F8/('Historical FS'!F5)</f>
        <v>0.12272419809880644</v>
      </c>
      <c r="G23" s="52">
        <f>G8/('Historical FS'!G5)</f>
        <v>0.17024676678692932</v>
      </c>
    </row>
    <row r="24" spans="2:7" ht="6" customHeight="1" x14ac:dyDescent="0.35"/>
    <row r="25" spans="2:7" ht="15" customHeight="1" x14ac:dyDescent="0.35">
      <c r="B25" s="64" t="s">
        <v>273</v>
      </c>
      <c r="C25" s="39"/>
      <c r="D25" s="39"/>
      <c r="E25" s="52">
        <f>IF(D15&lt;&gt;0,(E15-D15)/D15,0)</f>
        <v>0.57907874368919632</v>
      </c>
      <c r="F25" s="52">
        <f>IF(E15&lt;&gt;0,(F15-E15)/E15,0)</f>
        <v>-0.33838192976480147</v>
      </c>
      <c r="G25" s="52">
        <f>IF(F15&lt;&gt;0,(G15-F15)/F15,0)</f>
        <v>0.67794249939897322</v>
      </c>
    </row>
    <row r="26" spans="2:7" ht="6" customHeight="1" x14ac:dyDescent="0.35"/>
    <row r="27" spans="2:7" ht="12.75" customHeight="1" x14ac:dyDescent="0.35">
      <c r="B27" s="268"/>
      <c r="C27" s="268"/>
      <c r="D27" s="268"/>
      <c r="E27" s="268"/>
      <c r="F27" s="268"/>
      <c r="G27" s="268"/>
    </row>
  </sheetData>
  <mergeCells count="4">
    <mergeCell ref="C2:G2"/>
    <mergeCell ref="D19:G19"/>
    <mergeCell ref="D20:G20"/>
    <mergeCell ref="B27:G27"/>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40"/>
  <sheetViews>
    <sheetView showGridLines="0" zoomScale="69" zoomScaleNormal="69" workbookViewId="0">
      <selection activeCell="C8" sqref="C8"/>
    </sheetView>
  </sheetViews>
  <sheetFormatPr defaultColWidth="8.6328125" defaultRowHeight="14.5" x14ac:dyDescent="0.35"/>
  <cols>
    <col min="1" max="1" width="2" customWidth="1"/>
    <col min="2" max="2" width="38" customWidth="1"/>
    <col min="3" max="3" width="22" customWidth="1"/>
    <col min="4" max="4" width="20" customWidth="1"/>
  </cols>
  <sheetData>
    <row r="1" spans="2:3" ht="17.25" customHeight="1" x14ac:dyDescent="0.4">
      <c r="B1" s="275" t="s">
        <v>274</v>
      </c>
      <c r="C1" s="275"/>
    </row>
    <row r="2" spans="2:3" ht="15" customHeight="1" x14ac:dyDescent="0.35">
      <c r="B2" s="65" t="s">
        <v>275</v>
      </c>
      <c r="C2" s="39"/>
    </row>
    <row r="3" spans="2:3" ht="15" customHeight="1" x14ac:dyDescent="0.35">
      <c r="B3" s="65" t="s">
        <v>276</v>
      </c>
      <c r="C3" s="66" t="s">
        <v>277</v>
      </c>
    </row>
    <row r="4" spans="2:3" x14ac:dyDescent="0.35">
      <c r="B4" s="67"/>
      <c r="C4" s="68"/>
    </row>
    <row r="5" spans="2:3" ht="15" customHeight="1" x14ac:dyDescent="0.35">
      <c r="B5" s="69" t="s">
        <v>278</v>
      </c>
      <c r="C5" s="68"/>
    </row>
    <row r="6" spans="2:3" ht="15" customHeight="1" x14ac:dyDescent="0.35">
      <c r="B6" s="65" t="s">
        <v>279</v>
      </c>
      <c r="C6" s="70">
        <v>6.8500000000000005E-2</v>
      </c>
    </row>
    <row r="7" spans="2:3" ht="15" customHeight="1" x14ac:dyDescent="0.35">
      <c r="B7" s="71" t="s">
        <v>280</v>
      </c>
      <c r="C7" s="70">
        <v>1.8700000000000001E-2</v>
      </c>
    </row>
    <row r="8" spans="2:3" ht="15" customHeight="1" x14ac:dyDescent="0.35">
      <c r="B8" s="65" t="s">
        <v>281</v>
      </c>
      <c r="C8" s="72">
        <f>SLOPE(Beta!D2:D1101,Beta!C2:C1101)</f>
        <v>1.0089970904090304</v>
      </c>
    </row>
    <row r="9" spans="2:3" ht="15" customHeight="1" x14ac:dyDescent="0.35">
      <c r="B9" s="65" t="s">
        <v>282</v>
      </c>
      <c r="C9" s="70">
        <v>7.4999999999999997E-2</v>
      </c>
    </row>
    <row r="10" spans="2:3" ht="15" customHeight="1" x14ac:dyDescent="0.35">
      <c r="B10" s="65" t="s">
        <v>283</v>
      </c>
      <c r="C10" s="70">
        <f>C6+C8*C9</f>
        <v>0.14417478178067727</v>
      </c>
    </row>
    <row r="11" spans="2:3" x14ac:dyDescent="0.35">
      <c r="B11" s="67"/>
      <c r="C11" s="68"/>
    </row>
    <row r="12" spans="2:3" ht="15" customHeight="1" x14ac:dyDescent="0.35">
      <c r="B12" s="69" t="s">
        <v>284</v>
      </c>
      <c r="C12" s="68"/>
    </row>
    <row r="13" spans="2:3" ht="15" customHeight="1" x14ac:dyDescent="0.35">
      <c r="B13" s="65" t="s">
        <v>285</v>
      </c>
      <c r="C13" s="73">
        <f>'Profit &amp; Loss'!C20</f>
        <v>8307.8799999999992</v>
      </c>
    </row>
    <row r="14" spans="2:3" ht="15" customHeight="1" x14ac:dyDescent="0.35">
      <c r="B14" s="65" t="s">
        <v>286</v>
      </c>
      <c r="C14" s="73">
        <f>'Balance Sheet'!C16</f>
        <v>63652.1</v>
      </c>
    </row>
    <row r="15" spans="2:3" ht="15" customHeight="1" x14ac:dyDescent="0.35">
      <c r="B15" s="65" t="s">
        <v>287</v>
      </c>
      <c r="C15" s="73">
        <f>'Balance Sheet'!C22</f>
        <v>68170.289999999994</v>
      </c>
    </row>
    <row r="16" spans="2:3" ht="15" customHeight="1" x14ac:dyDescent="0.35">
      <c r="B16" s="65" t="s">
        <v>288</v>
      </c>
      <c r="C16" s="73">
        <f>C14+C15</f>
        <v>131822.38999999998</v>
      </c>
    </row>
    <row r="17" spans="2:3" ht="15" customHeight="1" x14ac:dyDescent="0.35">
      <c r="B17" s="65" t="s">
        <v>289</v>
      </c>
      <c r="C17" s="70">
        <f>C13/C16</f>
        <v>6.3023284587694101E-2</v>
      </c>
    </row>
    <row r="18" spans="2:3" ht="15" customHeight="1" x14ac:dyDescent="0.35">
      <c r="B18" s="65" t="s">
        <v>290</v>
      </c>
      <c r="C18" s="70">
        <v>0.25</v>
      </c>
    </row>
    <row r="19" spans="2:3" ht="15" customHeight="1" x14ac:dyDescent="0.35">
      <c r="B19" s="65" t="s">
        <v>291</v>
      </c>
      <c r="C19" s="70">
        <f>C17*(1-C18)</f>
        <v>4.7267463440770575E-2</v>
      </c>
    </row>
    <row r="20" spans="2:3" x14ac:dyDescent="0.35">
      <c r="B20" s="67"/>
      <c r="C20" s="68"/>
    </row>
    <row r="21" spans="2:3" ht="15" customHeight="1" x14ac:dyDescent="0.35">
      <c r="B21" s="69" t="s">
        <v>292</v>
      </c>
      <c r="C21" s="68"/>
    </row>
    <row r="22" spans="2:3" ht="15" customHeight="1" x14ac:dyDescent="0.35">
      <c r="B22" s="65" t="s">
        <v>293</v>
      </c>
      <c r="C22" s="73">
        <f>'Balance Sheet'!C9</f>
        <v>13771.56</v>
      </c>
    </row>
    <row r="23" spans="2:3" ht="15" customHeight="1" x14ac:dyDescent="0.35">
      <c r="B23" s="65" t="s">
        <v>294</v>
      </c>
      <c r="C23" s="73">
        <v>10</v>
      </c>
    </row>
    <row r="24" spans="2:3" ht="15" customHeight="1" x14ac:dyDescent="0.35">
      <c r="B24" s="65" t="s">
        <v>295</v>
      </c>
      <c r="C24" s="73">
        <f>C22/C23</f>
        <v>1377.1559999999999</v>
      </c>
    </row>
    <row r="25" spans="2:3" ht="15" customHeight="1" x14ac:dyDescent="0.35">
      <c r="B25" s="65" t="s">
        <v>296</v>
      </c>
      <c r="C25" s="73">
        <v>147</v>
      </c>
    </row>
    <row r="26" spans="2:3" ht="15" customHeight="1" x14ac:dyDescent="0.35">
      <c r="B26" s="65" t="s">
        <v>297</v>
      </c>
      <c r="C26" s="73">
        <f>C24*C25</f>
        <v>202441.932</v>
      </c>
    </row>
    <row r="27" spans="2:3" x14ac:dyDescent="0.35">
      <c r="B27" s="67"/>
      <c r="C27" s="68"/>
    </row>
    <row r="28" spans="2:3" ht="15" customHeight="1" x14ac:dyDescent="0.35">
      <c r="B28" s="69" t="s">
        <v>298</v>
      </c>
      <c r="C28" s="68"/>
    </row>
    <row r="29" spans="2:3" ht="15" customHeight="1" x14ac:dyDescent="0.35">
      <c r="B29" s="65" t="s">
        <v>299</v>
      </c>
      <c r="C29" s="73">
        <f>C26+C16</f>
        <v>334264.32199999999</v>
      </c>
    </row>
    <row r="30" spans="2:3" ht="15" customHeight="1" x14ac:dyDescent="0.35">
      <c r="B30" s="65" t="s">
        <v>300</v>
      </c>
      <c r="C30" s="70">
        <f>C16/C29</f>
        <v>0.39436571995260683</v>
      </c>
    </row>
    <row r="31" spans="2:3" ht="15" customHeight="1" x14ac:dyDescent="0.35">
      <c r="B31" s="65" t="s">
        <v>301</v>
      </c>
      <c r="C31" s="70">
        <f>C26/C29</f>
        <v>0.60563428004739317</v>
      </c>
    </row>
    <row r="32" spans="2:3" x14ac:dyDescent="0.35">
      <c r="B32" s="67"/>
      <c r="C32" s="68"/>
    </row>
    <row r="33" spans="2:3" ht="15" customHeight="1" x14ac:dyDescent="0.35">
      <c r="B33" s="74" t="s">
        <v>302</v>
      </c>
      <c r="C33" s="75"/>
    </row>
    <row r="34" spans="2:3" ht="15" customHeight="1" x14ac:dyDescent="0.35">
      <c r="B34" s="76" t="s">
        <v>302</v>
      </c>
      <c r="C34" s="77">
        <f>(C31*C10)+(C30*C19)</f>
        <v>0.10595785741488351</v>
      </c>
    </row>
    <row r="36" spans="2:3" ht="15" customHeight="1" x14ac:dyDescent="0.35">
      <c r="B36" s="78"/>
    </row>
    <row r="37" spans="2:3" ht="15" customHeight="1" x14ac:dyDescent="0.35">
      <c r="B37" s="79"/>
    </row>
    <row r="38" spans="2:3" ht="15" customHeight="1" x14ac:dyDescent="0.35">
      <c r="B38" s="79"/>
    </row>
    <row r="39" spans="2:3" ht="15" customHeight="1" x14ac:dyDescent="0.35">
      <c r="B39" s="79"/>
    </row>
    <row r="40" spans="2:3" ht="15" customHeight="1" x14ac:dyDescent="0.35">
      <c r="B40" s="79"/>
    </row>
  </sheetData>
  <mergeCells count="1">
    <mergeCell ref="B1:C1"/>
  </mergeCells>
  <pageMargins left="0.75" right="0.75" top="1" bottom="1" header="0.511811023622047" footer="0.511811023622047"/>
  <pageSetup paperSize="9" orientation="portrait" horizontalDpi="300" verticalDpi="300"/>
  <ignoredErrors>
    <ignoredError sqref="C8"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61"/>
  <sheetViews>
    <sheetView showGridLines="0" zoomScale="68" zoomScaleNormal="68" workbookViewId="0">
      <selection activeCell="N8" sqref="N8"/>
    </sheetView>
  </sheetViews>
  <sheetFormatPr defaultColWidth="8.6328125" defaultRowHeight="14.5" x14ac:dyDescent="0.35"/>
  <cols>
    <col min="1" max="1" width="2" customWidth="1"/>
    <col min="2" max="2" width="42" customWidth="1"/>
    <col min="3" max="7" width="16" customWidth="1"/>
    <col min="8" max="8" width="2" customWidth="1"/>
    <col min="9" max="9" width="22" customWidth="1"/>
    <col min="10" max="10" width="14" customWidth="1"/>
  </cols>
  <sheetData>
    <row r="1" spans="2:10" ht="21.75" customHeight="1" x14ac:dyDescent="0.35">
      <c r="B1" s="277" t="s">
        <v>64</v>
      </c>
      <c r="C1" s="277"/>
      <c r="D1" s="277"/>
      <c r="E1" s="277"/>
      <c r="F1" s="277"/>
      <c r="G1" s="277"/>
    </row>
    <row r="2" spans="2:10" ht="15" customHeight="1" x14ac:dyDescent="0.35">
      <c r="B2" s="278"/>
      <c r="C2" s="278"/>
      <c r="D2" s="278"/>
      <c r="E2" s="278"/>
      <c r="F2" s="278"/>
      <c r="G2" s="278"/>
    </row>
    <row r="3" spans="2:10" ht="18" customHeight="1" x14ac:dyDescent="0.35">
      <c r="B3" s="80" t="s">
        <v>227</v>
      </c>
      <c r="C3" s="81">
        <v>2022</v>
      </c>
      <c r="D3" s="81">
        <v>2023</v>
      </c>
      <c r="E3" s="81">
        <v>2024</v>
      </c>
      <c r="F3" s="81">
        <v>2025</v>
      </c>
      <c r="G3" s="82">
        <v>2026</v>
      </c>
      <c r="I3" s="83" t="s">
        <v>303</v>
      </c>
      <c r="J3" s="84" t="s">
        <v>304</v>
      </c>
    </row>
    <row r="4" spans="2:10" ht="15" customHeight="1" x14ac:dyDescent="0.35">
      <c r="B4" s="279" t="s">
        <v>305</v>
      </c>
      <c r="C4" s="279"/>
      <c r="D4" s="279"/>
      <c r="E4" s="279"/>
      <c r="F4" s="279"/>
      <c r="G4" s="279"/>
      <c r="I4" s="85"/>
      <c r="J4" s="86"/>
    </row>
    <row r="5" spans="2:10" ht="15" customHeight="1" x14ac:dyDescent="0.35">
      <c r="B5" s="87" t="s">
        <v>182</v>
      </c>
      <c r="C5" s="88">
        <f>'Profit &amp; Loss'!G10</f>
        <v>585484.22</v>
      </c>
      <c r="D5" s="88">
        <f>'Profit &amp; Loss'!F10</f>
        <v>837764.89</v>
      </c>
      <c r="E5" s="88">
        <f>'Profit &amp; Loss'!E10</f>
        <v>772067.59</v>
      </c>
      <c r="F5" s="88">
        <f>'Profit &amp; Loss'!D10</f>
        <v>753695.85</v>
      </c>
      <c r="G5" s="88">
        <f>'Profit &amp; Loss'!C10</f>
        <v>784415.43</v>
      </c>
      <c r="I5" s="85"/>
      <c r="J5" s="89"/>
    </row>
    <row r="6" spans="2:10" ht="15" customHeight="1" x14ac:dyDescent="0.35">
      <c r="B6" s="90" t="s">
        <v>183</v>
      </c>
      <c r="C6" s="39"/>
      <c r="D6" s="91">
        <f>(Assumption!D5/Assumption!C5)-1</f>
        <v>0.43089234753414885</v>
      </c>
      <c r="E6" s="91">
        <f>(Assumption!E5/Assumption!D5)-1</f>
        <v>-7.8419734204903335E-2</v>
      </c>
      <c r="F6" s="91">
        <f>(Assumption!F5/Assumption!E5)-1</f>
        <v>-2.3795507333755572E-2</v>
      </c>
      <c r="G6" s="91">
        <f>(Assumption!G5/Assumption!F5)-1</f>
        <v>4.0758589821079827E-2</v>
      </c>
      <c r="I6" s="92" t="s">
        <v>306</v>
      </c>
      <c r="J6" s="93">
        <f>MEDIAN(D6:G6)</f>
        <v>8.4815412436621274E-3</v>
      </c>
    </row>
    <row r="7" spans="2:10" ht="15" customHeight="1" x14ac:dyDescent="0.35">
      <c r="B7" s="90" t="s">
        <v>307</v>
      </c>
      <c r="C7" s="94">
        <f>'Profit &amp; Loss'!G16</f>
        <v>330672.38</v>
      </c>
      <c r="D7" s="94">
        <f>'Profit &amp; Loss'!F16</f>
        <v>503757.28</v>
      </c>
      <c r="E7" s="94">
        <f>'Profit &amp; Loss'!E16</f>
        <v>446251.39</v>
      </c>
      <c r="F7" s="94">
        <f>'Profit &amp; Loss'!D16</f>
        <v>449812.63</v>
      </c>
      <c r="G7" s="94">
        <f>'Profit &amp; Loss'!C16</f>
        <v>433584.37</v>
      </c>
      <c r="I7" s="95"/>
      <c r="J7" s="89"/>
    </row>
    <row r="8" spans="2:10" ht="15" customHeight="1" x14ac:dyDescent="0.35">
      <c r="B8" s="90" t="s">
        <v>308</v>
      </c>
      <c r="C8" s="94">
        <f>'Profit &amp; Loss'!G17</f>
        <v>169991.5</v>
      </c>
      <c r="D8" s="94">
        <f>'Profit &amp; Loss'!F17</f>
        <v>250207.42</v>
      </c>
      <c r="E8" s="94">
        <f>'Profit &amp; Loss'!E17</f>
        <v>191316.43</v>
      </c>
      <c r="F8" s="94">
        <f>'Profit &amp; Loss'!D17</f>
        <v>207762.62</v>
      </c>
      <c r="G8" s="94">
        <f>'Profit &amp; Loss'!C17</f>
        <v>193977.16</v>
      </c>
      <c r="I8" s="95"/>
      <c r="J8" s="89"/>
    </row>
    <row r="9" spans="2:10" ht="15" customHeight="1" x14ac:dyDescent="0.35">
      <c r="B9" s="90" t="s">
        <v>309</v>
      </c>
      <c r="C9" s="94">
        <f>'Profit &amp; Loss'!G18</f>
        <v>-13710.98</v>
      </c>
      <c r="D9" s="94">
        <f>'Profit &amp; Loss'!F18</f>
        <v>-6329.71</v>
      </c>
      <c r="E9" s="94">
        <f>'Profit &amp; Loss'!E18</f>
        <v>1231.3399999999999</v>
      </c>
      <c r="F9" s="94">
        <f>'Profit &amp; Loss'!D18</f>
        <v>-789.75</v>
      </c>
      <c r="G9" s="94">
        <f>'Profit &amp; Loss'!C18</f>
        <v>5562.28</v>
      </c>
      <c r="I9" s="95"/>
      <c r="J9" s="89"/>
    </row>
    <row r="10" spans="2:10" ht="15" customHeight="1" x14ac:dyDescent="0.35">
      <c r="B10" s="90" t="s">
        <v>310</v>
      </c>
      <c r="C10" s="94">
        <f>'Profit &amp; Loss'!G19</f>
        <v>11582.92</v>
      </c>
      <c r="D10" s="94">
        <f>'Profit &amp; Loss'!F19</f>
        <v>9359.14</v>
      </c>
      <c r="E10" s="94">
        <f>'Profit &amp; Loss'!E19</f>
        <v>11670.94</v>
      </c>
      <c r="F10" s="94">
        <f>'Profit &amp; Loss'!D19</f>
        <v>10879.86</v>
      </c>
      <c r="G10" s="94">
        <f>'Profit &amp; Loss'!C19</f>
        <v>11434.58</v>
      </c>
      <c r="I10" s="95"/>
      <c r="J10" s="89"/>
    </row>
    <row r="11" spans="2:10" ht="15" customHeight="1" x14ac:dyDescent="0.35">
      <c r="B11" s="90" t="s">
        <v>311</v>
      </c>
      <c r="C11" s="94">
        <f>'Profit &amp; Loss'!G23</f>
        <v>43330.47</v>
      </c>
      <c r="D11" s="94">
        <f>'Profit &amp; Loss'!F23</f>
        <v>53379.46</v>
      </c>
      <c r="E11" s="94">
        <f>'Profit &amp; Loss'!E23</f>
        <v>50016.51</v>
      </c>
      <c r="F11" s="94">
        <f>'Profit &amp; Loss'!D23</f>
        <v>54276.639999999999</v>
      </c>
      <c r="G11" s="94">
        <f>'Profit &amp; Loss'!C23</f>
        <v>61665.4</v>
      </c>
      <c r="I11" s="95"/>
      <c r="J11" s="89"/>
    </row>
    <row r="12" spans="2:10" ht="15" customHeight="1" x14ac:dyDescent="0.35">
      <c r="B12" s="90" t="s">
        <v>312</v>
      </c>
      <c r="C12" s="94">
        <f>Assumption!C7+Assumption!C8+Assumption!C9+Assumption!C10+Assumption!C11</f>
        <v>541866.29</v>
      </c>
      <c r="D12" s="94">
        <f>Assumption!D7+Assumption!D8+Assumption!D9+Assumption!D10+Assumption!D11</f>
        <v>810373.59000000008</v>
      </c>
      <c r="E12" s="94">
        <f>Assumption!E7+Assumption!E8+Assumption!E9+Assumption!E10+Assumption!E11</f>
        <v>700486.61</v>
      </c>
      <c r="F12" s="94">
        <f>Assumption!F7+Assumption!F8+Assumption!F9+Assumption!F10+Assumption!F11</f>
        <v>721942</v>
      </c>
      <c r="G12" s="94">
        <f>Assumption!G7+Assumption!G8+Assumption!G9+Assumption!G10+Assumption!G11</f>
        <v>706223.79</v>
      </c>
      <c r="I12" s="95"/>
      <c r="J12" s="89"/>
    </row>
    <row r="13" spans="2:10" ht="15" customHeight="1" x14ac:dyDescent="0.35">
      <c r="B13" s="96" t="s">
        <v>192</v>
      </c>
      <c r="C13" s="97">
        <f>Assumption!C5-Assumption!C12</f>
        <v>43617.929999999935</v>
      </c>
      <c r="D13" s="97">
        <f>Assumption!D5-Assumption!D12</f>
        <v>27391.29999999993</v>
      </c>
      <c r="E13" s="97">
        <f>Assumption!E5-Assumption!E12</f>
        <v>71580.979999999981</v>
      </c>
      <c r="F13" s="97">
        <f>Assumption!F5-Assumption!F12</f>
        <v>31753.849999999977</v>
      </c>
      <c r="G13" s="97">
        <f>Assumption!G5-Assumption!G12</f>
        <v>78191.640000000014</v>
      </c>
      <c r="I13" s="92" t="s">
        <v>313</v>
      </c>
      <c r="J13" s="93">
        <f>MEDIAN(C14:G14)</f>
        <v>7.4498899389636733E-2</v>
      </c>
    </row>
    <row r="14" spans="2:10" ht="15" customHeight="1" x14ac:dyDescent="0.35">
      <c r="B14" s="90" t="s">
        <v>314</v>
      </c>
      <c r="C14" s="91">
        <f>Assumption!C13/Assumption!C5</f>
        <v>7.4498899389636733E-2</v>
      </c>
      <c r="D14" s="91">
        <f>Assumption!D13/Assumption!D5</f>
        <v>3.2695688643624023E-2</v>
      </c>
      <c r="E14" s="91">
        <f>Assumption!E13/Assumption!E5</f>
        <v>9.2713359461183947E-2</v>
      </c>
      <c r="F14" s="91">
        <f>Assumption!F13/Assumption!F5</f>
        <v>4.2130854243127354E-2</v>
      </c>
      <c r="G14" s="91">
        <f>Assumption!G13/Assumption!G5</f>
        <v>9.9681414986954056E-2</v>
      </c>
      <c r="I14" s="95"/>
      <c r="J14" s="89"/>
    </row>
    <row r="15" spans="2:10" ht="15" customHeight="1" x14ac:dyDescent="0.35">
      <c r="B15" s="90" t="s">
        <v>247</v>
      </c>
      <c r="C15" s="94">
        <f>'Profit &amp; Loss'!G22</f>
        <v>12347.58</v>
      </c>
      <c r="D15" s="94">
        <f>'Profit &amp; Loss'!F22</f>
        <v>13181.05</v>
      </c>
      <c r="E15" s="94">
        <f>'Profit &amp; Loss'!E22</f>
        <v>15866.11</v>
      </c>
      <c r="F15" s="94">
        <f>'Profit &amp; Loss'!D22</f>
        <v>16777.34</v>
      </c>
      <c r="G15" s="94">
        <f>'Profit &amp; Loss'!C22</f>
        <v>18420.240000000002</v>
      </c>
      <c r="I15" s="95"/>
      <c r="J15" s="89"/>
    </row>
    <row r="16" spans="2:10" ht="15" customHeight="1" x14ac:dyDescent="0.35">
      <c r="B16" s="96" t="s">
        <v>196</v>
      </c>
      <c r="C16" s="97">
        <f>Assumption!C13-Assumption!C15</f>
        <v>31270.349999999933</v>
      </c>
      <c r="D16" s="97">
        <f>Assumption!D13-Assumption!D15</f>
        <v>14210.249999999931</v>
      </c>
      <c r="E16" s="97">
        <f>Assumption!E13-Assumption!E15</f>
        <v>55714.869999999981</v>
      </c>
      <c r="F16" s="97">
        <f>Assumption!F13-Assumption!F15</f>
        <v>14976.509999999977</v>
      </c>
      <c r="G16" s="97">
        <f>Assumption!G13-Assumption!G15</f>
        <v>59771.400000000009</v>
      </c>
      <c r="I16" s="92" t="s">
        <v>315</v>
      </c>
      <c r="J16" s="93">
        <f>MEDIAN(C17:G17)</f>
        <v>5.3409381383498149E-2</v>
      </c>
    </row>
    <row r="17" spans="2:10" ht="15" customHeight="1" x14ac:dyDescent="0.35">
      <c r="B17" s="90" t="s">
        <v>316</v>
      </c>
      <c r="C17" s="91">
        <f>Assumption!C16/Assumption!C5</f>
        <v>5.3409381383498149E-2</v>
      </c>
      <c r="D17" s="91">
        <f>Assumption!D16/Assumption!D5</f>
        <v>1.6962097802881104E-2</v>
      </c>
      <c r="E17" s="91">
        <f>Assumption!E16/Assumption!E5</f>
        <v>7.2163202706125751E-2</v>
      </c>
      <c r="F17" s="91">
        <f>Assumption!F16/Assumption!F5</f>
        <v>1.9870760864611339E-2</v>
      </c>
      <c r="G17" s="91">
        <f>Assumption!G16/Assumption!G5</f>
        <v>7.6198654072880748E-2</v>
      </c>
      <c r="I17" s="95"/>
      <c r="J17" s="89"/>
    </row>
    <row r="18" spans="2:10" ht="15" customHeight="1" x14ac:dyDescent="0.35">
      <c r="B18" s="90" t="s">
        <v>317</v>
      </c>
      <c r="C18" s="94">
        <f>'Profit &amp; Loss'!G13</f>
        <v>3082.22</v>
      </c>
      <c r="D18" s="94">
        <f>'Profit &amp; Loss'!F13</f>
        <v>4198.92</v>
      </c>
      <c r="E18" s="94">
        <f>'Profit &amp; Loss'!E13</f>
        <v>3842.85</v>
      </c>
      <c r="F18" s="94">
        <f>'Profit &amp; Loss'!D13</f>
        <v>3513.73</v>
      </c>
      <c r="G18" s="94">
        <f>'Profit &amp; Loss'!C13</f>
        <v>4162.99</v>
      </c>
      <c r="I18" s="95"/>
      <c r="J18" s="89"/>
    </row>
    <row r="19" spans="2:10" ht="15" customHeight="1" x14ac:dyDescent="0.35">
      <c r="B19" s="90" t="s">
        <v>318</v>
      </c>
      <c r="C19" s="94">
        <f>'Profit &amp; Loss'!G20</f>
        <v>5423.26</v>
      </c>
      <c r="D19" s="94">
        <f>'Profit &amp; Loss'!F20</f>
        <v>7541.36</v>
      </c>
      <c r="E19" s="94">
        <f>'Profit &amp; Loss'!E20</f>
        <v>7825.65</v>
      </c>
      <c r="F19" s="94">
        <f>'Profit &amp; Loss'!D20</f>
        <v>9261.93</v>
      </c>
      <c r="G19" s="94">
        <f>'Profit &amp; Loss'!C20</f>
        <v>8307.8799999999992</v>
      </c>
      <c r="I19" s="95"/>
      <c r="J19" s="89"/>
    </row>
    <row r="20" spans="2:10" ht="15" customHeight="1" x14ac:dyDescent="0.35">
      <c r="B20" s="96" t="s">
        <v>319</v>
      </c>
      <c r="C20" s="97">
        <f>Assumption!C16+Assumption!C18-Assumption!C19</f>
        <v>28929.309999999932</v>
      </c>
      <c r="D20" s="97">
        <f>Assumption!D16+Assumption!D18-Assumption!D19</f>
        <v>10867.809999999932</v>
      </c>
      <c r="E20" s="97">
        <f>Assumption!E16+Assumption!E18-Assumption!E19</f>
        <v>51732.069999999978</v>
      </c>
      <c r="F20" s="97">
        <f>Assumption!F16+Assumption!F18-Assumption!F19</f>
        <v>9228.3099999999758</v>
      </c>
      <c r="G20" s="97">
        <f>Assumption!G16+Assumption!G18-Assumption!G19</f>
        <v>55626.510000000009</v>
      </c>
      <c r="I20" s="95"/>
      <c r="J20" s="89"/>
    </row>
    <row r="21" spans="2:10" ht="15" customHeight="1" x14ac:dyDescent="0.35">
      <c r="B21" s="90" t="s">
        <v>320</v>
      </c>
      <c r="C21" s="94">
        <f>'Profit &amp; Loss'!G31</f>
        <v>8562.02</v>
      </c>
      <c r="D21" s="94">
        <f>'Profit &amp; Loss'!F31</f>
        <v>3333.43</v>
      </c>
      <c r="E21" s="94">
        <f>'Profit &amp; Loss'!E31</f>
        <v>14126.64</v>
      </c>
      <c r="F21" s="94">
        <f>'Profit &amp; Loss'!D31</f>
        <v>3274.62</v>
      </c>
      <c r="G21" s="94">
        <f>'Profit &amp; Loss'!C31</f>
        <v>13794.76</v>
      </c>
      <c r="I21" s="95"/>
      <c r="J21" s="89"/>
    </row>
    <row r="22" spans="2:10" ht="15" customHeight="1" x14ac:dyDescent="0.35">
      <c r="B22" s="90" t="s">
        <v>201</v>
      </c>
      <c r="C22" s="91">
        <f>Assumption!C21/Assumption!C20</f>
        <v>0.29596350552432882</v>
      </c>
      <c r="D22" s="91">
        <f>Assumption!D21/Assumption!D20</f>
        <v>0.30672508996752984</v>
      </c>
      <c r="E22" s="91">
        <f>Assumption!E21/Assumption!E20</f>
        <v>0.27307316332016107</v>
      </c>
      <c r="F22" s="91">
        <f>Assumption!F21/Assumption!F20</f>
        <v>0.35484503663184358</v>
      </c>
      <c r="G22" s="91">
        <f>Assumption!G21/Assumption!G20</f>
        <v>0.24798895346840918</v>
      </c>
      <c r="I22" s="95"/>
      <c r="J22" s="89"/>
    </row>
    <row r="23" spans="2:10" ht="15" customHeight="1" x14ac:dyDescent="0.35">
      <c r="B23" s="90" t="s">
        <v>321</v>
      </c>
      <c r="C23" s="94">
        <f>-'Profit &amp; Loss'!G35</f>
        <v>624.37</v>
      </c>
      <c r="D23" s="94">
        <f>-'Profit &amp; Loss'!F35</f>
        <v>1912.14</v>
      </c>
      <c r="E23" s="94">
        <f>-'Profit &amp; Loss'!E35</f>
        <v>1431.46</v>
      </c>
      <c r="F23" s="94">
        <f>-'Profit &amp; Loss'!D35</f>
        <v>190.99</v>
      </c>
      <c r="G23" s="94">
        <f>-'Profit &amp; Loss'!C35</f>
        <v>1581.06</v>
      </c>
      <c r="I23" s="95"/>
      <c r="J23" s="89"/>
    </row>
    <row r="24" spans="2:10" ht="15" customHeight="1" x14ac:dyDescent="0.35">
      <c r="B24" s="96" t="s">
        <v>322</v>
      </c>
      <c r="C24" s="97">
        <f>Assumption!C20-Assumption!C21-Assumption!C23</f>
        <v>19742.919999999933</v>
      </c>
      <c r="D24" s="97">
        <f>Assumption!D20-Assumption!D21-Assumption!D23</f>
        <v>5622.2399999999316</v>
      </c>
      <c r="E24" s="97">
        <f>Assumption!E20-Assumption!E21-Assumption!E23</f>
        <v>36173.969999999979</v>
      </c>
      <c r="F24" s="97">
        <f>Assumption!F20-Assumption!F21-Assumption!F23</f>
        <v>5762.6999999999762</v>
      </c>
      <c r="G24" s="97">
        <f>Assumption!G20-Assumption!G21-Assumption!G23</f>
        <v>40250.69000000001</v>
      </c>
      <c r="I24" s="92" t="s">
        <v>323</v>
      </c>
      <c r="J24" s="93">
        <f>MEDIAN(C25:G25)</f>
        <v>3.3720669704812765E-2</v>
      </c>
    </row>
    <row r="25" spans="2:10" ht="15" customHeight="1" x14ac:dyDescent="0.35">
      <c r="B25" s="90" t="s">
        <v>324</v>
      </c>
      <c r="C25" s="91">
        <f>Assumption!C24/Assumption!C5</f>
        <v>3.3720669704812765E-2</v>
      </c>
      <c r="D25" s="91">
        <f>Assumption!D24/Assumption!D5</f>
        <v>6.7109997889741252E-3</v>
      </c>
      <c r="E25" s="91">
        <f>Assumption!E24/Assumption!E5</f>
        <v>4.6853371995578756E-2</v>
      </c>
      <c r="F25" s="91">
        <f>Assumption!F24/Assumption!F5</f>
        <v>7.6459224234815357E-3</v>
      </c>
      <c r="G25" s="91">
        <f>Assumption!G24/Assumption!G5</f>
        <v>5.1312975829657007E-2</v>
      </c>
      <c r="I25" s="95"/>
      <c r="J25" s="89"/>
    </row>
    <row r="26" spans="2:10" x14ac:dyDescent="0.35">
      <c r="I26" s="95"/>
      <c r="J26" s="89"/>
    </row>
    <row r="27" spans="2:10" ht="15" customHeight="1" x14ac:dyDescent="0.35">
      <c r="B27" s="276" t="s">
        <v>325</v>
      </c>
      <c r="C27" s="276"/>
      <c r="D27" s="276"/>
      <c r="E27" s="276"/>
      <c r="F27" s="276"/>
      <c r="G27" s="276"/>
      <c r="I27" s="95"/>
      <c r="J27" s="89"/>
    </row>
    <row r="28" spans="2:10" ht="15" customHeight="1" x14ac:dyDescent="0.35">
      <c r="B28" s="90" t="s">
        <v>326</v>
      </c>
      <c r="C28" s="98">
        <f>AVERAGE(D6:G6)</f>
        <v>9.2358923954142441E-2</v>
      </c>
      <c r="I28" s="95"/>
      <c r="J28" s="89"/>
    </row>
    <row r="29" spans="2:10" ht="15" customHeight="1" x14ac:dyDescent="0.35">
      <c r="B29" s="90" t="s">
        <v>327</v>
      </c>
      <c r="C29" s="98">
        <f>(G5/C5)^(1/4)-1</f>
        <v>7.5864886261460152E-2</v>
      </c>
      <c r="I29" s="95"/>
      <c r="J29" s="89"/>
    </row>
    <row r="30" spans="2:10" ht="15" customHeight="1" x14ac:dyDescent="0.35">
      <c r="B30" s="90" t="s">
        <v>328</v>
      </c>
      <c r="C30" s="98">
        <f>MEDIAN(D6:G6)</f>
        <v>8.4815412436621274E-3</v>
      </c>
      <c r="I30" s="95"/>
      <c r="J30" s="89"/>
    </row>
    <row r="31" spans="2:10" x14ac:dyDescent="0.35">
      <c r="I31" s="95"/>
      <c r="J31" s="89"/>
    </row>
    <row r="32" spans="2:10" ht="15" customHeight="1" x14ac:dyDescent="0.35">
      <c r="B32" s="276" t="s">
        <v>329</v>
      </c>
      <c r="C32" s="276"/>
      <c r="D32" s="276"/>
      <c r="E32" s="276"/>
      <c r="F32" s="276"/>
      <c r="G32" s="276"/>
      <c r="I32" s="95"/>
      <c r="J32" s="89"/>
    </row>
    <row r="33" spans="2:10" ht="15" customHeight="1" x14ac:dyDescent="0.35">
      <c r="B33" s="90" t="s">
        <v>314</v>
      </c>
      <c r="C33" s="91">
        <f>Assumption!C14</f>
        <v>7.4498899389636733E-2</v>
      </c>
      <c r="D33" s="91">
        <f>Assumption!D14</f>
        <v>3.2695688643624023E-2</v>
      </c>
      <c r="E33" s="91">
        <f>Assumption!E14</f>
        <v>9.2713359461183947E-2</v>
      </c>
      <c r="F33" s="91">
        <f>Assumption!F14</f>
        <v>4.2130854243127354E-2</v>
      </c>
      <c r="G33" s="91">
        <f>Assumption!G14</f>
        <v>9.9681414986954056E-2</v>
      </c>
      <c r="I33" s="92" t="s">
        <v>330</v>
      </c>
      <c r="J33" s="93">
        <f>MEDIAN(C33:G33)</f>
        <v>7.4498899389636733E-2</v>
      </c>
    </row>
    <row r="34" spans="2:10" ht="15" customHeight="1" x14ac:dyDescent="0.35">
      <c r="B34" s="90" t="s">
        <v>316</v>
      </c>
      <c r="C34" s="91">
        <f>Assumption!C17</f>
        <v>5.3409381383498149E-2</v>
      </c>
      <c r="D34" s="91">
        <f>Assumption!D17</f>
        <v>1.6962097802881104E-2</v>
      </c>
      <c r="E34" s="91">
        <f>Assumption!E17</f>
        <v>7.2163202706125751E-2</v>
      </c>
      <c r="F34" s="91">
        <f>Assumption!F17</f>
        <v>1.9870760864611339E-2</v>
      </c>
      <c r="G34" s="91">
        <f>Assumption!G17</f>
        <v>7.6198654072880748E-2</v>
      </c>
      <c r="I34" s="92" t="s">
        <v>331</v>
      </c>
      <c r="J34" s="93">
        <f>MEDIAN(C34:G34)</f>
        <v>5.3409381383498149E-2</v>
      </c>
    </row>
    <row r="35" spans="2:10" ht="15" customHeight="1" x14ac:dyDescent="0.35">
      <c r="B35" s="90" t="s">
        <v>332</v>
      </c>
      <c r="C35" s="91">
        <f>Assumption!C20/Assumption!C5</f>
        <v>4.9410913243741965E-2</v>
      </c>
      <c r="D35" s="91">
        <f>Assumption!D20/Assumption!D5</f>
        <v>1.2972386560625538E-2</v>
      </c>
      <c r="E35" s="91">
        <f>Assumption!E20/Assumption!E5</f>
        <v>6.7004586994773324E-2</v>
      </c>
      <c r="F35" s="91">
        <f>Assumption!F20/Assumption!F5</f>
        <v>1.2244076970836414E-2</v>
      </c>
      <c r="G35" s="91">
        <f>Assumption!G20/Assumption!G5</f>
        <v>7.0914604522759078E-2</v>
      </c>
      <c r="I35" s="92" t="s">
        <v>333</v>
      </c>
      <c r="J35" s="93">
        <f>MEDIAN(C35:G35)</f>
        <v>4.9410913243741965E-2</v>
      </c>
    </row>
    <row r="36" spans="2:10" ht="15" customHeight="1" x14ac:dyDescent="0.35">
      <c r="B36" s="90" t="s">
        <v>324</v>
      </c>
      <c r="C36" s="91">
        <f>Assumption!C25</f>
        <v>3.3720669704812765E-2</v>
      </c>
      <c r="D36" s="91">
        <f>Assumption!D25</f>
        <v>6.7109997889741252E-3</v>
      </c>
      <c r="E36" s="91">
        <f>Assumption!E25</f>
        <v>4.6853371995578756E-2</v>
      </c>
      <c r="F36" s="91">
        <f>Assumption!F25</f>
        <v>7.6459224234815357E-3</v>
      </c>
      <c r="G36" s="91">
        <f>Assumption!G25</f>
        <v>5.1312975829657007E-2</v>
      </c>
      <c r="I36" s="92" t="s">
        <v>334</v>
      </c>
      <c r="J36" s="93">
        <f>MEDIAN(C36:G36)</f>
        <v>3.3720669704812765E-2</v>
      </c>
    </row>
    <row r="37" spans="2:10" x14ac:dyDescent="0.35">
      <c r="I37" s="95"/>
      <c r="J37" s="89"/>
    </row>
    <row r="38" spans="2:10" ht="15" customHeight="1" x14ac:dyDescent="0.35">
      <c r="B38" s="276" t="s">
        <v>335</v>
      </c>
      <c r="C38" s="276"/>
      <c r="D38" s="276"/>
      <c r="E38" s="276"/>
      <c r="F38" s="276"/>
      <c r="G38" s="276"/>
      <c r="I38" s="95"/>
      <c r="J38" s="89"/>
    </row>
    <row r="39" spans="2:10" ht="15" customHeight="1" x14ac:dyDescent="0.35">
      <c r="B39" s="90" t="s">
        <v>201</v>
      </c>
      <c r="C39" s="91">
        <f>Assumption!C22</f>
        <v>0.29596350552432882</v>
      </c>
      <c r="D39" s="91">
        <f>Assumption!D22</f>
        <v>0.30672508996752984</v>
      </c>
      <c r="E39" s="91">
        <f>Assumption!E22</f>
        <v>0.27307316332016107</v>
      </c>
      <c r="F39" s="91">
        <f>Assumption!F22</f>
        <v>0.35484503663184358</v>
      </c>
      <c r="G39" s="91">
        <f>Assumption!G22</f>
        <v>0.24798895346840918</v>
      </c>
      <c r="I39" s="92" t="s">
        <v>336</v>
      </c>
      <c r="J39" s="93">
        <f>MEDIAN(C39:G39)</f>
        <v>0.29596350552432882</v>
      </c>
    </row>
    <row r="40" spans="2:10" ht="15" customHeight="1" x14ac:dyDescent="0.35">
      <c r="B40" s="90" t="s">
        <v>337</v>
      </c>
      <c r="C40" s="99">
        <v>0.25</v>
      </c>
      <c r="D40" s="99">
        <v>0.25</v>
      </c>
      <c r="E40" s="99">
        <v>0.25</v>
      </c>
      <c r="F40" s="99">
        <v>0.25</v>
      </c>
      <c r="G40" s="99">
        <v>0.25</v>
      </c>
      <c r="I40" s="95"/>
      <c r="J40" s="89"/>
    </row>
    <row r="41" spans="2:10" x14ac:dyDescent="0.35">
      <c r="I41" s="95"/>
      <c r="J41" s="89"/>
    </row>
    <row r="42" spans="2:10" ht="15" customHeight="1" x14ac:dyDescent="0.35">
      <c r="B42" s="276" t="s">
        <v>338</v>
      </c>
      <c r="C42" s="276"/>
      <c r="D42" s="276"/>
      <c r="E42" s="276"/>
      <c r="F42" s="276"/>
      <c r="G42" s="276"/>
      <c r="I42" s="95"/>
      <c r="J42" s="89"/>
    </row>
    <row r="43" spans="2:10" ht="15" customHeight="1" x14ac:dyDescent="0.35">
      <c r="B43" s="90" t="s">
        <v>339</v>
      </c>
      <c r="C43" s="94">
        <f>Assumption!C16*(1-Assumption!C40)</f>
        <v>23452.76249999995</v>
      </c>
      <c r="D43" s="94">
        <f>Assumption!D16*(1-Assumption!D40)</f>
        <v>10657.687499999949</v>
      </c>
      <c r="E43" s="94">
        <f>Assumption!E16*(1-Assumption!E40)</f>
        <v>41786.152499999982</v>
      </c>
      <c r="F43" s="94">
        <f>Assumption!F16*(1-Assumption!F40)</f>
        <v>11232.382499999982</v>
      </c>
      <c r="G43" s="94">
        <f>Assumption!G16*(1-Assumption!G40)</f>
        <v>44828.55</v>
      </c>
      <c r="I43" s="95"/>
      <c r="J43" s="89"/>
    </row>
    <row r="44" spans="2:10" ht="15" customHeight="1" x14ac:dyDescent="0.35">
      <c r="B44" s="90" t="s">
        <v>340</v>
      </c>
      <c r="C44" s="94">
        <f>'Balance Sheet'!G13</f>
        <v>133535.18</v>
      </c>
      <c r="D44" s="94">
        <f>'Balance Sheet'!F13</f>
        <v>139720.24</v>
      </c>
      <c r="E44" s="94">
        <f>'Balance Sheet'!E13</f>
        <v>183416.27</v>
      </c>
      <c r="F44" s="94">
        <f>'Balance Sheet'!D13</f>
        <v>186487.32</v>
      </c>
      <c r="G44" s="94">
        <f>'Balance Sheet'!C13</f>
        <v>219517.55</v>
      </c>
      <c r="I44" s="95"/>
      <c r="J44" s="89"/>
    </row>
    <row r="45" spans="2:10" ht="15" customHeight="1" x14ac:dyDescent="0.35">
      <c r="B45" s="90" t="s">
        <v>341</v>
      </c>
      <c r="C45" s="94">
        <f>'Balance Sheet'!G16+'Balance Sheet'!G22</f>
        <v>123550.1</v>
      </c>
      <c r="D45" s="94">
        <f>'Balance Sheet'!F16+'Balance Sheet'!F22</f>
        <v>140114.82</v>
      </c>
      <c r="E45" s="94">
        <f>'Balance Sheet'!E16+'Balance Sheet'!E22</f>
        <v>123453.57</v>
      </c>
      <c r="F45" s="94">
        <f>'Balance Sheet'!D16+'Balance Sheet'!D22</f>
        <v>142559.9</v>
      </c>
      <c r="G45" s="94">
        <f>'Balance Sheet'!C16+'Balance Sheet'!C22</f>
        <v>131822.38999999998</v>
      </c>
      <c r="I45" s="95"/>
      <c r="J45" s="89"/>
    </row>
    <row r="46" spans="2:10" ht="15" customHeight="1" x14ac:dyDescent="0.35">
      <c r="B46" s="90" t="s">
        <v>214</v>
      </c>
      <c r="C46" s="94">
        <f>'Balance Sheet'!G44</f>
        <v>1820.14</v>
      </c>
      <c r="D46" s="94">
        <f>'Balance Sheet'!F44</f>
        <v>2096.64</v>
      </c>
      <c r="E46" s="94">
        <f>'Balance Sheet'!E44</f>
        <v>3158.79</v>
      </c>
      <c r="F46" s="94">
        <f>'Balance Sheet'!D44</f>
        <v>3304.94</v>
      </c>
      <c r="G46" s="94">
        <f>'Balance Sheet'!C44</f>
        <v>4414.66</v>
      </c>
      <c r="I46" s="95"/>
      <c r="J46" s="89"/>
    </row>
    <row r="47" spans="2:10" ht="15" customHeight="1" x14ac:dyDescent="0.35">
      <c r="B47" s="90" t="s">
        <v>342</v>
      </c>
      <c r="C47" s="94">
        <f>Assumption!C44+Assumption!C45+Assumption!C46</f>
        <v>258905.42</v>
      </c>
      <c r="D47" s="94">
        <f>Assumption!D44+Assumption!D45+Assumption!D46</f>
        <v>281931.7</v>
      </c>
      <c r="E47" s="94">
        <f>Assumption!E44+Assumption!E45+Assumption!E46</f>
        <v>310028.62999999995</v>
      </c>
      <c r="F47" s="94">
        <f>Assumption!F44+Assumption!F45+Assumption!F46</f>
        <v>332352.15999999997</v>
      </c>
      <c r="G47" s="94">
        <f>Assumption!G44+Assumption!G45+Assumption!G46</f>
        <v>355754.59999999992</v>
      </c>
      <c r="I47" s="95"/>
      <c r="J47" s="89"/>
    </row>
    <row r="48" spans="2:10" ht="15" customHeight="1" x14ac:dyDescent="0.35">
      <c r="B48" s="90" t="s">
        <v>343</v>
      </c>
      <c r="C48" s="91">
        <f>Assumption!C16/Assumption!C47</f>
        <v>0.12077904742202744</v>
      </c>
      <c r="D48" s="91">
        <f>Assumption!D16/Assumption!D47</f>
        <v>5.0403165021882711E-2</v>
      </c>
      <c r="E48" s="91">
        <f>Assumption!E16/Assumption!E47</f>
        <v>0.17970879012044788</v>
      </c>
      <c r="F48" s="91">
        <f>Assumption!F16/Assumption!F47</f>
        <v>4.5062171402767408E-2</v>
      </c>
      <c r="G48" s="91">
        <f>Assumption!G16/Assumption!G47</f>
        <v>0.16801300671867636</v>
      </c>
      <c r="I48" s="95"/>
      <c r="J48" s="89"/>
    </row>
    <row r="49" spans="2:10" ht="15" customHeight="1" x14ac:dyDescent="0.35">
      <c r="B49" s="96" t="s">
        <v>344</v>
      </c>
      <c r="C49" s="100">
        <f>Assumption!C43/Assumption!C47</f>
        <v>9.0584285566520581E-2</v>
      </c>
      <c r="D49" s="100">
        <f>Assumption!D43/Assumption!D47</f>
        <v>3.7802373766412038E-2</v>
      </c>
      <c r="E49" s="100">
        <f>Assumption!E43/Assumption!E47</f>
        <v>0.1347815925903359</v>
      </c>
      <c r="F49" s="100">
        <f>Assumption!F43/Assumption!F47</f>
        <v>3.3796628552075554E-2</v>
      </c>
      <c r="G49" s="100">
        <f>Assumption!G43/Assumption!G47</f>
        <v>0.12600975503900727</v>
      </c>
      <c r="I49" s="92" t="s">
        <v>345</v>
      </c>
      <c r="J49" s="93">
        <f>AVERAGE(C49:G49)</f>
        <v>8.4594927102870268E-2</v>
      </c>
    </row>
    <row r="50" spans="2:10" ht="15" customHeight="1" x14ac:dyDescent="0.35">
      <c r="B50" s="90" t="s">
        <v>346</v>
      </c>
      <c r="C50" s="91">
        <f>Assumption!C24/Assumption!C44</f>
        <v>0.14784808018381324</v>
      </c>
      <c r="D50" s="91">
        <f>Assumption!D24/Assumption!D44</f>
        <v>4.0239266694645899E-2</v>
      </c>
      <c r="E50" s="91">
        <f>Assumption!E24/Assumption!E44</f>
        <v>0.19722334338169661</v>
      </c>
      <c r="F50" s="91">
        <f>Assumption!F24/Assumption!F44</f>
        <v>3.0901296667247811E-2</v>
      </c>
      <c r="G50" s="91">
        <f>Assumption!G24/Assumption!G44</f>
        <v>0.18335978148444174</v>
      </c>
      <c r="I50" s="92" t="s">
        <v>347</v>
      </c>
      <c r="J50" s="93">
        <f>AVERAGE(C50:G50)</f>
        <v>0.11991435368236907</v>
      </c>
    </row>
    <row r="51" spans="2:10" x14ac:dyDescent="0.35">
      <c r="I51" s="95"/>
      <c r="J51" s="89"/>
    </row>
    <row r="52" spans="2:10" ht="15" customHeight="1" x14ac:dyDescent="0.35">
      <c r="B52" s="276" t="s">
        <v>348</v>
      </c>
      <c r="C52" s="276"/>
      <c r="D52" s="276"/>
      <c r="E52" s="276"/>
      <c r="F52" s="276"/>
      <c r="G52" s="276"/>
      <c r="I52" s="95"/>
      <c r="J52" s="89"/>
    </row>
    <row r="53" spans="2:10" ht="15" customHeight="1" x14ac:dyDescent="0.35">
      <c r="B53" s="90" t="s">
        <v>349</v>
      </c>
      <c r="C53" s="91">
        <f>IF('Profit &amp; Loss'!G40=0,0,1-('Profit &amp; Loss'!G43/('Balance Sheet'!G9/10)/'Profit &amp; Loss'!G40))</f>
        <v>0.61108254983458665</v>
      </c>
      <c r="D53" s="91">
        <f>IF('Profit &amp; Loss'!F40=0,0,1-('Profit &amp; Loss'!F43/('Balance Sheet'!F9/10)/'Profit &amp; Loss'!F40))</f>
        <v>0.65712360421456562</v>
      </c>
      <c r="E53" s="91">
        <f>IF('Profit &amp; Loss'!E40=0,0,1-('Profit &amp; Loss'!E43/('Balance Sheet'!E9/10)/'Profit &amp; Loss'!E40))</f>
        <v>0.73332432926988655</v>
      </c>
      <c r="F53" s="91">
        <f>IF('Profit &amp; Loss'!D40=0,0,1-('Profit &amp; Loss'!D43/('Balance Sheet'!D9/10)/'Profit &amp; Loss'!D40))</f>
        <v>0.29998634867800011</v>
      </c>
      <c r="G53" s="91">
        <f>IF('Profit &amp; Loss'!C40=0,0,1-('Profit &amp; Loss'!C43/('Balance Sheet'!C9/10)/'Profit &amp; Loss'!C40))</f>
        <v>1</v>
      </c>
      <c r="I53" s="95"/>
      <c r="J53" s="89"/>
    </row>
    <row r="54" spans="2:10" ht="15" customHeight="1" x14ac:dyDescent="0.35">
      <c r="B54" s="96" t="s">
        <v>350</v>
      </c>
      <c r="C54" s="100">
        <f>Assumption!C53*Assumption!C49</f>
        <v>5.5354476198933744E-2</v>
      </c>
      <c r="D54" s="100">
        <f>Assumption!D53*Assumption!D49</f>
        <v>2.4840832097250822E-2</v>
      </c>
      <c r="E54" s="100">
        <f>Assumption!E53*Assumption!E49</f>
        <v>9.8838620984235181E-2</v>
      </c>
      <c r="F54" s="100">
        <f>Assumption!F53*Assumption!F49</f>
        <v>1.0138527196963792E-2</v>
      </c>
      <c r="G54" s="100">
        <f>Assumption!G53*Assumption!G49</f>
        <v>0.12600975503900727</v>
      </c>
      <c r="I54" s="101" t="s">
        <v>351</v>
      </c>
      <c r="J54" s="102">
        <f>AVERAGE(C54:G54)</f>
        <v>6.3036442303278165E-2</v>
      </c>
    </row>
    <row r="56" spans="2:10" ht="15" customHeight="1" x14ac:dyDescent="0.35">
      <c r="B56" s="276" t="s">
        <v>352</v>
      </c>
      <c r="C56" s="276"/>
      <c r="D56" s="276"/>
      <c r="E56" s="276"/>
      <c r="F56" s="276"/>
      <c r="G56" s="276"/>
    </row>
    <row r="57" spans="2:10" ht="15" customHeight="1" x14ac:dyDescent="0.35">
      <c r="B57" s="103" t="s">
        <v>283</v>
      </c>
      <c r="G57" s="104">
        <f>WACC!C10</f>
        <v>0.14417478178067727</v>
      </c>
    </row>
    <row r="58" spans="2:10" ht="15" customHeight="1" x14ac:dyDescent="0.35">
      <c r="B58" s="103" t="s">
        <v>353</v>
      </c>
      <c r="G58" s="104">
        <f>WACC!C19</f>
        <v>4.7267463440770575E-2</v>
      </c>
    </row>
    <row r="59" spans="2:10" ht="15" customHeight="1" x14ac:dyDescent="0.35">
      <c r="B59" s="103" t="s">
        <v>301</v>
      </c>
      <c r="G59" s="104">
        <f>WACC!C31</f>
        <v>0.60563428004739317</v>
      </c>
    </row>
    <row r="60" spans="2:10" ht="15" customHeight="1" x14ac:dyDescent="0.35">
      <c r="B60" s="103" t="s">
        <v>300</v>
      </c>
      <c r="G60" s="104">
        <f>WACC!C30</f>
        <v>0.39436571995260683</v>
      </c>
    </row>
    <row r="61" spans="2:10" ht="15" customHeight="1" x14ac:dyDescent="0.35">
      <c r="B61" s="96" t="s">
        <v>302</v>
      </c>
      <c r="G61" s="100">
        <f>WACC!C34</f>
        <v>0.10595785741488351</v>
      </c>
    </row>
  </sheetData>
  <mergeCells count="9">
    <mergeCell ref="B38:G38"/>
    <mergeCell ref="B42:G42"/>
    <mergeCell ref="B52:G52"/>
    <mergeCell ref="B56:G56"/>
    <mergeCell ref="B1:G1"/>
    <mergeCell ref="B2:G2"/>
    <mergeCell ref="B4:G4"/>
    <mergeCell ref="B27:G27"/>
    <mergeCell ref="B32:G3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N1102"/>
  <sheetViews>
    <sheetView showGridLines="0" zoomScale="76" zoomScaleNormal="76" workbookViewId="0">
      <selection activeCell="K8" sqref="K8"/>
    </sheetView>
  </sheetViews>
  <sheetFormatPr defaultColWidth="8.6328125" defaultRowHeight="14.5" x14ac:dyDescent="0.35"/>
  <cols>
    <col min="1" max="1" width="2.1796875" customWidth="1"/>
    <col min="2" max="2" width="10.08984375" customWidth="1"/>
    <col min="3" max="3" width="19" customWidth="1"/>
    <col min="4" max="4" width="18.26953125" customWidth="1"/>
    <col min="7" max="10" width="8.7265625" customWidth="1"/>
    <col min="11" max="11" width="12.08984375" customWidth="1"/>
  </cols>
  <sheetData>
    <row r="1" spans="2:7" ht="14.25" customHeight="1" x14ac:dyDescent="0.35">
      <c r="B1" s="105" t="s">
        <v>354</v>
      </c>
      <c r="C1" s="106" t="s">
        <v>355</v>
      </c>
      <c r="D1" s="106" t="s">
        <v>356</v>
      </c>
    </row>
    <row r="2" spans="2:7" ht="14.25" customHeight="1" x14ac:dyDescent="0.35">
      <c r="B2" s="107">
        <v>44565</v>
      </c>
      <c r="C2">
        <v>1.02</v>
      </c>
      <c r="D2">
        <v>0.97</v>
      </c>
    </row>
    <row r="3" spans="2:7" ht="14.25" customHeight="1" x14ac:dyDescent="0.35">
      <c r="B3" s="107">
        <v>44566</v>
      </c>
      <c r="C3">
        <v>0.67</v>
      </c>
      <c r="D3">
        <v>2.81</v>
      </c>
    </row>
    <row r="4" spans="2:7" ht="14.25" customHeight="1" x14ac:dyDescent="0.35">
      <c r="B4" s="107">
        <v>44567</v>
      </c>
      <c r="C4">
        <v>-1</v>
      </c>
      <c r="D4">
        <v>0</v>
      </c>
    </row>
    <row r="5" spans="2:7" ht="14.25" customHeight="1" x14ac:dyDescent="0.35">
      <c r="B5" s="107">
        <v>44568</v>
      </c>
      <c r="C5">
        <v>0.38</v>
      </c>
      <c r="D5">
        <v>1.07</v>
      </c>
      <c r="F5" s="108" t="s">
        <v>357</v>
      </c>
      <c r="G5" s="108">
        <f>G26</f>
        <v>1.0080673258645001</v>
      </c>
    </row>
    <row r="6" spans="2:7" ht="14.25" customHeight="1" x14ac:dyDescent="0.35">
      <c r="B6" s="107">
        <v>44571</v>
      </c>
      <c r="C6">
        <v>1.07</v>
      </c>
      <c r="D6">
        <v>1.01</v>
      </c>
    </row>
    <row r="7" spans="2:7" ht="14.25" customHeight="1" x14ac:dyDescent="0.35">
      <c r="B7" s="107">
        <v>44572</v>
      </c>
      <c r="C7">
        <v>0.28999999999999998</v>
      </c>
      <c r="D7">
        <v>-0.92</v>
      </c>
    </row>
    <row r="8" spans="2:7" ht="14.25" customHeight="1" x14ac:dyDescent="0.35">
      <c r="B8" s="107">
        <v>44573</v>
      </c>
      <c r="C8">
        <v>0.87</v>
      </c>
      <c r="D8">
        <v>0.46</v>
      </c>
    </row>
    <row r="9" spans="2:7" ht="14.25" customHeight="1" x14ac:dyDescent="0.35">
      <c r="B9" s="107">
        <v>44574</v>
      </c>
      <c r="C9">
        <v>0.25</v>
      </c>
      <c r="D9">
        <v>1.68</v>
      </c>
      <c r="F9" t="s">
        <v>358</v>
      </c>
    </row>
    <row r="10" spans="2:7" ht="14.25" customHeight="1" x14ac:dyDescent="0.35">
      <c r="B10" s="107">
        <v>44575</v>
      </c>
      <c r="C10">
        <v>-0.01</v>
      </c>
      <c r="D10">
        <v>1.77</v>
      </c>
    </row>
    <row r="11" spans="2:7" ht="14.25" customHeight="1" x14ac:dyDescent="0.35">
      <c r="B11" s="107">
        <v>44578</v>
      </c>
      <c r="C11">
        <v>0.28999999999999998</v>
      </c>
      <c r="D11">
        <v>0.36</v>
      </c>
      <c r="F11" s="280" t="s">
        <v>359</v>
      </c>
      <c r="G11" s="280"/>
    </row>
    <row r="12" spans="2:7" ht="14.25" customHeight="1" x14ac:dyDescent="0.35">
      <c r="B12" s="107">
        <v>44579</v>
      </c>
      <c r="C12">
        <v>-1.07</v>
      </c>
      <c r="D12">
        <v>0.16</v>
      </c>
      <c r="F12" t="s">
        <v>360</v>
      </c>
      <c r="G12">
        <v>0.50335145349403299</v>
      </c>
    </row>
    <row r="13" spans="2:7" ht="14.25" customHeight="1" x14ac:dyDescent="0.35">
      <c r="B13" s="107">
        <v>44580</v>
      </c>
      <c r="C13">
        <v>-0.96</v>
      </c>
      <c r="D13">
        <v>0.93</v>
      </c>
      <c r="F13" t="s">
        <v>361</v>
      </c>
      <c r="G13">
        <v>0.253362685734556</v>
      </c>
    </row>
    <row r="14" spans="2:7" ht="14.25" customHeight="1" x14ac:dyDescent="0.35">
      <c r="B14" s="107">
        <v>44581</v>
      </c>
      <c r="C14">
        <v>-1.01</v>
      </c>
      <c r="D14">
        <v>0.32</v>
      </c>
      <c r="F14" t="s">
        <v>362</v>
      </c>
      <c r="G14">
        <v>0.25268330692266699</v>
      </c>
    </row>
    <row r="15" spans="2:7" ht="14.25" customHeight="1" x14ac:dyDescent="0.35">
      <c r="B15" s="107">
        <v>44582</v>
      </c>
      <c r="C15">
        <v>-0.79</v>
      </c>
      <c r="D15">
        <v>-3.03</v>
      </c>
      <c r="F15" t="s">
        <v>363</v>
      </c>
      <c r="G15">
        <v>1.5184328645451699</v>
      </c>
    </row>
    <row r="16" spans="2:7" ht="14.25" customHeight="1" x14ac:dyDescent="0.35">
      <c r="B16" s="107">
        <v>44585</v>
      </c>
      <c r="C16">
        <v>-2.66</v>
      </c>
      <c r="D16">
        <v>-1.1100000000000001</v>
      </c>
      <c r="F16" s="110" t="s">
        <v>364</v>
      </c>
      <c r="G16" s="110">
        <v>1101</v>
      </c>
    </row>
    <row r="17" spans="2:14" ht="14.25" customHeight="1" x14ac:dyDescent="0.35">
      <c r="B17" s="107">
        <v>44586</v>
      </c>
      <c r="C17">
        <v>0.75</v>
      </c>
      <c r="D17">
        <v>0.91</v>
      </c>
    </row>
    <row r="18" spans="2:14" ht="14.25" customHeight="1" x14ac:dyDescent="0.35">
      <c r="B18" s="107">
        <v>44588</v>
      </c>
      <c r="C18">
        <v>-0.97</v>
      </c>
      <c r="D18">
        <v>1.03</v>
      </c>
      <c r="F18" t="s">
        <v>365</v>
      </c>
    </row>
    <row r="19" spans="2:14" ht="14.25" customHeight="1" x14ac:dyDescent="0.35">
      <c r="B19" s="107">
        <v>44589</v>
      </c>
      <c r="C19">
        <v>-0.05</v>
      </c>
      <c r="D19">
        <v>1.1399999999999999</v>
      </c>
      <c r="F19" s="109"/>
      <c r="G19" s="109" t="s">
        <v>366</v>
      </c>
      <c r="H19" s="109" t="s">
        <v>367</v>
      </c>
      <c r="I19" s="109" t="s">
        <v>368</v>
      </c>
      <c r="J19" s="109" t="s">
        <v>369</v>
      </c>
      <c r="K19" s="109" t="s">
        <v>370</v>
      </c>
    </row>
    <row r="20" spans="2:14" ht="14.25" customHeight="1" x14ac:dyDescent="0.35">
      <c r="B20" s="107">
        <v>44592</v>
      </c>
      <c r="C20">
        <v>1.39</v>
      </c>
      <c r="D20">
        <v>0.89</v>
      </c>
      <c r="F20" t="s">
        <v>371</v>
      </c>
      <c r="G20">
        <v>1</v>
      </c>
      <c r="H20">
        <v>859.84831738423895</v>
      </c>
      <c r="I20">
        <v>859.84831738423895</v>
      </c>
      <c r="J20">
        <v>372.93286352319001</v>
      </c>
      <c r="K20">
        <v>8.95553074222527E-72</v>
      </c>
    </row>
    <row r="21" spans="2:14" ht="14.25" customHeight="1" x14ac:dyDescent="0.35">
      <c r="B21" s="107">
        <v>44593</v>
      </c>
      <c r="C21">
        <v>1.37</v>
      </c>
      <c r="D21">
        <v>-2.76</v>
      </c>
      <c r="F21" t="s">
        <v>372</v>
      </c>
      <c r="G21">
        <v>1099</v>
      </c>
      <c r="H21">
        <v>2533.8965621798002</v>
      </c>
      <c r="I21">
        <v>2.3056383641308398</v>
      </c>
    </row>
    <row r="22" spans="2:14" ht="14.25" customHeight="1" x14ac:dyDescent="0.35">
      <c r="B22" s="107">
        <v>44594</v>
      </c>
      <c r="C22">
        <v>1.1599999999999999</v>
      </c>
      <c r="D22">
        <v>2.2200000000000002</v>
      </c>
      <c r="F22" s="110" t="s">
        <v>373</v>
      </c>
      <c r="G22" s="110">
        <v>1100</v>
      </c>
      <c r="H22" s="110">
        <v>3393.7448795640298</v>
      </c>
      <c r="I22" s="110"/>
      <c r="J22" s="110"/>
      <c r="K22" s="110"/>
    </row>
    <row r="23" spans="2:14" ht="14.25" customHeight="1" x14ac:dyDescent="0.35">
      <c r="B23" s="107">
        <v>44595</v>
      </c>
      <c r="C23">
        <v>-1.24</v>
      </c>
      <c r="D23">
        <v>0.16</v>
      </c>
    </row>
    <row r="24" spans="2:14" ht="14.25" customHeight="1" x14ac:dyDescent="0.35">
      <c r="B24" s="107">
        <v>44596</v>
      </c>
      <c r="C24">
        <v>-0.25</v>
      </c>
      <c r="D24">
        <v>-0.4</v>
      </c>
      <c r="F24" s="109"/>
      <c r="G24" s="109" t="s">
        <v>374</v>
      </c>
      <c r="H24" s="109" t="s">
        <v>363</v>
      </c>
      <c r="I24" s="109" t="s">
        <v>375</v>
      </c>
      <c r="J24" s="109" t="s">
        <v>376</v>
      </c>
      <c r="K24" s="109" t="s">
        <v>377</v>
      </c>
      <c r="L24" s="109" t="s">
        <v>378</v>
      </c>
      <c r="M24" s="109" t="s">
        <v>379</v>
      </c>
      <c r="N24" s="109" t="s">
        <v>380</v>
      </c>
    </row>
    <row r="25" spans="2:14" ht="14.25" customHeight="1" x14ac:dyDescent="0.35">
      <c r="B25" s="107">
        <v>44599</v>
      </c>
      <c r="C25">
        <v>-1.73</v>
      </c>
      <c r="D25">
        <v>-1.01</v>
      </c>
      <c r="F25" t="s">
        <v>381</v>
      </c>
      <c r="G25">
        <v>6.7918738420152294E-2</v>
      </c>
      <c r="H25">
        <v>4.5791565780142998E-2</v>
      </c>
      <c r="I25">
        <v>1.4832150258029499</v>
      </c>
      <c r="J25">
        <v>0.138303996059572</v>
      </c>
      <c r="K25">
        <v>-2.1930032819544001E-2</v>
      </c>
      <c r="L25">
        <v>0.15776750965984901</v>
      </c>
      <c r="M25">
        <v>-2.1930032819544001E-2</v>
      </c>
      <c r="N25">
        <v>0.15776750965984901</v>
      </c>
    </row>
    <row r="26" spans="2:14" ht="14.25" customHeight="1" x14ac:dyDescent="0.35">
      <c r="B26" s="107">
        <v>44600</v>
      </c>
      <c r="C26">
        <v>0.31</v>
      </c>
      <c r="D26">
        <v>-1.26</v>
      </c>
      <c r="F26" s="110" t="s">
        <v>382</v>
      </c>
      <c r="G26" s="110">
        <v>1.0080673258645001</v>
      </c>
      <c r="H26" s="110">
        <v>5.2200445612419301E-2</v>
      </c>
      <c r="I26" s="110">
        <v>19.311469740110098</v>
      </c>
      <c r="J26" s="110">
        <v>8.9555307422303804E-72</v>
      </c>
      <c r="K26" s="110">
        <v>0.90564353195102998</v>
      </c>
      <c r="L26" s="110">
        <v>1.1104911197779701</v>
      </c>
      <c r="M26" s="110">
        <v>0.90564353195102998</v>
      </c>
      <c r="N26" s="110">
        <v>1.1104911197779701</v>
      </c>
    </row>
    <row r="27" spans="2:14" ht="14.25" customHeight="1" x14ac:dyDescent="0.35">
      <c r="B27" s="107">
        <v>44601</v>
      </c>
      <c r="C27">
        <v>1.1399999999999999</v>
      </c>
      <c r="D27">
        <v>3.15</v>
      </c>
    </row>
    <row r="28" spans="2:14" ht="14.25" customHeight="1" x14ac:dyDescent="0.35">
      <c r="B28" s="107">
        <v>44602</v>
      </c>
      <c r="C28">
        <v>0.81</v>
      </c>
      <c r="D28">
        <v>-0.91</v>
      </c>
    </row>
    <row r="29" spans="2:14" ht="14.25" customHeight="1" x14ac:dyDescent="0.35">
      <c r="B29" s="107">
        <v>44603</v>
      </c>
      <c r="C29">
        <v>-1.31</v>
      </c>
      <c r="D29">
        <v>1.75</v>
      </c>
    </row>
    <row r="30" spans="2:14" ht="14.25" customHeight="1" x14ac:dyDescent="0.35">
      <c r="B30" s="107">
        <v>44606</v>
      </c>
      <c r="C30">
        <v>-3.06</v>
      </c>
      <c r="D30">
        <v>-4.51</v>
      </c>
    </row>
    <row r="31" spans="2:14" ht="14.25" customHeight="1" x14ac:dyDescent="0.35">
      <c r="B31" s="107">
        <v>44607</v>
      </c>
      <c r="C31">
        <v>3.03</v>
      </c>
      <c r="D31">
        <v>1.89</v>
      </c>
    </row>
    <row r="32" spans="2:14" ht="14.25" customHeight="1" x14ac:dyDescent="0.35">
      <c r="B32" s="107">
        <v>44608</v>
      </c>
      <c r="C32">
        <v>-0.17</v>
      </c>
      <c r="D32">
        <v>2.3199999999999998</v>
      </c>
    </row>
    <row r="33" spans="2:4" ht="14.25" customHeight="1" x14ac:dyDescent="0.35">
      <c r="B33" s="107">
        <v>44609</v>
      </c>
      <c r="C33">
        <v>-0.1</v>
      </c>
      <c r="D33">
        <v>-0.08</v>
      </c>
    </row>
    <row r="34" spans="2:4" ht="14.25" customHeight="1" x14ac:dyDescent="0.35">
      <c r="B34" s="107">
        <v>44610</v>
      </c>
      <c r="C34">
        <v>-0.16</v>
      </c>
      <c r="D34">
        <v>-0.21</v>
      </c>
    </row>
    <row r="35" spans="2:4" ht="14.25" customHeight="1" x14ac:dyDescent="0.35">
      <c r="B35" s="107">
        <v>44613</v>
      </c>
      <c r="C35">
        <v>-0.4</v>
      </c>
      <c r="D35">
        <v>-1.61</v>
      </c>
    </row>
    <row r="36" spans="2:4" ht="14.25" customHeight="1" x14ac:dyDescent="0.35">
      <c r="B36" s="107">
        <v>44614</v>
      </c>
      <c r="C36">
        <v>-0.67</v>
      </c>
      <c r="D36">
        <v>-1.76</v>
      </c>
    </row>
    <row r="37" spans="2:4" ht="14.25" customHeight="1" x14ac:dyDescent="0.35">
      <c r="B37" s="107">
        <v>44615</v>
      </c>
      <c r="C37">
        <v>-0.17</v>
      </c>
      <c r="D37">
        <v>0.04</v>
      </c>
    </row>
    <row r="38" spans="2:4" ht="14.25" customHeight="1" x14ac:dyDescent="0.35">
      <c r="B38" s="107">
        <v>44616</v>
      </c>
      <c r="C38">
        <v>-4.78</v>
      </c>
      <c r="D38">
        <v>-6.1</v>
      </c>
    </row>
    <row r="39" spans="2:4" ht="14.25" customHeight="1" x14ac:dyDescent="0.35">
      <c r="B39" s="107">
        <v>44617</v>
      </c>
      <c r="C39">
        <v>2.5299999999999998</v>
      </c>
      <c r="D39">
        <v>2.14</v>
      </c>
    </row>
    <row r="40" spans="2:4" ht="14.25" customHeight="1" x14ac:dyDescent="0.35">
      <c r="B40" s="107">
        <v>44620</v>
      </c>
      <c r="C40">
        <v>0.81</v>
      </c>
      <c r="D40">
        <v>2.36</v>
      </c>
    </row>
    <row r="41" spans="2:4" ht="14.25" customHeight="1" x14ac:dyDescent="0.35">
      <c r="B41" s="107">
        <v>44622</v>
      </c>
      <c r="C41">
        <v>-1.1200000000000001</v>
      </c>
      <c r="D41">
        <v>-2.39</v>
      </c>
    </row>
    <row r="42" spans="2:4" ht="14.25" customHeight="1" x14ac:dyDescent="0.35">
      <c r="B42" s="107">
        <v>44623</v>
      </c>
      <c r="C42">
        <v>-0.65</v>
      </c>
      <c r="D42">
        <v>2.14</v>
      </c>
    </row>
    <row r="43" spans="2:4" ht="14.25" customHeight="1" x14ac:dyDescent="0.35">
      <c r="B43" s="107">
        <v>44624</v>
      </c>
      <c r="C43">
        <v>-1.53</v>
      </c>
      <c r="D43">
        <v>-1.22</v>
      </c>
    </row>
    <row r="44" spans="2:4" ht="14.25" customHeight="1" x14ac:dyDescent="0.35">
      <c r="B44" s="107">
        <v>44627</v>
      </c>
      <c r="C44">
        <v>-2.35</v>
      </c>
      <c r="D44">
        <v>-0.88</v>
      </c>
    </row>
    <row r="45" spans="2:4" ht="14.25" customHeight="1" x14ac:dyDescent="0.35">
      <c r="B45" s="107">
        <v>44628</v>
      </c>
      <c r="C45">
        <v>0.95</v>
      </c>
      <c r="D45">
        <v>4.28</v>
      </c>
    </row>
    <row r="46" spans="2:4" ht="14.25" customHeight="1" x14ac:dyDescent="0.35">
      <c r="B46" s="107">
        <v>44629</v>
      </c>
      <c r="C46">
        <v>2.0699999999999998</v>
      </c>
      <c r="D46">
        <v>-0.09</v>
      </c>
    </row>
    <row r="47" spans="2:4" ht="14.25" customHeight="1" x14ac:dyDescent="0.35">
      <c r="B47" s="107">
        <v>44630</v>
      </c>
      <c r="C47">
        <v>1.53</v>
      </c>
      <c r="D47">
        <v>3.42</v>
      </c>
    </row>
    <row r="48" spans="2:4" ht="14.25" customHeight="1" x14ac:dyDescent="0.35">
      <c r="B48" s="107">
        <v>44631</v>
      </c>
      <c r="C48">
        <v>0.21</v>
      </c>
      <c r="D48">
        <v>2.27</v>
      </c>
    </row>
    <row r="49" spans="2:4" ht="14.25" customHeight="1" x14ac:dyDescent="0.35">
      <c r="B49" s="107">
        <v>44634</v>
      </c>
      <c r="C49">
        <v>1.45</v>
      </c>
      <c r="D49">
        <v>-2.34</v>
      </c>
    </row>
    <row r="50" spans="2:4" ht="14.25" customHeight="1" x14ac:dyDescent="0.35">
      <c r="B50" s="107">
        <v>44635</v>
      </c>
      <c r="C50">
        <v>-1.23</v>
      </c>
      <c r="D50">
        <v>-1.49</v>
      </c>
    </row>
    <row r="51" spans="2:4" ht="14.25" customHeight="1" x14ac:dyDescent="0.35">
      <c r="B51" s="107">
        <v>44636</v>
      </c>
      <c r="C51">
        <v>1.87</v>
      </c>
      <c r="D51">
        <v>2.48</v>
      </c>
    </row>
    <row r="52" spans="2:4" ht="14.25" customHeight="1" x14ac:dyDescent="0.35">
      <c r="B52" s="107">
        <v>44637</v>
      </c>
      <c r="C52">
        <v>1.84</v>
      </c>
      <c r="D52">
        <v>-0.49</v>
      </c>
    </row>
    <row r="53" spans="2:4" ht="14.25" customHeight="1" x14ac:dyDescent="0.35">
      <c r="B53" s="107">
        <v>44641</v>
      </c>
      <c r="C53">
        <v>-0.98</v>
      </c>
      <c r="D53">
        <v>-2.76</v>
      </c>
    </row>
    <row r="54" spans="2:4" ht="14.25" customHeight="1" x14ac:dyDescent="0.35">
      <c r="B54" s="107">
        <v>44642</v>
      </c>
      <c r="C54">
        <v>1.1599999999999999</v>
      </c>
      <c r="D54">
        <v>2.25</v>
      </c>
    </row>
    <row r="55" spans="2:4" ht="14.25" customHeight="1" x14ac:dyDescent="0.35">
      <c r="B55" s="107">
        <v>44643</v>
      </c>
      <c r="C55">
        <v>-0.4</v>
      </c>
      <c r="D55">
        <v>0.87</v>
      </c>
    </row>
    <row r="56" spans="2:4" ht="14.25" customHeight="1" x14ac:dyDescent="0.35">
      <c r="B56" s="107">
        <v>44644</v>
      </c>
      <c r="C56">
        <v>-0.13</v>
      </c>
      <c r="D56">
        <v>-0.9</v>
      </c>
    </row>
    <row r="57" spans="2:4" ht="14.25" customHeight="1" x14ac:dyDescent="0.35">
      <c r="B57" s="107">
        <v>44645</v>
      </c>
      <c r="C57">
        <v>-0.4</v>
      </c>
      <c r="D57">
        <v>-1.49</v>
      </c>
    </row>
    <row r="58" spans="2:4" ht="14.25" customHeight="1" x14ac:dyDescent="0.35">
      <c r="B58" s="107">
        <v>44648</v>
      </c>
      <c r="C58">
        <v>0.4</v>
      </c>
      <c r="D58">
        <v>0.97</v>
      </c>
    </row>
    <row r="59" spans="2:4" ht="14.25" customHeight="1" x14ac:dyDescent="0.35">
      <c r="B59" s="107">
        <v>44649</v>
      </c>
      <c r="C59">
        <v>0.6</v>
      </c>
      <c r="D59">
        <v>-1.38</v>
      </c>
    </row>
    <row r="60" spans="2:4" ht="14.25" customHeight="1" x14ac:dyDescent="0.35">
      <c r="B60" s="107">
        <v>44650</v>
      </c>
      <c r="C60">
        <v>1</v>
      </c>
      <c r="D60">
        <v>-0.93</v>
      </c>
    </row>
    <row r="61" spans="2:4" ht="14.25" customHeight="1" x14ac:dyDescent="0.35">
      <c r="B61" s="107">
        <v>44651</v>
      </c>
      <c r="C61">
        <v>-0.19</v>
      </c>
      <c r="D61">
        <v>1.49</v>
      </c>
    </row>
    <row r="62" spans="2:4" ht="14.25" customHeight="1" x14ac:dyDescent="0.35">
      <c r="B62" s="107">
        <v>44652</v>
      </c>
      <c r="C62">
        <v>1.18</v>
      </c>
      <c r="D62">
        <v>2.65</v>
      </c>
    </row>
    <row r="63" spans="2:4" ht="14.25" customHeight="1" x14ac:dyDescent="0.35">
      <c r="B63" s="107">
        <v>44655</v>
      </c>
      <c r="C63">
        <v>2.17</v>
      </c>
      <c r="D63">
        <v>0.16</v>
      </c>
    </row>
    <row r="64" spans="2:4" ht="14.25" customHeight="1" x14ac:dyDescent="0.35">
      <c r="B64" s="107">
        <v>44656</v>
      </c>
      <c r="C64">
        <v>-0.53</v>
      </c>
      <c r="D64">
        <v>0.28999999999999998</v>
      </c>
    </row>
    <row r="65" spans="2:4" ht="14.25" customHeight="1" x14ac:dyDescent="0.35">
      <c r="B65" s="107">
        <v>44657</v>
      </c>
      <c r="C65">
        <v>-0.83</v>
      </c>
      <c r="D65">
        <v>2.77</v>
      </c>
    </row>
    <row r="66" spans="2:4" ht="14.25" customHeight="1" x14ac:dyDescent="0.35">
      <c r="B66" s="107">
        <v>44658</v>
      </c>
      <c r="C66">
        <v>-0.94</v>
      </c>
      <c r="D66">
        <v>-1.98</v>
      </c>
    </row>
    <row r="67" spans="2:4" ht="14.25" customHeight="1" x14ac:dyDescent="0.35">
      <c r="B67" s="107">
        <v>44659</v>
      </c>
      <c r="C67">
        <v>0.82</v>
      </c>
      <c r="D67">
        <v>2.75</v>
      </c>
    </row>
    <row r="68" spans="2:4" ht="14.25" customHeight="1" x14ac:dyDescent="0.35">
      <c r="B68" s="107">
        <v>44662</v>
      </c>
      <c r="C68">
        <v>-0.62</v>
      </c>
      <c r="D68">
        <v>1.5</v>
      </c>
    </row>
    <row r="69" spans="2:4" ht="14.25" customHeight="1" x14ac:dyDescent="0.35">
      <c r="B69" s="107">
        <v>44663</v>
      </c>
      <c r="C69">
        <v>-0.82</v>
      </c>
      <c r="D69">
        <v>-2.17</v>
      </c>
    </row>
    <row r="70" spans="2:4" ht="14.25" customHeight="1" x14ac:dyDescent="0.35">
      <c r="B70" s="107">
        <v>44664</v>
      </c>
      <c r="C70">
        <v>-0.31</v>
      </c>
      <c r="D70">
        <v>1.47</v>
      </c>
    </row>
    <row r="71" spans="2:4" ht="14.25" customHeight="1" x14ac:dyDescent="0.35">
      <c r="B71" s="107">
        <v>44669</v>
      </c>
      <c r="C71">
        <v>-1.73</v>
      </c>
      <c r="D71">
        <v>0.16</v>
      </c>
    </row>
    <row r="72" spans="2:4" ht="14.25" customHeight="1" x14ac:dyDescent="0.35">
      <c r="B72" s="107">
        <v>44670</v>
      </c>
      <c r="C72">
        <v>-1.25</v>
      </c>
      <c r="D72">
        <v>1.72</v>
      </c>
    </row>
    <row r="73" spans="2:4" ht="14.25" customHeight="1" x14ac:dyDescent="0.35">
      <c r="B73" s="107">
        <v>44671</v>
      </c>
      <c r="C73">
        <v>1.05</v>
      </c>
      <c r="D73">
        <v>2.38</v>
      </c>
    </row>
    <row r="74" spans="2:4" ht="14.25" customHeight="1" x14ac:dyDescent="0.35">
      <c r="B74" s="107">
        <v>44672</v>
      </c>
      <c r="C74">
        <v>1.49</v>
      </c>
      <c r="D74">
        <v>1.24</v>
      </c>
    </row>
    <row r="75" spans="2:4" ht="14.25" customHeight="1" x14ac:dyDescent="0.35">
      <c r="B75" s="107">
        <v>44673</v>
      </c>
      <c r="C75">
        <v>-1.27</v>
      </c>
      <c r="D75">
        <v>-0.52</v>
      </c>
    </row>
    <row r="76" spans="2:4" ht="14.25" customHeight="1" x14ac:dyDescent="0.35">
      <c r="B76" s="107">
        <v>44676</v>
      </c>
      <c r="C76">
        <v>-1.27</v>
      </c>
      <c r="D76">
        <v>-4.91</v>
      </c>
    </row>
    <row r="77" spans="2:4" ht="14.25" customHeight="1" x14ac:dyDescent="0.35">
      <c r="B77" s="107">
        <v>44677</v>
      </c>
      <c r="C77">
        <v>1.46</v>
      </c>
      <c r="D77">
        <v>1.02</v>
      </c>
    </row>
    <row r="78" spans="2:4" ht="14.25" customHeight="1" x14ac:dyDescent="0.35">
      <c r="B78" s="107">
        <v>44678</v>
      </c>
      <c r="C78">
        <v>-0.94</v>
      </c>
      <c r="D78">
        <v>-1.32</v>
      </c>
    </row>
    <row r="79" spans="2:4" ht="14.25" customHeight="1" x14ac:dyDescent="0.35">
      <c r="B79" s="107">
        <v>44679</v>
      </c>
      <c r="C79">
        <v>1.21</v>
      </c>
      <c r="D79">
        <v>2.04</v>
      </c>
    </row>
    <row r="80" spans="2:4" ht="14.25" customHeight="1" x14ac:dyDescent="0.35">
      <c r="B80" s="107">
        <v>44680</v>
      </c>
      <c r="C80">
        <v>-0.83</v>
      </c>
      <c r="D80">
        <v>-3.04</v>
      </c>
    </row>
    <row r="81" spans="2:4" ht="14.25" customHeight="1" x14ac:dyDescent="0.35">
      <c r="B81" s="107">
        <v>44683</v>
      </c>
      <c r="C81">
        <v>-0.2</v>
      </c>
      <c r="D81">
        <v>0.52</v>
      </c>
    </row>
    <row r="82" spans="2:4" ht="14.25" customHeight="1" x14ac:dyDescent="0.35">
      <c r="B82" s="107">
        <v>44685</v>
      </c>
      <c r="C82">
        <v>-2.29</v>
      </c>
      <c r="D82">
        <v>-0.63</v>
      </c>
    </row>
    <row r="83" spans="2:4" ht="14.25" customHeight="1" x14ac:dyDescent="0.35">
      <c r="B83" s="107">
        <v>44686</v>
      </c>
      <c r="C83">
        <v>0.03</v>
      </c>
      <c r="D83">
        <v>-0.12</v>
      </c>
    </row>
    <row r="84" spans="2:4" ht="14.25" customHeight="1" x14ac:dyDescent="0.35">
      <c r="B84" s="107">
        <v>44687</v>
      </c>
      <c r="C84">
        <v>-1.63</v>
      </c>
      <c r="D84">
        <v>0.44</v>
      </c>
    </row>
    <row r="85" spans="2:4" ht="14.25" customHeight="1" x14ac:dyDescent="0.35">
      <c r="B85" s="107">
        <v>44690</v>
      </c>
      <c r="C85">
        <v>-0.67</v>
      </c>
      <c r="D85">
        <v>-1.78</v>
      </c>
    </row>
    <row r="86" spans="2:4" ht="14.25" customHeight="1" x14ac:dyDescent="0.35">
      <c r="B86" s="107">
        <v>44691</v>
      </c>
      <c r="C86">
        <v>-0.38</v>
      </c>
      <c r="D86">
        <v>-1.61</v>
      </c>
    </row>
    <row r="87" spans="2:4" ht="14.25" customHeight="1" x14ac:dyDescent="0.35">
      <c r="B87" s="107">
        <v>44692</v>
      </c>
      <c r="C87">
        <v>-0.45</v>
      </c>
      <c r="D87">
        <v>-1.27</v>
      </c>
    </row>
    <row r="88" spans="2:4" ht="14.25" customHeight="1" x14ac:dyDescent="0.35">
      <c r="B88" s="107">
        <v>44693</v>
      </c>
      <c r="C88">
        <v>-2.2200000000000002</v>
      </c>
      <c r="D88">
        <v>1.37</v>
      </c>
    </row>
    <row r="89" spans="2:4" ht="14.25" customHeight="1" x14ac:dyDescent="0.35">
      <c r="B89" s="107">
        <v>44694</v>
      </c>
      <c r="C89">
        <v>-0.16</v>
      </c>
      <c r="D89">
        <v>-0.66</v>
      </c>
    </row>
    <row r="90" spans="2:4" ht="14.25" customHeight="1" x14ac:dyDescent="0.35">
      <c r="B90" s="107">
        <v>44697</v>
      </c>
      <c r="C90">
        <v>0.38</v>
      </c>
      <c r="D90">
        <v>0.66</v>
      </c>
    </row>
    <row r="91" spans="2:4" ht="14.25" customHeight="1" x14ac:dyDescent="0.35">
      <c r="B91" s="107">
        <v>44698</v>
      </c>
      <c r="C91">
        <v>2.63</v>
      </c>
      <c r="D91">
        <v>1.88</v>
      </c>
    </row>
    <row r="92" spans="2:4" ht="14.25" customHeight="1" x14ac:dyDescent="0.35">
      <c r="B92" s="107">
        <v>44699</v>
      </c>
      <c r="C92">
        <v>-0.12</v>
      </c>
      <c r="D92">
        <v>-5.0999999999999996</v>
      </c>
    </row>
    <row r="93" spans="2:4" ht="14.25" customHeight="1" x14ac:dyDescent="0.35">
      <c r="B93" s="107">
        <v>44700</v>
      </c>
      <c r="C93">
        <v>-2.65</v>
      </c>
      <c r="D93">
        <v>-0.68</v>
      </c>
    </row>
    <row r="94" spans="2:4" ht="14.25" customHeight="1" x14ac:dyDescent="0.35">
      <c r="B94" s="107">
        <v>44701</v>
      </c>
      <c r="C94">
        <v>2.89</v>
      </c>
      <c r="D94">
        <v>-0.26</v>
      </c>
    </row>
    <row r="95" spans="2:4" ht="14.25" customHeight="1" x14ac:dyDescent="0.35">
      <c r="B95" s="107">
        <v>44704</v>
      </c>
      <c r="C95">
        <v>-0.32</v>
      </c>
      <c r="D95">
        <v>0.64</v>
      </c>
    </row>
    <row r="96" spans="2:4" ht="14.25" customHeight="1" x14ac:dyDescent="0.35">
      <c r="B96" s="107">
        <v>44705</v>
      </c>
      <c r="C96">
        <v>-0.55000000000000004</v>
      </c>
      <c r="D96">
        <v>0.85</v>
      </c>
    </row>
    <row r="97" spans="2:4" ht="14.25" customHeight="1" x14ac:dyDescent="0.35">
      <c r="B97" s="107">
        <v>44706</v>
      </c>
      <c r="C97">
        <v>-0.62</v>
      </c>
      <c r="D97">
        <v>-3.29</v>
      </c>
    </row>
    <row r="98" spans="2:4" ht="14.25" customHeight="1" x14ac:dyDescent="0.35">
      <c r="B98" s="107">
        <v>44707</v>
      </c>
      <c r="C98">
        <v>0.9</v>
      </c>
      <c r="D98">
        <v>-0.52</v>
      </c>
    </row>
    <row r="99" spans="2:4" ht="14.25" customHeight="1" x14ac:dyDescent="0.35">
      <c r="B99" s="107">
        <v>44708</v>
      </c>
      <c r="C99">
        <v>1.1299999999999999</v>
      </c>
      <c r="D99">
        <v>-0.04</v>
      </c>
    </row>
    <row r="100" spans="2:4" ht="14.25" customHeight="1" x14ac:dyDescent="0.35">
      <c r="B100" s="107">
        <v>44711</v>
      </c>
      <c r="C100">
        <v>1.89</v>
      </c>
      <c r="D100">
        <v>1.71</v>
      </c>
    </row>
    <row r="101" spans="2:4" ht="14.25" customHeight="1" x14ac:dyDescent="0.35">
      <c r="B101" s="107">
        <v>44712</v>
      </c>
      <c r="C101">
        <v>-0.46</v>
      </c>
      <c r="D101">
        <v>-0.09</v>
      </c>
    </row>
    <row r="102" spans="2:4" ht="14.25" customHeight="1" x14ac:dyDescent="0.35">
      <c r="B102" s="107">
        <v>44713</v>
      </c>
      <c r="C102">
        <v>-0.37</v>
      </c>
      <c r="D102">
        <v>1.9</v>
      </c>
    </row>
    <row r="103" spans="2:4" ht="14.25" customHeight="1" x14ac:dyDescent="0.35">
      <c r="B103" s="107">
        <v>44714</v>
      </c>
      <c r="C103">
        <v>0.64</v>
      </c>
      <c r="D103">
        <v>-0.47</v>
      </c>
    </row>
    <row r="104" spans="2:4" ht="14.25" customHeight="1" x14ac:dyDescent="0.35">
      <c r="B104" s="107">
        <v>44715</v>
      </c>
      <c r="C104">
        <v>-0.26</v>
      </c>
      <c r="D104">
        <v>0.55000000000000004</v>
      </c>
    </row>
    <row r="105" spans="2:4" ht="14.25" customHeight="1" x14ac:dyDescent="0.35">
      <c r="B105" s="107">
        <v>44718</v>
      </c>
      <c r="C105">
        <v>-0.09</v>
      </c>
      <c r="D105">
        <v>-0.63</v>
      </c>
    </row>
    <row r="106" spans="2:4" ht="14.25" customHeight="1" x14ac:dyDescent="0.35">
      <c r="B106" s="107">
        <v>44719</v>
      </c>
      <c r="C106">
        <v>-0.92</v>
      </c>
      <c r="D106">
        <v>0.55000000000000004</v>
      </c>
    </row>
    <row r="107" spans="2:4" ht="14.25" customHeight="1" x14ac:dyDescent="0.35">
      <c r="B107" s="107">
        <v>44720</v>
      </c>
      <c r="C107">
        <v>-0.37</v>
      </c>
      <c r="D107">
        <v>-0.17</v>
      </c>
    </row>
    <row r="108" spans="2:4" ht="14.25" customHeight="1" x14ac:dyDescent="0.35">
      <c r="B108" s="107">
        <v>44721</v>
      </c>
      <c r="C108">
        <v>0.74</v>
      </c>
      <c r="D108">
        <v>0.25</v>
      </c>
    </row>
    <row r="109" spans="2:4" ht="14.25" customHeight="1" x14ac:dyDescent="0.35">
      <c r="B109" s="107">
        <v>44722</v>
      </c>
      <c r="C109">
        <v>-1.68</v>
      </c>
      <c r="D109">
        <v>-0.89</v>
      </c>
    </row>
    <row r="110" spans="2:4" ht="14.25" customHeight="1" x14ac:dyDescent="0.35">
      <c r="B110" s="107">
        <v>44725</v>
      </c>
      <c r="C110">
        <v>-2.64</v>
      </c>
      <c r="D110">
        <v>-3.11</v>
      </c>
    </row>
    <row r="111" spans="2:4" ht="14.25" customHeight="1" x14ac:dyDescent="0.35">
      <c r="B111" s="107">
        <v>44726</v>
      </c>
      <c r="C111">
        <v>-0.27</v>
      </c>
      <c r="D111">
        <v>-2.95</v>
      </c>
    </row>
    <row r="112" spans="2:4" ht="14.25" customHeight="1" x14ac:dyDescent="0.35">
      <c r="B112" s="107">
        <v>44727</v>
      </c>
      <c r="C112">
        <v>-0.25</v>
      </c>
      <c r="D112">
        <v>-0.95</v>
      </c>
    </row>
    <row r="113" spans="2:4" ht="14.25" customHeight="1" x14ac:dyDescent="0.35">
      <c r="B113" s="107">
        <v>44728</v>
      </c>
      <c r="C113">
        <v>-2.11</v>
      </c>
      <c r="D113">
        <v>-0.96</v>
      </c>
    </row>
    <row r="114" spans="2:4" ht="14.25" customHeight="1" x14ac:dyDescent="0.35">
      <c r="B114" s="107">
        <v>44729</v>
      </c>
      <c r="C114">
        <v>-0.44</v>
      </c>
      <c r="D114">
        <v>-3.65</v>
      </c>
    </row>
    <row r="115" spans="2:4" ht="14.25" customHeight="1" x14ac:dyDescent="0.35">
      <c r="B115" s="107">
        <v>44732</v>
      </c>
      <c r="C115">
        <v>0.37</v>
      </c>
      <c r="D115">
        <v>-1.1000000000000001</v>
      </c>
    </row>
    <row r="116" spans="2:4" ht="14.25" customHeight="1" x14ac:dyDescent="0.35">
      <c r="B116" s="107">
        <v>44733</v>
      </c>
      <c r="C116">
        <v>1.88</v>
      </c>
      <c r="D116">
        <v>2.62</v>
      </c>
    </row>
    <row r="117" spans="2:4" ht="14.25" customHeight="1" x14ac:dyDescent="0.35">
      <c r="B117" s="107">
        <v>44734</v>
      </c>
      <c r="C117">
        <v>-1.44</v>
      </c>
      <c r="D117">
        <v>-0.19</v>
      </c>
    </row>
    <row r="118" spans="2:4" ht="14.25" customHeight="1" x14ac:dyDescent="0.35">
      <c r="B118" s="107">
        <v>44735</v>
      </c>
      <c r="C118">
        <v>0.93</v>
      </c>
      <c r="D118">
        <v>1.66</v>
      </c>
    </row>
    <row r="119" spans="2:4" ht="14.25" customHeight="1" x14ac:dyDescent="0.35">
      <c r="B119" s="107">
        <v>44736</v>
      </c>
      <c r="C119">
        <v>0.92</v>
      </c>
      <c r="D119">
        <v>1.1200000000000001</v>
      </c>
    </row>
    <row r="120" spans="2:4" ht="14.25" customHeight="1" x14ac:dyDescent="0.35">
      <c r="B120" s="107">
        <v>44739</v>
      </c>
      <c r="C120">
        <v>0.85</v>
      </c>
      <c r="D120">
        <v>0.97</v>
      </c>
    </row>
    <row r="121" spans="2:4" ht="14.25" customHeight="1" x14ac:dyDescent="0.35">
      <c r="B121" s="107">
        <v>44740</v>
      </c>
      <c r="C121">
        <v>0.11</v>
      </c>
      <c r="D121">
        <v>-1.1399999999999999</v>
      </c>
    </row>
    <row r="122" spans="2:4" ht="14.25" customHeight="1" x14ac:dyDescent="0.35">
      <c r="B122" s="107">
        <v>44741</v>
      </c>
      <c r="C122">
        <v>-0.32</v>
      </c>
      <c r="D122">
        <v>1.39</v>
      </c>
    </row>
    <row r="123" spans="2:4" ht="14.25" customHeight="1" x14ac:dyDescent="0.35">
      <c r="B123" s="107">
        <v>44742</v>
      </c>
      <c r="C123">
        <v>-0.12</v>
      </c>
      <c r="D123">
        <v>1.43</v>
      </c>
    </row>
    <row r="124" spans="2:4" ht="14.25" customHeight="1" x14ac:dyDescent="0.35">
      <c r="B124" s="107">
        <v>44743</v>
      </c>
      <c r="C124">
        <v>-0.18</v>
      </c>
      <c r="D124">
        <v>0.4</v>
      </c>
    </row>
    <row r="125" spans="2:4" ht="14.25" customHeight="1" x14ac:dyDescent="0.35">
      <c r="B125" s="107">
        <v>44746</v>
      </c>
      <c r="C125">
        <v>0.53</v>
      </c>
      <c r="D125">
        <v>-0.27</v>
      </c>
    </row>
    <row r="126" spans="2:4" ht="14.25" customHeight="1" x14ac:dyDescent="0.35">
      <c r="B126" s="107">
        <v>44747</v>
      </c>
      <c r="C126">
        <v>-0.15</v>
      </c>
      <c r="D126">
        <v>-1.01</v>
      </c>
    </row>
    <row r="127" spans="2:4" ht="14.25" customHeight="1" x14ac:dyDescent="0.35">
      <c r="B127" s="107">
        <v>44748</v>
      </c>
      <c r="C127">
        <v>1.1299999999999999</v>
      </c>
      <c r="D127">
        <v>-1.36</v>
      </c>
    </row>
    <row r="128" spans="2:4" ht="14.25" customHeight="1" x14ac:dyDescent="0.35">
      <c r="B128" s="107">
        <v>44749</v>
      </c>
      <c r="C128">
        <v>0.89</v>
      </c>
      <c r="D128">
        <v>0.14000000000000001</v>
      </c>
    </row>
    <row r="129" spans="2:4" ht="14.25" customHeight="1" x14ac:dyDescent="0.35">
      <c r="B129" s="107">
        <v>44750</v>
      </c>
      <c r="C129">
        <v>0.54</v>
      </c>
      <c r="D129">
        <v>0</v>
      </c>
    </row>
    <row r="130" spans="2:4" ht="14.25" customHeight="1" x14ac:dyDescent="0.35">
      <c r="B130" s="107">
        <v>44753</v>
      </c>
      <c r="C130">
        <v>-0.03</v>
      </c>
      <c r="D130">
        <v>-0.21</v>
      </c>
    </row>
    <row r="131" spans="2:4" ht="14.25" customHeight="1" x14ac:dyDescent="0.35">
      <c r="B131" s="107">
        <v>44754</v>
      </c>
      <c r="C131">
        <v>-0.97</v>
      </c>
      <c r="D131">
        <v>-2.62</v>
      </c>
    </row>
    <row r="132" spans="2:4" ht="14.25" customHeight="1" x14ac:dyDescent="0.35">
      <c r="B132" s="107">
        <v>44755</v>
      </c>
      <c r="C132">
        <v>-0.56999999999999995</v>
      </c>
      <c r="D132">
        <v>-0.35</v>
      </c>
    </row>
    <row r="133" spans="2:4" ht="14.25" customHeight="1" x14ac:dyDescent="0.35">
      <c r="B133" s="107">
        <v>44756</v>
      </c>
      <c r="C133">
        <v>-0.18</v>
      </c>
      <c r="D133">
        <v>0.5</v>
      </c>
    </row>
    <row r="134" spans="2:4" ht="14.25" customHeight="1" x14ac:dyDescent="0.35">
      <c r="B134" s="107">
        <v>44757</v>
      </c>
      <c r="C134">
        <v>0.69</v>
      </c>
      <c r="D134">
        <v>-0.56999999999999995</v>
      </c>
    </row>
    <row r="135" spans="2:4" ht="14.25" customHeight="1" x14ac:dyDescent="0.35">
      <c r="B135" s="107">
        <v>44760</v>
      </c>
      <c r="C135">
        <v>1.43</v>
      </c>
      <c r="D135">
        <v>1.1399999999999999</v>
      </c>
    </row>
    <row r="136" spans="2:4" ht="14.25" customHeight="1" x14ac:dyDescent="0.35">
      <c r="B136" s="107">
        <v>44761</v>
      </c>
      <c r="C136">
        <v>0.38</v>
      </c>
      <c r="D136">
        <v>1.19</v>
      </c>
    </row>
    <row r="137" spans="2:4" ht="14.25" customHeight="1" x14ac:dyDescent="0.35">
      <c r="B137" s="107">
        <v>44762</v>
      </c>
      <c r="C137">
        <v>1.1000000000000001</v>
      </c>
      <c r="D137">
        <v>0.49</v>
      </c>
    </row>
    <row r="138" spans="2:4" ht="14.25" customHeight="1" x14ac:dyDescent="0.35">
      <c r="B138" s="107">
        <v>44763</v>
      </c>
      <c r="C138">
        <v>0.51</v>
      </c>
      <c r="D138">
        <v>0.28000000000000003</v>
      </c>
    </row>
    <row r="139" spans="2:4" ht="14.25" customHeight="1" x14ac:dyDescent="0.35">
      <c r="B139" s="107">
        <v>44764</v>
      </c>
      <c r="C139">
        <v>0.69</v>
      </c>
      <c r="D139">
        <v>-0.55000000000000004</v>
      </c>
    </row>
    <row r="140" spans="2:4" ht="14.25" customHeight="1" x14ac:dyDescent="0.35">
      <c r="B140" s="107">
        <v>44767</v>
      </c>
      <c r="C140">
        <v>-0.53</v>
      </c>
      <c r="D140">
        <v>-7.0000000000000007E-2</v>
      </c>
    </row>
    <row r="141" spans="2:4" ht="14.25" customHeight="1" x14ac:dyDescent="0.35">
      <c r="B141" s="107">
        <v>44768</v>
      </c>
      <c r="C141">
        <v>-0.88</v>
      </c>
      <c r="D141">
        <v>-0.62</v>
      </c>
    </row>
    <row r="142" spans="2:4" ht="14.25" customHeight="1" x14ac:dyDescent="0.35">
      <c r="B142" s="107">
        <v>44769</v>
      </c>
      <c r="C142">
        <v>0.96</v>
      </c>
      <c r="D142">
        <v>0.63</v>
      </c>
    </row>
    <row r="143" spans="2:4" ht="14.25" customHeight="1" x14ac:dyDescent="0.35">
      <c r="B143" s="107">
        <v>44770</v>
      </c>
      <c r="C143">
        <v>1.73</v>
      </c>
      <c r="D143">
        <v>-7.0000000000000007E-2</v>
      </c>
    </row>
    <row r="144" spans="2:4" ht="14.25" customHeight="1" x14ac:dyDescent="0.35">
      <c r="B144" s="107">
        <v>44771</v>
      </c>
      <c r="C144">
        <v>1.35</v>
      </c>
      <c r="D144">
        <v>1.25</v>
      </c>
    </row>
    <row r="145" spans="2:4" ht="14.25" customHeight="1" x14ac:dyDescent="0.35">
      <c r="B145" s="107">
        <v>44774</v>
      </c>
      <c r="C145">
        <v>1.06</v>
      </c>
      <c r="D145">
        <v>-2.54</v>
      </c>
    </row>
    <row r="146" spans="2:4" ht="14.25" customHeight="1" x14ac:dyDescent="0.35">
      <c r="B146" s="107">
        <v>44775</v>
      </c>
      <c r="C146">
        <v>0.03</v>
      </c>
      <c r="D146">
        <v>1.2</v>
      </c>
    </row>
    <row r="147" spans="2:4" ht="14.25" customHeight="1" x14ac:dyDescent="0.35">
      <c r="B147" s="107">
        <v>44776</v>
      </c>
      <c r="C147">
        <v>0.25</v>
      </c>
      <c r="D147">
        <v>-1.32</v>
      </c>
    </row>
    <row r="148" spans="2:4" ht="14.25" customHeight="1" x14ac:dyDescent="0.35">
      <c r="B148" s="107">
        <v>44777</v>
      </c>
      <c r="C148">
        <v>-0.04</v>
      </c>
      <c r="D148">
        <v>0.28000000000000003</v>
      </c>
    </row>
    <row r="149" spans="2:4" ht="14.25" customHeight="1" x14ac:dyDescent="0.35">
      <c r="B149" s="107">
        <v>44778</v>
      </c>
      <c r="C149">
        <v>0.09</v>
      </c>
      <c r="D149">
        <v>2.67</v>
      </c>
    </row>
    <row r="150" spans="2:4" ht="14.25" customHeight="1" x14ac:dyDescent="0.35">
      <c r="B150" s="107">
        <v>44781</v>
      </c>
      <c r="C150">
        <v>0.73</v>
      </c>
      <c r="D150">
        <v>0.34</v>
      </c>
    </row>
    <row r="151" spans="2:4" ht="14.25" customHeight="1" x14ac:dyDescent="0.35">
      <c r="B151" s="107">
        <v>44783</v>
      </c>
      <c r="C151">
        <v>0.06</v>
      </c>
      <c r="D151">
        <v>-1.1599999999999999</v>
      </c>
    </row>
    <row r="152" spans="2:4" ht="14.25" customHeight="1" x14ac:dyDescent="0.35">
      <c r="B152" s="107">
        <v>44784</v>
      </c>
      <c r="C152">
        <v>0.71</v>
      </c>
      <c r="D152">
        <v>1.21</v>
      </c>
    </row>
    <row r="153" spans="2:4" ht="14.25" customHeight="1" x14ac:dyDescent="0.35">
      <c r="B153" s="107">
        <v>44785</v>
      </c>
      <c r="C153">
        <v>0.22</v>
      </c>
      <c r="D153">
        <v>0.85</v>
      </c>
    </row>
    <row r="154" spans="2:4" ht="14.25" customHeight="1" x14ac:dyDescent="0.35">
      <c r="B154" s="107">
        <v>44789</v>
      </c>
      <c r="C154">
        <v>0.72</v>
      </c>
      <c r="D154">
        <v>2.2400000000000002</v>
      </c>
    </row>
    <row r="155" spans="2:4" ht="14.25" customHeight="1" x14ac:dyDescent="0.35">
      <c r="B155" s="107">
        <v>44790</v>
      </c>
      <c r="C155">
        <v>0.67</v>
      </c>
      <c r="D155">
        <v>0.27</v>
      </c>
    </row>
    <row r="156" spans="2:4" ht="14.25" customHeight="1" x14ac:dyDescent="0.35">
      <c r="B156" s="107">
        <v>44791</v>
      </c>
      <c r="C156">
        <v>7.0000000000000007E-2</v>
      </c>
      <c r="D156">
        <v>-0.95</v>
      </c>
    </row>
    <row r="157" spans="2:4" ht="14.25" customHeight="1" x14ac:dyDescent="0.35">
      <c r="B157" s="107">
        <v>44792</v>
      </c>
      <c r="C157">
        <v>-1.1000000000000001</v>
      </c>
      <c r="D157">
        <v>-0.69</v>
      </c>
    </row>
    <row r="158" spans="2:4" ht="14.25" customHeight="1" x14ac:dyDescent="0.35">
      <c r="B158" s="107">
        <v>44795</v>
      </c>
      <c r="C158">
        <v>-1.51</v>
      </c>
      <c r="D158">
        <v>-1.18</v>
      </c>
    </row>
    <row r="159" spans="2:4" ht="14.25" customHeight="1" x14ac:dyDescent="0.35">
      <c r="B159" s="107">
        <v>44796</v>
      </c>
      <c r="C159">
        <v>0.5</v>
      </c>
      <c r="D159">
        <v>-0.35</v>
      </c>
    </row>
    <row r="160" spans="2:4" ht="14.25" customHeight="1" x14ac:dyDescent="0.35">
      <c r="B160" s="107">
        <v>44797</v>
      </c>
      <c r="C160">
        <v>0.16</v>
      </c>
      <c r="D160">
        <v>-0.7</v>
      </c>
    </row>
    <row r="161" spans="2:4" ht="14.25" customHeight="1" x14ac:dyDescent="0.35">
      <c r="B161" s="107">
        <v>44798</v>
      </c>
      <c r="C161">
        <v>-0.47</v>
      </c>
      <c r="D161">
        <v>1.28</v>
      </c>
    </row>
    <row r="162" spans="2:4" ht="14.25" customHeight="1" x14ac:dyDescent="0.35">
      <c r="B162" s="107">
        <v>44799</v>
      </c>
      <c r="C162">
        <v>0.21</v>
      </c>
      <c r="D162">
        <v>0.63</v>
      </c>
    </row>
    <row r="163" spans="2:4" ht="14.25" customHeight="1" x14ac:dyDescent="0.35">
      <c r="B163" s="107">
        <v>44802</v>
      </c>
      <c r="C163">
        <v>-1.4</v>
      </c>
      <c r="D163">
        <v>-1.18</v>
      </c>
    </row>
    <row r="164" spans="2:4" ht="14.25" customHeight="1" x14ac:dyDescent="0.35">
      <c r="B164" s="107">
        <v>44803</v>
      </c>
      <c r="C164">
        <v>2.58</v>
      </c>
      <c r="D164">
        <v>0.63</v>
      </c>
    </row>
    <row r="165" spans="2:4" ht="14.25" customHeight="1" x14ac:dyDescent="0.35">
      <c r="B165" s="107">
        <v>44805</v>
      </c>
      <c r="C165">
        <v>-1.22</v>
      </c>
      <c r="D165">
        <v>-0.49</v>
      </c>
    </row>
    <row r="166" spans="2:4" ht="14.25" customHeight="1" x14ac:dyDescent="0.35">
      <c r="B166" s="107">
        <v>44806</v>
      </c>
      <c r="C166">
        <v>-0.02</v>
      </c>
      <c r="D166">
        <v>0.21</v>
      </c>
    </row>
    <row r="167" spans="2:4" ht="14.25" customHeight="1" x14ac:dyDescent="0.35">
      <c r="B167" s="107">
        <v>44809</v>
      </c>
      <c r="C167">
        <v>0.72</v>
      </c>
      <c r="D167">
        <v>-0.49</v>
      </c>
    </row>
    <row r="168" spans="2:4" ht="14.25" customHeight="1" x14ac:dyDescent="0.35">
      <c r="B168" s="107">
        <v>44810</v>
      </c>
      <c r="C168">
        <v>-0.06</v>
      </c>
      <c r="D168">
        <v>-0.35</v>
      </c>
    </row>
    <row r="169" spans="2:4" ht="14.25" customHeight="1" x14ac:dyDescent="0.35">
      <c r="B169" s="107">
        <v>44811</v>
      </c>
      <c r="C169">
        <v>-0.18</v>
      </c>
      <c r="D169">
        <v>0.99</v>
      </c>
    </row>
    <row r="170" spans="2:4" ht="14.25" customHeight="1" x14ac:dyDescent="0.35">
      <c r="B170" s="107">
        <v>44812</v>
      </c>
      <c r="C170">
        <v>0.99</v>
      </c>
      <c r="D170">
        <v>2.31</v>
      </c>
    </row>
    <row r="171" spans="2:4" ht="14.25" customHeight="1" x14ac:dyDescent="0.35">
      <c r="B171" s="107">
        <v>44813</v>
      </c>
      <c r="C171">
        <v>0.19</v>
      </c>
      <c r="D171">
        <v>-0.68</v>
      </c>
    </row>
    <row r="172" spans="2:4" ht="14.25" customHeight="1" x14ac:dyDescent="0.35">
      <c r="B172" s="107">
        <v>44816</v>
      </c>
      <c r="C172">
        <v>0.57999999999999996</v>
      </c>
      <c r="D172">
        <v>0.14000000000000001</v>
      </c>
    </row>
    <row r="173" spans="2:4" ht="14.25" customHeight="1" x14ac:dyDescent="0.35">
      <c r="B173" s="107">
        <v>44817</v>
      </c>
      <c r="C173">
        <v>0.75</v>
      </c>
      <c r="D173">
        <v>-0.55000000000000004</v>
      </c>
    </row>
    <row r="174" spans="2:4" ht="14.25" customHeight="1" x14ac:dyDescent="0.35">
      <c r="B174" s="107">
        <v>44818</v>
      </c>
      <c r="C174">
        <v>-0.37</v>
      </c>
      <c r="D174">
        <v>-0.62</v>
      </c>
    </row>
    <row r="175" spans="2:4" ht="14.25" customHeight="1" x14ac:dyDescent="0.35">
      <c r="B175" s="107">
        <v>44819</v>
      </c>
      <c r="C175">
        <v>-0.7</v>
      </c>
      <c r="D175">
        <v>-0.35</v>
      </c>
    </row>
    <row r="176" spans="2:4" ht="14.25" customHeight="1" x14ac:dyDescent="0.35">
      <c r="B176" s="107">
        <v>44820</v>
      </c>
      <c r="C176">
        <v>-1.94</v>
      </c>
      <c r="D176">
        <v>-2.2400000000000002</v>
      </c>
    </row>
    <row r="177" spans="2:4" ht="14.25" customHeight="1" x14ac:dyDescent="0.35">
      <c r="B177" s="107">
        <v>44823</v>
      </c>
      <c r="C177">
        <v>0.52</v>
      </c>
      <c r="D177">
        <v>-0.43</v>
      </c>
    </row>
    <row r="178" spans="2:4" ht="14.25" customHeight="1" x14ac:dyDescent="0.35">
      <c r="B178" s="107">
        <v>44824</v>
      </c>
      <c r="C178">
        <v>1.1000000000000001</v>
      </c>
      <c r="D178">
        <v>-0.79</v>
      </c>
    </row>
    <row r="179" spans="2:4" ht="14.25" customHeight="1" x14ac:dyDescent="0.35">
      <c r="B179" s="107">
        <v>44825</v>
      </c>
      <c r="C179">
        <v>-0.55000000000000004</v>
      </c>
      <c r="D179">
        <v>-0.94</v>
      </c>
    </row>
    <row r="180" spans="2:4" ht="14.25" customHeight="1" x14ac:dyDescent="0.35">
      <c r="B180" s="107">
        <v>44826</v>
      </c>
      <c r="C180">
        <v>-0.5</v>
      </c>
      <c r="D180">
        <v>-0.95</v>
      </c>
    </row>
    <row r="181" spans="2:4" ht="14.25" customHeight="1" x14ac:dyDescent="0.35">
      <c r="B181" s="107">
        <v>44827</v>
      </c>
      <c r="C181">
        <v>-1.72</v>
      </c>
      <c r="D181">
        <v>-0.52</v>
      </c>
    </row>
    <row r="182" spans="2:4" ht="14.25" customHeight="1" x14ac:dyDescent="0.35">
      <c r="B182" s="107">
        <v>44830</v>
      </c>
      <c r="C182">
        <v>-1.8</v>
      </c>
      <c r="D182">
        <v>-2.08</v>
      </c>
    </row>
    <row r="183" spans="2:4" ht="14.25" customHeight="1" x14ac:dyDescent="0.35">
      <c r="B183" s="107">
        <v>44831</v>
      </c>
      <c r="C183">
        <v>-0.05</v>
      </c>
      <c r="D183">
        <v>1.06</v>
      </c>
    </row>
    <row r="184" spans="2:4" ht="14.25" customHeight="1" x14ac:dyDescent="0.35">
      <c r="B184" s="107">
        <v>44832</v>
      </c>
      <c r="C184">
        <v>-0.87</v>
      </c>
      <c r="D184">
        <v>-1.5</v>
      </c>
    </row>
    <row r="185" spans="2:4" ht="14.25" customHeight="1" x14ac:dyDescent="0.35">
      <c r="B185" s="107">
        <v>44833</v>
      </c>
      <c r="C185">
        <v>-0.24</v>
      </c>
      <c r="D185">
        <v>0.23</v>
      </c>
    </row>
    <row r="186" spans="2:4" ht="14.25" customHeight="1" x14ac:dyDescent="0.35">
      <c r="B186" s="107">
        <v>44834</v>
      </c>
      <c r="C186">
        <v>1.64</v>
      </c>
      <c r="D186">
        <v>1.59</v>
      </c>
    </row>
    <row r="187" spans="2:4" ht="14.25" customHeight="1" x14ac:dyDescent="0.35">
      <c r="B187" s="107">
        <v>44837</v>
      </c>
      <c r="C187">
        <v>-1.21</v>
      </c>
      <c r="D187">
        <v>-0.37</v>
      </c>
    </row>
    <row r="188" spans="2:4" ht="14.25" customHeight="1" x14ac:dyDescent="0.35">
      <c r="B188" s="107">
        <v>44838</v>
      </c>
      <c r="C188">
        <v>2.29</v>
      </c>
      <c r="D188">
        <v>0.9</v>
      </c>
    </row>
    <row r="189" spans="2:4" ht="14.25" customHeight="1" x14ac:dyDescent="0.35">
      <c r="B189" s="107">
        <v>44840</v>
      </c>
      <c r="C189">
        <v>0.33</v>
      </c>
      <c r="D189">
        <v>0.67</v>
      </c>
    </row>
    <row r="190" spans="2:4" ht="14.25" customHeight="1" x14ac:dyDescent="0.35">
      <c r="B190" s="107">
        <v>44841</v>
      </c>
      <c r="C190">
        <v>-0.1</v>
      </c>
      <c r="D190">
        <v>-0.44</v>
      </c>
    </row>
    <row r="191" spans="2:4" ht="14.25" customHeight="1" x14ac:dyDescent="0.35">
      <c r="B191" s="107">
        <v>44844</v>
      </c>
      <c r="C191">
        <v>-0.43</v>
      </c>
      <c r="D191">
        <v>0.15</v>
      </c>
    </row>
    <row r="192" spans="2:4" ht="14.25" customHeight="1" x14ac:dyDescent="0.35">
      <c r="B192" s="107">
        <v>44845</v>
      </c>
      <c r="C192">
        <v>-1.49</v>
      </c>
      <c r="D192">
        <v>-2.37</v>
      </c>
    </row>
    <row r="193" spans="2:4" ht="14.25" customHeight="1" x14ac:dyDescent="0.35">
      <c r="B193" s="107">
        <v>44846</v>
      </c>
      <c r="C193">
        <v>0.82</v>
      </c>
      <c r="D193">
        <v>1.97</v>
      </c>
    </row>
    <row r="194" spans="2:4" ht="14.25" customHeight="1" x14ac:dyDescent="0.35">
      <c r="B194" s="107">
        <v>44847</v>
      </c>
      <c r="C194">
        <v>-0.64</v>
      </c>
      <c r="D194">
        <v>-0.59</v>
      </c>
    </row>
    <row r="195" spans="2:4" ht="14.25" customHeight="1" x14ac:dyDescent="0.35">
      <c r="B195" s="107">
        <v>44848</v>
      </c>
      <c r="C195">
        <v>1.01</v>
      </c>
      <c r="D195">
        <v>-0.82</v>
      </c>
    </row>
    <row r="196" spans="2:4" ht="14.25" customHeight="1" x14ac:dyDescent="0.35">
      <c r="B196" s="107">
        <v>44851</v>
      </c>
      <c r="C196">
        <v>0.73</v>
      </c>
      <c r="D196">
        <v>-0.38</v>
      </c>
    </row>
    <row r="197" spans="2:4" ht="14.25" customHeight="1" x14ac:dyDescent="0.35">
      <c r="B197" s="107">
        <v>44852</v>
      </c>
      <c r="C197">
        <v>1.01</v>
      </c>
      <c r="D197">
        <v>0.98</v>
      </c>
    </row>
    <row r="198" spans="2:4" ht="14.25" customHeight="1" x14ac:dyDescent="0.35">
      <c r="B198" s="107">
        <v>44853</v>
      </c>
      <c r="C198">
        <v>0.14000000000000001</v>
      </c>
      <c r="D198">
        <v>0.45</v>
      </c>
    </row>
    <row r="199" spans="2:4" ht="14.25" customHeight="1" x14ac:dyDescent="0.35">
      <c r="B199" s="107">
        <v>44854</v>
      </c>
      <c r="C199">
        <v>0.3</v>
      </c>
      <c r="D199">
        <v>1.27</v>
      </c>
    </row>
    <row r="200" spans="2:4" ht="14.25" customHeight="1" x14ac:dyDescent="0.35">
      <c r="B200" s="107">
        <v>44855</v>
      </c>
      <c r="C200">
        <v>7.0000000000000007E-2</v>
      </c>
      <c r="D200">
        <v>-0.52</v>
      </c>
    </row>
    <row r="201" spans="2:4" ht="14.25" customHeight="1" x14ac:dyDescent="0.35">
      <c r="B201" s="107">
        <v>44858</v>
      </c>
      <c r="C201">
        <v>0.88</v>
      </c>
      <c r="D201">
        <v>0.81</v>
      </c>
    </row>
    <row r="202" spans="2:4" ht="14.25" customHeight="1" x14ac:dyDescent="0.35">
      <c r="B202" s="107">
        <v>44859</v>
      </c>
      <c r="C202">
        <v>-0.42</v>
      </c>
      <c r="D202">
        <v>-0.22</v>
      </c>
    </row>
    <row r="203" spans="2:4" ht="14.25" customHeight="1" x14ac:dyDescent="0.35">
      <c r="B203" s="107">
        <v>44861</v>
      </c>
      <c r="C203">
        <v>0.46</v>
      </c>
      <c r="D203">
        <v>0.59</v>
      </c>
    </row>
    <row r="204" spans="2:4" ht="14.25" customHeight="1" x14ac:dyDescent="0.35">
      <c r="B204" s="107">
        <v>44862</v>
      </c>
      <c r="C204">
        <v>0.28000000000000003</v>
      </c>
      <c r="D204">
        <v>0.22</v>
      </c>
    </row>
    <row r="205" spans="2:4" ht="14.25" customHeight="1" x14ac:dyDescent="0.35">
      <c r="B205" s="107">
        <v>44865</v>
      </c>
      <c r="C205">
        <v>1.27</v>
      </c>
      <c r="D205">
        <v>-0.28999999999999998</v>
      </c>
    </row>
    <row r="206" spans="2:4" ht="14.25" customHeight="1" x14ac:dyDescent="0.35">
      <c r="B206" s="107">
        <v>44866</v>
      </c>
      <c r="C206">
        <v>0.74</v>
      </c>
      <c r="D206">
        <v>0.37</v>
      </c>
    </row>
    <row r="207" spans="2:4" ht="14.25" customHeight="1" x14ac:dyDescent="0.35">
      <c r="B207" s="107">
        <v>44867</v>
      </c>
      <c r="C207">
        <v>-0.34</v>
      </c>
      <c r="D207">
        <v>0.15</v>
      </c>
    </row>
    <row r="208" spans="2:4" ht="14.25" customHeight="1" x14ac:dyDescent="0.35">
      <c r="B208" s="107">
        <v>44868</v>
      </c>
      <c r="C208">
        <v>-0.17</v>
      </c>
      <c r="D208">
        <v>0.15</v>
      </c>
    </row>
    <row r="209" spans="2:4" ht="14.25" customHeight="1" x14ac:dyDescent="0.35">
      <c r="B209" s="107">
        <v>44869</v>
      </c>
      <c r="C209">
        <v>0.36</v>
      </c>
      <c r="D209">
        <v>-0.28999999999999998</v>
      </c>
    </row>
    <row r="210" spans="2:4" ht="14.25" customHeight="1" x14ac:dyDescent="0.35">
      <c r="B210" s="107">
        <v>44872</v>
      </c>
      <c r="C210">
        <v>0.47</v>
      </c>
      <c r="D210">
        <v>2.34</v>
      </c>
    </row>
    <row r="211" spans="2:4" ht="14.25" customHeight="1" x14ac:dyDescent="0.35">
      <c r="B211" s="107">
        <v>44874</v>
      </c>
      <c r="C211">
        <v>-0.25</v>
      </c>
      <c r="D211">
        <v>-0.78</v>
      </c>
    </row>
    <row r="212" spans="2:4" ht="14.25" customHeight="1" x14ac:dyDescent="0.35">
      <c r="B212" s="107">
        <v>44875</v>
      </c>
      <c r="C212">
        <v>-0.71</v>
      </c>
      <c r="D212">
        <v>7.0000000000000007E-2</v>
      </c>
    </row>
    <row r="213" spans="2:4" ht="14.25" customHeight="1" x14ac:dyDescent="0.35">
      <c r="B213" s="107">
        <v>44876</v>
      </c>
      <c r="C213">
        <v>1.78</v>
      </c>
      <c r="D213">
        <v>0.22</v>
      </c>
    </row>
    <row r="214" spans="2:4" ht="14.25" customHeight="1" x14ac:dyDescent="0.35">
      <c r="B214" s="107">
        <v>44879</v>
      </c>
      <c r="C214">
        <v>-0.11</v>
      </c>
      <c r="D214">
        <v>-0.43</v>
      </c>
    </row>
    <row r="215" spans="2:4" ht="14.25" customHeight="1" x14ac:dyDescent="0.35">
      <c r="B215" s="107">
        <v>44880</v>
      </c>
      <c r="C215">
        <v>0.41</v>
      </c>
      <c r="D215">
        <v>0.22</v>
      </c>
    </row>
    <row r="216" spans="2:4" ht="14.25" customHeight="1" x14ac:dyDescent="0.35">
      <c r="B216" s="107">
        <v>44881</v>
      </c>
      <c r="C216">
        <v>0.03</v>
      </c>
      <c r="D216">
        <v>-0.43</v>
      </c>
    </row>
    <row r="217" spans="2:4" ht="14.25" customHeight="1" x14ac:dyDescent="0.35">
      <c r="B217" s="107">
        <v>44882</v>
      </c>
      <c r="C217">
        <v>-0.36</v>
      </c>
      <c r="D217">
        <v>-0.28999999999999998</v>
      </c>
    </row>
    <row r="218" spans="2:4" ht="14.25" customHeight="1" x14ac:dyDescent="0.35">
      <c r="B218" s="107">
        <v>44883</v>
      </c>
      <c r="C218">
        <v>-0.2</v>
      </c>
      <c r="D218">
        <v>0.22</v>
      </c>
    </row>
    <row r="219" spans="2:4" ht="14.25" customHeight="1" x14ac:dyDescent="0.35">
      <c r="B219" s="107">
        <v>44886</v>
      </c>
      <c r="C219">
        <v>-0.81</v>
      </c>
      <c r="D219">
        <v>1.1599999999999999</v>
      </c>
    </row>
    <row r="220" spans="2:4" ht="14.25" customHeight="1" x14ac:dyDescent="0.35">
      <c r="B220" s="107">
        <v>44887</v>
      </c>
      <c r="C220">
        <v>0.46</v>
      </c>
      <c r="D220">
        <v>-7.0000000000000007E-2</v>
      </c>
    </row>
    <row r="221" spans="2:4" ht="14.25" customHeight="1" x14ac:dyDescent="0.35">
      <c r="B221" s="107">
        <v>44888</v>
      </c>
      <c r="C221">
        <v>0.13</v>
      </c>
      <c r="D221">
        <v>-0.14000000000000001</v>
      </c>
    </row>
    <row r="222" spans="2:4" ht="14.25" customHeight="1" x14ac:dyDescent="0.35">
      <c r="B222" s="107">
        <v>44889</v>
      </c>
      <c r="C222">
        <v>1.19</v>
      </c>
      <c r="D222">
        <v>3.08</v>
      </c>
    </row>
    <row r="223" spans="2:4" ht="14.25" customHeight="1" x14ac:dyDescent="0.35">
      <c r="B223" s="107">
        <v>44890</v>
      </c>
      <c r="C223">
        <v>0.16</v>
      </c>
      <c r="D223">
        <v>1.8</v>
      </c>
    </row>
    <row r="224" spans="2:4" ht="14.25" customHeight="1" x14ac:dyDescent="0.35">
      <c r="B224" s="107">
        <v>44893</v>
      </c>
      <c r="C224">
        <v>0.27</v>
      </c>
      <c r="D224">
        <v>3.89</v>
      </c>
    </row>
    <row r="225" spans="2:4" ht="14.25" customHeight="1" x14ac:dyDescent="0.35">
      <c r="B225" s="107">
        <v>44894</v>
      </c>
      <c r="C225">
        <v>0.3</v>
      </c>
      <c r="D225">
        <v>-1.18</v>
      </c>
    </row>
    <row r="226" spans="2:4" ht="14.25" customHeight="1" x14ac:dyDescent="0.35">
      <c r="B226" s="107">
        <v>44895</v>
      </c>
      <c r="C226">
        <v>0.75</v>
      </c>
      <c r="D226">
        <v>1.79</v>
      </c>
    </row>
    <row r="227" spans="2:4" ht="14.25" customHeight="1" x14ac:dyDescent="0.35">
      <c r="B227" s="107">
        <v>44896</v>
      </c>
      <c r="C227">
        <v>0.28999999999999998</v>
      </c>
      <c r="D227">
        <v>-0.59</v>
      </c>
    </row>
    <row r="228" spans="2:4" ht="14.25" customHeight="1" x14ac:dyDescent="0.35">
      <c r="B228" s="107">
        <v>44897</v>
      </c>
      <c r="C228">
        <v>-0.62</v>
      </c>
      <c r="D228">
        <v>1.05</v>
      </c>
    </row>
    <row r="229" spans="2:4" ht="14.25" customHeight="1" x14ac:dyDescent="0.35">
      <c r="B229" s="107">
        <v>44900</v>
      </c>
      <c r="C229">
        <v>0.03</v>
      </c>
      <c r="D229">
        <v>0.06</v>
      </c>
    </row>
    <row r="230" spans="2:4" ht="14.25" customHeight="1" x14ac:dyDescent="0.35">
      <c r="B230" s="107">
        <v>44901</v>
      </c>
      <c r="C230">
        <v>-0.31</v>
      </c>
      <c r="D230">
        <v>-1.62</v>
      </c>
    </row>
    <row r="231" spans="2:4" ht="14.25" customHeight="1" x14ac:dyDescent="0.35">
      <c r="B231" s="107">
        <v>44902</v>
      </c>
      <c r="C231">
        <v>-0.44</v>
      </c>
      <c r="D231">
        <v>1.19</v>
      </c>
    </row>
    <row r="232" spans="2:4" ht="14.25" customHeight="1" x14ac:dyDescent="0.35">
      <c r="B232" s="107">
        <v>44903</v>
      </c>
      <c r="C232">
        <v>0.26</v>
      </c>
      <c r="D232">
        <v>7.0000000000000007E-2</v>
      </c>
    </row>
    <row r="233" spans="2:4" ht="14.25" customHeight="1" x14ac:dyDescent="0.35">
      <c r="B233" s="107">
        <v>44904</v>
      </c>
      <c r="C233">
        <v>-0.61</v>
      </c>
      <c r="D233">
        <v>0.33</v>
      </c>
    </row>
    <row r="234" spans="2:4" ht="14.25" customHeight="1" x14ac:dyDescent="0.35">
      <c r="B234" s="107">
        <v>44907</v>
      </c>
      <c r="C234">
        <v>0</v>
      </c>
      <c r="D234">
        <v>2.4700000000000002</v>
      </c>
    </row>
    <row r="235" spans="2:4" ht="14.25" customHeight="1" x14ac:dyDescent="0.35">
      <c r="B235" s="107">
        <v>44908</v>
      </c>
      <c r="C235">
        <v>0.6</v>
      </c>
      <c r="D235">
        <v>-1.46</v>
      </c>
    </row>
    <row r="236" spans="2:4" ht="14.25" customHeight="1" x14ac:dyDescent="0.35">
      <c r="B236" s="107">
        <v>44909</v>
      </c>
      <c r="C236">
        <v>0.28000000000000003</v>
      </c>
      <c r="D236">
        <v>0.51</v>
      </c>
    </row>
    <row r="237" spans="2:4" ht="14.25" customHeight="1" x14ac:dyDescent="0.35">
      <c r="B237" s="107">
        <v>44910</v>
      </c>
      <c r="C237">
        <v>-1.32</v>
      </c>
      <c r="D237">
        <v>-0.06</v>
      </c>
    </row>
    <row r="238" spans="2:4" ht="14.25" customHeight="1" x14ac:dyDescent="0.35">
      <c r="B238" s="107">
        <v>44911</v>
      </c>
      <c r="C238">
        <v>-0.79</v>
      </c>
      <c r="D238">
        <v>-1.47</v>
      </c>
    </row>
    <row r="239" spans="2:4" ht="14.25" customHeight="1" x14ac:dyDescent="0.35">
      <c r="B239" s="107">
        <v>44914</v>
      </c>
      <c r="C239">
        <v>0.83</v>
      </c>
      <c r="D239">
        <v>1.3</v>
      </c>
    </row>
    <row r="240" spans="2:4" ht="14.25" customHeight="1" x14ac:dyDescent="0.35">
      <c r="B240" s="107">
        <v>44915</v>
      </c>
      <c r="C240">
        <v>-0.19</v>
      </c>
      <c r="D240">
        <v>-0.19</v>
      </c>
    </row>
    <row r="241" spans="2:4" ht="14.25" customHeight="1" x14ac:dyDescent="0.35">
      <c r="B241" s="107">
        <v>44916</v>
      </c>
      <c r="C241">
        <v>-1.01</v>
      </c>
      <c r="D241">
        <v>-1.8</v>
      </c>
    </row>
    <row r="242" spans="2:4" ht="14.25" customHeight="1" x14ac:dyDescent="0.35">
      <c r="B242" s="107">
        <v>44917</v>
      </c>
      <c r="C242">
        <v>-0.39</v>
      </c>
      <c r="D242">
        <v>-1.7</v>
      </c>
    </row>
    <row r="243" spans="2:4" ht="14.25" customHeight="1" x14ac:dyDescent="0.35">
      <c r="B243" s="107">
        <v>44918</v>
      </c>
      <c r="C243">
        <v>-1.77</v>
      </c>
      <c r="D243">
        <v>-2.8</v>
      </c>
    </row>
    <row r="244" spans="2:4" ht="14.25" customHeight="1" x14ac:dyDescent="0.35">
      <c r="B244" s="107">
        <v>44921</v>
      </c>
      <c r="C244">
        <v>1.17</v>
      </c>
      <c r="D244">
        <v>1.92</v>
      </c>
    </row>
    <row r="245" spans="2:4" ht="14.25" customHeight="1" x14ac:dyDescent="0.35">
      <c r="B245" s="107">
        <v>44922</v>
      </c>
      <c r="C245">
        <v>0.65</v>
      </c>
      <c r="D245">
        <v>0.94</v>
      </c>
    </row>
    <row r="246" spans="2:4" ht="14.25" customHeight="1" x14ac:dyDescent="0.35">
      <c r="B246" s="107">
        <v>44923</v>
      </c>
      <c r="C246">
        <v>-0.05</v>
      </c>
      <c r="D246">
        <v>-0.4</v>
      </c>
    </row>
    <row r="247" spans="2:4" ht="14.25" customHeight="1" x14ac:dyDescent="0.35">
      <c r="B247" s="107">
        <v>44924</v>
      </c>
      <c r="C247">
        <v>0.38</v>
      </c>
      <c r="D247">
        <v>-7.0000000000000007E-2</v>
      </c>
    </row>
    <row r="248" spans="2:4" ht="14.25" customHeight="1" x14ac:dyDescent="0.35">
      <c r="B248" s="107">
        <v>44925</v>
      </c>
      <c r="C248">
        <v>-0.47</v>
      </c>
      <c r="D248">
        <v>2.34</v>
      </c>
    </row>
    <row r="249" spans="2:4" ht="14.25" customHeight="1" x14ac:dyDescent="0.35">
      <c r="B249" s="107">
        <v>44928</v>
      </c>
      <c r="C249">
        <v>0.51</v>
      </c>
      <c r="D249">
        <v>1.96</v>
      </c>
    </row>
    <row r="250" spans="2:4" ht="14.25" customHeight="1" x14ac:dyDescent="0.35">
      <c r="B250" s="107">
        <v>44929</v>
      </c>
      <c r="C250">
        <v>0.19</v>
      </c>
      <c r="D250">
        <v>0.64</v>
      </c>
    </row>
    <row r="251" spans="2:4" ht="14.25" customHeight="1" x14ac:dyDescent="0.35">
      <c r="B251" s="107">
        <v>44930</v>
      </c>
      <c r="C251">
        <v>-1.04</v>
      </c>
      <c r="D251">
        <v>-0.51</v>
      </c>
    </row>
    <row r="252" spans="2:4" ht="14.25" customHeight="1" x14ac:dyDescent="0.35">
      <c r="B252" s="107">
        <v>44931</v>
      </c>
      <c r="C252">
        <v>-0.28000000000000003</v>
      </c>
      <c r="D252">
        <v>1.28</v>
      </c>
    </row>
    <row r="253" spans="2:4" ht="14.25" customHeight="1" x14ac:dyDescent="0.35">
      <c r="B253" s="107">
        <v>44932</v>
      </c>
      <c r="C253">
        <v>-0.74</v>
      </c>
      <c r="D253">
        <v>1.2</v>
      </c>
    </row>
    <row r="254" spans="2:4" ht="14.25" customHeight="1" x14ac:dyDescent="0.35">
      <c r="B254" s="107">
        <v>44935</v>
      </c>
      <c r="C254">
        <v>1.35</v>
      </c>
      <c r="D254">
        <v>0.06</v>
      </c>
    </row>
    <row r="255" spans="2:4" ht="14.25" customHeight="1" x14ac:dyDescent="0.35">
      <c r="B255" s="107">
        <v>44936</v>
      </c>
      <c r="C255">
        <v>-1.03</v>
      </c>
      <c r="D255">
        <v>0.62</v>
      </c>
    </row>
    <row r="256" spans="2:4" ht="14.25" customHeight="1" x14ac:dyDescent="0.35">
      <c r="B256" s="107">
        <v>44937</v>
      </c>
      <c r="C256">
        <v>-0.1</v>
      </c>
      <c r="D256">
        <v>3.66</v>
      </c>
    </row>
    <row r="257" spans="2:4" ht="14.25" customHeight="1" x14ac:dyDescent="0.35">
      <c r="B257" s="107">
        <v>44938</v>
      </c>
      <c r="C257">
        <v>-0.21</v>
      </c>
      <c r="D257">
        <v>-2.33</v>
      </c>
    </row>
    <row r="258" spans="2:4" ht="14.25" customHeight="1" x14ac:dyDescent="0.35">
      <c r="B258" s="107">
        <v>44939</v>
      </c>
      <c r="C258">
        <v>0.55000000000000004</v>
      </c>
      <c r="D258">
        <v>0.86</v>
      </c>
    </row>
    <row r="259" spans="2:4" ht="14.25" customHeight="1" x14ac:dyDescent="0.35">
      <c r="B259" s="107">
        <v>44942</v>
      </c>
      <c r="C259">
        <v>-0.34</v>
      </c>
      <c r="D259">
        <v>-0.06</v>
      </c>
    </row>
    <row r="260" spans="2:4" ht="14.25" customHeight="1" x14ac:dyDescent="0.35">
      <c r="B260" s="107">
        <v>44943</v>
      </c>
      <c r="C260">
        <v>0.89</v>
      </c>
      <c r="D260">
        <v>-0.79</v>
      </c>
    </row>
    <row r="261" spans="2:4" ht="14.25" customHeight="1" x14ac:dyDescent="0.35">
      <c r="B261" s="107">
        <v>44944</v>
      </c>
      <c r="C261">
        <v>0.62</v>
      </c>
      <c r="D261">
        <v>0.67</v>
      </c>
    </row>
    <row r="262" spans="2:4" ht="14.25" customHeight="1" x14ac:dyDescent="0.35">
      <c r="B262" s="107">
        <v>44945</v>
      </c>
      <c r="C262">
        <v>-0.32</v>
      </c>
      <c r="D262">
        <v>1.34</v>
      </c>
    </row>
    <row r="263" spans="2:4" ht="14.25" customHeight="1" x14ac:dyDescent="0.35">
      <c r="B263" s="107">
        <v>44946</v>
      </c>
      <c r="C263">
        <v>-0.44</v>
      </c>
      <c r="D263">
        <v>-0.42</v>
      </c>
    </row>
    <row r="264" spans="2:4" ht="14.25" customHeight="1" x14ac:dyDescent="0.35">
      <c r="B264" s="107">
        <v>44949</v>
      </c>
      <c r="C264">
        <v>0.5</v>
      </c>
      <c r="D264">
        <v>0.66</v>
      </c>
    </row>
    <row r="265" spans="2:4" ht="14.25" customHeight="1" x14ac:dyDescent="0.35">
      <c r="B265" s="107">
        <v>44950</v>
      </c>
      <c r="C265">
        <v>0</v>
      </c>
      <c r="D265">
        <v>-0.36</v>
      </c>
    </row>
    <row r="266" spans="2:4" ht="14.25" customHeight="1" x14ac:dyDescent="0.35">
      <c r="B266" s="107">
        <v>44951</v>
      </c>
      <c r="C266">
        <v>-1.25</v>
      </c>
      <c r="D266">
        <v>-0.78</v>
      </c>
    </row>
    <row r="267" spans="2:4" ht="14.25" customHeight="1" x14ac:dyDescent="0.35">
      <c r="B267" s="107">
        <v>44953</v>
      </c>
      <c r="C267">
        <v>-1.61</v>
      </c>
      <c r="D267">
        <v>-1.82</v>
      </c>
    </row>
    <row r="268" spans="2:4" ht="14.25" customHeight="1" x14ac:dyDescent="0.35">
      <c r="B268" s="107">
        <v>44956</v>
      </c>
      <c r="C268">
        <v>0.25</v>
      </c>
      <c r="D268">
        <v>0.93</v>
      </c>
    </row>
    <row r="269" spans="2:4" ht="14.25" customHeight="1" x14ac:dyDescent="0.35">
      <c r="B269" s="107">
        <v>44957</v>
      </c>
      <c r="C269">
        <v>7.0000000000000007E-2</v>
      </c>
      <c r="D269">
        <v>0</v>
      </c>
    </row>
    <row r="270" spans="2:4" ht="14.25" customHeight="1" x14ac:dyDescent="0.35">
      <c r="B270" s="107">
        <v>44958</v>
      </c>
      <c r="C270">
        <v>-0.26</v>
      </c>
      <c r="D270">
        <v>-2.39</v>
      </c>
    </row>
    <row r="271" spans="2:4" ht="14.25" customHeight="1" x14ac:dyDescent="0.35">
      <c r="B271" s="107">
        <v>44959</v>
      </c>
      <c r="C271">
        <v>-0.03</v>
      </c>
      <c r="D271">
        <v>-1.57</v>
      </c>
    </row>
    <row r="272" spans="2:4" ht="14.25" customHeight="1" x14ac:dyDescent="0.35">
      <c r="B272" s="107">
        <v>44960</v>
      </c>
      <c r="C272">
        <v>1.38</v>
      </c>
      <c r="D272">
        <v>-0.13</v>
      </c>
    </row>
    <row r="273" spans="2:4" ht="14.25" customHeight="1" x14ac:dyDescent="0.35">
      <c r="B273" s="107">
        <v>44963</v>
      </c>
      <c r="C273">
        <v>-0.5</v>
      </c>
      <c r="D273">
        <v>1.02</v>
      </c>
    </row>
    <row r="274" spans="2:4" ht="14.25" customHeight="1" x14ac:dyDescent="0.35">
      <c r="B274" s="107">
        <v>44964</v>
      </c>
      <c r="C274">
        <v>-0.24</v>
      </c>
      <c r="D274">
        <v>-0.25</v>
      </c>
    </row>
    <row r="275" spans="2:4" ht="14.25" customHeight="1" x14ac:dyDescent="0.35">
      <c r="B275" s="107">
        <v>44965</v>
      </c>
      <c r="C275">
        <v>0.85</v>
      </c>
      <c r="D275">
        <v>0.25</v>
      </c>
    </row>
    <row r="276" spans="2:4" ht="14.25" customHeight="1" x14ac:dyDescent="0.35">
      <c r="B276" s="107">
        <v>44966</v>
      </c>
      <c r="C276">
        <v>0.12</v>
      </c>
      <c r="D276">
        <v>0.44</v>
      </c>
    </row>
    <row r="277" spans="2:4" ht="14.25" customHeight="1" x14ac:dyDescent="0.35">
      <c r="B277" s="107">
        <v>44967</v>
      </c>
      <c r="C277">
        <v>-0.21</v>
      </c>
      <c r="D277">
        <v>0.25</v>
      </c>
    </row>
    <row r="278" spans="2:4" ht="14.25" customHeight="1" x14ac:dyDescent="0.35">
      <c r="B278" s="107">
        <v>44970</v>
      </c>
      <c r="C278">
        <v>-0.48</v>
      </c>
      <c r="D278">
        <v>-0.38</v>
      </c>
    </row>
    <row r="279" spans="2:4" ht="14.25" customHeight="1" x14ac:dyDescent="0.35">
      <c r="B279" s="107">
        <v>44971</v>
      </c>
      <c r="C279">
        <v>0.89</v>
      </c>
      <c r="D279">
        <v>-0.44</v>
      </c>
    </row>
    <row r="280" spans="2:4" ht="14.25" customHeight="1" x14ac:dyDescent="0.35">
      <c r="B280" s="107">
        <v>44972</v>
      </c>
      <c r="C280">
        <v>0.48</v>
      </c>
      <c r="D280">
        <v>0.44</v>
      </c>
    </row>
    <row r="281" spans="2:4" ht="14.25" customHeight="1" x14ac:dyDescent="0.35">
      <c r="B281" s="107">
        <v>44973</v>
      </c>
      <c r="C281">
        <v>0.11</v>
      </c>
      <c r="D281">
        <v>0.38</v>
      </c>
    </row>
    <row r="282" spans="2:4" ht="14.25" customHeight="1" x14ac:dyDescent="0.35">
      <c r="B282" s="107">
        <v>44974</v>
      </c>
      <c r="C282">
        <v>-0.51</v>
      </c>
      <c r="D282">
        <v>0.94</v>
      </c>
    </row>
    <row r="283" spans="2:4" ht="14.25" customHeight="1" x14ac:dyDescent="0.35">
      <c r="B283" s="107">
        <v>44977</v>
      </c>
      <c r="C283">
        <v>-0.56000000000000005</v>
      </c>
      <c r="D283">
        <v>-1.24</v>
      </c>
    </row>
    <row r="284" spans="2:4" ht="14.25" customHeight="1" x14ac:dyDescent="0.35">
      <c r="B284" s="107">
        <v>44978</v>
      </c>
      <c r="C284">
        <v>-0.1</v>
      </c>
      <c r="D284">
        <v>-0.44</v>
      </c>
    </row>
    <row r="285" spans="2:4" ht="14.25" customHeight="1" x14ac:dyDescent="0.35">
      <c r="B285" s="107">
        <v>44979</v>
      </c>
      <c r="C285">
        <v>-1.53</v>
      </c>
      <c r="D285">
        <v>-2.4</v>
      </c>
    </row>
    <row r="286" spans="2:4" ht="14.25" customHeight="1" x14ac:dyDescent="0.35">
      <c r="B286" s="107">
        <v>44980</v>
      </c>
      <c r="C286">
        <v>-0.25</v>
      </c>
      <c r="D286">
        <v>-0.13</v>
      </c>
    </row>
    <row r="287" spans="2:4" ht="14.25" customHeight="1" x14ac:dyDescent="0.35">
      <c r="B287" s="107">
        <v>44981</v>
      </c>
      <c r="C287">
        <v>-0.26</v>
      </c>
      <c r="D287">
        <v>0.19</v>
      </c>
    </row>
    <row r="288" spans="2:4" ht="14.25" customHeight="1" x14ac:dyDescent="0.35">
      <c r="B288" s="107">
        <v>44984</v>
      </c>
      <c r="C288">
        <v>-0.42</v>
      </c>
      <c r="D288">
        <v>-0.65</v>
      </c>
    </row>
    <row r="289" spans="2:4" ht="14.25" customHeight="1" x14ac:dyDescent="0.35">
      <c r="B289" s="107">
        <v>44985</v>
      </c>
      <c r="C289">
        <v>-0.51</v>
      </c>
      <c r="D289">
        <v>-1.04</v>
      </c>
    </row>
    <row r="290" spans="2:4" ht="14.25" customHeight="1" x14ac:dyDescent="0.35">
      <c r="B290" s="107">
        <v>44986</v>
      </c>
      <c r="C290">
        <v>0.85</v>
      </c>
      <c r="D290">
        <v>1.18</v>
      </c>
    </row>
    <row r="291" spans="2:4" ht="14.25" customHeight="1" x14ac:dyDescent="0.35">
      <c r="B291" s="107">
        <v>44987</v>
      </c>
      <c r="C291">
        <v>-0.74</v>
      </c>
      <c r="D291">
        <v>1.23</v>
      </c>
    </row>
    <row r="292" spans="2:4" ht="14.25" customHeight="1" x14ac:dyDescent="0.35">
      <c r="B292" s="107">
        <v>44988</v>
      </c>
      <c r="C292">
        <v>1.57</v>
      </c>
      <c r="D292">
        <v>0.39</v>
      </c>
    </row>
    <row r="293" spans="2:4" ht="14.25" customHeight="1" x14ac:dyDescent="0.35">
      <c r="B293" s="107">
        <v>44991</v>
      </c>
      <c r="C293">
        <v>0.67</v>
      </c>
      <c r="D293">
        <v>1.34</v>
      </c>
    </row>
    <row r="294" spans="2:4" ht="14.25" customHeight="1" x14ac:dyDescent="0.35">
      <c r="B294" s="107">
        <v>44993</v>
      </c>
      <c r="C294">
        <v>0.24</v>
      </c>
      <c r="D294">
        <v>-0.06</v>
      </c>
    </row>
    <row r="295" spans="2:4" ht="14.25" customHeight="1" x14ac:dyDescent="0.35">
      <c r="B295" s="107">
        <v>44994</v>
      </c>
      <c r="C295">
        <v>-0.93</v>
      </c>
      <c r="D295">
        <v>-0.63</v>
      </c>
    </row>
    <row r="296" spans="2:4" ht="14.25" customHeight="1" x14ac:dyDescent="0.35">
      <c r="B296" s="107">
        <v>44995</v>
      </c>
      <c r="C296">
        <v>-1</v>
      </c>
      <c r="D296">
        <v>0.25</v>
      </c>
    </row>
    <row r="297" spans="2:4" ht="14.25" customHeight="1" x14ac:dyDescent="0.35">
      <c r="B297" s="107">
        <v>44998</v>
      </c>
      <c r="C297">
        <v>-1.49</v>
      </c>
      <c r="D297">
        <v>-1.39</v>
      </c>
    </row>
    <row r="298" spans="2:4" ht="14.25" customHeight="1" x14ac:dyDescent="0.35">
      <c r="B298" s="107">
        <v>44999</v>
      </c>
      <c r="C298">
        <v>-0.65</v>
      </c>
      <c r="D298">
        <v>-0.13</v>
      </c>
    </row>
    <row r="299" spans="2:4" ht="14.25" customHeight="1" x14ac:dyDescent="0.35">
      <c r="B299" s="107">
        <v>45000</v>
      </c>
      <c r="C299">
        <v>-0.42</v>
      </c>
      <c r="D299">
        <v>1.1599999999999999</v>
      </c>
    </row>
    <row r="300" spans="2:4" ht="14.25" customHeight="1" x14ac:dyDescent="0.35">
      <c r="B300" s="107">
        <v>45001</v>
      </c>
      <c r="C300">
        <v>0.08</v>
      </c>
      <c r="D300">
        <v>1.65</v>
      </c>
    </row>
    <row r="301" spans="2:4" ht="14.25" customHeight="1" x14ac:dyDescent="0.35">
      <c r="B301" s="107">
        <v>45002</v>
      </c>
      <c r="C301">
        <v>0.67</v>
      </c>
      <c r="D301">
        <v>-0.75</v>
      </c>
    </row>
    <row r="302" spans="2:4" ht="14.25" customHeight="1" x14ac:dyDescent="0.35">
      <c r="B302" s="107">
        <v>45005</v>
      </c>
      <c r="C302">
        <v>-0.65</v>
      </c>
      <c r="D302">
        <v>1.64</v>
      </c>
    </row>
    <row r="303" spans="2:4" ht="14.25" customHeight="1" x14ac:dyDescent="0.35">
      <c r="B303" s="107">
        <v>45006</v>
      </c>
      <c r="C303">
        <v>0.7</v>
      </c>
      <c r="D303">
        <v>-1.3</v>
      </c>
    </row>
    <row r="304" spans="2:4" ht="14.25" customHeight="1" x14ac:dyDescent="0.35">
      <c r="B304" s="107">
        <v>45007</v>
      </c>
      <c r="C304">
        <v>0.26</v>
      </c>
      <c r="D304">
        <v>0.06</v>
      </c>
    </row>
    <row r="305" spans="2:4" ht="14.25" customHeight="1" x14ac:dyDescent="0.35">
      <c r="B305" s="107">
        <v>45008</v>
      </c>
      <c r="C305">
        <v>-0.44</v>
      </c>
      <c r="D305">
        <v>-0.75</v>
      </c>
    </row>
    <row r="306" spans="2:4" ht="14.25" customHeight="1" x14ac:dyDescent="0.35">
      <c r="B306" s="107">
        <v>45009</v>
      </c>
      <c r="C306">
        <v>-0.77</v>
      </c>
      <c r="D306">
        <v>-0.76</v>
      </c>
    </row>
    <row r="307" spans="2:4" ht="14.25" customHeight="1" x14ac:dyDescent="0.35">
      <c r="B307" s="107">
        <v>45012</v>
      </c>
      <c r="C307">
        <v>0.24</v>
      </c>
      <c r="D307">
        <v>-1.66</v>
      </c>
    </row>
    <row r="308" spans="2:4" ht="14.25" customHeight="1" x14ac:dyDescent="0.35">
      <c r="B308" s="107">
        <v>45013</v>
      </c>
      <c r="C308">
        <v>-0.2</v>
      </c>
      <c r="D308">
        <v>-0.26</v>
      </c>
    </row>
    <row r="309" spans="2:4" ht="14.25" customHeight="1" x14ac:dyDescent="0.35">
      <c r="B309" s="107">
        <v>45014</v>
      </c>
      <c r="C309">
        <v>0.76</v>
      </c>
      <c r="D309">
        <v>0</v>
      </c>
    </row>
    <row r="310" spans="2:4" ht="14.25" customHeight="1" x14ac:dyDescent="0.35">
      <c r="B310" s="107">
        <v>45016</v>
      </c>
      <c r="C310">
        <v>1.63</v>
      </c>
      <c r="D310">
        <v>1.3</v>
      </c>
    </row>
    <row r="311" spans="2:4" ht="14.25" customHeight="1" x14ac:dyDescent="0.35">
      <c r="B311" s="107">
        <v>45019</v>
      </c>
      <c r="C311">
        <v>0.22</v>
      </c>
      <c r="D311">
        <v>-0.51</v>
      </c>
    </row>
    <row r="312" spans="2:4" ht="14.25" customHeight="1" x14ac:dyDescent="0.35">
      <c r="B312" s="107">
        <v>45021</v>
      </c>
      <c r="C312">
        <v>0.91</v>
      </c>
      <c r="D312">
        <v>-0.45</v>
      </c>
    </row>
    <row r="313" spans="2:4" ht="14.25" customHeight="1" x14ac:dyDescent="0.35">
      <c r="B313" s="107">
        <v>45022</v>
      </c>
      <c r="C313">
        <v>0.24</v>
      </c>
      <c r="D313">
        <v>0.71</v>
      </c>
    </row>
    <row r="314" spans="2:4" ht="14.25" customHeight="1" x14ac:dyDescent="0.35">
      <c r="B314" s="107">
        <v>45026</v>
      </c>
      <c r="C314">
        <v>0.14000000000000001</v>
      </c>
      <c r="D314">
        <v>0.13</v>
      </c>
    </row>
    <row r="315" spans="2:4" ht="14.25" customHeight="1" x14ac:dyDescent="0.35">
      <c r="B315" s="107">
        <v>45027</v>
      </c>
      <c r="C315">
        <v>0.56000000000000005</v>
      </c>
      <c r="D315">
        <v>0.13</v>
      </c>
    </row>
    <row r="316" spans="2:4" ht="14.25" customHeight="1" x14ac:dyDescent="0.35">
      <c r="B316" s="107">
        <v>45028</v>
      </c>
      <c r="C316">
        <v>0.51</v>
      </c>
      <c r="D316">
        <v>0.13</v>
      </c>
    </row>
    <row r="317" spans="2:4" ht="14.25" customHeight="1" x14ac:dyDescent="0.35">
      <c r="B317" s="107">
        <v>45029</v>
      </c>
      <c r="C317">
        <v>0.09</v>
      </c>
      <c r="D317">
        <v>-1.03</v>
      </c>
    </row>
    <row r="318" spans="2:4" ht="14.25" customHeight="1" x14ac:dyDescent="0.35">
      <c r="B318" s="107">
        <v>45033</v>
      </c>
      <c r="C318">
        <v>-0.68</v>
      </c>
      <c r="D318">
        <v>0.06</v>
      </c>
    </row>
    <row r="319" spans="2:4" ht="14.25" customHeight="1" x14ac:dyDescent="0.35">
      <c r="B319" s="107">
        <v>45034</v>
      </c>
      <c r="C319">
        <v>-0.26</v>
      </c>
      <c r="D319">
        <v>0.97</v>
      </c>
    </row>
    <row r="320" spans="2:4" ht="14.25" customHeight="1" x14ac:dyDescent="0.35">
      <c r="B320" s="107">
        <v>45035</v>
      </c>
      <c r="C320">
        <v>-0.23</v>
      </c>
      <c r="D320">
        <v>0.71</v>
      </c>
    </row>
    <row r="321" spans="2:4" ht="14.25" customHeight="1" x14ac:dyDescent="0.35">
      <c r="B321" s="107">
        <v>45036</v>
      </c>
      <c r="C321">
        <v>0.03</v>
      </c>
      <c r="D321">
        <v>-0.45</v>
      </c>
    </row>
    <row r="322" spans="2:4" ht="14.25" customHeight="1" x14ac:dyDescent="0.35">
      <c r="B322" s="107">
        <v>45037</v>
      </c>
      <c r="C322">
        <v>0</v>
      </c>
      <c r="D322">
        <v>0.06</v>
      </c>
    </row>
    <row r="323" spans="2:4" ht="14.25" customHeight="1" x14ac:dyDescent="0.35">
      <c r="B323" s="107">
        <v>45040</v>
      </c>
      <c r="C323">
        <v>0.68</v>
      </c>
      <c r="D323">
        <v>0</v>
      </c>
    </row>
    <row r="324" spans="2:4" ht="14.25" customHeight="1" x14ac:dyDescent="0.35">
      <c r="B324" s="107">
        <v>45041</v>
      </c>
      <c r="C324">
        <v>0.15</v>
      </c>
      <c r="D324">
        <v>0.26</v>
      </c>
    </row>
    <row r="325" spans="2:4" ht="14.25" customHeight="1" x14ac:dyDescent="0.35">
      <c r="B325" s="107">
        <v>45042</v>
      </c>
      <c r="C325">
        <v>0.25</v>
      </c>
      <c r="D325">
        <v>0</v>
      </c>
    </row>
    <row r="326" spans="2:4" ht="14.25" customHeight="1" x14ac:dyDescent="0.35">
      <c r="B326" s="107">
        <v>45043</v>
      </c>
      <c r="C326">
        <v>0.56999999999999995</v>
      </c>
      <c r="D326">
        <v>2.5499999999999998</v>
      </c>
    </row>
    <row r="327" spans="2:4" ht="14.25" customHeight="1" x14ac:dyDescent="0.35">
      <c r="B327" s="107">
        <v>45044</v>
      </c>
      <c r="C327">
        <v>0.84</v>
      </c>
      <c r="D327">
        <v>1.18</v>
      </c>
    </row>
    <row r="328" spans="2:4" ht="14.25" customHeight="1" x14ac:dyDescent="0.35">
      <c r="B328" s="107">
        <v>45048</v>
      </c>
      <c r="C328">
        <v>0.46</v>
      </c>
      <c r="D328">
        <v>0.92</v>
      </c>
    </row>
    <row r="329" spans="2:4" ht="14.25" customHeight="1" x14ac:dyDescent="0.35">
      <c r="B329" s="107">
        <v>45049</v>
      </c>
      <c r="C329">
        <v>-0.32</v>
      </c>
      <c r="D329">
        <v>0.67</v>
      </c>
    </row>
    <row r="330" spans="2:4" ht="14.25" customHeight="1" x14ac:dyDescent="0.35">
      <c r="B330" s="107">
        <v>45050</v>
      </c>
      <c r="C330">
        <v>0.92</v>
      </c>
      <c r="D330">
        <v>0.73</v>
      </c>
    </row>
    <row r="331" spans="2:4" ht="14.25" customHeight="1" x14ac:dyDescent="0.35">
      <c r="B331" s="107">
        <v>45051</v>
      </c>
      <c r="C331">
        <v>-1.02</v>
      </c>
      <c r="D331">
        <v>-0.6</v>
      </c>
    </row>
    <row r="332" spans="2:4" ht="14.25" customHeight="1" x14ac:dyDescent="0.35">
      <c r="B332" s="107">
        <v>45054</v>
      </c>
      <c r="C332">
        <v>1.08</v>
      </c>
      <c r="D332">
        <v>0.54</v>
      </c>
    </row>
    <row r="333" spans="2:4" ht="14.25" customHeight="1" x14ac:dyDescent="0.35">
      <c r="B333" s="107">
        <v>45055</v>
      </c>
      <c r="C333">
        <v>0.01</v>
      </c>
      <c r="D333">
        <v>0.9</v>
      </c>
    </row>
    <row r="334" spans="2:4" ht="14.25" customHeight="1" x14ac:dyDescent="0.35">
      <c r="B334" s="107">
        <v>45056</v>
      </c>
      <c r="C334">
        <v>0.27</v>
      </c>
      <c r="D334">
        <v>0.3</v>
      </c>
    </row>
    <row r="335" spans="2:4" ht="14.25" customHeight="1" x14ac:dyDescent="0.35">
      <c r="B335" s="107">
        <v>45057</v>
      </c>
      <c r="C335">
        <v>-0.1</v>
      </c>
      <c r="D335">
        <v>-0.36</v>
      </c>
    </row>
    <row r="336" spans="2:4" ht="14.25" customHeight="1" x14ac:dyDescent="0.35">
      <c r="B336" s="107">
        <v>45058</v>
      </c>
      <c r="C336">
        <v>0.1</v>
      </c>
      <c r="D336">
        <v>-0.48</v>
      </c>
    </row>
    <row r="337" spans="2:4" ht="14.25" customHeight="1" x14ac:dyDescent="0.35">
      <c r="B337" s="107">
        <v>45061</v>
      </c>
      <c r="C337">
        <v>0.46</v>
      </c>
      <c r="D337">
        <v>0.78</v>
      </c>
    </row>
    <row r="338" spans="2:4" ht="14.25" customHeight="1" x14ac:dyDescent="0.35">
      <c r="B338" s="107">
        <v>45062</v>
      </c>
      <c r="C338">
        <v>-0.61</v>
      </c>
      <c r="D338">
        <v>3.33</v>
      </c>
    </row>
    <row r="339" spans="2:4" ht="14.25" customHeight="1" x14ac:dyDescent="0.35">
      <c r="B339" s="107">
        <v>45063</v>
      </c>
      <c r="C339">
        <v>-0.56999999999999995</v>
      </c>
      <c r="D339">
        <v>0.63</v>
      </c>
    </row>
    <row r="340" spans="2:4" ht="14.25" customHeight="1" x14ac:dyDescent="0.35">
      <c r="B340" s="107">
        <v>45064</v>
      </c>
      <c r="C340">
        <v>-0.28000000000000003</v>
      </c>
      <c r="D340">
        <v>-1.77</v>
      </c>
    </row>
    <row r="341" spans="2:4" ht="14.25" customHeight="1" x14ac:dyDescent="0.35">
      <c r="B341" s="107">
        <v>45065</v>
      </c>
      <c r="C341">
        <v>0.41</v>
      </c>
      <c r="D341">
        <v>0.06</v>
      </c>
    </row>
    <row r="342" spans="2:4" ht="14.25" customHeight="1" x14ac:dyDescent="0.35">
      <c r="B342" s="107">
        <v>45068</v>
      </c>
      <c r="C342">
        <v>0.61</v>
      </c>
      <c r="D342">
        <v>1.28</v>
      </c>
    </row>
    <row r="343" spans="2:4" ht="14.25" customHeight="1" x14ac:dyDescent="0.35">
      <c r="B343" s="107">
        <v>45069</v>
      </c>
      <c r="C343">
        <v>0.18</v>
      </c>
      <c r="D343">
        <v>2.12</v>
      </c>
    </row>
    <row r="344" spans="2:4" ht="14.25" customHeight="1" x14ac:dyDescent="0.35">
      <c r="B344" s="107">
        <v>45070</v>
      </c>
      <c r="C344">
        <v>-0.34</v>
      </c>
      <c r="D344">
        <v>0.73</v>
      </c>
    </row>
    <row r="345" spans="2:4" ht="14.25" customHeight="1" x14ac:dyDescent="0.35">
      <c r="B345" s="107">
        <v>45071</v>
      </c>
      <c r="C345">
        <v>0.2</v>
      </c>
      <c r="D345">
        <v>-0.56000000000000005</v>
      </c>
    </row>
    <row r="346" spans="2:4" ht="14.25" customHeight="1" x14ac:dyDescent="0.35">
      <c r="B346" s="107">
        <v>45072</v>
      </c>
      <c r="C346">
        <v>0.97</v>
      </c>
      <c r="D346">
        <v>1.18</v>
      </c>
    </row>
    <row r="347" spans="2:4" ht="14.25" customHeight="1" x14ac:dyDescent="0.35">
      <c r="B347" s="107">
        <v>45075</v>
      </c>
      <c r="C347">
        <v>0.54</v>
      </c>
      <c r="D347">
        <v>-0.17</v>
      </c>
    </row>
    <row r="348" spans="2:4" ht="14.25" customHeight="1" x14ac:dyDescent="0.35">
      <c r="B348" s="107">
        <v>45076</v>
      </c>
      <c r="C348">
        <v>0.19</v>
      </c>
      <c r="D348">
        <v>0.28000000000000003</v>
      </c>
    </row>
    <row r="349" spans="2:4" ht="14.25" customHeight="1" x14ac:dyDescent="0.35">
      <c r="B349" s="107">
        <v>45077</v>
      </c>
      <c r="C349">
        <v>-0.53</v>
      </c>
      <c r="D349">
        <v>-0.33</v>
      </c>
    </row>
    <row r="350" spans="2:4" ht="14.25" customHeight="1" x14ac:dyDescent="0.35">
      <c r="B350" s="107">
        <v>45078</v>
      </c>
      <c r="C350">
        <v>-0.25</v>
      </c>
      <c r="D350">
        <v>0.56000000000000005</v>
      </c>
    </row>
    <row r="351" spans="2:4" ht="14.25" customHeight="1" x14ac:dyDescent="0.35">
      <c r="B351" s="107">
        <v>45079</v>
      </c>
      <c r="C351">
        <v>0.25</v>
      </c>
      <c r="D351">
        <v>-0.77</v>
      </c>
    </row>
    <row r="352" spans="2:4" ht="14.25" customHeight="1" x14ac:dyDescent="0.35">
      <c r="B352" s="107">
        <v>45082</v>
      </c>
      <c r="C352">
        <v>0.32</v>
      </c>
      <c r="D352">
        <v>-0.61</v>
      </c>
    </row>
    <row r="353" spans="2:4" ht="14.25" customHeight="1" x14ac:dyDescent="0.35">
      <c r="B353" s="107">
        <v>45083</v>
      </c>
      <c r="C353">
        <v>0.03</v>
      </c>
      <c r="D353">
        <v>0.17</v>
      </c>
    </row>
    <row r="354" spans="2:4" ht="14.25" customHeight="1" x14ac:dyDescent="0.35">
      <c r="B354" s="107">
        <v>45084</v>
      </c>
      <c r="C354">
        <v>0.68</v>
      </c>
      <c r="D354">
        <v>1.62</v>
      </c>
    </row>
    <row r="355" spans="2:4" ht="14.25" customHeight="1" x14ac:dyDescent="0.35">
      <c r="B355" s="107">
        <v>45085</v>
      </c>
      <c r="C355">
        <v>-0.49</v>
      </c>
      <c r="D355">
        <v>-0.88</v>
      </c>
    </row>
    <row r="356" spans="2:4" ht="14.25" customHeight="1" x14ac:dyDescent="0.35">
      <c r="B356" s="107">
        <v>45086</v>
      </c>
      <c r="C356">
        <v>-0.38</v>
      </c>
      <c r="D356">
        <v>0.28000000000000003</v>
      </c>
    </row>
    <row r="357" spans="2:4" ht="14.25" customHeight="1" x14ac:dyDescent="0.35">
      <c r="B357" s="107">
        <v>45089</v>
      </c>
      <c r="C357">
        <v>0.21</v>
      </c>
      <c r="D357">
        <v>1.72</v>
      </c>
    </row>
    <row r="358" spans="2:4" ht="14.25" customHeight="1" x14ac:dyDescent="0.35">
      <c r="B358" s="107">
        <v>45090</v>
      </c>
      <c r="C358">
        <v>0.62</v>
      </c>
      <c r="D358">
        <v>0.05</v>
      </c>
    </row>
    <row r="359" spans="2:4" ht="14.25" customHeight="1" x14ac:dyDescent="0.35">
      <c r="B359" s="107">
        <v>45091</v>
      </c>
      <c r="C359">
        <v>0.21</v>
      </c>
      <c r="D359">
        <v>1.36</v>
      </c>
    </row>
    <row r="360" spans="2:4" ht="14.25" customHeight="1" x14ac:dyDescent="0.35">
      <c r="B360" s="107">
        <v>45092</v>
      </c>
      <c r="C360">
        <v>-0.36</v>
      </c>
      <c r="D360">
        <v>-0.27</v>
      </c>
    </row>
    <row r="361" spans="2:4" ht="14.25" customHeight="1" x14ac:dyDescent="0.35">
      <c r="B361" s="107">
        <v>45093</v>
      </c>
      <c r="C361">
        <v>0.74</v>
      </c>
      <c r="D361">
        <v>-0.81</v>
      </c>
    </row>
    <row r="362" spans="2:4" ht="14.25" customHeight="1" x14ac:dyDescent="0.35">
      <c r="B362" s="107">
        <v>45096</v>
      </c>
      <c r="C362">
        <v>-0.37</v>
      </c>
      <c r="D362">
        <v>-0.27</v>
      </c>
    </row>
    <row r="363" spans="2:4" ht="14.25" customHeight="1" x14ac:dyDescent="0.35">
      <c r="B363" s="107">
        <v>45097</v>
      </c>
      <c r="C363">
        <v>0.33</v>
      </c>
      <c r="D363">
        <v>0</v>
      </c>
    </row>
    <row r="364" spans="2:4" ht="14.25" customHeight="1" x14ac:dyDescent="0.35">
      <c r="B364" s="107">
        <v>45098</v>
      </c>
      <c r="C364">
        <v>0.21</v>
      </c>
      <c r="D364">
        <v>0.11</v>
      </c>
    </row>
    <row r="365" spans="2:4" ht="14.25" customHeight="1" x14ac:dyDescent="0.35">
      <c r="B365" s="107">
        <v>45099</v>
      </c>
      <c r="C365">
        <v>-0.45</v>
      </c>
      <c r="D365">
        <v>0</v>
      </c>
    </row>
    <row r="366" spans="2:4" ht="14.25" customHeight="1" x14ac:dyDescent="0.35">
      <c r="B366" s="107">
        <v>45100</v>
      </c>
      <c r="C366">
        <v>-0.56000000000000005</v>
      </c>
      <c r="D366">
        <v>-2.93</v>
      </c>
    </row>
    <row r="367" spans="2:4" ht="14.25" customHeight="1" x14ac:dyDescent="0.35">
      <c r="B367" s="107">
        <v>45103</v>
      </c>
      <c r="C367">
        <v>0.14000000000000001</v>
      </c>
      <c r="D367">
        <v>0.28000000000000003</v>
      </c>
    </row>
    <row r="368" spans="2:4" ht="14.25" customHeight="1" x14ac:dyDescent="0.35">
      <c r="B368" s="107">
        <v>45104</v>
      </c>
      <c r="C368">
        <v>0.68</v>
      </c>
      <c r="D368">
        <v>-0.22</v>
      </c>
    </row>
    <row r="369" spans="2:4" ht="14.25" customHeight="1" x14ac:dyDescent="0.35">
      <c r="B369" s="107">
        <v>45105</v>
      </c>
      <c r="C369">
        <v>0.82</v>
      </c>
      <c r="D369">
        <v>1.45</v>
      </c>
    </row>
    <row r="370" spans="2:4" ht="14.25" customHeight="1" x14ac:dyDescent="0.35">
      <c r="B370" s="107">
        <v>45107</v>
      </c>
      <c r="C370">
        <v>1.1399999999999999</v>
      </c>
      <c r="D370">
        <v>0.72</v>
      </c>
    </row>
    <row r="371" spans="2:4" ht="14.25" customHeight="1" x14ac:dyDescent="0.35">
      <c r="B371" s="107">
        <v>45110</v>
      </c>
      <c r="C371">
        <v>0.7</v>
      </c>
      <c r="D371">
        <v>4.33</v>
      </c>
    </row>
    <row r="372" spans="2:4" ht="14.25" customHeight="1" x14ac:dyDescent="0.35">
      <c r="B372" s="107">
        <v>45111</v>
      </c>
      <c r="C372">
        <v>0.34</v>
      </c>
      <c r="D372">
        <v>-0.63</v>
      </c>
    </row>
    <row r="373" spans="2:4" ht="14.25" customHeight="1" x14ac:dyDescent="0.35">
      <c r="B373" s="107">
        <v>45112</v>
      </c>
      <c r="C373">
        <v>0.05</v>
      </c>
      <c r="D373">
        <v>0.9</v>
      </c>
    </row>
    <row r="374" spans="2:4" ht="14.25" customHeight="1" x14ac:dyDescent="0.35">
      <c r="B374" s="107">
        <v>45113</v>
      </c>
      <c r="C374">
        <v>0.51</v>
      </c>
      <c r="D374">
        <v>3.25</v>
      </c>
    </row>
    <row r="375" spans="2:4" ht="14.25" customHeight="1" x14ac:dyDescent="0.35">
      <c r="B375" s="107">
        <v>45114</v>
      </c>
      <c r="C375">
        <v>-0.85</v>
      </c>
      <c r="D375">
        <v>0.61</v>
      </c>
    </row>
    <row r="376" spans="2:4" ht="14.25" customHeight="1" x14ac:dyDescent="0.35">
      <c r="B376" s="107">
        <v>45117</v>
      </c>
      <c r="C376">
        <v>0.12</v>
      </c>
      <c r="D376">
        <v>-1.81</v>
      </c>
    </row>
    <row r="377" spans="2:4" ht="14.25" customHeight="1" x14ac:dyDescent="0.35">
      <c r="B377" s="107">
        <v>45118</v>
      </c>
      <c r="C377">
        <v>0.43</v>
      </c>
      <c r="D377">
        <v>0.72</v>
      </c>
    </row>
    <row r="378" spans="2:4" ht="14.25" customHeight="1" x14ac:dyDescent="0.35">
      <c r="B378" s="107">
        <v>45119</v>
      </c>
      <c r="C378">
        <v>-0.28000000000000003</v>
      </c>
      <c r="D378">
        <v>-0.2</v>
      </c>
    </row>
    <row r="379" spans="2:4" ht="14.25" customHeight="1" x14ac:dyDescent="0.35">
      <c r="B379" s="107">
        <v>45120</v>
      </c>
      <c r="C379">
        <v>0.15</v>
      </c>
      <c r="D379">
        <v>-1.74</v>
      </c>
    </row>
    <row r="380" spans="2:4" ht="14.25" customHeight="1" x14ac:dyDescent="0.35">
      <c r="B380" s="107">
        <v>45121</v>
      </c>
      <c r="C380">
        <v>0.78</v>
      </c>
      <c r="D380">
        <v>0.42</v>
      </c>
    </row>
    <row r="381" spans="2:4" ht="14.25" customHeight="1" x14ac:dyDescent="0.35">
      <c r="B381" s="107">
        <v>45124</v>
      </c>
      <c r="C381">
        <v>0.75</v>
      </c>
      <c r="D381">
        <v>0.78</v>
      </c>
    </row>
    <row r="382" spans="2:4" ht="14.25" customHeight="1" x14ac:dyDescent="0.35">
      <c r="B382" s="107">
        <v>45125</v>
      </c>
      <c r="C382">
        <v>0.19</v>
      </c>
      <c r="D382">
        <v>0.26</v>
      </c>
    </row>
    <row r="383" spans="2:4" ht="14.25" customHeight="1" x14ac:dyDescent="0.35">
      <c r="B383" s="107">
        <v>45126</v>
      </c>
      <c r="C383">
        <v>0.42</v>
      </c>
      <c r="D383">
        <v>0.67</v>
      </c>
    </row>
    <row r="384" spans="2:4" ht="14.25" customHeight="1" x14ac:dyDescent="0.35">
      <c r="B384" s="107">
        <v>45127</v>
      </c>
      <c r="C384">
        <v>0.74</v>
      </c>
      <c r="D384">
        <v>0.51</v>
      </c>
    </row>
    <row r="385" spans="2:4" ht="14.25" customHeight="1" x14ac:dyDescent="0.35">
      <c r="B385" s="107">
        <v>45128</v>
      </c>
      <c r="C385">
        <v>-1.17</v>
      </c>
      <c r="D385">
        <v>0.61</v>
      </c>
    </row>
    <row r="386" spans="2:4" ht="14.25" customHeight="1" x14ac:dyDescent="0.35">
      <c r="B386" s="107">
        <v>45131</v>
      </c>
      <c r="C386">
        <v>-0.37</v>
      </c>
      <c r="D386">
        <v>0.5</v>
      </c>
    </row>
    <row r="387" spans="2:4" ht="14.25" customHeight="1" x14ac:dyDescent="0.35">
      <c r="B387" s="107">
        <v>45132</v>
      </c>
      <c r="C387">
        <v>0.04</v>
      </c>
      <c r="D387">
        <v>-0.85</v>
      </c>
    </row>
    <row r="388" spans="2:4" ht="14.25" customHeight="1" x14ac:dyDescent="0.35">
      <c r="B388" s="107">
        <v>45133</v>
      </c>
      <c r="C388">
        <v>0.5</v>
      </c>
      <c r="D388">
        <v>0.61</v>
      </c>
    </row>
    <row r="389" spans="2:4" ht="14.25" customHeight="1" x14ac:dyDescent="0.35">
      <c r="B389" s="107">
        <v>45134</v>
      </c>
      <c r="C389">
        <v>-0.6</v>
      </c>
      <c r="D389">
        <v>-1</v>
      </c>
    </row>
    <row r="390" spans="2:4" ht="14.25" customHeight="1" x14ac:dyDescent="0.35">
      <c r="B390" s="107">
        <v>45135</v>
      </c>
      <c r="C390">
        <v>-7.0000000000000007E-2</v>
      </c>
      <c r="D390">
        <v>-0.37</v>
      </c>
    </row>
    <row r="391" spans="2:4" ht="14.25" customHeight="1" x14ac:dyDescent="0.35">
      <c r="B391" s="107">
        <v>45138</v>
      </c>
      <c r="C391">
        <v>0.55000000000000004</v>
      </c>
      <c r="D391">
        <v>-1.57</v>
      </c>
    </row>
    <row r="392" spans="2:4" ht="14.25" customHeight="1" x14ac:dyDescent="0.35">
      <c r="B392" s="107">
        <v>45139</v>
      </c>
      <c r="C392">
        <v>-0.1</v>
      </c>
      <c r="D392">
        <v>0.27</v>
      </c>
    </row>
    <row r="393" spans="2:4" ht="14.25" customHeight="1" x14ac:dyDescent="0.35">
      <c r="B393" s="107">
        <v>45140</v>
      </c>
      <c r="C393">
        <v>-1.05</v>
      </c>
      <c r="D393">
        <v>-0.16</v>
      </c>
    </row>
    <row r="394" spans="2:4" ht="14.25" customHeight="1" x14ac:dyDescent="0.35">
      <c r="B394" s="107">
        <v>45141</v>
      </c>
      <c r="C394">
        <v>-0.74</v>
      </c>
      <c r="D394">
        <v>-0.37</v>
      </c>
    </row>
    <row r="395" spans="2:4" ht="14.25" customHeight="1" x14ac:dyDescent="0.35">
      <c r="B395" s="107">
        <v>45142</v>
      </c>
      <c r="C395">
        <v>0.7</v>
      </c>
      <c r="D395">
        <v>-1.28</v>
      </c>
    </row>
    <row r="396" spans="2:4" ht="14.25" customHeight="1" x14ac:dyDescent="0.35">
      <c r="B396" s="107">
        <v>45145</v>
      </c>
      <c r="C396">
        <v>0.41</v>
      </c>
      <c r="D396">
        <v>0.6</v>
      </c>
    </row>
    <row r="397" spans="2:4" ht="14.25" customHeight="1" x14ac:dyDescent="0.35">
      <c r="B397" s="107">
        <v>45146</v>
      </c>
      <c r="C397">
        <v>-0.13</v>
      </c>
      <c r="D397">
        <v>-0.54</v>
      </c>
    </row>
    <row r="398" spans="2:4" ht="14.25" customHeight="1" x14ac:dyDescent="0.35">
      <c r="B398" s="107">
        <v>45147</v>
      </c>
      <c r="C398">
        <v>0.32</v>
      </c>
      <c r="D398">
        <v>1.68</v>
      </c>
    </row>
    <row r="399" spans="2:4" ht="14.25" customHeight="1" x14ac:dyDescent="0.35">
      <c r="B399" s="107">
        <v>45148</v>
      </c>
      <c r="C399">
        <v>-0.46</v>
      </c>
      <c r="D399">
        <v>-0.05</v>
      </c>
    </row>
    <row r="400" spans="2:4" ht="14.25" customHeight="1" x14ac:dyDescent="0.35">
      <c r="B400" s="107">
        <v>45149</v>
      </c>
      <c r="C400">
        <v>-0.59</v>
      </c>
      <c r="D400">
        <v>-0.37</v>
      </c>
    </row>
    <row r="401" spans="2:4" ht="14.25" customHeight="1" x14ac:dyDescent="0.35">
      <c r="B401" s="107">
        <v>45152</v>
      </c>
      <c r="C401">
        <v>0.03</v>
      </c>
      <c r="D401">
        <v>-0.96</v>
      </c>
    </row>
    <row r="402" spans="2:4" ht="14.25" customHeight="1" x14ac:dyDescent="0.35">
      <c r="B402" s="107">
        <v>45154</v>
      </c>
      <c r="C402">
        <v>0.16</v>
      </c>
      <c r="D402">
        <v>0.76</v>
      </c>
    </row>
    <row r="403" spans="2:4" ht="14.25" customHeight="1" x14ac:dyDescent="0.35">
      <c r="B403" s="107">
        <v>45155</v>
      </c>
      <c r="C403">
        <v>-0.51</v>
      </c>
      <c r="D403">
        <v>-1.1299999999999999</v>
      </c>
    </row>
    <row r="404" spans="2:4" ht="14.25" customHeight="1" x14ac:dyDescent="0.35">
      <c r="B404" s="107">
        <v>45156</v>
      </c>
      <c r="C404">
        <v>-0.28000000000000003</v>
      </c>
      <c r="D404">
        <v>-0.92</v>
      </c>
    </row>
    <row r="405" spans="2:4" ht="14.25" customHeight="1" x14ac:dyDescent="0.35">
      <c r="B405" s="107">
        <v>45159</v>
      </c>
      <c r="C405">
        <v>0.43</v>
      </c>
      <c r="D405">
        <v>0.66</v>
      </c>
    </row>
    <row r="406" spans="2:4" ht="14.25" customHeight="1" x14ac:dyDescent="0.35">
      <c r="B406" s="107">
        <v>45160</v>
      </c>
      <c r="C406">
        <v>0.01</v>
      </c>
      <c r="D406">
        <v>-0.16</v>
      </c>
    </row>
    <row r="407" spans="2:4" ht="14.25" customHeight="1" x14ac:dyDescent="0.35">
      <c r="B407" s="107">
        <v>45161</v>
      </c>
      <c r="C407">
        <v>0.25</v>
      </c>
      <c r="D407">
        <v>-0.6</v>
      </c>
    </row>
    <row r="408" spans="2:4" ht="14.25" customHeight="1" x14ac:dyDescent="0.35">
      <c r="B408" s="107">
        <v>45162</v>
      </c>
      <c r="C408">
        <v>-0.28999999999999998</v>
      </c>
      <c r="D408">
        <v>1.04</v>
      </c>
    </row>
    <row r="409" spans="2:4" ht="14.25" customHeight="1" x14ac:dyDescent="0.35">
      <c r="B409" s="107">
        <v>45163</v>
      </c>
      <c r="C409">
        <v>-0.62</v>
      </c>
      <c r="D409">
        <v>-0.49</v>
      </c>
    </row>
    <row r="410" spans="2:4" ht="14.25" customHeight="1" x14ac:dyDescent="0.35">
      <c r="B410" s="107">
        <v>45166</v>
      </c>
      <c r="C410">
        <v>0.21</v>
      </c>
      <c r="D410">
        <v>0.11</v>
      </c>
    </row>
    <row r="411" spans="2:4" ht="14.25" customHeight="1" x14ac:dyDescent="0.35">
      <c r="B411" s="107">
        <v>45167</v>
      </c>
      <c r="C411">
        <v>0.19</v>
      </c>
      <c r="D411">
        <v>0</v>
      </c>
    </row>
    <row r="412" spans="2:4" ht="14.25" customHeight="1" x14ac:dyDescent="0.35">
      <c r="B412" s="107">
        <v>45168</v>
      </c>
      <c r="C412">
        <v>0.02</v>
      </c>
      <c r="D412">
        <v>-1.25</v>
      </c>
    </row>
    <row r="413" spans="2:4" ht="14.25" customHeight="1" x14ac:dyDescent="0.35">
      <c r="B413" s="107">
        <v>45169</v>
      </c>
      <c r="C413">
        <v>-0.48</v>
      </c>
      <c r="D413">
        <v>-1.82</v>
      </c>
    </row>
    <row r="414" spans="2:4" ht="14.25" customHeight="1" x14ac:dyDescent="0.35">
      <c r="B414" s="107">
        <v>45170</v>
      </c>
      <c r="C414">
        <v>0.94</v>
      </c>
      <c r="D414">
        <v>-0.06</v>
      </c>
    </row>
    <row r="415" spans="2:4" ht="14.25" customHeight="1" x14ac:dyDescent="0.35">
      <c r="B415" s="107">
        <v>45173</v>
      </c>
      <c r="C415">
        <v>0.48</v>
      </c>
      <c r="D415">
        <v>1.1200000000000001</v>
      </c>
    </row>
    <row r="416" spans="2:4" ht="14.25" customHeight="1" x14ac:dyDescent="0.35">
      <c r="B416" s="107">
        <v>45174</v>
      </c>
      <c r="C416">
        <v>0.24</v>
      </c>
      <c r="D416">
        <v>1.44</v>
      </c>
    </row>
    <row r="417" spans="2:4" ht="14.25" customHeight="1" x14ac:dyDescent="0.35">
      <c r="B417" s="107">
        <v>45175</v>
      </c>
      <c r="C417">
        <v>0.18</v>
      </c>
      <c r="D417">
        <v>0</v>
      </c>
    </row>
    <row r="418" spans="2:4" ht="14.25" customHeight="1" x14ac:dyDescent="0.35">
      <c r="B418" s="107">
        <v>45176</v>
      </c>
      <c r="C418">
        <v>0.59</v>
      </c>
      <c r="D418">
        <v>0.38</v>
      </c>
    </row>
    <row r="419" spans="2:4" ht="14.25" customHeight="1" x14ac:dyDescent="0.35">
      <c r="B419" s="107">
        <v>45177</v>
      </c>
      <c r="C419">
        <v>0.47</v>
      </c>
      <c r="D419">
        <v>2.5099999999999998</v>
      </c>
    </row>
    <row r="420" spans="2:4" ht="14.25" customHeight="1" x14ac:dyDescent="0.35">
      <c r="B420" s="107">
        <v>45180</v>
      </c>
      <c r="C420">
        <v>0.89</v>
      </c>
      <c r="D420">
        <v>1.28</v>
      </c>
    </row>
    <row r="421" spans="2:4" ht="14.25" customHeight="1" x14ac:dyDescent="0.35">
      <c r="B421" s="107">
        <v>45181</v>
      </c>
      <c r="C421">
        <v>-0.02</v>
      </c>
      <c r="D421">
        <v>-3.83</v>
      </c>
    </row>
    <row r="422" spans="2:4" ht="14.25" customHeight="1" x14ac:dyDescent="0.35">
      <c r="B422" s="107">
        <v>45182</v>
      </c>
      <c r="C422">
        <v>0.38</v>
      </c>
      <c r="D422">
        <v>1.69</v>
      </c>
    </row>
    <row r="423" spans="2:4" ht="14.25" customHeight="1" x14ac:dyDescent="0.35">
      <c r="B423" s="107">
        <v>45183</v>
      </c>
      <c r="C423">
        <v>0.16</v>
      </c>
      <c r="D423">
        <v>1.66</v>
      </c>
    </row>
    <row r="424" spans="2:4" ht="14.25" customHeight="1" x14ac:dyDescent="0.35">
      <c r="B424" s="107">
        <v>45184</v>
      </c>
      <c r="C424">
        <v>0.44</v>
      </c>
      <c r="D424">
        <v>-2.85</v>
      </c>
    </row>
    <row r="425" spans="2:4" ht="14.25" customHeight="1" x14ac:dyDescent="0.35">
      <c r="B425" s="107">
        <v>45187</v>
      </c>
      <c r="C425">
        <v>-0.28999999999999998</v>
      </c>
      <c r="D425">
        <v>0.71</v>
      </c>
    </row>
    <row r="426" spans="2:4" ht="14.25" customHeight="1" x14ac:dyDescent="0.35">
      <c r="B426" s="107">
        <v>45189</v>
      </c>
      <c r="C426">
        <v>-1.1499999999999999</v>
      </c>
      <c r="D426">
        <v>-0.81</v>
      </c>
    </row>
    <row r="427" spans="2:4" ht="14.25" customHeight="1" x14ac:dyDescent="0.35">
      <c r="B427" s="107">
        <v>45190</v>
      </c>
      <c r="C427">
        <v>-0.8</v>
      </c>
      <c r="D427">
        <v>0.98</v>
      </c>
    </row>
    <row r="428" spans="2:4" ht="14.25" customHeight="1" x14ac:dyDescent="0.35">
      <c r="B428" s="107">
        <v>45191</v>
      </c>
      <c r="C428">
        <v>-0.34</v>
      </c>
      <c r="D428">
        <v>-0.54</v>
      </c>
    </row>
    <row r="429" spans="2:4" ht="14.25" customHeight="1" x14ac:dyDescent="0.35">
      <c r="B429" s="107">
        <v>45194</v>
      </c>
      <c r="C429">
        <v>0</v>
      </c>
      <c r="D429">
        <v>-0.33</v>
      </c>
    </row>
    <row r="430" spans="2:4" ht="14.25" customHeight="1" x14ac:dyDescent="0.35">
      <c r="B430" s="107">
        <v>45195</v>
      </c>
      <c r="C430">
        <v>-0.05</v>
      </c>
      <c r="D430">
        <v>0.05</v>
      </c>
    </row>
    <row r="431" spans="2:4" ht="14.25" customHeight="1" x14ac:dyDescent="0.35">
      <c r="B431" s="107">
        <v>45196</v>
      </c>
      <c r="C431">
        <v>0.26</v>
      </c>
      <c r="D431">
        <v>-1.74</v>
      </c>
    </row>
    <row r="432" spans="2:4" ht="14.25" customHeight="1" x14ac:dyDescent="0.35">
      <c r="B432" s="107">
        <v>45197</v>
      </c>
      <c r="C432">
        <v>-0.98</v>
      </c>
      <c r="D432">
        <v>-0.66</v>
      </c>
    </row>
    <row r="433" spans="2:4" ht="14.25" customHeight="1" x14ac:dyDescent="0.35">
      <c r="B433" s="107">
        <v>45198</v>
      </c>
      <c r="C433">
        <v>0.59</v>
      </c>
      <c r="D433">
        <v>1.28</v>
      </c>
    </row>
    <row r="434" spans="2:4" ht="14.25" customHeight="1" x14ac:dyDescent="0.35">
      <c r="B434" s="107">
        <v>45202</v>
      </c>
      <c r="C434">
        <v>-0.56000000000000005</v>
      </c>
      <c r="D434">
        <v>-1.04</v>
      </c>
    </row>
    <row r="435" spans="2:4" ht="14.25" customHeight="1" x14ac:dyDescent="0.35">
      <c r="B435" s="107">
        <v>45203</v>
      </c>
      <c r="C435">
        <v>-0.47</v>
      </c>
      <c r="D435">
        <v>-1</v>
      </c>
    </row>
    <row r="436" spans="2:4" ht="14.25" customHeight="1" x14ac:dyDescent="0.35">
      <c r="B436" s="107">
        <v>45204</v>
      </c>
      <c r="C436">
        <v>0.56000000000000005</v>
      </c>
      <c r="D436">
        <v>0.62</v>
      </c>
    </row>
    <row r="437" spans="2:4" ht="14.25" customHeight="1" x14ac:dyDescent="0.35">
      <c r="B437" s="107">
        <v>45205</v>
      </c>
      <c r="C437">
        <v>0.55000000000000004</v>
      </c>
      <c r="D437">
        <v>0.11</v>
      </c>
    </row>
    <row r="438" spans="2:4" ht="14.25" customHeight="1" x14ac:dyDescent="0.35">
      <c r="B438" s="107">
        <v>45208</v>
      </c>
      <c r="C438">
        <v>-0.72</v>
      </c>
      <c r="D438">
        <v>-2.56</v>
      </c>
    </row>
    <row r="439" spans="2:4" ht="14.25" customHeight="1" x14ac:dyDescent="0.35">
      <c r="B439" s="107">
        <v>45209</v>
      </c>
      <c r="C439">
        <v>0.91</v>
      </c>
      <c r="D439">
        <v>1.03</v>
      </c>
    </row>
    <row r="440" spans="2:4" ht="14.25" customHeight="1" x14ac:dyDescent="0.35">
      <c r="B440" s="107">
        <v>45210</v>
      </c>
      <c r="C440">
        <v>0.62</v>
      </c>
      <c r="D440">
        <v>1.53</v>
      </c>
    </row>
    <row r="441" spans="2:4" ht="14.25" customHeight="1" x14ac:dyDescent="0.35">
      <c r="B441" s="107">
        <v>45211</v>
      </c>
      <c r="C441">
        <v>-0.09</v>
      </c>
      <c r="D441">
        <v>0.67</v>
      </c>
    </row>
    <row r="442" spans="2:4" ht="14.25" customHeight="1" x14ac:dyDescent="0.35">
      <c r="B442" s="107">
        <v>45212</v>
      </c>
      <c r="C442">
        <v>-0.22</v>
      </c>
      <c r="D442">
        <v>0.61</v>
      </c>
    </row>
    <row r="443" spans="2:4" ht="14.25" customHeight="1" x14ac:dyDescent="0.35">
      <c r="B443" s="107">
        <v>45215</v>
      </c>
      <c r="C443">
        <v>-0.1</v>
      </c>
      <c r="D443">
        <v>0.06</v>
      </c>
    </row>
    <row r="444" spans="2:4" ht="14.25" customHeight="1" x14ac:dyDescent="0.35">
      <c r="B444" s="107">
        <v>45216</v>
      </c>
      <c r="C444">
        <v>0.4</v>
      </c>
      <c r="D444">
        <v>1.05</v>
      </c>
    </row>
    <row r="445" spans="2:4" ht="14.25" customHeight="1" x14ac:dyDescent="0.35">
      <c r="B445" s="107">
        <v>45217</v>
      </c>
      <c r="C445">
        <v>-0.71</v>
      </c>
      <c r="D445">
        <v>-1.2</v>
      </c>
    </row>
    <row r="446" spans="2:4" ht="14.25" customHeight="1" x14ac:dyDescent="0.35">
      <c r="B446" s="107">
        <v>45218</v>
      </c>
      <c r="C446">
        <v>-0.24</v>
      </c>
      <c r="D446">
        <v>-0.11</v>
      </c>
    </row>
    <row r="447" spans="2:4" ht="14.25" customHeight="1" x14ac:dyDescent="0.35">
      <c r="B447" s="107">
        <v>45219</v>
      </c>
      <c r="C447">
        <v>-0.42</v>
      </c>
      <c r="D447">
        <v>-0.39</v>
      </c>
    </row>
    <row r="448" spans="2:4" ht="14.25" customHeight="1" x14ac:dyDescent="0.35">
      <c r="B448" s="107">
        <v>45222</v>
      </c>
      <c r="C448">
        <v>-1.34</v>
      </c>
      <c r="D448">
        <v>-2.6</v>
      </c>
    </row>
    <row r="449" spans="2:4" ht="14.25" customHeight="1" x14ac:dyDescent="0.35">
      <c r="B449" s="107">
        <v>45224</v>
      </c>
      <c r="C449">
        <v>-0.83</v>
      </c>
      <c r="D449">
        <v>-0.4</v>
      </c>
    </row>
    <row r="450" spans="2:4" ht="14.25" customHeight="1" x14ac:dyDescent="0.35">
      <c r="B450" s="107">
        <v>45225</v>
      </c>
      <c r="C450">
        <v>-1.39</v>
      </c>
      <c r="D450">
        <v>-1.6</v>
      </c>
    </row>
    <row r="451" spans="2:4" ht="14.25" customHeight="1" x14ac:dyDescent="0.35">
      <c r="B451" s="107">
        <v>45226</v>
      </c>
      <c r="C451">
        <v>1.01</v>
      </c>
      <c r="D451">
        <v>0.81</v>
      </c>
    </row>
    <row r="452" spans="2:4" ht="14.25" customHeight="1" x14ac:dyDescent="0.35">
      <c r="B452" s="107">
        <v>45229</v>
      </c>
      <c r="C452">
        <v>0.49</v>
      </c>
      <c r="D452">
        <v>1.55</v>
      </c>
    </row>
    <row r="453" spans="2:4" ht="14.25" customHeight="1" x14ac:dyDescent="0.35">
      <c r="B453" s="107">
        <v>45230</v>
      </c>
      <c r="C453">
        <v>-0.32</v>
      </c>
      <c r="D453">
        <v>1.64</v>
      </c>
    </row>
    <row r="454" spans="2:4" ht="14.25" customHeight="1" x14ac:dyDescent="0.35">
      <c r="B454" s="107">
        <v>45231</v>
      </c>
      <c r="C454">
        <v>-0.47</v>
      </c>
      <c r="D454">
        <v>3.07</v>
      </c>
    </row>
    <row r="455" spans="2:4" ht="14.25" customHeight="1" x14ac:dyDescent="0.35">
      <c r="B455" s="107">
        <v>45232</v>
      </c>
      <c r="C455">
        <v>0.76</v>
      </c>
      <c r="D455">
        <v>2.81</v>
      </c>
    </row>
    <row r="456" spans="2:4" ht="14.25" customHeight="1" x14ac:dyDescent="0.35">
      <c r="B456" s="107">
        <v>45233</v>
      </c>
      <c r="C456">
        <v>0.51</v>
      </c>
      <c r="D456">
        <v>0.89</v>
      </c>
    </row>
    <row r="457" spans="2:4" ht="14.25" customHeight="1" x14ac:dyDescent="0.35">
      <c r="B457" s="107">
        <v>45236</v>
      </c>
      <c r="C457">
        <v>0.94</v>
      </c>
      <c r="D457">
        <v>3.23</v>
      </c>
    </row>
    <row r="458" spans="2:4" ht="14.25" customHeight="1" x14ac:dyDescent="0.35">
      <c r="B458" s="107">
        <v>45237</v>
      </c>
      <c r="C458">
        <v>-0.03</v>
      </c>
      <c r="D458">
        <v>5.0999999999999996</v>
      </c>
    </row>
    <row r="459" spans="2:4" ht="14.25" customHeight="1" x14ac:dyDescent="0.35">
      <c r="B459" s="107">
        <v>45238</v>
      </c>
      <c r="C459">
        <v>0.19</v>
      </c>
      <c r="D459">
        <v>-0.57999999999999996</v>
      </c>
    </row>
    <row r="460" spans="2:4" ht="14.25" customHeight="1" x14ac:dyDescent="0.35">
      <c r="B460" s="107">
        <v>45239</v>
      </c>
      <c r="C460">
        <v>-0.25</v>
      </c>
      <c r="D460">
        <v>-0.48</v>
      </c>
    </row>
    <row r="461" spans="2:4" ht="14.25" customHeight="1" x14ac:dyDescent="0.35">
      <c r="B461" s="107">
        <v>45240</v>
      </c>
      <c r="C461">
        <v>0.15</v>
      </c>
      <c r="D461">
        <v>0.1</v>
      </c>
    </row>
    <row r="462" spans="2:4" ht="14.25" customHeight="1" x14ac:dyDescent="0.35">
      <c r="B462" s="107">
        <v>45243</v>
      </c>
      <c r="C462">
        <v>0.09</v>
      </c>
      <c r="D462">
        <v>0.97</v>
      </c>
    </row>
    <row r="463" spans="2:4" ht="14.25" customHeight="1" x14ac:dyDescent="0.35">
      <c r="B463" s="107">
        <v>45245</v>
      </c>
      <c r="C463">
        <v>1.19</v>
      </c>
      <c r="D463">
        <v>2.73</v>
      </c>
    </row>
    <row r="464" spans="2:4" ht="14.25" customHeight="1" x14ac:dyDescent="0.35">
      <c r="B464" s="107">
        <v>45246</v>
      </c>
      <c r="C464">
        <v>0.46</v>
      </c>
      <c r="D464">
        <v>2.36</v>
      </c>
    </row>
    <row r="465" spans="2:4" ht="14.25" customHeight="1" x14ac:dyDescent="0.35">
      <c r="B465" s="107">
        <v>45247</v>
      </c>
      <c r="C465">
        <v>-0.17</v>
      </c>
      <c r="D465">
        <v>-1.34</v>
      </c>
    </row>
    <row r="466" spans="2:4" ht="14.25" customHeight="1" x14ac:dyDescent="0.35">
      <c r="B466" s="107">
        <v>45250</v>
      </c>
      <c r="C466">
        <v>-0.19</v>
      </c>
      <c r="D466">
        <v>0.15</v>
      </c>
    </row>
    <row r="467" spans="2:4" ht="14.25" customHeight="1" x14ac:dyDescent="0.35">
      <c r="B467" s="107">
        <v>45251</v>
      </c>
      <c r="C467">
        <v>0.45</v>
      </c>
      <c r="D467">
        <v>-1.75</v>
      </c>
    </row>
    <row r="468" spans="2:4" ht="14.25" customHeight="1" x14ac:dyDescent="0.35">
      <c r="B468" s="107">
        <v>45252</v>
      </c>
      <c r="C468">
        <v>0.14000000000000001</v>
      </c>
      <c r="D468">
        <v>0.2</v>
      </c>
    </row>
    <row r="469" spans="2:4" ht="14.25" customHeight="1" x14ac:dyDescent="0.35">
      <c r="B469" s="107">
        <v>45253</v>
      </c>
      <c r="C469">
        <v>-0.05</v>
      </c>
      <c r="D469">
        <v>2.52</v>
      </c>
    </row>
    <row r="470" spans="2:4" ht="14.25" customHeight="1" x14ac:dyDescent="0.35">
      <c r="B470" s="107">
        <v>45254</v>
      </c>
      <c r="C470">
        <v>-0.04</v>
      </c>
      <c r="D470">
        <v>-0.34</v>
      </c>
    </row>
    <row r="471" spans="2:4" ht="14.25" customHeight="1" x14ac:dyDescent="0.35">
      <c r="B471" s="107">
        <v>45258</v>
      </c>
      <c r="C471">
        <v>0.48</v>
      </c>
      <c r="D471">
        <v>4.59</v>
      </c>
    </row>
    <row r="472" spans="2:4" ht="14.25" customHeight="1" x14ac:dyDescent="0.35">
      <c r="B472" s="107">
        <v>45259</v>
      </c>
      <c r="C472">
        <v>1.04</v>
      </c>
      <c r="D472">
        <v>0.32</v>
      </c>
    </row>
    <row r="473" spans="2:4" ht="14.25" customHeight="1" x14ac:dyDescent="0.35">
      <c r="B473" s="107">
        <v>45260</v>
      </c>
      <c r="C473">
        <v>0.18</v>
      </c>
      <c r="D473">
        <v>2.95</v>
      </c>
    </row>
    <row r="474" spans="2:4" ht="14.25" customHeight="1" x14ac:dyDescent="0.35">
      <c r="B474" s="107">
        <v>45261</v>
      </c>
      <c r="C474">
        <v>0.67</v>
      </c>
      <c r="D474">
        <v>-0.45</v>
      </c>
    </row>
    <row r="475" spans="2:4" ht="14.25" customHeight="1" x14ac:dyDescent="0.35">
      <c r="B475" s="107">
        <v>45264</v>
      </c>
      <c r="C475">
        <v>2.0699999999999998</v>
      </c>
      <c r="D475">
        <v>4.18</v>
      </c>
    </row>
    <row r="476" spans="2:4" ht="14.25" customHeight="1" x14ac:dyDescent="0.35">
      <c r="B476" s="107">
        <v>45265</v>
      </c>
      <c r="C476">
        <v>0.81</v>
      </c>
      <c r="D476">
        <v>1.55</v>
      </c>
    </row>
    <row r="477" spans="2:4" ht="14.25" customHeight="1" x14ac:dyDescent="0.35">
      <c r="B477" s="107">
        <v>45266</v>
      </c>
      <c r="C477">
        <v>0.4</v>
      </c>
      <c r="D477">
        <v>1.36</v>
      </c>
    </row>
    <row r="478" spans="2:4" ht="14.25" customHeight="1" x14ac:dyDescent="0.35">
      <c r="B478" s="107">
        <v>45267</v>
      </c>
      <c r="C478">
        <v>-0.17</v>
      </c>
      <c r="D478">
        <v>1.72</v>
      </c>
    </row>
    <row r="479" spans="2:4" ht="14.25" customHeight="1" x14ac:dyDescent="0.35">
      <c r="B479" s="107">
        <v>45268</v>
      </c>
      <c r="C479">
        <v>0.33</v>
      </c>
      <c r="D479">
        <v>-2.1</v>
      </c>
    </row>
    <row r="480" spans="2:4" ht="14.25" customHeight="1" x14ac:dyDescent="0.35">
      <c r="B480" s="107">
        <v>45271</v>
      </c>
      <c r="C480">
        <v>0.13</v>
      </c>
      <c r="D480">
        <v>-1.0900000000000001</v>
      </c>
    </row>
    <row r="481" spans="2:4" ht="14.25" customHeight="1" x14ac:dyDescent="0.35">
      <c r="B481" s="107">
        <v>45272</v>
      </c>
      <c r="C481">
        <v>-0.43</v>
      </c>
      <c r="D481">
        <v>0.04</v>
      </c>
    </row>
    <row r="482" spans="2:4" ht="14.25" customHeight="1" x14ac:dyDescent="0.35">
      <c r="B482" s="107">
        <v>45273</v>
      </c>
      <c r="C482">
        <v>0.1</v>
      </c>
      <c r="D482">
        <v>1.79</v>
      </c>
    </row>
    <row r="483" spans="2:4" ht="14.25" customHeight="1" x14ac:dyDescent="0.35">
      <c r="B483" s="107">
        <v>45274</v>
      </c>
      <c r="C483">
        <v>1.23</v>
      </c>
      <c r="D483">
        <v>0.38</v>
      </c>
    </row>
    <row r="484" spans="2:4" ht="14.25" customHeight="1" x14ac:dyDescent="0.35">
      <c r="B484" s="107">
        <v>45275</v>
      </c>
      <c r="C484">
        <v>1.29</v>
      </c>
      <c r="D484">
        <v>3.08</v>
      </c>
    </row>
    <row r="485" spans="2:4" ht="14.25" customHeight="1" x14ac:dyDescent="0.35">
      <c r="B485" s="107">
        <v>45278</v>
      </c>
      <c r="C485">
        <v>-0.18</v>
      </c>
      <c r="D485">
        <v>0.44</v>
      </c>
    </row>
    <row r="486" spans="2:4" ht="14.25" customHeight="1" x14ac:dyDescent="0.35">
      <c r="B486" s="107">
        <v>45279</v>
      </c>
      <c r="C486">
        <v>0.16</v>
      </c>
      <c r="D486">
        <v>0.28000000000000003</v>
      </c>
    </row>
    <row r="487" spans="2:4" ht="14.25" customHeight="1" x14ac:dyDescent="0.35">
      <c r="B487" s="107">
        <v>45280</v>
      </c>
      <c r="C487">
        <v>-1.41</v>
      </c>
      <c r="D487">
        <v>-3.73</v>
      </c>
    </row>
    <row r="488" spans="2:4" ht="14.25" customHeight="1" x14ac:dyDescent="0.35">
      <c r="B488" s="107">
        <v>45281</v>
      </c>
      <c r="C488">
        <v>0.5</v>
      </c>
      <c r="D488">
        <v>3.42</v>
      </c>
    </row>
    <row r="489" spans="2:4" ht="14.25" customHeight="1" x14ac:dyDescent="0.35">
      <c r="B489" s="107">
        <v>45282</v>
      </c>
      <c r="C489">
        <v>0.44</v>
      </c>
      <c r="D489">
        <v>-0.36</v>
      </c>
    </row>
    <row r="490" spans="2:4" ht="14.25" customHeight="1" x14ac:dyDescent="0.35">
      <c r="B490" s="107">
        <v>45286</v>
      </c>
      <c r="C490">
        <v>0.43</v>
      </c>
      <c r="D490">
        <v>3.52</v>
      </c>
    </row>
    <row r="491" spans="2:4" ht="14.25" customHeight="1" x14ac:dyDescent="0.35">
      <c r="B491" s="107">
        <v>45287</v>
      </c>
      <c r="C491">
        <v>1</v>
      </c>
      <c r="D491">
        <v>-1.1299999999999999</v>
      </c>
    </row>
    <row r="492" spans="2:4" ht="14.25" customHeight="1" x14ac:dyDescent="0.35">
      <c r="B492" s="107">
        <v>45288</v>
      </c>
      <c r="C492">
        <v>0.56999999999999995</v>
      </c>
      <c r="D492">
        <v>5.25</v>
      </c>
    </row>
    <row r="493" spans="2:4" ht="14.25" customHeight="1" x14ac:dyDescent="0.35">
      <c r="B493" s="107">
        <v>45289</v>
      </c>
      <c r="C493">
        <v>-0.22</v>
      </c>
      <c r="D493">
        <v>-2.5499999999999998</v>
      </c>
    </row>
    <row r="494" spans="2:4" ht="14.25" customHeight="1" x14ac:dyDescent="0.35">
      <c r="B494" s="107">
        <v>45292</v>
      </c>
      <c r="C494">
        <v>0.05</v>
      </c>
      <c r="D494">
        <v>0.35</v>
      </c>
    </row>
    <row r="495" spans="2:4" ht="14.25" customHeight="1" x14ac:dyDescent="0.35">
      <c r="B495" s="107">
        <v>45293</v>
      </c>
      <c r="C495">
        <v>-0.35</v>
      </c>
      <c r="D495">
        <v>0.19</v>
      </c>
    </row>
    <row r="496" spans="2:4" ht="14.25" customHeight="1" x14ac:dyDescent="0.35">
      <c r="B496" s="107">
        <v>45294</v>
      </c>
      <c r="C496">
        <v>-0.69</v>
      </c>
      <c r="D496">
        <v>1.65</v>
      </c>
    </row>
    <row r="497" spans="2:4" ht="14.25" customHeight="1" x14ac:dyDescent="0.35">
      <c r="B497" s="107">
        <v>45295</v>
      </c>
      <c r="C497">
        <v>0.66</v>
      </c>
      <c r="D497">
        <v>-1.1299999999999999</v>
      </c>
    </row>
    <row r="498" spans="2:4" ht="14.25" customHeight="1" x14ac:dyDescent="0.35">
      <c r="B498" s="107">
        <v>45296</v>
      </c>
      <c r="C498">
        <v>0.24</v>
      </c>
      <c r="D498">
        <v>1.1399999999999999</v>
      </c>
    </row>
    <row r="499" spans="2:4" ht="14.25" customHeight="1" x14ac:dyDescent="0.35">
      <c r="B499" s="107">
        <v>45299</v>
      </c>
      <c r="C499">
        <v>-0.91</v>
      </c>
      <c r="D499">
        <v>-0.04</v>
      </c>
    </row>
    <row r="500" spans="2:4" ht="14.25" customHeight="1" x14ac:dyDescent="0.35">
      <c r="B500" s="107">
        <v>45300</v>
      </c>
      <c r="C500">
        <v>0.15</v>
      </c>
      <c r="D500">
        <v>-0.56999999999999995</v>
      </c>
    </row>
    <row r="501" spans="2:4" ht="14.25" customHeight="1" x14ac:dyDescent="0.35">
      <c r="B501" s="107">
        <v>45301</v>
      </c>
      <c r="C501">
        <v>0.34</v>
      </c>
      <c r="D501">
        <v>-1.02</v>
      </c>
    </row>
    <row r="502" spans="2:4" ht="14.25" customHeight="1" x14ac:dyDescent="0.35">
      <c r="B502" s="107">
        <v>45302</v>
      </c>
      <c r="C502">
        <v>0.13</v>
      </c>
      <c r="D502">
        <v>2.0699999999999998</v>
      </c>
    </row>
    <row r="503" spans="2:4" ht="14.25" customHeight="1" x14ac:dyDescent="0.35">
      <c r="B503" s="107">
        <v>45303</v>
      </c>
      <c r="C503">
        <v>1.1399999999999999</v>
      </c>
      <c r="D503">
        <v>1.54</v>
      </c>
    </row>
    <row r="504" spans="2:4" ht="14.25" customHeight="1" x14ac:dyDescent="0.35">
      <c r="B504" s="107">
        <v>45306</v>
      </c>
      <c r="C504">
        <v>0.93</v>
      </c>
      <c r="D504">
        <v>1.74</v>
      </c>
    </row>
    <row r="505" spans="2:4" ht="14.25" customHeight="1" x14ac:dyDescent="0.35">
      <c r="B505" s="107">
        <v>45307</v>
      </c>
      <c r="C505">
        <v>-0.28999999999999998</v>
      </c>
      <c r="D505">
        <v>4.32</v>
      </c>
    </row>
    <row r="506" spans="2:4" ht="14.25" customHeight="1" x14ac:dyDescent="0.35">
      <c r="B506" s="107">
        <v>45308</v>
      </c>
      <c r="C506">
        <v>-2.09</v>
      </c>
      <c r="D506">
        <v>0.35</v>
      </c>
    </row>
    <row r="507" spans="2:4" ht="14.25" customHeight="1" x14ac:dyDescent="0.35">
      <c r="B507" s="107">
        <v>45309</v>
      </c>
      <c r="C507">
        <v>-0.51</v>
      </c>
      <c r="D507">
        <v>0.28000000000000003</v>
      </c>
    </row>
    <row r="508" spans="2:4" ht="14.25" customHeight="1" x14ac:dyDescent="0.35">
      <c r="B508" s="107">
        <v>45310</v>
      </c>
      <c r="C508">
        <v>0.75</v>
      </c>
      <c r="D508">
        <v>2.87</v>
      </c>
    </row>
    <row r="509" spans="2:4" ht="14.25" customHeight="1" x14ac:dyDescent="0.35">
      <c r="B509" s="107">
        <v>45314</v>
      </c>
      <c r="C509">
        <v>-1.77</v>
      </c>
      <c r="D509">
        <v>-6.53</v>
      </c>
    </row>
    <row r="510" spans="2:4" ht="14.25" customHeight="1" x14ac:dyDescent="0.35">
      <c r="B510" s="107">
        <v>45315</v>
      </c>
      <c r="C510">
        <v>1.01</v>
      </c>
      <c r="D510">
        <v>3.24</v>
      </c>
    </row>
    <row r="511" spans="2:4" ht="14.25" customHeight="1" x14ac:dyDescent="0.35">
      <c r="B511" s="107">
        <v>45316</v>
      </c>
      <c r="C511">
        <v>-0.47</v>
      </c>
      <c r="D511">
        <v>0.17</v>
      </c>
    </row>
    <row r="512" spans="2:4" ht="14.25" customHeight="1" x14ac:dyDescent="0.35">
      <c r="B512" s="107">
        <v>45320</v>
      </c>
      <c r="C512">
        <v>1.8</v>
      </c>
      <c r="D512">
        <v>2.09</v>
      </c>
    </row>
    <row r="513" spans="2:4" ht="14.25" customHeight="1" x14ac:dyDescent="0.35">
      <c r="B513" s="107">
        <v>45321</v>
      </c>
      <c r="C513">
        <v>-0.99</v>
      </c>
      <c r="D513">
        <v>0.68</v>
      </c>
    </row>
    <row r="514" spans="2:4" ht="14.25" customHeight="1" x14ac:dyDescent="0.35">
      <c r="B514" s="107">
        <v>45322</v>
      </c>
      <c r="C514">
        <v>0.95</v>
      </c>
      <c r="D514">
        <v>-0.51</v>
      </c>
    </row>
    <row r="515" spans="2:4" ht="14.25" customHeight="1" x14ac:dyDescent="0.35">
      <c r="B515" s="107">
        <v>45323</v>
      </c>
      <c r="C515">
        <v>-0.13</v>
      </c>
      <c r="D515">
        <v>1.91</v>
      </c>
    </row>
    <row r="516" spans="2:4" ht="14.25" customHeight="1" x14ac:dyDescent="0.35">
      <c r="B516" s="107">
        <v>45324</v>
      </c>
      <c r="C516">
        <v>0.72</v>
      </c>
      <c r="D516">
        <v>8.7799999999999994</v>
      </c>
    </row>
    <row r="517" spans="2:4" ht="14.25" customHeight="1" x14ac:dyDescent="0.35">
      <c r="B517" s="107">
        <v>45327</v>
      </c>
      <c r="C517">
        <v>-0.38</v>
      </c>
      <c r="D517">
        <v>6.78</v>
      </c>
    </row>
    <row r="518" spans="2:4" ht="14.25" customHeight="1" x14ac:dyDescent="0.35">
      <c r="B518" s="107">
        <v>45328</v>
      </c>
      <c r="C518">
        <v>0.72</v>
      </c>
      <c r="D518">
        <v>6.06</v>
      </c>
    </row>
    <row r="519" spans="2:4" ht="14.25" customHeight="1" x14ac:dyDescent="0.35">
      <c r="B519" s="107">
        <v>45329</v>
      </c>
      <c r="C519">
        <v>0.01</v>
      </c>
      <c r="D519">
        <v>1.06</v>
      </c>
    </row>
    <row r="520" spans="2:4" ht="14.25" customHeight="1" x14ac:dyDescent="0.35">
      <c r="B520" s="107">
        <v>45330</v>
      </c>
      <c r="C520">
        <v>-0.97</v>
      </c>
      <c r="D520">
        <v>3.19</v>
      </c>
    </row>
    <row r="521" spans="2:4" ht="14.25" customHeight="1" x14ac:dyDescent="0.35">
      <c r="B521" s="107">
        <v>45331</v>
      </c>
      <c r="C521">
        <v>0.3</v>
      </c>
      <c r="D521">
        <v>-5.15</v>
      </c>
    </row>
    <row r="522" spans="2:4" ht="14.25" customHeight="1" x14ac:dyDescent="0.35">
      <c r="B522" s="107">
        <v>45334</v>
      </c>
      <c r="C522">
        <v>-0.76</v>
      </c>
      <c r="D522">
        <v>-3.89</v>
      </c>
    </row>
    <row r="523" spans="2:4" ht="14.25" customHeight="1" x14ac:dyDescent="0.35">
      <c r="B523" s="107">
        <v>45335</v>
      </c>
      <c r="C523">
        <v>0.59</v>
      </c>
      <c r="D523">
        <v>-0.54</v>
      </c>
    </row>
    <row r="524" spans="2:4" ht="14.25" customHeight="1" x14ac:dyDescent="0.35">
      <c r="B524" s="107">
        <v>45336</v>
      </c>
      <c r="C524">
        <v>0.45</v>
      </c>
      <c r="D524">
        <v>5.22</v>
      </c>
    </row>
    <row r="525" spans="2:4" ht="14.25" customHeight="1" x14ac:dyDescent="0.35">
      <c r="B525" s="107">
        <v>45337</v>
      </c>
      <c r="C525">
        <v>0.32</v>
      </c>
      <c r="D525">
        <v>3.43</v>
      </c>
    </row>
    <row r="526" spans="2:4" ht="14.25" customHeight="1" x14ac:dyDescent="0.35">
      <c r="B526" s="107">
        <v>45338</v>
      </c>
      <c r="C526">
        <v>0.59</v>
      </c>
      <c r="D526">
        <v>-1.5</v>
      </c>
    </row>
    <row r="527" spans="2:4" ht="14.25" customHeight="1" x14ac:dyDescent="0.35">
      <c r="B527" s="107">
        <v>45341</v>
      </c>
      <c r="C527">
        <v>0.37</v>
      </c>
      <c r="D527">
        <v>0.8</v>
      </c>
    </row>
    <row r="528" spans="2:4" ht="14.25" customHeight="1" x14ac:dyDescent="0.35">
      <c r="B528" s="107">
        <v>45342</v>
      </c>
      <c r="C528">
        <v>0.34</v>
      </c>
      <c r="D528">
        <v>0.13</v>
      </c>
    </row>
    <row r="529" spans="2:4" ht="14.25" customHeight="1" x14ac:dyDescent="0.35">
      <c r="B529" s="107">
        <v>45343</v>
      </c>
      <c r="C529">
        <v>-0.64</v>
      </c>
      <c r="D529">
        <v>-3.42</v>
      </c>
    </row>
    <row r="530" spans="2:4" ht="14.25" customHeight="1" x14ac:dyDescent="0.35">
      <c r="B530" s="107">
        <v>45344</v>
      </c>
      <c r="C530">
        <v>0.74</v>
      </c>
      <c r="D530">
        <v>-1.43</v>
      </c>
    </row>
    <row r="531" spans="2:4" ht="14.25" customHeight="1" x14ac:dyDescent="0.35">
      <c r="B531" s="107">
        <v>45345</v>
      </c>
      <c r="C531">
        <v>-0.02</v>
      </c>
      <c r="D531">
        <v>-2.14</v>
      </c>
    </row>
    <row r="532" spans="2:4" ht="14.25" customHeight="1" x14ac:dyDescent="0.35">
      <c r="B532" s="107">
        <v>45348</v>
      </c>
      <c r="C532">
        <v>-0.41</v>
      </c>
      <c r="D532">
        <v>0.94</v>
      </c>
    </row>
    <row r="533" spans="2:4" ht="14.25" customHeight="1" x14ac:dyDescent="0.35">
      <c r="B533" s="107">
        <v>45349</v>
      </c>
      <c r="C533">
        <v>0.34</v>
      </c>
      <c r="D533">
        <v>-2.39</v>
      </c>
    </row>
    <row r="534" spans="2:4" ht="14.25" customHeight="1" x14ac:dyDescent="0.35">
      <c r="B534" s="107">
        <v>45350</v>
      </c>
      <c r="C534">
        <v>-1.1100000000000001</v>
      </c>
      <c r="D534">
        <v>-3.38</v>
      </c>
    </row>
    <row r="535" spans="2:4" ht="14.25" customHeight="1" x14ac:dyDescent="0.35">
      <c r="B535" s="107">
        <v>45351</v>
      </c>
      <c r="C535">
        <v>0.14000000000000001</v>
      </c>
      <c r="D535">
        <v>-1.1100000000000001</v>
      </c>
    </row>
    <row r="536" spans="2:4" ht="14.25" customHeight="1" x14ac:dyDescent="0.35">
      <c r="B536" s="107">
        <v>45352</v>
      </c>
      <c r="C536">
        <v>1.62</v>
      </c>
      <c r="D536">
        <v>2.33</v>
      </c>
    </row>
    <row r="537" spans="2:4" ht="14.25" customHeight="1" x14ac:dyDescent="0.35">
      <c r="B537" s="107">
        <v>45355</v>
      </c>
      <c r="C537">
        <v>0.3</v>
      </c>
      <c r="D537">
        <v>3.45</v>
      </c>
    </row>
    <row r="538" spans="2:4" ht="14.25" customHeight="1" x14ac:dyDescent="0.35">
      <c r="B538" s="107">
        <v>45356</v>
      </c>
      <c r="C538">
        <v>-0.22</v>
      </c>
      <c r="D538">
        <v>0.34</v>
      </c>
    </row>
    <row r="539" spans="2:4" ht="14.25" customHeight="1" x14ac:dyDescent="0.35">
      <c r="B539" s="107">
        <v>45357</v>
      </c>
      <c r="C539">
        <v>0.53</v>
      </c>
      <c r="D539">
        <v>0.85</v>
      </c>
    </row>
    <row r="540" spans="2:4" ht="14.25" customHeight="1" x14ac:dyDescent="0.35">
      <c r="B540" s="107">
        <v>45358</v>
      </c>
      <c r="C540">
        <v>0.09</v>
      </c>
      <c r="D540">
        <v>-1.55</v>
      </c>
    </row>
    <row r="541" spans="2:4" ht="14.25" customHeight="1" x14ac:dyDescent="0.35">
      <c r="B541" s="107">
        <v>45362</v>
      </c>
      <c r="C541">
        <v>-0.72</v>
      </c>
      <c r="D541">
        <v>-0.2</v>
      </c>
    </row>
    <row r="542" spans="2:4" ht="14.25" customHeight="1" x14ac:dyDescent="0.35">
      <c r="B542" s="107">
        <v>45363</v>
      </c>
      <c r="C542">
        <v>0.01</v>
      </c>
      <c r="D542">
        <v>-0.77</v>
      </c>
    </row>
    <row r="543" spans="2:4" ht="14.25" customHeight="1" x14ac:dyDescent="0.35">
      <c r="B543" s="107">
        <v>45364</v>
      </c>
      <c r="C543">
        <v>-1.51</v>
      </c>
      <c r="D543">
        <v>-5.52</v>
      </c>
    </row>
    <row r="544" spans="2:4" ht="14.25" customHeight="1" x14ac:dyDescent="0.35">
      <c r="B544" s="107">
        <v>45365</v>
      </c>
      <c r="C544">
        <v>0.68</v>
      </c>
      <c r="D544">
        <v>4.29</v>
      </c>
    </row>
    <row r="545" spans="2:4" ht="14.25" customHeight="1" x14ac:dyDescent="0.35">
      <c r="B545" s="107">
        <v>45366</v>
      </c>
      <c r="C545">
        <v>-0.56000000000000005</v>
      </c>
      <c r="D545">
        <v>-5.49</v>
      </c>
    </row>
    <row r="546" spans="2:4" ht="14.25" customHeight="1" x14ac:dyDescent="0.35">
      <c r="B546" s="107">
        <v>45369</v>
      </c>
      <c r="C546">
        <v>0.15</v>
      </c>
      <c r="D546">
        <v>-0.12</v>
      </c>
    </row>
    <row r="547" spans="2:4" ht="14.25" customHeight="1" x14ac:dyDescent="0.35">
      <c r="B547" s="107">
        <v>45370</v>
      </c>
      <c r="C547">
        <v>-1.08</v>
      </c>
      <c r="D547">
        <v>-3.45</v>
      </c>
    </row>
    <row r="548" spans="2:4" ht="14.25" customHeight="1" x14ac:dyDescent="0.35">
      <c r="B548" s="107">
        <v>45371</v>
      </c>
      <c r="C548">
        <v>0.1</v>
      </c>
      <c r="D548">
        <v>1.93</v>
      </c>
    </row>
    <row r="549" spans="2:4" ht="14.25" customHeight="1" x14ac:dyDescent="0.35">
      <c r="B549" s="107">
        <v>45372</v>
      </c>
      <c r="C549">
        <v>0.79</v>
      </c>
      <c r="D549">
        <v>3.95</v>
      </c>
    </row>
    <row r="550" spans="2:4" ht="14.25" customHeight="1" x14ac:dyDescent="0.35">
      <c r="B550" s="107">
        <v>45373</v>
      </c>
      <c r="C550">
        <v>0.39</v>
      </c>
      <c r="D550">
        <v>0.4</v>
      </c>
    </row>
    <row r="551" spans="2:4" ht="14.25" customHeight="1" x14ac:dyDescent="0.35">
      <c r="B551" s="107">
        <v>45377</v>
      </c>
      <c r="C551">
        <v>-0.42</v>
      </c>
      <c r="D551">
        <v>1.39</v>
      </c>
    </row>
    <row r="552" spans="2:4" ht="14.25" customHeight="1" x14ac:dyDescent="0.35">
      <c r="B552" s="107">
        <v>45378</v>
      </c>
      <c r="C552">
        <v>0.54</v>
      </c>
      <c r="D552">
        <v>-0.75</v>
      </c>
    </row>
    <row r="553" spans="2:4" ht="14.25" customHeight="1" x14ac:dyDescent="0.35">
      <c r="B553" s="107">
        <v>45379</v>
      </c>
      <c r="C553">
        <v>0.92</v>
      </c>
      <c r="D553">
        <v>0.93</v>
      </c>
    </row>
    <row r="554" spans="2:4" ht="14.25" customHeight="1" x14ac:dyDescent="0.35">
      <c r="B554" s="107">
        <v>45383</v>
      </c>
      <c r="C554">
        <v>0.61</v>
      </c>
      <c r="D554">
        <v>0.89</v>
      </c>
    </row>
    <row r="555" spans="2:4" ht="14.25" customHeight="1" x14ac:dyDescent="0.35">
      <c r="B555" s="107">
        <v>45384</v>
      </c>
      <c r="C555">
        <v>-0.04</v>
      </c>
      <c r="D555">
        <v>2.92</v>
      </c>
    </row>
    <row r="556" spans="2:4" ht="14.25" customHeight="1" x14ac:dyDescent="0.35">
      <c r="B556" s="107">
        <v>45385</v>
      </c>
      <c r="C556">
        <v>-0.08</v>
      </c>
      <c r="D556">
        <v>-0.28999999999999998</v>
      </c>
    </row>
    <row r="557" spans="2:4" ht="14.25" customHeight="1" x14ac:dyDescent="0.35">
      <c r="B557" s="107">
        <v>45386</v>
      </c>
      <c r="C557">
        <v>0.36</v>
      </c>
      <c r="D557">
        <v>-2.33</v>
      </c>
    </row>
    <row r="558" spans="2:4" ht="14.25" customHeight="1" x14ac:dyDescent="0.35">
      <c r="B558" s="107">
        <v>45387</v>
      </c>
      <c r="C558">
        <v>0</v>
      </c>
      <c r="D558">
        <v>-0.97</v>
      </c>
    </row>
    <row r="559" spans="2:4" ht="14.25" customHeight="1" x14ac:dyDescent="0.35">
      <c r="B559" s="107">
        <v>45390</v>
      </c>
      <c r="C559">
        <v>0.68</v>
      </c>
      <c r="D559">
        <v>1.37</v>
      </c>
    </row>
    <row r="560" spans="2:4" ht="14.25" customHeight="1" x14ac:dyDescent="0.35">
      <c r="B560" s="107">
        <v>45391</v>
      </c>
      <c r="C560">
        <v>-0.1</v>
      </c>
      <c r="D560">
        <v>-0.82</v>
      </c>
    </row>
    <row r="561" spans="2:4" ht="14.25" customHeight="1" x14ac:dyDescent="0.35">
      <c r="B561" s="107">
        <v>45392</v>
      </c>
      <c r="C561">
        <v>0.49</v>
      </c>
      <c r="D561">
        <v>2.46</v>
      </c>
    </row>
    <row r="562" spans="2:4" ht="14.25" customHeight="1" x14ac:dyDescent="0.35">
      <c r="B562" s="107">
        <v>45394</v>
      </c>
      <c r="C562">
        <v>-1.03</v>
      </c>
      <c r="D562">
        <v>-1.68</v>
      </c>
    </row>
    <row r="563" spans="2:4" ht="14.25" customHeight="1" x14ac:dyDescent="0.35">
      <c r="B563" s="107">
        <v>45397</v>
      </c>
      <c r="C563">
        <v>-1.1000000000000001</v>
      </c>
      <c r="D563">
        <v>-2.2000000000000002</v>
      </c>
    </row>
    <row r="564" spans="2:4" ht="14.25" customHeight="1" x14ac:dyDescent="0.35">
      <c r="B564" s="107">
        <v>45398</v>
      </c>
      <c r="C564">
        <v>-0.56000000000000005</v>
      </c>
      <c r="D564">
        <v>1.56</v>
      </c>
    </row>
    <row r="565" spans="2:4" ht="14.25" customHeight="1" x14ac:dyDescent="0.35">
      <c r="B565" s="107">
        <v>45400</v>
      </c>
      <c r="C565">
        <v>-0.69</v>
      </c>
      <c r="D565">
        <v>0</v>
      </c>
    </row>
    <row r="566" spans="2:4" ht="14.25" customHeight="1" x14ac:dyDescent="0.35">
      <c r="B566" s="107">
        <v>45401</v>
      </c>
      <c r="C566">
        <v>0.69</v>
      </c>
      <c r="D566">
        <v>-1.39</v>
      </c>
    </row>
    <row r="567" spans="2:4" ht="14.25" customHeight="1" x14ac:dyDescent="0.35">
      <c r="B567" s="107">
        <v>45404</v>
      </c>
      <c r="C567">
        <v>0.86</v>
      </c>
      <c r="D567">
        <v>2.5499999999999998</v>
      </c>
    </row>
    <row r="568" spans="2:4" ht="14.25" customHeight="1" x14ac:dyDescent="0.35">
      <c r="B568" s="107">
        <v>45405</v>
      </c>
      <c r="C568">
        <v>0.14000000000000001</v>
      </c>
      <c r="D568">
        <v>-1.64</v>
      </c>
    </row>
    <row r="569" spans="2:4" ht="14.25" customHeight="1" x14ac:dyDescent="0.35">
      <c r="B569" s="107">
        <v>45406</v>
      </c>
      <c r="C569">
        <v>0.15</v>
      </c>
      <c r="D569">
        <v>0.39</v>
      </c>
    </row>
    <row r="570" spans="2:4" ht="14.25" customHeight="1" x14ac:dyDescent="0.35">
      <c r="B570" s="107">
        <v>45407</v>
      </c>
      <c r="C570">
        <v>0.75</v>
      </c>
      <c r="D570">
        <v>0.86</v>
      </c>
    </row>
    <row r="571" spans="2:4" ht="14.25" customHeight="1" x14ac:dyDescent="0.35">
      <c r="B571" s="107">
        <v>45408</v>
      </c>
      <c r="C571">
        <v>-0.67</v>
      </c>
      <c r="D571">
        <v>0.79</v>
      </c>
    </row>
    <row r="572" spans="2:4" ht="14.25" customHeight="1" x14ac:dyDescent="0.35">
      <c r="B572" s="107">
        <v>45411</v>
      </c>
      <c r="C572">
        <v>1</v>
      </c>
      <c r="D572">
        <v>3.03</v>
      </c>
    </row>
    <row r="573" spans="2:4" ht="14.25" customHeight="1" x14ac:dyDescent="0.35">
      <c r="B573" s="107">
        <v>45412</v>
      </c>
      <c r="C573">
        <v>-0.17</v>
      </c>
      <c r="D573">
        <v>-4.47</v>
      </c>
    </row>
    <row r="574" spans="2:4" ht="14.25" customHeight="1" x14ac:dyDescent="0.35">
      <c r="B574" s="107">
        <v>45414</v>
      </c>
      <c r="C574">
        <v>0.19</v>
      </c>
      <c r="D574">
        <v>2.69</v>
      </c>
    </row>
    <row r="575" spans="2:4" ht="14.25" customHeight="1" x14ac:dyDescent="0.35">
      <c r="B575" s="107">
        <v>45415</v>
      </c>
      <c r="C575">
        <v>-0.76</v>
      </c>
      <c r="D575">
        <v>-1.53</v>
      </c>
    </row>
    <row r="576" spans="2:4" ht="14.25" customHeight="1" x14ac:dyDescent="0.35">
      <c r="B576" s="107">
        <v>45418</v>
      </c>
      <c r="C576">
        <v>-0.15</v>
      </c>
      <c r="D576">
        <v>-2.64</v>
      </c>
    </row>
    <row r="577" spans="2:4" ht="14.25" customHeight="1" x14ac:dyDescent="0.35">
      <c r="B577" s="107">
        <v>45419</v>
      </c>
      <c r="C577">
        <v>-0.62</v>
      </c>
      <c r="D577">
        <v>-3.76</v>
      </c>
    </row>
    <row r="578" spans="2:4" ht="14.25" customHeight="1" x14ac:dyDescent="0.35">
      <c r="B578" s="107">
        <v>45420</v>
      </c>
      <c r="C578">
        <v>0</v>
      </c>
      <c r="D578">
        <v>1.97</v>
      </c>
    </row>
    <row r="579" spans="2:4" ht="14.25" customHeight="1" x14ac:dyDescent="0.35">
      <c r="B579" s="107">
        <v>45421</v>
      </c>
      <c r="C579">
        <v>-1.55</v>
      </c>
      <c r="D579">
        <v>-4.01</v>
      </c>
    </row>
    <row r="580" spans="2:4" ht="14.25" customHeight="1" x14ac:dyDescent="0.35">
      <c r="B580" s="107">
        <v>45422</v>
      </c>
      <c r="C580">
        <v>0.44</v>
      </c>
      <c r="D580">
        <v>1.5</v>
      </c>
    </row>
    <row r="581" spans="2:4" ht="14.25" customHeight="1" x14ac:dyDescent="0.35">
      <c r="B581" s="107">
        <v>45425</v>
      </c>
      <c r="C581">
        <v>0.22</v>
      </c>
      <c r="D581">
        <v>-0.47</v>
      </c>
    </row>
    <row r="582" spans="2:4" ht="14.25" customHeight="1" x14ac:dyDescent="0.35">
      <c r="B582" s="107">
        <v>45426</v>
      </c>
      <c r="C582">
        <v>0.51</v>
      </c>
      <c r="D582">
        <v>0.73</v>
      </c>
    </row>
    <row r="583" spans="2:4" ht="14.25" customHeight="1" x14ac:dyDescent="0.35">
      <c r="B583" s="107">
        <v>45427</v>
      </c>
      <c r="C583">
        <v>-0.08</v>
      </c>
      <c r="D583">
        <v>1.54</v>
      </c>
    </row>
    <row r="584" spans="2:4" ht="14.25" customHeight="1" x14ac:dyDescent="0.35">
      <c r="B584" s="107">
        <v>45428</v>
      </c>
      <c r="C584">
        <v>0.92</v>
      </c>
      <c r="D584">
        <v>0.65</v>
      </c>
    </row>
    <row r="585" spans="2:4" ht="14.25" customHeight="1" x14ac:dyDescent="0.35">
      <c r="B585" s="107">
        <v>45429</v>
      </c>
      <c r="C585">
        <v>0.28000000000000003</v>
      </c>
      <c r="D585">
        <v>0.74</v>
      </c>
    </row>
    <row r="586" spans="2:4" ht="14.25" customHeight="1" x14ac:dyDescent="0.35">
      <c r="B586" s="107">
        <v>45433</v>
      </c>
      <c r="C586">
        <v>0.28000000000000003</v>
      </c>
      <c r="D586">
        <v>1.74</v>
      </c>
    </row>
    <row r="587" spans="2:4" ht="14.25" customHeight="1" x14ac:dyDescent="0.35">
      <c r="B587" s="107">
        <v>45434</v>
      </c>
      <c r="C587">
        <v>0.31</v>
      </c>
      <c r="D587">
        <v>0.03</v>
      </c>
    </row>
    <row r="588" spans="2:4" ht="14.25" customHeight="1" x14ac:dyDescent="0.35">
      <c r="B588" s="107">
        <v>45435</v>
      </c>
      <c r="C588">
        <v>1.64</v>
      </c>
      <c r="D588">
        <v>0.6</v>
      </c>
    </row>
    <row r="589" spans="2:4" ht="14.25" customHeight="1" x14ac:dyDescent="0.35">
      <c r="B589" s="107">
        <v>45436</v>
      </c>
      <c r="C589">
        <v>-0.05</v>
      </c>
      <c r="D589">
        <v>0.51</v>
      </c>
    </row>
    <row r="590" spans="2:4" ht="14.25" customHeight="1" x14ac:dyDescent="0.35">
      <c r="B590" s="107">
        <v>45439</v>
      </c>
      <c r="C590">
        <v>-0.11</v>
      </c>
      <c r="D590">
        <v>0.06</v>
      </c>
    </row>
    <row r="591" spans="2:4" ht="14.25" customHeight="1" x14ac:dyDescent="0.35">
      <c r="B591" s="107">
        <v>45440</v>
      </c>
      <c r="C591">
        <v>-0.19</v>
      </c>
      <c r="D591">
        <v>-1.1000000000000001</v>
      </c>
    </row>
    <row r="592" spans="2:4" ht="14.25" customHeight="1" x14ac:dyDescent="0.35">
      <c r="B592" s="107">
        <v>45441</v>
      </c>
      <c r="C592">
        <v>-0.8</v>
      </c>
      <c r="D592">
        <v>-1.2</v>
      </c>
    </row>
    <row r="593" spans="2:4" ht="14.25" customHeight="1" x14ac:dyDescent="0.35">
      <c r="B593" s="107">
        <v>45442</v>
      </c>
      <c r="C593">
        <v>-0.95</v>
      </c>
      <c r="D593">
        <v>-1.88</v>
      </c>
    </row>
    <row r="594" spans="2:4" ht="14.25" customHeight="1" x14ac:dyDescent="0.35">
      <c r="B594" s="107">
        <v>45443</v>
      </c>
      <c r="C594">
        <v>0.19</v>
      </c>
      <c r="D594">
        <v>0.28000000000000003</v>
      </c>
    </row>
    <row r="595" spans="2:4" ht="14.25" customHeight="1" x14ac:dyDescent="0.35">
      <c r="B595" s="107">
        <v>45446</v>
      </c>
      <c r="C595">
        <v>3.25</v>
      </c>
      <c r="D595">
        <v>7.94</v>
      </c>
    </row>
    <row r="596" spans="2:4" ht="14.25" customHeight="1" x14ac:dyDescent="0.35">
      <c r="B596" s="107">
        <v>45447</v>
      </c>
      <c r="C596">
        <v>-5.93</v>
      </c>
      <c r="D596">
        <v>-11.87</v>
      </c>
    </row>
    <row r="597" spans="2:4" ht="14.25" customHeight="1" x14ac:dyDescent="0.35">
      <c r="B597" s="107">
        <v>45448</v>
      </c>
      <c r="C597">
        <v>3.36</v>
      </c>
      <c r="D597">
        <v>3.07</v>
      </c>
    </row>
    <row r="598" spans="2:4" ht="14.25" customHeight="1" x14ac:dyDescent="0.35">
      <c r="B598" s="107">
        <v>45449</v>
      </c>
      <c r="C598">
        <v>0.89</v>
      </c>
      <c r="D598">
        <v>2.73</v>
      </c>
    </row>
    <row r="599" spans="2:4" ht="14.25" customHeight="1" x14ac:dyDescent="0.35">
      <c r="B599" s="107">
        <v>45450</v>
      </c>
      <c r="C599">
        <v>2.0499999999999998</v>
      </c>
      <c r="D599">
        <v>0.37</v>
      </c>
    </row>
    <row r="600" spans="2:4" ht="14.25" customHeight="1" x14ac:dyDescent="0.35">
      <c r="B600" s="107">
        <v>45453</v>
      </c>
      <c r="C600">
        <v>-0.13</v>
      </c>
      <c r="D600">
        <v>0.62</v>
      </c>
    </row>
    <row r="601" spans="2:4" ht="14.25" customHeight="1" x14ac:dyDescent="0.35">
      <c r="B601" s="107">
        <v>45454</v>
      </c>
      <c r="C601">
        <v>0.02</v>
      </c>
      <c r="D601">
        <v>1.5</v>
      </c>
    </row>
    <row r="602" spans="2:4" ht="14.25" customHeight="1" x14ac:dyDescent="0.35">
      <c r="B602" s="107">
        <v>45455</v>
      </c>
      <c r="C602">
        <v>0.25</v>
      </c>
      <c r="D602">
        <v>0.69</v>
      </c>
    </row>
    <row r="603" spans="2:4" ht="14.25" customHeight="1" x14ac:dyDescent="0.35">
      <c r="B603" s="107">
        <v>45456</v>
      </c>
      <c r="C603">
        <v>0.33</v>
      </c>
      <c r="D603">
        <v>7.0000000000000007E-2</v>
      </c>
    </row>
    <row r="604" spans="2:4" ht="14.25" customHeight="1" x14ac:dyDescent="0.35">
      <c r="B604" s="107">
        <v>45457</v>
      </c>
      <c r="C604">
        <v>0.28999999999999998</v>
      </c>
      <c r="D604">
        <v>0.83</v>
      </c>
    </row>
    <row r="605" spans="2:4" ht="14.25" customHeight="1" x14ac:dyDescent="0.35">
      <c r="B605" s="107">
        <v>45461</v>
      </c>
      <c r="C605">
        <v>0.39</v>
      </c>
      <c r="D605">
        <v>-0.45</v>
      </c>
    </row>
    <row r="606" spans="2:4" ht="14.25" customHeight="1" x14ac:dyDescent="0.35">
      <c r="B606" s="107">
        <v>45462</v>
      </c>
      <c r="C606">
        <v>-0.18</v>
      </c>
      <c r="D606">
        <v>-1.67</v>
      </c>
    </row>
    <row r="607" spans="2:4" ht="14.25" customHeight="1" x14ac:dyDescent="0.35">
      <c r="B607" s="107">
        <v>45463</v>
      </c>
      <c r="C607">
        <v>0.22</v>
      </c>
      <c r="D607">
        <v>1.33</v>
      </c>
    </row>
    <row r="608" spans="2:4" ht="14.25" customHeight="1" x14ac:dyDescent="0.35">
      <c r="B608" s="107">
        <v>45464</v>
      </c>
      <c r="C608">
        <v>-0.28000000000000003</v>
      </c>
      <c r="D608">
        <v>-1.39</v>
      </c>
    </row>
    <row r="609" spans="2:4" ht="14.25" customHeight="1" x14ac:dyDescent="0.35">
      <c r="B609" s="107">
        <v>45467</v>
      </c>
      <c r="C609">
        <v>0.16</v>
      </c>
      <c r="D609">
        <v>-0.19</v>
      </c>
    </row>
    <row r="610" spans="2:4" ht="14.25" customHeight="1" x14ac:dyDescent="0.35">
      <c r="B610" s="107">
        <v>45468</v>
      </c>
      <c r="C610">
        <v>0.78</v>
      </c>
      <c r="D610">
        <v>-1.1599999999999999</v>
      </c>
    </row>
    <row r="611" spans="2:4" ht="14.25" customHeight="1" x14ac:dyDescent="0.35">
      <c r="B611" s="107">
        <v>45469</v>
      </c>
      <c r="C611">
        <v>0.62</v>
      </c>
      <c r="D611">
        <v>-0.06</v>
      </c>
    </row>
    <row r="612" spans="2:4" ht="14.25" customHeight="1" x14ac:dyDescent="0.35">
      <c r="B612" s="107">
        <v>45470</v>
      </c>
      <c r="C612">
        <v>0.74</v>
      </c>
      <c r="D612">
        <v>-0.42</v>
      </c>
    </row>
    <row r="613" spans="2:4" ht="14.25" customHeight="1" x14ac:dyDescent="0.35">
      <c r="B613" s="107">
        <v>45471</v>
      </c>
      <c r="C613">
        <v>-0.14000000000000001</v>
      </c>
      <c r="D613">
        <v>1.25</v>
      </c>
    </row>
    <row r="614" spans="2:4" ht="14.25" customHeight="1" x14ac:dyDescent="0.35">
      <c r="B614" s="107">
        <v>45474</v>
      </c>
      <c r="C614">
        <v>0.55000000000000004</v>
      </c>
      <c r="D614">
        <v>1.23</v>
      </c>
    </row>
    <row r="615" spans="2:4" ht="14.25" customHeight="1" x14ac:dyDescent="0.35">
      <c r="B615" s="107">
        <v>45475</v>
      </c>
      <c r="C615">
        <v>-7.0000000000000007E-2</v>
      </c>
      <c r="D615">
        <v>0.38</v>
      </c>
    </row>
    <row r="616" spans="2:4" ht="14.25" customHeight="1" x14ac:dyDescent="0.35">
      <c r="B616" s="107">
        <v>45476</v>
      </c>
      <c r="C616">
        <v>0.67</v>
      </c>
      <c r="D616">
        <v>0.6</v>
      </c>
    </row>
    <row r="617" spans="2:4" ht="14.25" customHeight="1" x14ac:dyDescent="0.35">
      <c r="B617" s="107">
        <v>45477</v>
      </c>
      <c r="C617">
        <v>0.06</v>
      </c>
      <c r="D617">
        <v>0.51</v>
      </c>
    </row>
    <row r="618" spans="2:4" ht="14.25" customHeight="1" x14ac:dyDescent="0.35">
      <c r="B618" s="107">
        <v>45478</v>
      </c>
      <c r="C618">
        <v>0.09</v>
      </c>
      <c r="D618">
        <v>0.65</v>
      </c>
    </row>
    <row r="619" spans="2:4" ht="14.25" customHeight="1" x14ac:dyDescent="0.35">
      <c r="B619" s="107">
        <v>45481</v>
      </c>
      <c r="C619">
        <v>-0.01</v>
      </c>
      <c r="D619">
        <v>-0.71</v>
      </c>
    </row>
    <row r="620" spans="2:4" ht="14.25" customHeight="1" x14ac:dyDescent="0.35">
      <c r="B620" s="107">
        <v>45482</v>
      </c>
      <c r="C620">
        <v>0.46</v>
      </c>
      <c r="D620">
        <v>0.94</v>
      </c>
    </row>
    <row r="621" spans="2:4" ht="14.25" customHeight="1" x14ac:dyDescent="0.35">
      <c r="B621" s="107">
        <v>45483</v>
      </c>
      <c r="C621">
        <v>-0.45</v>
      </c>
      <c r="D621">
        <v>0.13</v>
      </c>
    </row>
    <row r="622" spans="2:4" ht="14.25" customHeight="1" x14ac:dyDescent="0.35">
      <c r="B622" s="107">
        <v>45484</v>
      </c>
      <c r="C622">
        <v>-0.03</v>
      </c>
      <c r="D622">
        <v>1.48</v>
      </c>
    </row>
    <row r="623" spans="2:4" ht="14.25" customHeight="1" x14ac:dyDescent="0.35">
      <c r="B623" s="107">
        <v>45485</v>
      </c>
      <c r="C623">
        <v>0.77</v>
      </c>
      <c r="D623">
        <v>-0.24</v>
      </c>
    </row>
    <row r="624" spans="2:4" ht="14.25" customHeight="1" x14ac:dyDescent="0.35">
      <c r="B624" s="107">
        <v>45488</v>
      </c>
      <c r="C624">
        <v>0.35</v>
      </c>
      <c r="D624">
        <v>1.59</v>
      </c>
    </row>
    <row r="625" spans="2:4" ht="14.25" customHeight="1" x14ac:dyDescent="0.35">
      <c r="B625" s="107">
        <v>45489</v>
      </c>
      <c r="C625">
        <v>0.11</v>
      </c>
      <c r="D625">
        <v>0.61</v>
      </c>
    </row>
    <row r="626" spans="2:4" ht="14.25" customHeight="1" x14ac:dyDescent="0.35">
      <c r="B626" s="107">
        <v>45491</v>
      </c>
      <c r="C626">
        <v>0.76</v>
      </c>
      <c r="D626">
        <v>-0.66</v>
      </c>
    </row>
    <row r="627" spans="2:4" ht="14.25" customHeight="1" x14ac:dyDescent="0.35">
      <c r="B627" s="107">
        <v>45492</v>
      </c>
      <c r="C627">
        <v>-1.0900000000000001</v>
      </c>
      <c r="D627">
        <v>-2.4300000000000002</v>
      </c>
    </row>
    <row r="628" spans="2:4" ht="14.25" customHeight="1" x14ac:dyDescent="0.35">
      <c r="B628" s="107">
        <v>45495</v>
      </c>
      <c r="C628">
        <v>-0.09</v>
      </c>
      <c r="D628">
        <v>1.63</v>
      </c>
    </row>
    <row r="629" spans="2:4" ht="14.25" customHeight="1" x14ac:dyDescent="0.35">
      <c r="B629" s="107">
        <v>45496</v>
      </c>
      <c r="C629">
        <v>-0.12</v>
      </c>
      <c r="D629">
        <v>-1.41</v>
      </c>
    </row>
    <row r="630" spans="2:4" ht="14.25" customHeight="1" x14ac:dyDescent="0.35">
      <c r="B630" s="107">
        <v>45497</v>
      </c>
      <c r="C630">
        <v>-0.27</v>
      </c>
      <c r="D630">
        <v>1.79</v>
      </c>
    </row>
    <row r="631" spans="2:4" ht="14.25" customHeight="1" x14ac:dyDescent="0.35">
      <c r="B631" s="107">
        <v>45498</v>
      </c>
      <c r="C631">
        <v>-0.03</v>
      </c>
      <c r="D631">
        <v>4.78</v>
      </c>
    </row>
    <row r="632" spans="2:4" ht="14.25" customHeight="1" x14ac:dyDescent="0.35">
      <c r="B632" s="107">
        <v>45499</v>
      </c>
      <c r="C632">
        <v>1.76</v>
      </c>
      <c r="D632">
        <v>-0.17</v>
      </c>
    </row>
    <row r="633" spans="2:4" ht="14.25" customHeight="1" x14ac:dyDescent="0.35">
      <c r="B633" s="107">
        <v>45502</v>
      </c>
      <c r="C633">
        <v>0.01</v>
      </c>
      <c r="D633">
        <v>2.1800000000000002</v>
      </c>
    </row>
    <row r="634" spans="2:4" ht="14.25" customHeight="1" x14ac:dyDescent="0.35">
      <c r="B634" s="107">
        <v>45503</v>
      </c>
      <c r="C634">
        <v>0.09</v>
      </c>
      <c r="D634">
        <v>1.42</v>
      </c>
    </row>
    <row r="635" spans="2:4" ht="14.25" customHeight="1" x14ac:dyDescent="0.35">
      <c r="B635" s="107">
        <v>45504</v>
      </c>
      <c r="C635">
        <v>0.38</v>
      </c>
      <c r="D635">
        <v>-0.7</v>
      </c>
    </row>
    <row r="636" spans="2:4" ht="14.25" customHeight="1" x14ac:dyDescent="0.35">
      <c r="B636" s="107">
        <v>45505</v>
      </c>
      <c r="C636">
        <v>0.24</v>
      </c>
      <c r="D636">
        <v>-1.07</v>
      </c>
    </row>
    <row r="637" spans="2:4" ht="14.25" customHeight="1" x14ac:dyDescent="0.35">
      <c r="B637" s="107">
        <v>45506</v>
      </c>
      <c r="C637">
        <v>-1.17</v>
      </c>
      <c r="D637">
        <v>-1.36</v>
      </c>
    </row>
    <row r="638" spans="2:4" ht="14.25" customHeight="1" x14ac:dyDescent="0.35">
      <c r="B638" s="107">
        <v>45509</v>
      </c>
      <c r="C638">
        <v>-2.68</v>
      </c>
      <c r="D638">
        <v>-3.78</v>
      </c>
    </row>
    <row r="639" spans="2:4" ht="14.25" customHeight="1" x14ac:dyDescent="0.35">
      <c r="B639" s="107">
        <v>45510</v>
      </c>
      <c r="C639">
        <v>-0.26</v>
      </c>
      <c r="D639">
        <v>-2.1</v>
      </c>
    </row>
    <row r="640" spans="2:4" ht="14.25" customHeight="1" x14ac:dyDescent="0.35">
      <c r="B640" s="107">
        <v>45511</v>
      </c>
      <c r="C640">
        <v>1.27</v>
      </c>
      <c r="D640">
        <v>3.12</v>
      </c>
    </row>
    <row r="641" spans="2:4" ht="14.25" customHeight="1" x14ac:dyDescent="0.35">
      <c r="B641" s="107">
        <v>45512</v>
      </c>
      <c r="C641">
        <v>-0.74</v>
      </c>
      <c r="D641">
        <v>-1.1599999999999999</v>
      </c>
    </row>
    <row r="642" spans="2:4" ht="14.25" customHeight="1" x14ac:dyDescent="0.35">
      <c r="B642" s="107">
        <v>45513</v>
      </c>
      <c r="C642">
        <v>1.04</v>
      </c>
      <c r="D642">
        <v>-0.67</v>
      </c>
    </row>
    <row r="643" spans="2:4" ht="14.25" customHeight="1" x14ac:dyDescent="0.35">
      <c r="B643" s="107">
        <v>45516</v>
      </c>
      <c r="C643">
        <v>-0.08</v>
      </c>
      <c r="D643">
        <v>0.04</v>
      </c>
    </row>
    <row r="644" spans="2:4" ht="14.25" customHeight="1" x14ac:dyDescent="0.35">
      <c r="B644" s="107">
        <v>45517</v>
      </c>
      <c r="C644">
        <v>-0.85</v>
      </c>
      <c r="D644">
        <v>-2.98</v>
      </c>
    </row>
    <row r="645" spans="2:4" ht="14.25" customHeight="1" x14ac:dyDescent="0.35">
      <c r="B645" s="107">
        <v>45518</v>
      </c>
      <c r="C645">
        <v>0.02</v>
      </c>
      <c r="D645">
        <v>-0.23</v>
      </c>
    </row>
    <row r="646" spans="2:4" ht="14.25" customHeight="1" x14ac:dyDescent="0.35">
      <c r="B646" s="107">
        <v>45520</v>
      </c>
      <c r="C646">
        <v>1.65</v>
      </c>
      <c r="D646">
        <v>2.09</v>
      </c>
    </row>
    <row r="647" spans="2:4" ht="14.25" customHeight="1" x14ac:dyDescent="0.35">
      <c r="B647" s="107">
        <v>45523</v>
      </c>
      <c r="C647">
        <v>0.13</v>
      </c>
      <c r="D647">
        <v>1.74</v>
      </c>
    </row>
    <row r="648" spans="2:4" ht="14.25" customHeight="1" x14ac:dyDescent="0.35">
      <c r="B648" s="107">
        <v>45524</v>
      </c>
      <c r="C648">
        <v>0.51</v>
      </c>
      <c r="D648">
        <v>1.26</v>
      </c>
    </row>
    <row r="649" spans="2:4" ht="14.25" customHeight="1" x14ac:dyDescent="0.35">
      <c r="B649" s="107">
        <v>45525</v>
      </c>
      <c r="C649">
        <v>0.28999999999999998</v>
      </c>
      <c r="D649">
        <v>0.96</v>
      </c>
    </row>
    <row r="650" spans="2:4" ht="14.25" customHeight="1" x14ac:dyDescent="0.35">
      <c r="B650" s="107">
        <v>45526</v>
      </c>
      <c r="C650">
        <v>0.17</v>
      </c>
      <c r="D650">
        <v>-0.06</v>
      </c>
    </row>
    <row r="651" spans="2:4" ht="14.25" customHeight="1" x14ac:dyDescent="0.35">
      <c r="B651" s="107">
        <v>45527</v>
      </c>
      <c r="C651">
        <v>0.05</v>
      </c>
      <c r="D651">
        <v>-0.38</v>
      </c>
    </row>
    <row r="652" spans="2:4" ht="14.25" customHeight="1" x14ac:dyDescent="0.35">
      <c r="B652" s="107">
        <v>45530</v>
      </c>
      <c r="C652">
        <v>0.76</v>
      </c>
      <c r="D652">
        <v>0.19</v>
      </c>
    </row>
    <row r="653" spans="2:4" ht="14.25" customHeight="1" x14ac:dyDescent="0.35">
      <c r="B653" s="107">
        <v>45531</v>
      </c>
      <c r="C653">
        <v>0.03</v>
      </c>
      <c r="D653">
        <v>-0.12</v>
      </c>
    </row>
    <row r="654" spans="2:4" ht="14.25" customHeight="1" x14ac:dyDescent="0.35">
      <c r="B654" s="107">
        <v>45532</v>
      </c>
      <c r="C654">
        <v>0.14000000000000001</v>
      </c>
      <c r="D654">
        <v>0.28999999999999998</v>
      </c>
    </row>
    <row r="655" spans="2:4" ht="14.25" customHeight="1" x14ac:dyDescent="0.35">
      <c r="B655" s="107">
        <v>45533</v>
      </c>
      <c r="C655">
        <v>0.4</v>
      </c>
      <c r="D655">
        <v>1.78</v>
      </c>
    </row>
    <row r="656" spans="2:4" ht="14.25" customHeight="1" x14ac:dyDescent="0.35">
      <c r="B656" s="107">
        <v>45534</v>
      </c>
      <c r="C656">
        <v>0.33</v>
      </c>
      <c r="D656">
        <v>7.0000000000000007E-2</v>
      </c>
    </row>
    <row r="657" spans="2:4" ht="14.25" customHeight="1" x14ac:dyDescent="0.35">
      <c r="B657" s="107">
        <v>45537</v>
      </c>
      <c r="C657">
        <v>0.17</v>
      </c>
      <c r="D657">
        <v>0.99</v>
      </c>
    </row>
    <row r="658" spans="2:4" ht="14.25" customHeight="1" x14ac:dyDescent="0.35">
      <c r="B658" s="107">
        <v>45538</v>
      </c>
      <c r="C658">
        <v>0</v>
      </c>
      <c r="D658">
        <v>-1.45</v>
      </c>
    </row>
    <row r="659" spans="2:4" ht="14.25" customHeight="1" x14ac:dyDescent="0.35">
      <c r="B659" s="107">
        <v>45539</v>
      </c>
      <c r="C659">
        <v>-0.32</v>
      </c>
      <c r="D659">
        <v>0.51</v>
      </c>
    </row>
    <row r="660" spans="2:4" ht="14.25" customHeight="1" x14ac:dyDescent="0.35">
      <c r="B660" s="107">
        <v>45540</v>
      </c>
      <c r="C660">
        <v>-0.21</v>
      </c>
      <c r="D660">
        <v>2.4300000000000002</v>
      </c>
    </row>
    <row r="661" spans="2:4" ht="14.25" customHeight="1" x14ac:dyDescent="0.35">
      <c r="B661" s="107">
        <v>45541</v>
      </c>
      <c r="C661">
        <v>-1.17</v>
      </c>
      <c r="D661">
        <v>-2.59</v>
      </c>
    </row>
    <row r="662" spans="2:4" ht="14.25" customHeight="1" x14ac:dyDescent="0.35">
      <c r="B662" s="107">
        <v>45544</v>
      </c>
      <c r="C662">
        <v>0.34</v>
      </c>
      <c r="D662">
        <v>-0.74</v>
      </c>
    </row>
    <row r="663" spans="2:4" ht="14.25" customHeight="1" x14ac:dyDescent="0.35">
      <c r="B663" s="107">
        <v>45545</v>
      </c>
      <c r="C663">
        <v>0.42</v>
      </c>
      <c r="D663">
        <v>0.12</v>
      </c>
    </row>
    <row r="664" spans="2:4" ht="14.25" customHeight="1" x14ac:dyDescent="0.35">
      <c r="B664" s="107">
        <v>45546</v>
      </c>
      <c r="C664">
        <v>-0.49</v>
      </c>
      <c r="D664">
        <v>-3.31</v>
      </c>
    </row>
    <row r="665" spans="2:4" ht="14.25" customHeight="1" x14ac:dyDescent="0.35">
      <c r="B665" s="107">
        <v>45547</v>
      </c>
      <c r="C665">
        <v>1.89</v>
      </c>
      <c r="D665">
        <v>2.0699999999999998</v>
      </c>
    </row>
    <row r="666" spans="2:4" ht="14.25" customHeight="1" x14ac:dyDescent="0.35">
      <c r="B666" s="107">
        <v>45548</v>
      </c>
      <c r="C666">
        <v>-0.13</v>
      </c>
      <c r="D666">
        <v>-0.04</v>
      </c>
    </row>
    <row r="667" spans="2:4" ht="14.25" customHeight="1" x14ac:dyDescent="0.35">
      <c r="B667" s="107">
        <v>45551</v>
      </c>
      <c r="C667">
        <v>0.11</v>
      </c>
      <c r="D667">
        <v>-0.79</v>
      </c>
    </row>
    <row r="668" spans="2:4" ht="14.25" customHeight="1" x14ac:dyDescent="0.35">
      <c r="B668" s="107">
        <v>45552</v>
      </c>
      <c r="C668">
        <v>0.14000000000000001</v>
      </c>
      <c r="D668">
        <v>-0.76</v>
      </c>
    </row>
    <row r="669" spans="2:4" ht="14.25" customHeight="1" x14ac:dyDescent="0.35">
      <c r="B669" s="107">
        <v>45553</v>
      </c>
      <c r="C669">
        <v>-0.16</v>
      </c>
      <c r="D669">
        <v>-1.21</v>
      </c>
    </row>
    <row r="670" spans="2:4" ht="14.25" customHeight="1" x14ac:dyDescent="0.35">
      <c r="B670" s="107">
        <v>45554</v>
      </c>
      <c r="C670">
        <v>0.15</v>
      </c>
      <c r="D670">
        <v>-2.02</v>
      </c>
    </row>
    <row r="671" spans="2:4" ht="14.25" customHeight="1" x14ac:dyDescent="0.35">
      <c r="B671" s="107">
        <v>45555</v>
      </c>
      <c r="C671">
        <v>1.48</v>
      </c>
      <c r="D671">
        <v>1.22</v>
      </c>
    </row>
    <row r="672" spans="2:4" ht="14.25" customHeight="1" x14ac:dyDescent="0.35">
      <c r="B672" s="107">
        <v>45558</v>
      </c>
      <c r="C672">
        <v>0.56999999999999995</v>
      </c>
      <c r="D672">
        <v>1.6</v>
      </c>
    </row>
    <row r="673" spans="2:4" ht="14.25" customHeight="1" x14ac:dyDescent="0.35">
      <c r="B673" s="107">
        <v>45559</v>
      </c>
      <c r="C673">
        <v>0.01</v>
      </c>
      <c r="D673">
        <v>0.09</v>
      </c>
    </row>
    <row r="674" spans="2:4" ht="14.25" customHeight="1" x14ac:dyDescent="0.35">
      <c r="B674" s="107">
        <v>45560</v>
      </c>
      <c r="C674">
        <v>0.25</v>
      </c>
      <c r="D674">
        <v>-0.04</v>
      </c>
    </row>
    <row r="675" spans="2:4" ht="14.25" customHeight="1" x14ac:dyDescent="0.35">
      <c r="B675" s="107">
        <v>45561</v>
      </c>
      <c r="C675">
        <v>0.81</v>
      </c>
      <c r="D675">
        <v>0.91</v>
      </c>
    </row>
    <row r="676" spans="2:4" ht="14.25" customHeight="1" x14ac:dyDescent="0.35">
      <c r="B676" s="107">
        <v>45562</v>
      </c>
      <c r="C676">
        <v>-0.14000000000000001</v>
      </c>
      <c r="D676">
        <v>5.05</v>
      </c>
    </row>
    <row r="677" spans="2:4" ht="14.25" customHeight="1" x14ac:dyDescent="0.35">
      <c r="B677" s="107">
        <v>45565</v>
      </c>
      <c r="C677">
        <v>-1.41</v>
      </c>
      <c r="D677">
        <v>0.08</v>
      </c>
    </row>
    <row r="678" spans="2:4" ht="14.25" customHeight="1" x14ac:dyDescent="0.35">
      <c r="B678" s="107">
        <v>45566</v>
      </c>
      <c r="C678">
        <v>-0.05</v>
      </c>
      <c r="D678">
        <v>-0.61</v>
      </c>
    </row>
    <row r="679" spans="2:4" ht="14.25" customHeight="1" x14ac:dyDescent="0.35">
      <c r="B679" s="107">
        <v>45568</v>
      </c>
      <c r="C679">
        <v>-2.12</v>
      </c>
      <c r="D679">
        <v>-4.32</v>
      </c>
    </row>
    <row r="680" spans="2:4" ht="14.25" customHeight="1" x14ac:dyDescent="0.35">
      <c r="B680" s="107">
        <v>45569</v>
      </c>
      <c r="C680">
        <v>-0.93</v>
      </c>
      <c r="D680">
        <v>-1.56</v>
      </c>
    </row>
    <row r="681" spans="2:4" ht="14.25" customHeight="1" x14ac:dyDescent="0.35">
      <c r="B681" s="107">
        <v>45572</v>
      </c>
      <c r="C681">
        <v>-0.87</v>
      </c>
      <c r="D681">
        <v>-3.5</v>
      </c>
    </row>
    <row r="682" spans="2:4" ht="14.25" customHeight="1" x14ac:dyDescent="0.35">
      <c r="B682" s="107">
        <v>45573</v>
      </c>
      <c r="C682">
        <v>0.88</v>
      </c>
      <c r="D682">
        <v>0.92</v>
      </c>
    </row>
    <row r="683" spans="2:4" ht="14.25" customHeight="1" x14ac:dyDescent="0.35">
      <c r="B683" s="107">
        <v>45574</v>
      </c>
      <c r="C683">
        <v>-0.12</v>
      </c>
      <c r="D683">
        <v>0.3</v>
      </c>
    </row>
    <row r="684" spans="2:4" ht="14.25" customHeight="1" x14ac:dyDescent="0.35">
      <c r="B684" s="107">
        <v>45575</v>
      </c>
      <c r="C684">
        <v>7.0000000000000007E-2</v>
      </c>
      <c r="D684">
        <v>-0.21</v>
      </c>
    </row>
    <row r="685" spans="2:4" ht="14.25" customHeight="1" x14ac:dyDescent="0.35">
      <c r="B685" s="107">
        <v>45576</v>
      </c>
      <c r="C685">
        <v>-0.14000000000000001</v>
      </c>
      <c r="D685">
        <v>-0.75</v>
      </c>
    </row>
    <row r="686" spans="2:4" ht="14.25" customHeight="1" x14ac:dyDescent="0.35">
      <c r="B686" s="107">
        <v>45579</v>
      </c>
      <c r="C686">
        <v>0.66</v>
      </c>
      <c r="D686">
        <v>1.42</v>
      </c>
    </row>
    <row r="687" spans="2:4" ht="14.25" customHeight="1" x14ac:dyDescent="0.35">
      <c r="B687" s="107">
        <v>45580</v>
      </c>
      <c r="C687">
        <v>-0.28000000000000003</v>
      </c>
      <c r="D687">
        <v>1.49</v>
      </c>
    </row>
    <row r="688" spans="2:4" ht="14.25" customHeight="1" x14ac:dyDescent="0.35">
      <c r="B688" s="107">
        <v>45581</v>
      </c>
      <c r="C688">
        <v>-0.34</v>
      </c>
      <c r="D688">
        <v>0.27</v>
      </c>
    </row>
    <row r="689" spans="2:4" ht="14.25" customHeight="1" x14ac:dyDescent="0.35">
      <c r="B689" s="107">
        <v>45582</v>
      </c>
      <c r="C689">
        <v>-0.89</v>
      </c>
      <c r="D689">
        <v>-2.44</v>
      </c>
    </row>
    <row r="690" spans="2:4" ht="14.25" customHeight="1" x14ac:dyDescent="0.35">
      <c r="B690" s="107">
        <v>45583</v>
      </c>
      <c r="C690">
        <v>0.42</v>
      </c>
      <c r="D690">
        <v>0.65</v>
      </c>
    </row>
    <row r="691" spans="2:4" ht="14.25" customHeight="1" x14ac:dyDescent="0.35">
      <c r="B691" s="107">
        <v>45586</v>
      </c>
      <c r="C691">
        <v>-0.28999999999999998</v>
      </c>
      <c r="D691">
        <v>-3.16</v>
      </c>
    </row>
    <row r="692" spans="2:4" ht="14.25" customHeight="1" x14ac:dyDescent="0.35">
      <c r="B692" s="107">
        <v>45587</v>
      </c>
      <c r="C692">
        <v>-1.25</v>
      </c>
      <c r="D692">
        <v>-3</v>
      </c>
    </row>
    <row r="693" spans="2:4" ht="14.25" customHeight="1" x14ac:dyDescent="0.35">
      <c r="B693" s="107">
        <v>45588</v>
      </c>
      <c r="C693">
        <v>-0.15</v>
      </c>
      <c r="D693">
        <v>-1.53</v>
      </c>
    </row>
    <row r="694" spans="2:4" ht="14.25" customHeight="1" x14ac:dyDescent="0.35">
      <c r="B694" s="107">
        <v>45589</v>
      </c>
      <c r="C694">
        <v>-0.15</v>
      </c>
      <c r="D694">
        <v>0.22</v>
      </c>
    </row>
    <row r="695" spans="2:4" ht="14.25" customHeight="1" x14ac:dyDescent="0.35">
      <c r="B695" s="107">
        <v>45590</v>
      </c>
      <c r="C695">
        <v>-0.9</v>
      </c>
      <c r="D695">
        <v>-4.54</v>
      </c>
    </row>
    <row r="696" spans="2:4" ht="14.25" customHeight="1" x14ac:dyDescent="0.35">
      <c r="B696" s="107">
        <v>45593</v>
      </c>
      <c r="C696">
        <v>0.65</v>
      </c>
      <c r="D696">
        <v>0.49</v>
      </c>
    </row>
    <row r="697" spans="2:4" ht="14.25" customHeight="1" x14ac:dyDescent="0.35">
      <c r="B697" s="107">
        <v>45594</v>
      </c>
      <c r="C697">
        <v>0.52</v>
      </c>
      <c r="D697">
        <v>-1.97</v>
      </c>
    </row>
    <row r="698" spans="2:4" ht="14.25" customHeight="1" x14ac:dyDescent="0.35">
      <c r="B698" s="107">
        <v>45595</v>
      </c>
      <c r="C698">
        <v>-0.51</v>
      </c>
      <c r="D698">
        <v>-0.5</v>
      </c>
    </row>
    <row r="699" spans="2:4" ht="14.25" customHeight="1" x14ac:dyDescent="0.35">
      <c r="B699" s="107">
        <v>45596</v>
      </c>
      <c r="C699">
        <v>-0.56000000000000005</v>
      </c>
      <c r="D699">
        <v>-0.54</v>
      </c>
    </row>
    <row r="700" spans="2:4" ht="14.25" customHeight="1" x14ac:dyDescent="0.35">
      <c r="B700" s="107">
        <v>45597</v>
      </c>
      <c r="C700">
        <v>0.41</v>
      </c>
      <c r="D700">
        <v>1.66</v>
      </c>
    </row>
    <row r="701" spans="2:4" ht="14.25" customHeight="1" x14ac:dyDescent="0.35">
      <c r="B701" s="107">
        <v>45600</v>
      </c>
      <c r="C701">
        <v>-1.27</v>
      </c>
      <c r="D701">
        <v>-4.18</v>
      </c>
    </row>
    <row r="702" spans="2:4" ht="14.25" customHeight="1" x14ac:dyDescent="0.35">
      <c r="B702" s="107">
        <v>45601</v>
      </c>
      <c r="C702">
        <v>0.91</v>
      </c>
      <c r="D702">
        <v>1.35</v>
      </c>
    </row>
    <row r="703" spans="2:4" ht="14.25" customHeight="1" x14ac:dyDescent="0.35">
      <c r="B703" s="107">
        <v>45602</v>
      </c>
      <c r="C703">
        <v>1.1200000000000001</v>
      </c>
      <c r="D703">
        <v>2.71</v>
      </c>
    </row>
    <row r="704" spans="2:4" ht="14.25" customHeight="1" x14ac:dyDescent="0.35">
      <c r="B704" s="107">
        <v>45603</v>
      </c>
      <c r="C704">
        <v>-1.1599999999999999</v>
      </c>
      <c r="D704">
        <v>-0.32</v>
      </c>
    </row>
    <row r="705" spans="2:4" ht="14.25" customHeight="1" x14ac:dyDescent="0.35">
      <c r="B705" s="107">
        <v>45604</v>
      </c>
      <c r="C705">
        <v>-0.21</v>
      </c>
      <c r="D705">
        <v>-2.64</v>
      </c>
    </row>
    <row r="706" spans="2:4" ht="14.25" customHeight="1" x14ac:dyDescent="0.35">
      <c r="B706" s="107">
        <v>45607</v>
      </c>
      <c r="C706">
        <v>-0.03</v>
      </c>
      <c r="D706">
        <v>-0.65</v>
      </c>
    </row>
    <row r="707" spans="2:4" ht="14.25" customHeight="1" x14ac:dyDescent="0.35">
      <c r="B707" s="107">
        <v>45608</v>
      </c>
      <c r="C707">
        <v>-1.07</v>
      </c>
      <c r="D707">
        <v>-0.46</v>
      </c>
    </row>
    <row r="708" spans="2:4" ht="14.25" customHeight="1" x14ac:dyDescent="0.35">
      <c r="B708" s="107">
        <v>45609</v>
      </c>
      <c r="C708">
        <v>-1.36</v>
      </c>
      <c r="D708">
        <v>-2.02</v>
      </c>
    </row>
    <row r="709" spans="2:4" ht="14.25" customHeight="1" x14ac:dyDescent="0.35">
      <c r="B709" s="107">
        <v>45610</v>
      </c>
      <c r="C709">
        <v>-0.11</v>
      </c>
      <c r="D709">
        <v>-0.9</v>
      </c>
    </row>
    <row r="710" spans="2:4" ht="14.25" customHeight="1" x14ac:dyDescent="0.35">
      <c r="B710" s="107">
        <v>45614</v>
      </c>
      <c r="C710">
        <v>-0.34</v>
      </c>
      <c r="D710">
        <v>-0.46</v>
      </c>
    </row>
    <row r="711" spans="2:4" ht="14.25" customHeight="1" x14ac:dyDescent="0.35">
      <c r="B711" s="107">
        <v>45615</v>
      </c>
      <c r="C711">
        <v>0.28000000000000003</v>
      </c>
      <c r="D711">
        <v>-0.76</v>
      </c>
    </row>
    <row r="712" spans="2:4" ht="14.25" customHeight="1" x14ac:dyDescent="0.35">
      <c r="B712" s="107">
        <v>45617</v>
      </c>
      <c r="C712">
        <v>-0.72</v>
      </c>
      <c r="D712">
        <v>-1.81</v>
      </c>
    </row>
    <row r="713" spans="2:4" ht="14.25" customHeight="1" x14ac:dyDescent="0.35">
      <c r="B713" s="107">
        <v>45618</v>
      </c>
      <c r="C713">
        <v>2.39</v>
      </c>
      <c r="D713">
        <v>1.45</v>
      </c>
    </row>
    <row r="714" spans="2:4" ht="14.25" customHeight="1" x14ac:dyDescent="0.35">
      <c r="B714" s="107">
        <v>45621</v>
      </c>
      <c r="C714">
        <v>1.32</v>
      </c>
      <c r="D714">
        <v>2.86</v>
      </c>
    </row>
    <row r="715" spans="2:4" ht="14.25" customHeight="1" x14ac:dyDescent="0.35">
      <c r="B715" s="107">
        <v>45622</v>
      </c>
      <c r="C715">
        <v>-0.11</v>
      </c>
      <c r="D715">
        <v>0.41</v>
      </c>
    </row>
    <row r="716" spans="2:4" ht="14.25" customHeight="1" x14ac:dyDescent="0.35">
      <c r="B716" s="107">
        <v>45623</v>
      </c>
      <c r="C716">
        <v>0.33</v>
      </c>
      <c r="D716">
        <v>1.49</v>
      </c>
    </row>
    <row r="717" spans="2:4" ht="14.25" customHeight="1" x14ac:dyDescent="0.35">
      <c r="B717" s="107">
        <v>45624</v>
      </c>
      <c r="C717">
        <v>-1.49</v>
      </c>
      <c r="D717">
        <v>-0.9</v>
      </c>
    </row>
    <row r="718" spans="2:4" ht="14.25" customHeight="1" x14ac:dyDescent="0.35">
      <c r="B718" s="107">
        <v>45625</v>
      </c>
      <c r="C718">
        <v>0.91</v>
      </c>
      <c r="D718">
        <v>0.64</v>
      </c>
    </row>
    <row r="719" spans="2:4" ht="14.25" customHeight="1" x14ac:dyDescent="0.35">
      <c r="B719" s="107">
        <v>45628</v>
      </c>
      <c r="C719">
        <v>0.6</v>
      </c>
      <c r="D719">
        <v>-0.71</v>
      </c>
    </row>
    <row r="720" spans="2:4" ht="14.25" customHeight="1" x14ac:dyDescent="0.35">
      <c r="B720" s="107">
        <v>45629</v>
      </c>
      <c r="C720">
        <v>0.75</v>
      </c>
      <c r="D720">
        <v>1.35</v>
      </c>
    </row>
    <row r="721" spans="2:4" ht="14.25" customHeight="1" x14ac:dyDescent="0.35">
      <c r="B721" s="107">
        <v>45630</v>
      </c>
      <c r="C721">
        <v>0.04</v>
      </c>
      <c r="D721">
        <v>0.25</v>
      </c>
    </row>
    <row r="722" spans="2:4" ht="14.25" customHeight="1" x14ac:dyDescent="0.35">
      <c r="B722" s="107">
        <v>45631</v>
      </c>
      <c r="C722">
        <v>0.98</v>
      </c>
      <c r="D722">
        <v>-0.3</v>
      </c>
    </row>
    <row r="723" spans="2:4" ht="14.25" customHeight="1" x14ac:dyDescent="0.35">
      <c r="B723" s="107">
        <v>45632</v>
      </c>
      <c r="C723">
        <v>-0.12</v>
      </c>
      <c r="D723">
        <v>1.81</v>
      </c>
    </row>
    <row r="724" spans="2:4" ht="14.25" customHeight="1" x14ac:dyDescent="0.35">
      <c r="B724" s="107">
        <v>45635</v>
      </c>
      <c r="C724">
        <v>-0.24</v>
      </c>
      <c r="D724">
        <v>0.26</v>
      </c>
    </row>
    <row r="725" spans="2:4" ht="14.25" customHeight="1" x14ac:dyDescent="0.35">
      <c r="B725" s="107">
        <v>45636</v>
      </c>
      <c r="C725">
        <v>-0.04</v>
      </c>
      <c r="D725">
        <v>0.85</v>
      </c>
    </row>
    <row r="726" spans="2:4" ht="14.25" customHeight="1" x14ac:dyDescent="0.35">
      <c r="B726" s="107">
        <v>45637</v>
      </c>
      <c r="C726">
        <v>0.13</v>
      </c>
      <c r="D726">
        <v>-0.24</v>
      </c>
    </row>
    <row r="727" spans="2:4" ht="14.25" customHeight="1" x14ac:dyDescent="0.35">
      <c r="B727" s="107">
        <v>45638</v>
      </c>
      <c r="C727">
        <v>-0.38</v>
      </c>
      <c r="D727">
        <v>-1.19</v>
      </c>
    </row>
    <row r="728" spans="2:4" ht="14.25" customHeight="1" x14ac:dyDescent="0.35">
      <c r="B728" s="107">
        <v>45639</v>
      </c>
      <c r="C728">
        <v>0.89</v>
      </c>
      <c r="D728">
        <v>1.95</v>
      </c>
    </row>
    <row r="729" spans="2:4" ht="14.25" customHeight="1" x14ac:dyDescent="0.35">
      <c r="B729" s="107">
        <v>45642</v>
      </c>
      <c r="C729">
        <v>-0.4</v>
      </c>
      <c r="D729">
        <v>-0.75</v>
      </c>
    </row>
    <row r="730" spans="2:4" ht="14.25" customHeight="1" x14ac:dyDescent="0.35">
      <c r="B730" s="107">
        <v>45643</v>
      </c>
      <c r="C730">
        <v>-1.35</v>
      </c>
      <c r="D730">
        <v>-1.98</v>
      </c>
    </row>
    <row r="731" spans="2:4" ht="14.25" customHeight="1" x14ac:dyDescent="0.35">
      <c r="B731" s="107">
        <v>45644</v>
      </c>
      <c r="C731">
        <v>-0.56000000000000005</v>
      </c>
      <c r="D731">
        <v>-2.57</v>
      </c>
    </row>
    <row r="732" spans="2:4" ht="14.25" customHeight="1" x14ac:dyDescent="0.35">
      <c r="B732" s="107">
        <v>45645</v>
      </c>
      <c r="C732">
        <v>-1.02</v>
      </c>
      <c r="D732">
        <v>2.13</v>
      </c>
    </row>
    <row r="733" spans="2:4" ht="14.25" customHeight="1" x14ac:dyDescent="0.35">
      <c r="B733" s="107">
        <v>45646</v>
      </c>
      <c r="C733">
        <v>-1.52</v>
      </c>
      <c r="D733">
        <v>-1.82</v>
      </c>
    </row>
    <row r="734" spans="2:4" ht="14.25" customHeight="1" x14ac:dyDescent="0.35">
      <c r="B734" s="107">
        <v>45649</v>
      </c>
      <c r="C734">
        <v>0.7</v>
      </c>
      <c r="D734">
        <v>0.51</v>
      </c>
    </row>
    <row r="735" spans="2:4" ht="14.25" customHeight="1" x14ac:dyDescent="0.35">
      <c r="B735" s="107">
        <v>45650</v>
      </c>
      <c r="C735">
        <v>-0.11</v>
      </c>
      <c r="D735">
        <v>0.36</v>
      </c>
    </row>
    <row r="736" spans="2:4" ht="14.25" customHeight="1" x14ac:dyDescent="0.35">
      <c r="B736" s="107">
        <v>45652</v>
      </c>
      <c r="C736">
        <v>0.1</v>
      </c>
      <c r="D736">
        <v>-0.3</v>
      </c>
    </row>
    <row r="737" spans="2:4" ht="14.25" customHeight="1" x14ac:dyDescent="0.35">
      <c r="B737" s="107">
        <v>45653</v>
      </c>
      <c r="C737">
        <v>0.27</v>
      </c>
      <c r="D737">
        <v>-1.1599999999999999</v>
      </c>
    </row>
    <row r="738" spans="2:4" ht="14.25" customHeight="1" x14ac:dyDescent="0.35">
      <c r="B738" s="107">
        <v>45656</v>
      </c>
      <c r="C738">
        <v>-0.71</v>
      </c>
      <c r="D738">
        <v>-1.2</v>
      </c>
    </row>
    <row r="739" spans="2:4" ht="14.25" customHeight="1" x14ac:dyDescent="0.35">
      <c r="B739" s="107">
        <v>45657</v>
      </c>
      <c r="C739">
        <v>0</v>
      </c>
      <c r="D739">
        <v>1.34</v>
      </c>
    </row>
    <row r="740" spans="2:4" ht="14.25" customHeight="1" x14ac:dyDescent="0.35">
      <c r="B740" s="107">
        <v>45658</v>
      </c>
      <c r="C740">
        <v>0.41</v>
      </c>
      <c r="D740">
        <v>0.46</v>
      </c>
    </row>
    <row r="741" spans="2:4" ht="14.25" customHeight="1" x14ac:dyDescent="0.35">
      <c r="B741" s="107">
        <v>45659</v>
      </c>
      <c r="C741">
        <v>1.88</v>
      </c>
      <c r="D741">
        <v>0.67</v>
      </c>
    </row>
    <row r="742" spans="2:4" ht="14.25" customHeight="1" x14ac:dyDescent="0.35">
      <c r="B742" s="107">
        <v>45660</v>
      </c>
      <c r="C742">
        <v>-0.76</v>
      </c>
      <c r="D742">
        <v>0.13</v>
      </c>
    </row>
    <row r="743" spans="2:4" ht="14.25" customHeight="1" x14ac:dyDescent="0.35">
      <c r="B743" s="107">
        <v>45663</v>
      </c>
      <c r="C743">
        <v>-1.62</v>
      </c>
      <c r="D743">
        <v>-3.81</v>
      </c>
    </row>
    <row r="744" spans="2:4" ht="14.25" customHeight="1" x14ac:dyDescent="0.35">
      <c r="B744" s="107">
        <v>45664</v>
      </c>
      <c r="C744">
        <v>0.39</v>
      </c>
      <c r="D744">
        <v>1.0900000000000001</v>
      </c>
    </row>
    <row r="745" spans="2:4" ht="14.25" customHeight="1" x14ac:dyDescent="0.35">
      <c r="B745" s="107">
        <v>45665</v>
      </c>
      <c r="C745">
        <v>-0.08</v>
      </c>
      <c r="D745">
        <v>0.2</v>
      </c>
    </row>
    <row r="746" spans="2:4" ht="14.25" customHeight="1" x14ac:dyDescent="0.35">
      <c r="B746" s="107">
        <v>45666</v>
      </c>
      <c r="C746">
        <v>-0.69</v>
      </c>
      <c r="D746">
        <v>-1.78</v>
      </c>
    </row>
    <row r="747" spans="2:4" ht="14.25" customHeight="1" x14ac:dyDescent="0.35">
      <c r="B747" s="107">
        <v>45667</v>
      </c>
      <c r="C747">
        <v>-0.4</v>
      </c>
      <c r="D747">
        <v>-1.45</v>
      </c>
    </row>
    <row r="748" spans="2:4" ht="14.25" customHeight="1" x14ac:dyDescent="0.35">
      <c r="B748" s="107">
        <v>45670</v>
      </c>
      <c r="C748">
        <v>-1.47</v>
      </c>
      <c r="D748">
        <v>-6.36</v>
      </c>
    </row>
    <row r="749" spans="2:4" ht="14.25" customHeight="1" x14ac:dyDescent="0.35">
      <c r="B749" s="107">
        <v>45671</v>
      </c>
      <c r="C749">
        <v>0.39</v>
      </c>
      <c r="D749">
        <v>3.8</v>
      </c>
    </row>
    <row r="750" spans="2:4" ht="14.25" customHeight="1" x14ac:dyDescent="0.35">
      <c r="B750" s="107">
        <v>45672</v>
      </c>
      <c r="C750">
        <v>0.16</v>
      </c>
      <c r="D750">
        <v>0.25</v>
      </c>
    </row>
    <row r="751" spans="2:4" ht="14.25" customHeight="1" x14ac:dyDescent="0.35">
      <c r="B751" s="107">
        <v>45673</v>
      </c>
      <c r="C751">
        <v>0.42</v>
      </c>
      <c r="D751">
        <v>0.12</v>
      </c>
    </row>
    <row r="752" spans="2:4" ht="14.25" customHeight="1" x14ac:dyDescent="0.35">
      <c r="B752" s="107">
        <v>45674</v>
      </c>
      <c r="C752">
        <v>-0.47</v>
      </c>
      <c r="D752">
        <v>0.76</v>
      </c>
    </row>
    <row r="753" spans="2:4" ht="14.25" customHeight="1" x14ac:dyDescent="0.35">
      <c r="B753" s="107">
        <v>45677</v>
      </c>
      <c r="C753">
        <v>0.61</v>
      </c>
      <c r="D753">
        <v>1.9</v>
      </c>
    </row>
    <row r="754" spans="2:4" ht="14.25" customHeight="1" x14ac:dyDescent="0.35">
      <c r="B754" s="107">
        <v>45678</v>
      </c>
      <c r="C754">
        <v>-1.37</v>
      </c>
      <c r="D754">
        <v>0.44</v>
      </c>
    </row>
    <row r="755" spans="2:4" ht="14.25" customHeight="1" x14ac:dyDescent="0.35">
      <c r="B755" s="107">
        <v>45679</v>
      </c>
      <c r="C755">
        <v>0.56999999999999995</v>
      </c>
      <c r="D755">
        <v>-0.43</v>
      </c>
    </row>
    <row r="756" spans="2:4" ht="14.25" customHeight="1" x14ac:dyDescent="0.35">
      <c r="B756" s="107">
        <v>45680</v>
      </c>
      <c r="C756">
        <v>0.22</v>
      </c>
      <c r="D756">
        <v>-0.53</v>
      </c>
    </row>
    <row r="757" spans="2:4" ht="14.25" customHeight="1" x14ac:dyDescent="0.35">
      <c r="B757" s="107">
        <v>45681</v>
      </c>
      <c r="C757">
        <v>-0.49</v>
      </c>
      <c r="D757">
        <v>-1.21</v>
      </c>
    </row>
    <row r="758" spans="2:4" ht="14.25" customHeight="1" x14ac:dyDescent="0.35">
      <c r="B758" s="107">
        <v>45684</v>
      </c>
      <c r="C758">
        <v>-1.1399999999999999</v>
      </c>
      <c r="D758">
        <v>-3.19</v>
      </c>
    </row>
    <row r="759" spans="2:4" ht="14.25" customHeight="1" x14ac:dyDescent="0.35">
      <c r="B759" s="107">
        <v>45685</v>
      </c>
      <c r="C759">
        <v>0.56000000000000005</v>
      </c>
      <c r="D759">
        <v>-1.28</v>
      </c>
    </row>
    <row r="760" spans="2:4" ht="14.25" customHeight="1" x14ac:dyDescent="0.35">
      <c r="B760" s="107">
        <v>45686</v>
      </c>
      <c r="C760">
        <v>0.9</v>
      </c>
      <c r="D760">
        <v>0.86</v>
      </c>
    </row>
    <row r="761" spans="2:4" ht="14.25" customHeight="1" x14ac:dyDescent="0.35">
      <c r="B761" s="107">
        <v>45687</v>
      </c>
      <c r="C761">
        <v>0.37</v>
      </c>
      <c r="D761">
        <v>2.81</v>
      </c>
    </row>
    <row r="762" spans="2:4" ht="14.25" customHeight="1" x14ac:dyDescent="0.35">
      <c r="B762" s="107">
        <v>45688</v>
      </c>
      <c r="C762">
        <v>1.1100000000000001</v>
      </c>
      <c r="D762">
        <v>1.08</v>
      </c>
    </row>
    <row r="763" spans="2:4" ht="14.25" customHeight="1" x14ac:dyDescent="0.35">
      <c r="B763" s="107">
        <v>45691</v>
      </c>
      <c r="C763">
        <v>-0.52</v>
      </c>
      <c r="D763">
        <v>-3.56</v>
      </c>
    </row>
    <row r="764" spans="2:4" ht="14.25" customHeight="1" x14ac:dyDescent="0.35">
      <c r="B764" s="107">
        <v>45692</v>
      </c>
      <c r="C764">
        <v>1.62</v>
      </c>
      <c r="D764">
        <v>2.89</v>
      </c>
    </row>
    <row r="765" spans="2:4" ht="14.25" customHeight="1" x14ac:dyDescent="0.35">
      <c r="B765" s="107">
        <v>45693</v>
      </c>
      <c r="C765">
        <v>-0.18</v>
      </c>
      <c r="D765">
        <v>1.58</v>
      </c>
    </row>
    <row r="766" spans="2:4" ht="14.25" customHeight="1" x14ac:dyDescent="0.35">
      <c r="B766" s="107">
        <v>45694</v>
      </c>
      <c r="C766">
        <v>-0.39</v>
      </c>
      <c r="D766">
        <v>-0.32</v>
      </c>
    </row>
    <row r="767" spans="2:4" ht="14.25" customHeight="1" x14ac:dyDescent="0.35">
      <c r="B767" s="107">
        <v>45695</v>
      </c>
      <c r="C767">
        <v>-0.18</v>
      </c>
      <c r="D767">
        <v>-0.72</v>
      </c>
    </row>
    <row r="768" spans="2:4" ht="14.25" customHeight="1" x14ac:dyDescent="0.35">
      <c r="B768" s="107">
        <v>45698</v>
      </c>
      <c r="C768">
        <v>-0.76</v>
      </c>
      <c r="D768">
        <v>-1.54</v>
      </c>
    </row>
    <row r="769" spans="2:4" ht="14.25" customHeight="1" x14ac:dyDescent="0.35">
      <c r="B769" s="107">
        <v>45699</v>
      </c>
      <c r="C769">
        <v>-1.32</v>
      </c>
      <c r="D769">
        <v>-2.2000000000000002</v>
      </c>
    </row>
    <row r="770" spans="2:4" ht="14.25" customHeight="1" x14ac:dyDescent="0.35">
      <c r="B770" s="107">
        <v>45700</v>
      </c>
      <c r="C770">
        <v>-0.12</v>
      </c>
      <c r="D770">
        <v>-0.04</v>
      </c>
    </row>
    <row r="771" spans="2:4" ht="14.25" customHeight="1" x14ac:dyDescent="0.35">
      <c r="B771" s="107">
        <v>45701</v>
      </c>
      <c r="C771">
        <v>-0.06</v>
      </c>
      <c r="D771">
        <v>-0.28000000000000003</v>
      </c>
    </row>
    <row r="772" spans="2:4" ht="14.25" customHeight="1" x14ac:dyDescent="0.35">
      <c r="B772" s="107">
        <v>45702</v>
      </c>
      <c r="C772">
        <v>-0.44</v>
      </c>
      <c r="D772">
        <v>-2.36</v>
      </c>
    </row>
    <row r="773" spans="2:4" ht="14.25" customHeight="1" x14ac:dyDescent="0.35">
      <c r="B773" s="107">
        <v>45705</v>
      </c>
      <c r="C773">
        <v>0.13</v>
      </c>
      <c r="D773">
        <v>1.02</v>
      </c>
    </row>
    <row r="774" spans="2:4" ht="14.25" customHeight="1" x14ac:dyDescent="0.35">
      <c r="B774" s="107">
        <v>45706</v>
      </c>
      <c r="C774">
        <v>-0.06</v>
      </c>
      <c r="D774">
        <v>0.46</v>
      </c>
    </row>
    <row r="775" spans="2:4" ht="14.25" customHeight="1" x14ac:dyDescent="0.35">
      <c r="B775" s="107">
        <v>45707</v>
      </c>
      <c r="C775">
        <v>-0.05</v>
      </c>
      <c r="D775">
        <v>0.73</v>
      </c>
    </row>
    <row r="776" spans="2:4" ht="14.25" customHeight="1" x14ac:dyDescent="0.35">
      <c r="B776" s="107">
        <v>45708</v>
      </c>
      <c r="C776">
        <v>-0.09</v>
      </c>
      <c r="D776">
        <v>2.44</v>
      </c>
    </row>
    <row r="777" spans="2:4" ht="14.25" customHeight="1" x14ac:dyDescent="0.35">
      <c r="B777" s="107">
        <v>45709</v>
      </c>
      <c r="C777">
        <v>-0.51</v>
      </c>
      <c r="D777">
        <v>-1.19</v>
      </c>
    </row>
    <row r="778" spans="2:4" ht="14.25" customHeight="1" x14ac:dyDescent="0.35">
      <c r="B778" s="107">
        <v>45712</v>
      </c>
      <c r="C778">
        <v>-1.06</v>
      </c>
      <c r="D778">
        <v>-0.91</v>
      </c>
    </row>
    <row r="779" spans="2:4" ht="14.25" customHeight="1" x14ac:dyDescent="0.35">
      <c r="B779" s="107">
        <v>45713</v>
      </c>
      <c r="C779">
        <v>-0.03</v>
      </c>
      <c r="D779">
        <v>-1.31</v>
      </c>
    </row>
    <row r="780" spans="2:4" ht="14.25" customHeight="1" x14ac:dyDescent="0.35">
      <c r="B780" s="107">
        <v>45715</v>
      </c>
      <c r="C780">
        <v>-0.01</v>
      </c>
      <c r="D780">
        <v>-1.88</v>
      </c>
    </row>
    <row r="781" spans="2:4" ht="14.25" customHeight="1" x14ac:dyDescent="0.35">
      <c r="B781" s="107">
        <v>45716</v>
      </c>
      <c r="C781">
        <v>-1.86</v>
      </c>
      <c r="D781">
        <v>-2.52</v>
      </c>
    </row>
    <row r="782" spans="2:4" ht="14.25" customHeight="1" x14ac:dyDescent="0.35">
      <c r="B782" s="107">
        <v>45719</v>
      </c>
      <c r="C782">
        <v>-0.02</v>
      </c>
      <c r="D782">
        <v>0.94</v>
      </c>
    </row>
    <row r="783" spans="2:4" ht="14.25" customHeight="1" x14ac:dyDescent="0.35">
      <c r="B783" s="107">
        <v>45720</v>
      </c>
      <c r="C783">
        <v>-0.17</v>
      </c>
      <c r="D783">
        <v>3.04</v>
      </c>
    </row>
    <row r="784" spans="2:4" ht="14.25" customHeight="1" x14ac:dyDescent="0.35">
      <c r="B784" s="107">
        <v>45721</v>
      </c>
      <c r="C784">
        <v>1.1499999999999999</v>
      </c>
      <c r="D784">
        <v>3.57</v>
      </c>
    </row>
    <row r="785" spans="2:4" ht="14.25" customHeight="1" x14ac:dyDescent="0.35">
      <c r="B785" s="107">
        <v>45722</v>
      </c>
      <c r="C785">
        <v>0.93</v>
      </c>
      <c r="D785">
        <v>2.94</v>
      </c>
    </row>
    <row r="786" spans="2:4" ht="14.25" customHeight="1" x14ac:dyDescent="0.35">
      <c r="B786" s="107">
        <v>45723</v>
      </c>
      <c r="C786">
        <v>0.03</v>
      </c>
      <c r="D786">
        <v>-0.79</v>
      </c>
    </row>
    <row r="787" spans="2:4" ht="14.25" customHeight="1" x14ac:dyDescent="0.35">
      <c r="B787" s="107">
        <v>45726</v>
      </c>
      <c r="C787">
        <v>-0.41</v>
      </c>
      <c r="D787">
        <v>-2.6</v>
      </c>
    </row>
    <row r="788" spans="2:4" ht="14.25" customHeight="1" x14ac:dyDescent="0.35">
      <c r="B788" s="107">
        <v>45727</v>
      </c>
      <c r="C788">
        <v>0.17</v>
      </c>
      <c r="D788">
        <v>2.66</v>
      </c>
    </row>
    <row r="789" spans="2:4" ht="14.25" customHeight="1" x14ac:dyDescent="0.35">
      <c r="B789" s="107">
        <v>45728</v>
      </c>
      <c r="C789">
        <v>-0.12</v>
      </c>
      <c r="D789">
        <v>0.38</v>
      </c>
    </row>
    <row r="790" spans="2:4" ht="14.25" customHeight="1" x14ac:dyDescent="0.35">
      <c r="B790" s="107">
        <v>45729</v>
      </c>
      <c r="C790">
        <v>-0.33</v>
      </c>
      <c r="D790">
        <v>0.3</v>
      </c>
    </row>
    <row r="791" spans="2:4" ht="14.25" customHeight="1" x14ac:dyDescent="0.35">
      <c r="B791" s="107">
        <v>45733</v>
      </c>
      <c r="C791">
        <v>0.5</v>
      </c>
      <c r="D791">
        <v>-1.24</v>
      </c>
    </row>
    <row r="792" spans="2:4" ht="14.25" customHeight="1" x14ac:dyDescent="0.35">
      <c r="B792" s="107">
        <v>45734</v>
      </c>
      <c r="C792">
        <v>1.45</v>
      </c>
      <c r="D792">
        <v>0</v>
      </c>
    </row>
    <row r="793" spans="2:4" ht="14.25" customHeight="1" x14ac:dyDescent="0.35">
      <c r="B793" s="107">
        <v>45735</v>
      </c>
      <c r="C793">
        <v>0.32</v>
      </c>
      <c r="D793">
        <v>2.93</v>
      </c>
    </row>
    <row r="794" spans="2:4" ht="14.25" customHeight="1" x14ac:dyDescent="0.35">
      <c r="B794" s="107">
        <v>45736</v>
      </c>
      <c r="C794">
        <v>1.24</v>
      </c>
      <c r="D794">
        <v>1.1399999999999999</v>
      </c>
    </row>
    <row r="795" spans="2:4" ht="14.25" customHeight="1" x14ac:dyDescent="0.35">
      <c r="B795" s="107">
        <v>45737</v>
      </c>
      <c r="C795">
        <v>0.69</v>
      </c>
      <c r="D795">
        <v>1.78</v>
      </c>
    </row>
    <row r="796" spans="2:4" ht="14.25" customHeight="1" x14ac:dyDescent="0.35">
      <c r="B796" s="107">
        <v>45740</v>
      </c>
      <c r="C796">
        <v>1.32</v>
      </c>
      <c r="D796">
        <v>1.64</v>
      </c>
    </row>
    <row r="797" spans="2:4" ht="14.25" customHeight="1" x14ac:dyDescent="0.35">
      <c r="B797" s="107">
        <v>45741</v>
      </c>
      <c r="C797">
        <v>0.04</v>
      </c>
      <c r="D797">
        <v>-1.98</v>
      </c>
    </row>
    <row r="798" spans="2:4" ht="14.25" customHeight="1" x14ac:dyDescent="0.35">
      <c r="B798" s="107">
        <v>45742</v>
      </c>
      <c r="C798">
        <v>-0.77</v>
      </c>
      <c r="D798">
        <v>-1.48</v>
      </c>
    </row>
    <row r="799" spans="2:4" ht="14.25" customHeight="1" x14ac:dyDescent="0.35">
      <c r="B799" s="107">
        <v>45743</v>
      </c>
      <c r="C799">
        <v>0.45</v>
      </c>
      <c r="D799">
        <v>0.98</v>
      </c>
    </row>
    <row r="800" spans="2:4" ht="14.25" customHeight="1" x14ac:dyDescent="0.35">
      <c r="B800" s="107">
        <v>45744</v>
      </c>
      <c r="C800">
        <v>-0.31</v>
      </c>
      <c r="D800">
        <v>-2.04</v>
      </c>
    </row>
    <row r="801" spans="2:4" ht="14.25" customHeight="1" x14ac:dyDescent="0.35">
      <c r="B801" s="107">
        <v>45748</v>
      </c>
      <c r="C801">
        <v>-1.5</v>
      </c>
      <c r="D801">
        <v>2.77</v>
      </c>
    </row>
    <row r="802" spans="2:4" ht="14.25" customHeight="1" x14ac:dyDescent="0.35">
      <c r="B802" s="107">
        <v>45749</v>
      </c>
      <c r="C802">
        <v>0.72</v>
      </c>
      <c r="D802">
        <v>0.05</v>
      </c>
    </row>
    <row r="803" spans="2:4" ht="14.25" customHeight="1" x14ac:dyDescent="0.35">
      <c r="B803" s="107">
        <v>45750</v>
      </c>
      <c r="C803">
        <v>-0.35</v>
      </c>
      <c r="D803">
        <v>-0.19</v>
      </c>
    </row>
    <row r="804" spans="2:4" ht="14.25" customHeight="1" x14ac:dyDescent="0.35">
      <c r="B804" s="107">
        <v>45751</v>
      </c>
      <c r="C804">
        <v>-1.49</v>
      </c>
      <c r="D804">
        <v>-0.7</v>
      </c>
    </row>
    <row r="805" spans="2:4" ht="14.25" customHeight="1" x14ac:dyDescent="0.35">
      <c r="B805" s="107">
        <v>45754</v>
      </c>
      <c r="C805">
        <v>-3.24</v>
      </c>
      <c r="D805">
        <v>-1.58</v>
      </c>
    </row>
    <row r="806" spans="2:4" ht="14.25" customHeight="1" x14ac:dyDescent="0.35">
      <c r="B806" s="107">
        <v>45755</v>
      </c>
      <c r="C806">
        <v>1.69</v>
      </c>
      <c r="D806">
        <v>2.2599999999999998</v>
      </c>
    </row>
    <row r="807" spans="2:4" ht="14.25" customHeight="1" x14ac:dyDescent="0.35">
      <c r="B807" s="107">
        <v>45756</v>
      </c>
      <c r="C807">
        <v>-0.61</v>
      </c>
      <c r="D807">
        <v>0.49</v>
      </c>
    </row>
    <row r="808" spans="2:4" ht="14.25" customHeight="1" x14ac:dyDescent="0.35">
      <c r="B808" s="107">
        <v>45758</v>
      </c>
      <c r="C808">
        <v>1.92</v>
      </c>
      <c r="D808">
        <v>0.16</v>
      </c>
    </row>
    <row r="809" spans="2:4" ht="14.25" customHeight="1" x14ac:dyDescent="0.35">
      <c r="B809" s="107">
        <v>45762</v>
      </c>
      <c r="C809">
        <v>2.19</v>
      </c>
      <c r="D809">
        <v>0.79</v>
      </c>
    </row>
    <row r="810" spans="2:4" ht="14.25" customHeight="1" x14ac:dyDescent="0.35">
      <c r="B810" s="107">
        <v>45763</v>
      </c>
      <c r="C810">
        <v>0.47</v>
      </c>
      <c r="D810">
        <v>0.72</v>
      </c>
    </row>
    <row r="811" spans="2:4" ht="14.25" customHeight="1" x14ac:dyDescent="0.35">
      <c r="B811" s="107">
        <v>45764</v>
      </c>
      <c r="C811">
        <v>1.77</v>
      </c>
      <c r="D811">
        <v>0.35</v>
      </c>
    </row>
    <row r="812" spans="2:4" ht="14.25" customHeight="1" x14ac:dyDescent="0.35">
      <c r="B812" s="107">
        <v>45768</v>
      </c>
      <c r="C812">
        <v>1.1499999999999999</v>
      </c>
      <c r="D812">
        <v>3.26</v>
      </c>
    </row>
    <row r="813" spans="2:4" ht="14.25" customHeight="1" x14ac:dyDescent="0.35">
      <c r="B813" s="107">
        <v>45769</v>
      </c>
      <c r="C813">
        <v>0.17</v>
      </c>
      <c r="D813">
        <v>-0.27</v>
      </c>
    </row>
    <row r="814" spans="2:4" ht="14.25" customHeight="1" x14ac:dyDescent="0.35">
      <c r="B814" s="107">
        <v>45770</v>
      </c>
      <c r="C814">
        <v>0.67</v>
      </c>
      <c r="D814">
        <v>-0.48</v>
      </c>
    </row>
    <row r="815" spans="2:4" ht="14.25" customHeight="1" x14ac:dyDescent="0.35">
      <c r="B815" s="107">
        <v>45771</v>
      </c>
      <c r="C815">
        <v>-0.34</v>
      </c>
      <c r="D815">
        <v>0.54</v>
      </c>
    </row>
    <row r="816" spans="2:4" ht="14.25" customHeight="1" x14ac:dyDescent="0.35">
      <c r="B816" s="107">
        <v>45772</v>
      </c>
      <c r="C816">
        <v>-0.86</v>
      </c>
      <c r="D816">
        <v>-2.7</v>
      </c>
    </row>
    <row r="817" spans="2:4" ht="14.25" customHeight="1" x14ac:dyDescent="0.35">
      <c r="B817" s="107">
        <v>45775</v>
      </c>
      <c r="C817">
        <v>1.2</v>
      </c>
      <c r="D817">
        <v>1.37</v>
      </c>
    </row>
    <row r="818" spans="2:4" ht="14.25" customHeight="1" x14ac:dyDescent="0.35">
      <c r="B818" s="107">
        <v>45776</v>
      </c>
      <c r="C818">
        <v>0.03</v>
      </c>
      <c r="D818">
        <v>-0.52</v>
      </c>
    </row>
    <row r="819" spans="2:4" ht="14.25" customHeight="1" x14ac:dyDescent="0.35">
      <c r="B819" s="107">
        <v>45777</v>
      </c>
      <c r="C819">
        <v>-0.01</v>
      </c>
      <c r="D819">
        <v>1.53</v>
      </c>
    </row>
    <row r="820" spans="2:4" ht="14.25" customHeight="1" x14ac:dyDescent="0.35">
      <c r="B820" s="107">
        <v>45779</v>
      </c>
      <c r="C820">
        <v>0.05</v>
      </c>
      <c r="D820">
        <v>3.71</v>
      </c>
    </row>
    <row r="821" spans="2:4" ht="14.25" customHeight="1" x14ac:dyDescent="0.35">
      <c r="B821" s="107">
        <v>45782</v>
      </c>
      <c r="C821">
        <v>0.47</v>
      </c>
      <c r="D821">
        <v>3.9</v>
      </c>
    </row>
    <row r="822" spans="2:4" ht="14.25" customHeight="1" x14ac:dyDescent="0.35">
      <c r="B822" s="107">
        <v>45783</v>
      </c>
      <c r="C822">
        <v>-0.33</v>
      </c>
      <c r="D822">
        <v>-3.02</v>
      </c>
    </row>
    <row r="823" spans="2:4" ht="14.25" customHeight="1" x14ac:dyDescent="0.35">
      <c r="B823" s="107">
        <v>45784</v>
      </c>
      <c r="C823">
        <v>0.14000000000000001</v>
      </c>
      <c r="D823">
        <v>0.28000000000000003</v>
      </c>
    </row>
    <row r="824" spans="2:4" ht="14.25" customHeight="1" x14ac:dyDescent="0.35">
      <c r="B824" s="107">
        <v>45785</v>
      </c>
      <c r="C824">
        <v>-0.57999999999999996</v>
      </c>
      <c r="D824">
        <v>-2.42</v>
      </c>
    </row>
    <row r="825" spans="2:4" ht="14.25" customHeight="1" x14ac:dyDescent="0.35">
      <c r="B825" s="107">
        <v>45786</v>
      </c>
      <c r="C825">
        <v>-1.1000000000000001</v>
      </c>
      <c r="D825">
        <v>-0.71</v>
      </c>
    </row>
    <row r="826" spans="2:4" ht="14.25" customHeight="1" x14ac:dyDescent="0.35">
      <c r="B826" s="107">
        <v>45789</v>
      </c>
      <c r="C826">
        <v>3.82</v>
      </c>
      <c r="D826">
        <v>1.69</v>
      </c>
    </row>
    <row r="827" spans="2:4" ht="14.25" customHeight="1" x14ac:dyDescent="0.35">
      <c r="B827" s="107">
        <v>45790</v>
      </c>
      <c r="C827">
        <v>-1.39</v>
      </c>
      <c r="D827">
        <v>-0.46</v>
      </c>
    </row>
    <row r="828" spans="2:4" ht="14.25" customHeight="1" x14ac:dyDescent="0.35">
      <c r="B828" s="107">
        <v>45791</v>
      </c>
      <c r="C828">
        <v>0.36</v>
      </c>
      <c r="D828">
        <v>1.26</v>
      </c>
    </row>
    <row r="829" spans="2:4" ht="14.25" customHeight="1" x14ac:dyDescent="0.35">
      <c r="B829" s="107">
        <v>45792</v>
      </c>
      <c r="C829">
        <v>1.6</v>
      </c>
      <c r="D829">
        <v>1.07</v>
      </c>
    </row>
    <row r="830" spans="2:4" ht="14.25" customHeight="1" x14ac:dyDescent="0.35">
      <c r="B830" s="107">
        <v>45793</v>
      </c>
      <c r="C830">
        <v>-0.17</v>
      </c>
      <c r="D830">
        <v>-0.19</v>
      </c>
    </row>
    <row r="831" spans="2:4" ht="14.25" customHeight="1" x14ac:dyDescent="0.35">
      <c r="B831" s="107">
        <v>45796</v>
      </c>
      <c r="C831">
        <v>-0.3</v>
      </c>
      <c r="D831">
        <v>-0.02</v>
      </c>
    </row>
    <row r="832" spans="2:4" ht="14.25" customHeight="1" x14ac:dyDescent="0.35">
      <c r="B832" s="107">
        <v>45797</v>
      </c>
      <c r="C832">
        <v>-1.05</v>
      </c>
      <c r="D832">
        <v>-1.91</v>
      </c>
    </row>
    <row r="833" spans="2:4" ht="14.25" customHeight="1" x14ac:dyDescent="0.35">
      <c r="B833" s="107">
        <v>45798</v>
      </c>
      <c r="C833">
        <v>0.52</v>
      </c>
      <c r="D833">
        <v>1.04</v>
      </c>
    </row>
    <row r="834" spans="2:4" ht="14.25" customHeight="1" x14ac:dyDescent="0.35">
      <c r="B834" s="107">
        <v>45799</v>
      </c>
      <c r="C834">
        <v>-0.82</v>
      </c>
      <c r="D834">
        <v>-7.0000000000000007E-2</v>
      </c>
    </row>
    <row r="835" spans="2:4" ht="14.25" customHeight="1" x14ac:dyDescent="0.35">
      <c r="B835" s="107">
        <v>45800</v>
      </c>
      <c r="C835">
        <v>0.99</v>
      </c>
      <c r="D835">
        <v>0.54</v>
      </c>
    </row>
    <row r="836" spans="2:4" ht="14.25" customHeight="1" x14ac:dyDescent="0.35">
      <c r="B836" s="107">
        <v>45803</v>
      </c>
      <c r="C836">
        <v>0.6</v>
      </c>
      <c r="D836">
        <v>-0.33</v>
      </c>
    </row>
    <row r="837" spans="2:4" ht="14.25" customHeight="1" x14ac:dyDescent="0.35">
      <c r="B837" s="107">
        <v>45804</v>
      </c>
      <c r="C837">
        <v>-0.7</v>
      </c>
      <c r="D837">
        <v>-0.12</v>
      </c>
    </row>
    <row r="838" spans="2:4" ht="14.25" customHeight="1" x14ac:dyDescent="0.35">
      <c r="B838" s="107">
        <v>45805</v>
      </c>
      <c r="C838">
        <v>-0.3</v>
      </c>
      <c r="D838">
        <v>0.55000000000000004</v>
      </c>
    </row>
    <row r="839" spans="2:4" ht="14.25" customHeight="1" x14ac:dyDescent="0.35">
      <c r="B839" s="107">
        <v>45806</v>
      </c>
      <c r="C839">
        <v>0.33</v>
      </c>
      <c r="D839">
        <v>-0.35</v>
      </c>
    </row>
    <row r="840" spans="2:4" ht="14.25" customHeight="1" x14ac:dyDescent="0.35">
      <c r="B840" s="107">
        <v>45807</v>
      </c>
      <c r="C840">
        <v>-0.33</v>
      </c>
      <c r="D840">
        <v>-1.2</v>
      </c>
    </row>
    <row r="841" spans="2:4" ht="14.25" customHeight="1" x14ac:dyDescent="0.35">
      <c r="B841" s="107">
        <v>45810</v>
      </c>
      <c r="C841">
        <v>-0.14000000000000001</v>
      </c>
      <c r="D841">
        <v>0.99</v>
      </c>
    </row>
    <row r="842" spans="2:4" ht="14.25" customHeight="1" x14ac:dyDescent="0.35">
      <c r="B842" s="107">
        <v>45811</v>
      </c>
      <c r="C842">
        <v>-0.7</v>
      </c>
      <c r="D842">
        <v>-1.63</v>
      </c>
    </row>
    <row r="843" spans="2:4" ht="14.25" customHeight="1" x14ac:dyDescent="0.35">
      <c r="B843" s="107">
        <v>45812</v>
      </c>
      <c r="C843">
        <v>0.32</v>
      </c>
      <c r="D843">
        <v>-0.26</v>
      </c>
    </row>
    <row r="844" spans="2:4" ht="14.25" customHeight="1" x14ac:dyDescent="0.35">
      <c r="B844" s="107">
        <v>45813</v>
      </c>
      <c r="C844">
        <v>0.53</v>
      </c>
      <c r="D844">
        <v>-1.02</v>
      </c>
    </row>
    <row r="845" spans="2:4" ht="14.25" customHeight="1" x14ac:dyDescent="0.35">
      <c r="B845" s="107">
        <v>45814</v>
      </c>
      <c r="C845">
        <v>1.02</v>
      </c>
      <c r="D845">
        <v>1.1100000000000001</v>
      </c>
    </row>
    <row r="846" spans="2:4" ht="14.25" customHeight="1" x14ac:dyDescent="0.35">
      <c r="B846" s="107">
        <v>45817</v>
      </c>
      <c r="C846">
        <v>0.4</v>
      </c>
      <c r="D846">
        <v>1.8</v>
      </c>
    </row>
    <row r="847" spans="2:4" ht="14.25" customHeight="1" x14ac:dyDescent="0.35">
      <c r="B847" s="107">
        <v>45818</v>
      </c>
      <c r="C847">
        <v>0</v>
      </c>
      <c r="D847">
        <v>-0.79</v>
      </c>
    </row>
    <row r="848" spans="2:4" ht="14.25" customHeight="1" x14ac:dyDescent="0.35">
      <c r="B848" s="107">
        <v>45819</v>
      </c>
      <c r="C848">
        <v>0.15</v>
      </c>
      <c r="D848">
        <v>2.08</v>
      </c>
    </row>
    <row r="849" spans="2:4" ht="14.25" customHeight="1" x14ac:dyDescent="0.35">
      <c r="B849" s="107">
        <v>45820</v>
      </c>
      <c r="C849">
        <v>-1.01</v>
      </c>
      <c r="D849">
        <v>-1.49</v>
      </c>
    </row>
    <row r="850" spans="2:4" ht="14.25" customHeight="1" x14ac:dyDescent="0.35">
      <c r="B850" s="107">
        <v>45821</v>
      </c>
      <c r="C850">
        <v>-0.68</v>
      </c>
      <c r="D850">
        <v>-1.85</v>
      </c>
    </row>
    <row r="851" spans="2:4" ht="14.25" customHeight="1" x14ac:dyDescent="0.35">
      <c r="B851" s="107">
        <v>45824</v>
      </c>
      <c r="C851">
        <v>0.92</v>
      </c>
      <c r="D851">
        <v>1.08</v>
      </c>
    </row>
    <row r="852" spans="2:4" ht="14.25" customHeight="1" x14ac:dyDescent="0.35">
      <c r="B852" s="107">
        <v>45825</v>
      </c>
      <c r="C852">
        <v>-0.37</v>
      </c>
      <c r="D852">
        <v>-0.12</v>
      </c>
    </row>
    <row r="853" spans="2:4" ht="14.25" customHeight="1" x14ac:dyDescent="0.35">
      <c r="B853" s="107">
        <v>45826</v>
      </c>
      <c r="C853">
        <v>-0.17</v>
      </c>
      <c r="D853">
        <v>-0.61</v>
      </c>
    </row>
    <row r="854" spans="2:4" ht="14.25" customHeight="1" x14ac:dyDescent="0.35">
      <c r="B854" s="107">
        <v>45827</v>
      </c>
      <c r="C854">
        <v>-0.08</v>
      </c>
      <c r="D854">
        <v>-1.53</v>
      </c>
    </row>
    <row r="855" spans="2:4" ht="14.25" customHeight="1" x14ac:dyDescent="0.35">
      <c r="B855" s="107">
        <v>45828</v>
      </c>
      <c r="C855">
        <v>1.29</v>
      </c>
      <c r="D855">
        <v>-0.01</v>
      </c>
    </row>
    <row r="856" spans="2:4" ht="14.25" customHeight="1" x14ac:dyDescent="0.35">
      <c r="B856" s="107">
        <v>45831</v>
      </c>
      <c r="C856">
        <v>-0.56000000000000005</v>
      </c>
      <c r="D856">
        <v>0.92</v>
      </c>
    </row>
    <row r="857" spans="2:4" ht="14.25" customHeight="1" x14ac:dyDescent="0.35">
      <c r="B857" s="107">
        <v>45832</v>
      </c>
      <c r="C857">
        <v>0.28999999999999998</v>
      </c>
      <c r="D857">
        <v>2.09</v>
      </c>
    </row>
    <row r="858" spans="2:4" ht="14.25" customHeight="1" x14ac:dyDescent="0.35">
      <c r="B858" s="107">
        <v>45833</v>
      </c>
      <c r="C858">
        <v>0.8</v>
      </c>
      <c r="D858">
        <v>-0.6</v>
      </c>
    </row>
    <row r="859" spans="2:4" ht="14.25" customHeight="1" x14ac:dyDescent="0.35">
      <c r="B859" s="107">
        <v>45834</v>
      </c>
      <c r="C859">
        <v>1.21</v>
      </c>
      <c r="D859">
        <v>3.03</v>
      </c>
    </row>
    <row r="860" spans="2:4" ht="14.25" customHeight="1" x14ac:dyDescent="0.35">
      <c r="B860" s="107">
        <v>45835</v>
      </c>
      <c r="C860">
        <v>0.35</v>
      </c>
      <c r="D860">
        <v>0.64</v>
      </c>
    </row>
    <row r="861" spans="2:4" ht="14.25" customHeight="1" x14ac:dyDescent="0.35">
      <c r="B861" s="107">
        <v>45838</v>
      </c>
      <c r="C861">
        <v>-0.47</v>
      </c>
      <c r="D861">
        <v>-0.18</v>
      </c>
    </row>
    <row r="862" spans="2:4" ht="14.25" customHeight="1" x14ac:dyDescent="0.35">
      <c r="B862" s="107">
        <v>45839</v>
      </c>
      <c r="C862">
        <v>0.1</v>
      </c>
      <c r="D862">
        <v>0.12</v>
      </c>
    </row>
    <row r="863" spans="2:4" ht="14.25" customHeight="1" x14ac:dyDescent="0.35">
      <c r="B863" s="107">
        <v>45840</v>
      </c>
      <c r="C863">
        <v>-0.35</v>
      </c>
      <c r="D863">
        <v>0.52</v>
      </c>
    </row>
    <row r="864" spans="2:4" ht="14.25" customHeight="1" x14ac:dyDescent="0.35">
      <c r="B864" s="107">
        <v>45841</v>
      </c>
      <c r="C864">
        <v>-0.19</v>
      </c>
      <c r="D864">
        <v>-0.03</v>
      </c>
    </row>
    <row r="865" spans="2:4" ht="14.25" customHeight="1" x14ac:dyDescent="0.35">
      <c r="B865" s="107">
        <v>45842</v>
      </c>
      <c r="C865">
        <v>0.22</v>
      </c>
      <c r="D865">
        <v>2.54</v>
      </c>
    </row>
    <row r="866" spans="2:4" ht="14.25" customHeight="1" x14ac:dyDescent="0.35">
      <c r="B866" s="107">
        <v>45845</v>
      </c>
      <c r="C866">
        <v>0</v>
      </c>
      <c r="D866">
        <v>1.4</v>
      </c>
    </row>
    <row r="867" spans="2:4" ht="14.25" customHeight="1" x14ac:dyDescent="0.35">
      <c r="B867" s="107">
        <v>45846</v>
      </c>
      <c r="C867">
        <v>0.24</v>
      </c>
      <c r="D867">
        <v>0.05</v>
      </c>
    </row>
    <row r="868" spans="2:4" ht="14.25" customHeight="1" x14ac:dyDescent="0.35">
      <c r="B868" s="107">
        <v>45847</v>
      </c>
      <c r="C868">
        <v>-0.18</v>
      </c>
      <c r="D868">
        <v>-2.3199999999999998</v>
      </c>
    </row>
    <row r="869" spans="2:4" ht="14.25" customHeight="1" x14ac:dyDescent="0.35">
      <c r="B869" s="107">
        <v>45848</v>
      </c>
      <c r="C869">
        <v>-0.47</v>
      </c>
      <c r="D869">
        <v>1.38</v>
      </c>
    </row>
    <row r="870" spans="2:4" ht="14.25" customHeight="1" x14ac:dyDescent="0.35">
      <c r="B870" s="107">
        <v>45849</v>
      </c>
      <c r="C870">
        <v>-0.81</v>
      </c>
      <c r="D870">
        <v>-1.1000000000000001</v>
      </c>
    </row>
    <row r="871" spans="2:4" ht="14.25" customHeight="1" x14ac:dyDescent="0.35">
      <c r="B871" s="107">
        <v>45852</v>
      </c>
      <c r="C871">
        <v>-0.27</v>
      </c>
      <c r="D871">
        <v>-0.37</v>
      </c>
    </row>
    <row r="872" spans="2:4" ht="14.25" customHeight="1" x14ac:dyDescent="0.35">
      <c r="B872" s="107">
        <v>45853</v>
      </c>
      <c r="C872">
        <v>0.45</v>
      </c>
      <c r="D872">
        <v>0.87</v>
      </c>
    </row>
    <row r="873" spans="2:4" ht="14.25" customHeight="1" x14ac:dyDescent="0.35">
      <c r="B873" s="107">
        <v>45854</v>
      </c>
      <c r="C873">
        <v>0.06</v>
      </c>
      <c r="D873">
        <v>0.42</v>
      </c>
    </row>
    <row r="874" spans="2:4" ht="14.25" customHeight="1" x14ac:dyDescent="0.35">
      <c r="B874" s="107">
        <v>45855</v>
      </c>
      <c r="C874">
        <v>-0.4</v>
      </c>
      <c r="D874">
        <v>-0.71</v>
      </c>
    </row>
    <row r="875" spans="2:4" ht="14.25" customHeight="1" x14ac:dyDescent="0.35">
      <c r="B875" s="107">
        <v>45856</v>
      </c>
      <c r="C875">
        <v>-0.56999999999999995</v>
      </c>
      <c r="D875">
        <v>-0.6</v>
      </c>
    </row>
    <row r="876" spans="2:4" ht="14.25" customHeight="1" x14ac:dyDescent="0.35">
      <c r="B876" s="107">
        <v>45859</v>
      </c>
      <c r="C876">
        <v>0.49</v>
      </c>
      <c r="D876">
        <v>0.67</v>
      </c>
    </row>
    <row r="877" spans="2:4" ht="14.25" customHeight="1" x14ac:dyDescent="0.35">
      <c r="B877" s="107">
        <v>45860</v>
      </c>
      <c r="C877">
        <v>-0.12</v>
      </c>
      <c r="D877">
        <v>0.6</v>
      </c>
    </row>
    <row r="878" spans="2:4" ht="14.25" customHeight="1" x14ac:dyDescent="0.35">
      <c r="B878" s="107">
        <v>45861</v>
      </c>
      <c r="C878">
        <v>0.63</v>
      </c>
      <c r="D878">
        <v>0.24</v>
      </c>
    </row>
    <row r="879" spans="2:4" ht="14.25" customHeight="1" x14ac:dyDescent="0.35">
      <c r="B879" s="107">
        <v>45862</v>
      </c>
      <c r="C879">
        <v>-0.63</v>
      </c>
      <c r="D879">
        <v>-0.74</v>
      </c>
    </row>
    <row r="880" spans="2:4" ht="14.25" customHeight="1" x14ac:dyDescent="0.35">
      <c r="B880" s="107">
        <v>45863</v>
      </c>
      <c r="C880">
        <v>-0.9</v>
      </c>
      <c r="D880">
        <v>-2.82</v>
      </c>
    </row>
    <row r="881" spans="2:4" ht="14.25" customHeight="1" x14ac:dyDescent="0.35">
      <c r="B881" s="107">
        <v>45866</v>
      </c>
      <c r="C881">
        <v>-0.63</v>
      </c>
      <c r="D881">
        <v>0.41</v>
      </c>
    </row>
    <row r="882" spans="2:4" ht="14.25" customHeight="1" x14ac:dyDescent="0.35">
      <c r="B882" s="107">
        <v>45867</v>
      </c>
      <c r="C882">
        <v>0.56999999999999995</v>
      </c>
      <c r="D882">
        <v>0.26</v>
      </c>
    </row>
    <row r="883" spans="2:4" ht="14.25" customHeight="1" x14ac:dyDescent="0.35">
      <c r="B883" s="107">
        <v>45868</v>
      </c>
      <c r="C883">
        <v>0.14000000000000001</v>
      </c>
      <c r="D883">
        <v>0.74</v>
      </c>
    </row>
    <row r="884" spans="2:4" ht="14.25" customHeight="1" x14ac:dyDescent="0.35">
      <c r="B884" s="107">
        <v>45869</v>
      </c>
      <c r="C884">
        <v>-0.35</v>
      </c>
      <c r="D884">
        <v>-2.29</v>
      </c>
    </row>
    <row r="885" spans="2:4" ht="14.25" customHeight="1" x14ac:dyDescent="0.35">
      <c r="B885" s="107">
        <v>45870</v>
      </c>
      <c r="C885">
        <v>-0.82</v>
      </c>
      <c r="D885">
        <v>-3.15</v>
      </c>
    </row>
    <row r="886" spans="2:4" ht="14.25" customHeight="1" x14ac:dyDescent="0.35">
      <c r="B886" s="107">
        <v>45873</v>
      </c>
      <c r="C886">
        <v>0.64</v>
      </c>
      <c r="D886">
        <v>0.96</v>
      </c>
    </row>
    <row r="887" spans="2:4" ht="14.25" customHeight="1" x14ac:dyDescent="0.35">
      <c r="B887" s="107">
        <v>45874</v>
      </c>
      <c r="C887">
        <v>-0.3</v>
      </c>
      <c r="D887">
        <v>-0.78</v>
      </c>
    </row>
    <row r="888" spans="2:4" ht="14.25" customHeight="1" x14ac:dyDescent="0.35">
      <c r="B888" s="107">
        <v>45875</v>
      </c>
      <c r="C888">
        <v>-0.31</v>
      </c>
      <c r="D888">
        <v>0.71</v>
      </c>
    </row>
    <row r="889" spans="2:4" ht="14.25" customHeight="1" x14ac:dyDescent="0.35">
      <c r="B889" s="107">
        <v>45876</v>
      </c>
      <c r="C889">
        <v>0.09</v>
      </c>
      <c r="D889">
        <v>-0.42</v>
      </c>
    </row>
    <row r="890" spans="2:4" ht="14.25" customHeight="1" x14ac:dyDescent="0.35">
      <c r="B890" s="107">
        <v>45877</v>
      </c>
      <c r="C890">
        <v>-0.95</v>
      </c>
      <c r="D890">
        <v>0.89</v>
      </c>
    </row>
    <row r="891" spans="2:4" ht="14.25" customHeight="1" x14ac:dyDescent="0.35">
      <c r="B891" s="107">
        <v>45880</v>
      </c>
      <c r="C891">
        <v>0.91</v>
      </c>
      <c r="D891">
        <v>1.07</v>
      </c>
    </row>
    <row r="892" spans="2:4" ht="14.25" customHeight="1" x14ac:dyDescent="0.35">
      <c r="B892" s="107">
        <v>45881</v>
      </c>
      <c r="C892">
        <v>-0.4</v>
      </c>
      <c r="D892">
        <v>0.88</v>
      </c>
    </row>
    <row r="893" spans="2:4" ht="14.25" customHeight="1" x14ac:dyDescent="0.35">
      <c r="B893" s="107">
        <v>45882</v>
      </c>
      <c r="C893">
        <v>0.54</v>
      </c>
      <c r="D893">
        <v>-0.15</v>
      </c>
    </row>
    <row r="894" spans="2:4" ht="14.25" customHeight="1" x14ac:dyDescent="0.35">
      <c r="B894" s="107">
        <v>45883</v>
      </c>
      <c r="C894">
        <v>0.05</v>
      </c>
      <c r="D894">
        <v>-1.61</v>
      </c>
    </row>
    <row r="895" spans="2:4" ht="14.25" customHeight="1" x14ac:dyDescent="0.35">
      <c r="B895" s="107">
        <v>45887</v>
      </c>
      <c r="C895">
        <v>1</v>
      </c>
      <c r="D895">
        <v>0.13</v>
      </c>
    </row>
    <row r="896" spans="2:4" ht="14.25" customHeight="1" x14ac:dyDescent="0.35">
      <c r="B896" s="107">
        <v>45888</v>
      </c>
      <c r="C896">
        <v>0.42</v>
      </c>
      <c r="D896">
        <v>1.21</v>
      </c>
    </row>
    <row r="897" spans="2:4" ht="14.25" customHeight="1" x14ac:dyDescent="0.35">
      <c r="B897" s="107">
        <v>45889</v>
      </c>
      <c r="C897">
        <v>0.28000000000000003</v>
      </c>
      <c r="D897">
        <v>-0.4</v>
      </c>
    </row>
    <row r="898" spans="2:4" ht="14.25" customHeight="1" x14ac:dyDescent="0.35">
      <c r="B898" s="107">
        <v>45890</v>
      </c>
      <c r="C898">
        <v>0.13</v>
      </c>
      <c r="D898">
        <v>0</v>
      </c>
    </row>
    <row r="899" spans="2:4" ht="14.25" customHeight="1" x14ac:dyDescent="0.35">
      <c r="B899" s="107">
        <v>45891</v>
      </c>
      <c r="C899">
        <v>-0.85</v>
      </c>
      <c r="D899">
        <v>-1.05</v>
      </c>
    </row>
    <row r="900" spans="2:4" ht="14.25" customHeight="1" x14ac:dyDescent="0.35">
      <c r="B900" s="107">
        <v>45894</v>
      </c>
      <c r="C900">
        <v>0.39</v>
      </c>
      <c r="D900">
        <v>0.01</v>
      </c>
    </row>
    <row r="901" spans="2:4" ht="14.25" customHeight="1" x14ac:dyDescent="0.35">
      <c r="B901" s="107">
        <v>45895</v>
      </c>
      <c r="C901">
        <v>-1.02</v>
      </c>
      <c r="D901">
        <v>-0.71</v>
      </c>
    </row>
    <row r="902" spans="2:4" ht="14.25" customHeight="1" x14ac:dyDescent="0.35">
      <c r="B902" s="107">
        <v>45897</v>
      </c>
      <c r="C902">
        <v>-0.85</v>
      </c>
      <c r="D902">
        <v>-0.34</v>
      </c>
    </row>
    <row r="903" spans="2:4" ht="14.25" customHeight="1" x14ac:dyDescent="0.35">
      <c r="B903" s="107">
        <v>45898</v>
      </c>
      <c r="C903">
        <v>-0.3</v>
      </c>
      <c r="D903">
        <v>-1.35</v>
      </c>
    </row>
    <row r="904" spans="2:4" ht="14.25" customHeight="1" x14ac:dyDescent="0.35">
      <c r="B904" s="107">
        <v>45901</v>
      </c>
      <c r="C904">
        <v>0.81</v>
      </c>
      <c r="D904">
        <v>2.15</v>
      </c>
    </row>
    <row r="905" spans="2:4" ht="14.25" customHeight="1" x14ac:dyDescent="0.35">
      <c r="B905" s="107">
        <v>45902</v>
      </c>
      <c r="C905">
        <v>-0.18</v>
      </c>
      <c r="D905">
        <v>0.04</v>
      </c>
    </row>
    <row r="906" spans="2:4" ht="14.25" customHeight="1" x14ac:dyDescent="0.35">
      <c r="B906" s="107">
        <v>45903</v>
      </c>
      <c r="C906">
        <v>0.55000000000000004</v>
      </c>
      <c r="D906">
        <v>0.62</v>
      </c>
    </row>
    <row r="907" spans="2:4" ht="14.25" customHeight="1" x14ac:dyDescent="0.35">
      <c r="B907" s="107">
        <v>45904</v>
      </c>
      <c r="C907">
        <v>0.08</v>
      </c>
      <c r="D907">
        <v>-0.57999999999999996</v>
      </c>
    </row>
    <row r="908" spans="2:4" ht="14.25" customHeight="1" x14ac:dyDescent="0.35">
      <c r="B908" s="107">
        <v>45905</v>
      </c>
      <c r="C908">
        <v>0.03</v>
      </c>
      <c r="D908">
        <v>-0.02</v>
      </c>
    </row>
    <row r="909" spans="2:4" ht="14.25" customHeight="1" x14ac:dyDescent="0.35">
      <c r="B909" s="107">
        <v>45908</v>
      </c>
      <c r="C909">
        <v>0.13</v>
      </c>
      <c r="D909">
        <v>0.9</v>
      </c>
    </row>
    <row r="910" spans="2:4" ht="14.25" customHeight="1" x14ac:dyDescent="0.35">
      <c r="B910" s="107">
        <v>45909</v>
      </c>
      <c r="C910">
        <v>0.39</v>
      </c>
      <c r="D910">
        <v>0.03</v>
      </c>
    </row>
    <row r="911" spans="2:4" ht="14.25" customHeight="1" x14ac:dyDescent="0.35">
      <c r="B911" s="107">
        <v>45910</v>
      </c>
      <c r="C911">
        <v>0.42</v>
      </c>
      <c r="D911">
        <v>0.14000000000000001</v>
      </c>
    </row>
    <row r="912" spans="2:4" ht="14.25" customHeight="1" x14ac:dyDescent="0.35">
      <c r="B912" s="107">
        <v>45911</v>
      </c>
      <c r="C912">
        <v>0.13</v>
      </c>
      <c r="D912">
        <v>1.98</v>
      </c>
    </row>
    <row r="913" spans="2:4" ht="14.25" customHeight="1" x14ac:dyDescent="0.35">
      <c r="B913" s="107">
        <v>45912</v>
      </c>
      <c r="C913">
        <v>0.43</v>
      </c>
      <c r="D913">
        <v>-0.92</v>
      </c>
    </row>
    <row r="914" spans="2:4" ht="14.25" customHeight="1" x14ac:dyDescent="0.35">
      <c r="B914" s="107">
        <v>45915</v>
      </c>
      <c r="C914">
        <v>-0.18</v>
      </c>
      <c r="D914">
        <v>0.97</v>
      </c>
    </row>
    <row r="915" spans="2:4" ht="14.25" customHeight="1" x14ac:dyDescent="0.35">
      <c r="B915" s="107">
        <v>45916</v>
      </c>
      <c r="C915">
        <v>0.68</v>
      </c>
      <c r="D915">
        <v>0.69</v>
      </c>
    </row>
    <row r="916" spans="2:4" ht="14.25" customHeight="1" x14ac:dyDescent="0.35">
      <c r="B916" s="107">
        <v>45917</v>
      </c>
      <c r="C916">
        <v>0.36</v>
      </c>
      <c r="D916">
        <v>0.66</v>
      </c>
    </row>
    <row r="917" spans="2:4" ht="14.25" customHeight="1" x14ac:dyDescent="0.35">
      <c r="B917" s="107">
        <v>45918</v>
      </c>
      <c r="C917">
        <v>0.37</v>
      </c>
      <c r="D917">
        <v>0.83</v>
      </c>
    </row>
    <row r="918" spans="2:4" ht="14.25" customHeight="1" x14ac:dyDescent="0.35">
      <c r="B918" s="107">
        <v>45919</v>
      </c>
      <c r="C918">
        <v>-0.38</v>
      </c>
      <c r="D918">
        <v>0.92</v>
      </c>
    </row>
    <row r="919" spans="2:4" ht="14.25" customHeight="1" x14ac:dyDescent="0.35">
      <c r="B919" s="107">
        <v>45922</v>
      </c>
      <c r="C919">
        <v>-0.49</v>
      </c>
      <c r="D919">
        <v>-0.13</v>
      </c>
    </row>
    <row r="920" spans="2:4" ht="14.25" customHeight="1" x14ac:dyDescent="0.35">
      <c r="B920" s="107">
        <v>45923</v>
      </c>
      <c r="C920">
        <v>-0.13</v>
      </c>
      <c r="D920">
        <v>-0.04</v>
      </c>
    </row>
    <row r="921" spans="2:4" ht="14.25" customHeight="1" x14ac:dyDescent="0.35">
      <c r="B921" s="107">
        <v>45924</v>
      </c>
      <c r="C921">
        <v>-0.45</v>
      </c>
      <c r="D921">
        <v>-0.99</v>
      </c>
    </row>
    <row r="922" spans="2:4" ht="14.25" customHeight="1" x14ac:dyDescent="0.35">
      <c r="B922" s="107">
        <v>45925</v>
      </c>
      <c r="C922">
        <v>-0.66</v>
      </c>
      <c r="D922">
        <v>-0.37</v>
      </c>
    </row>
    <row r="923" spans="2:4" ht="14.25" customHeight="1" x14ac:dyDescent="0.35">
      <c r="B923" s="107">
        <v>45926</v>
      </c>
      <c r="C923">
        <v>-0.95</v>
      </c>
      <c r="D923">
        <v>-0.81</v>
      </c>
    </row>
    <row r="924" spans="2:4" ht="14.25" customHeight="1" x14ac:dyDescent="0.35">
      <c r="B924" s="107">
        <v>45929</v>
      </c>
      <c r="C924">
        <v>-0.08</v>
      </c>
      <c r="D924">
        <v>2.94</v>
      </c>
    </row>
    <row r="925" spans="2:4" ht="14.25" customHeight="1" x14ac:dyDescent="0.35">
      <c r="B925" s="107">
        <v>45930</v>
      </c>
      <c r="C925">
        <v>-0.1</v>
      </c>
      <c r="D925">
        <v>0.32</v>
      </c>
    </row>
    <row r="926" spans="2:4" ht="14.25" customHeight="1" x14ac:dyDescent="0.35">
      <c r="B926" s="107">
        <v>45931</v>
      </c>
      <c r="C926">
        <v>0.92</v>
      </c>
      <c r="D926">
        <v>-0.06</v>
      </c>
    </row>
    <row r="927" spans="2:4" ht="14.25" customHeight="1" x14ac:dyDescent="0.35">
      <c r="B927" s="107">
        <v>45933</v>
      </c>
      <c r="C927">
        <v>0.23</v>
      </c>
      <c r="D927">
        <v>0.46</v>
      </c>
    </row>
    <row r="928" spans="2:4" ht="14.25" customHeight="1" x14ac:dyDescent="0.35">
      <c r="B928" s="107">
        <v>45936</v>
      </c>
      <c r="C928">
        <v>0.74</v>
      </c>
      <c r="D928">
        <v>2.96</v>
      </c>
    </row>
    <row r="929" spans="2:4" ht="14.25" customHeight="1" x14ac:dyDescent="0.35">
      <c r="B929" s="107">
        <v>45937</v>
      </c>
      <c r="C929">
        <v>0.12</v>
      </c>
      <c r="D929">
        <v>-0.3</v>
      </c>
    </row>
    <row r="930" spans="2:4" ht="14.25" customHeight="1" x14ac:dyDescent="0.35">
      <c r="B930" s="107">
        <v>45938</v>
      </c>
      <c r="C930">
        <v>-0.25</v>
      </c>
      <c r="D930">
        <v>-0.52</v>
      </c>
    </row>
    <row r="931" spans="2:4" ht="14.25" customHeight="1" x14ac:dyDescent="0.35">
      <c r="B931" s="107">
        <v>45939</v>
      </c>
      <c r="C931">
        <v>0.54</v>
      </c>
      <c r="D931">
        <v>1.0900000000000001</v>
      </c>
    </row>
    <row r="932" spans="2:4" ht="14.25" customHeight="1" x14ac:dyDescent="0.35">
      <c r="B932" s="107">
        <v>45940</v>
      </c>
      <c r="C932">
        <v>0.41</v>
      </c>
      <c r="D932">
        <v>-0.73</v>
      </c>
    </row>
    <row r="933" spans="2:4" ht="14.25" customHeight="1" x14ac:dyDescent="0.35">
      <c r="B933" s="107">
        <v>45943</v>
      </c>
      <c r="C933">
        <v>-0.23</v>
      </c>
      <c r="D933">
        <v>0.75</v>
      </c>
    </row>
    <row r="934" spans="2:4" ht="14.25" customHeight="1" x14ac:dyDescent="0.35">
      <c r="B934" s="107">
        <v>45944</v>
      </c>
      <c r="C934">
        <v>-0.32</v>
      </c>
      <c r="D934">
        <v>-1.58</v>
      </c>
    </row>
    <row r="935" spans="2:4" ht="14.25" customHeight="1" x14ac:dyDescent="0.35">
      <c r="B935" s="107">
        <v>45945</v>
      </c>
      <c r="C935">
        <v>0.71</v>
      </c>
      <c r="D935">
        <v>0.57999999999999996</v>
      </c>
    </row>
    <row r="936" spans="2:4" ht="14.25" customHeight="1" x14ac:dyDescent="0.35">
      <c r="B936" s="107">
        <v>45946</v>
      </c>
      <c r="C936">
        <v>1.03</v>
      </c>
      <c r="D936">
        <v>-0.01</v>
      </c>
    </row>
    <row r="937" spans="2:4" ht="14.25" customHeight="1" x14ac:dyDescent="0.35">
      <c r="B937" s="107">
        <v>45947</v>
      </c>
      <c r="C937">
        <v>0.49</v>
      </c>
      <c r="D937">
        <v>-0.49</v>
      </c>
    </row>
    <row r="938" spans="2:4" ht="14.25" customHeight="1" x14ac:dyDescent="0.35">
      <c r="B938" s="107">
        <v>45950</v>
      </c>
      <c r="C938">
        <v>0.52</v>
      </c>
      <c r="D938">
        <v>0.61</v>
      </c>
    </row>
    <row r="939" spans="2:4" ht="14.25" customHeight="1" x14ac:dyDescent="0.35">
      <c r="B939" s="107">
        <v>45951</v>
      </c>
      <c r="C939">
        <v>0.1</v>
      </c>
      <c r="D939">
        <v>0.18</v>
      </c>
    </row>
    <row r="940" spans="2:4" ht="14.25" customHeight="1" x14ac:dyDescent="0.35">
      <c r="B940" s="107">
        <v>45953</v>
      </c>
      <c r="C940">
        <v>0.09</v>
      </c>
      <c r="D940">
        <v>-2.6</v>
      </c>
    </row>
    <row r="941" spans="2:4" ht="14.25" customHeight="1" x14ac:dyDescent="0.35">
      <c r="B941" s="107">
        <v>45954</v>
      </c>
      <c r="C941">
        <v>-0.37</v>
      </c>
      <c r="D941">
        <v>0.17</v>
      </c>
    </row>
    <row r="942" spans="2:4" ht="14.25" customHeight="1" x14ac:dyDescent="0.35">
      <c r="B942" s="107">
        <v>45957</v>
      </c>
      <c r="C942">
        <v>0.66</v>
      </c>
      <c r="D942">
        <v>3.21</v>
      </c>
    </row>
    <row r="943" spans="2:4" ht="14.25" customHeight="1" x14ac:dyDescent="0.35">
      <c r="B943" s="107">
        <v>45958</v>
      </c>
      <c r="C943">
        <v>-0.11</v>
      </c>
      <c r="D943">
        <v>-0.44</v>
      </c>
    </row>
    <row r="944" spans="2:4" ht="14.25" customHeight="1" x14ac:dyDescent="0.35">
      <c r="B944" s="107">
        <v>45959</v>
      </c>
      <c r="C944">
        <v>0.45</v>
      </c>
      <c r="D944">
        <v>5.55</v>
      </c>
    </row>
    <row r="945" spans="2:4" ht="14.25" customHeight="1" x14ac:dyDescent="0.35">
      <c r="B945" s="107">
        <v>45960</v>
      </c>
      <c r="C945">
        <v>-0.68</v>
      </c>
      <c r="D945">
        <v>0.26</v>
      </c>
    </row>
    <row r="946" spans="2:4" ht="14.25" customHeight="1" x14ac:dyDescent="0.35">
      <c r="B946" s="107">
        <v>45961</v>
      </c>
      <c r="C946">
        <v>-0.6</v>
      </c>
      <c r="D946">
        <v>1.46</v>
      </c>
    </row>
    <row r="947" spans="2:4" ht="14.25" customHeight="1" x14ac:dyDescent="0.35">
      <c r="B947" s="107">
        <v>45964</v>
      </c>
      <c r="C947">
        <v>0.16</v>
      </c>
      <c r="D947">
        <v>1.1000000000000001</v>
      </c>
    </row>
    <row r="948" spans="2:4" ht="14.25" customHeight="1" x14ac:dyDescent="0.35">
      <c r="B948" s="107">
        <v>45965</v>
      </c>
      <c r="C948">
        <v>-0.64</v>
      </c>
      <c r="D948">
        <v>0.91</v>
      </c>
    </row>
    <row r="949" spans="2:4" ht="14.25" customHeight="1" x14ac:dyDescent="0.35">
      <c r="B949" s="107">
        <v>45967</v>
      </c>
      <c r="C949">
        <v>-0.34</v>
      </c>
      <c r="D949">
        <v>-0.52</v>
      </c>
    </row>
    <row r="950" spans="2:4" ht="14.25" customHeight="1" x14ac:dyDescent="0.35">
      <c r="B950" s="107">
        <v>45968</v>
      </c>
      <c r="C950">
        <v>-7.0000000000000007E-2</v>
      </c>
      <c r="D950">
        <v>0.47</v>
      </c>
    </row>
    <row r="951" spans="2:4" ht="14.25" customHeight="1" x14ac:dyDescent="0.35">
      <c r="B951" s="107">
        <v>45971</v>
      </c>
      <c r="C951">
        <v>0.32</v>
      </c>
      <c r="D951">
        <v>0.14000000000000001</v>
      </c>
    </row>
    <row r="952" spans="2:4" ht="14.25" customHeight="1" x14ac:dyDescent="0.35">
      <c r="B952" s="107">
        <v>45972</v>
      </c>
      <c r="C952">
        <v>0.47</v>
      </c>
      <c r="D952">
        <v>1.8</v>
      </c>
    </row>
    <row r="953" spans="2:4" ht="14.25" customHeight="1" x14ac:dyDescent="0.35">
      <c r="B953" s="107">
        <v>45973</v>
      </c>
      <c r="C953">
        <v>0.7</v>
      </c>
      <c r="D953">
        <v>-0.08</v>
      </c>
    </row>
    <row r="954" spans="2:4" ht="14.25" customHeight="1" x14ac:dyDescent="0.35">
      <c r="B954" s="107">
        <v>45974</v>
      </c>
      <c r="C954">
        <v>0.01</v>
      </c>
      <c r="D954">
        <v>0.09</v>
      </c>
    </row>
    <row r="955" spans="2:4" ht="14.25" customHeight="1" x14ac:dyDescent="0.35">
      <c r="B955" s="107">
        <v>45975</v>
      </c>
      <c r="C955">
        <v>0.12</v>
      </c>
      <c r="D955">
        <v>-0.7</v>
      </c>
    </row>
    <row r="956" spans="2:4" ht="14.25" customHeight="1" x14ac:dyDescent="0.35">
      <c r="B956" s="107">
        <v>45978</v>
      </c>
      <c r="C956">
        <v>0.4</v>
      </c>
      <c r="D956">
        <v>1.0900000000000001</v>
      </c>
    </row>
    <row r="957" spans="2:4" ht="14.25" customHeight="1" x14ac:dyDescent="0.35">
      <c r="B957" s="107">
        <v>45979</v>
      </c>
      <c r="C957">
        <v>-0.4</v>
      </c>
      <c r="D957">
        <v>-0.88</v>
      </c>
    </row>
    <row r="958" spans="2:4" ht="14.25" customHeight="1" x14ac:dyDescent="0.35">
      <c r="B958" s="107">
        <v>45980</v>
      </c>
      <c r="C958">
        <v>0.55000000000000004</v>
      </c>
      <c r="D958">
        <v>-1.32</v>
      </c>
    </row>
    <row r="959" spans="2:4" ht="14.25" customHeight="1" x14ac:dyDescent="0.35">
      <c r="B959" s="107">
        <v>45981</v>
      </c>
      <c r="C959">
        <v>0.54</v>
      </c>
      <c r="D959">
        <v>-0.37</v>
      </c>
    </row>
    <row r="960" spans="2:4" ht="14.25" customHeight="1" x14ac:dyDescent="0.35">
      <c r="B960" s="107">
        <v>45982</v>
      </c>
      <c r="C960">
        <v>-0.47</v>
      </c>
      <c r="D960">
        <v>-0.8</v>
      </c>
    </row>
    <row r="961" spans="2:4" ht="14.25" customHeight="1" x14ac:dyDescent="0.35">
      <c r="B961" s="107">
        <v>45985</v>
      </c>
      <c r="C961">
        <v>-0.42</v>
      </c>
      <c r="D961">
        <v>-0.99</v>
      </c>
    </row>
    <row r="962" spans="2:4" ht="14.25" customHeight="1" x14ac:dyDescent="0.35">
      <c r="B962" s="107">
        <v>45986</v>
      </c>
      <c r="C962">
        <v>-0.28999999999999998</v>
      </c>
      <c r="D962">
        <v>-0.95</v>
      </c>
    </row>
    <row r="963" spans="2:4" ht="14.25" customHeight="1" x14ac:dyDescent="0.35">
      <c r="B963" s="107">
        <v>45987</v>
      </c>
      <c r="C963">
        <v>1.24</v>
      </c>
      <c r="D963">
        <v>0.9</v>
      </c>
    </row>
    <row r="964" spans="2:4" ht="14.25" customHeight="1" x14ac:dyDescent="0.35">
      <c r="B964" s="107">
        <v>45988</v>
      </c>
      <c r="C964">
        <v>0.04</v>
      </c>
      <c r="D964">
        <v>-1.07</v>
      </c>
    </row>
    <row r="965" spans="2:4" ht="14.25" customHeight="1" x14ac:dyDescent="0.35">
      <c r="B965" s="107">
        <v>45989</v>
      </c>
      <c r="C965">
        <v>-0.05</v>
      </c>
      <c r="D965">
        <v>-1.26</v>
      </c>
    </row>
    <row r="966" spans="2:4" ht="14.25" customHeight="1" x14ac:dyDescent="0.35">
      <c r="B966" s="107">
        <v>45992</v>
      </c>
      <c r="C966">
        <v>-0.1</v>
      </c>
      <c r="D966">
        <v>0.75</v>
      </c>
    </row>
    <row r="967" spans="2:4" ht="14.25" customHeight="1" x14ac:dyDescent="0.35">
      <c r="B967" s="107">
        <v>45993</v>
      </c>
      <c r="C967">
        <v>-0.55000000000000004</v>
      </c>
      <c r="D967">
        <v>-0.39</v>
      </c>
    </row>
    <row r="968" spans="2:4" ht="14.25" customHeight="1" x14ac:dyDescent="0.35">
      <c r="B968" s="107">
        <v>45994</v>
      </c>
      <c r="C968">
        <v>-0.18</v>
      </c>
      <c r="D968">
        <v>1.0900000000000001</v>
      </c>
    </row>
    <row r="969" spans="2:4" ht="14.25" customHeight="1" x14ac:dyDescent="0.35">
      <c r="B969" s="107">
        <v>45995</v>
      </c>
      <c r="C969">
        <v>0.18</v>
      </c>
      <c r="D969">
        <v>-0.82</v>
      </c>
    </row>
    <row r="970" spans="2:4" ht="14.25" customHeight="1" x14ac:dyDescent="0.35">
      <c r="B970" s="107">
        <v>45996</v>
      </c>
      <c r="C970">
        <v>0.59</v>
      </c>
      <c r="D970">
        <v>0.55000000000000004</v>
      </c>
    </row>
    <row r="971" spans="2:4" ht="14.25" customHeight="1" x14ac:dyDescent="0.35">
      <c r="B971" s="107">
        <v>45999</v>
      </c>
      <c r="C971">
        <v>-0.86</v>
      </c>
      <c r="D971">
        <v>-0.95</v>
      </c>
    </row>
    <row r="972" spans="2:4" ht="14.25" customHeight="1" x14ac:dyDescent="0.35">
      <c r="B972" s="107">
        <v>46000</v>
      </c>
      <c r="C972">
        <v>-0.47</v>
      </c>
      <c r="D972">
        <v>0.56000000000000005</v>
      </c>
    </row>
    <row r="973" spans="2:4" ht="14.25" customHeight="1" x14ac:dyDescent="0.35">
      <c r="B973" s="107">
        <v>46001</v>
      </c>
      <c r="C973">
        <v>-0.32</v>
      </c>
      <c r="D973">
        <v>0.04</v>
      </c>
    </row>
    <row r="974" spans="2:4" ht="14.25" customHeight="1" x14ac:dyDescent="0.35">
      <c r="B974" s="107">
        <v>46002</v>
      </c>
      <c r="C974">
        <v>0.55000000000000004</v>
      </c>
      <c r="D974">
        <v>-0.81</v>
      </c>
    </row>
    <row r="975" spans="2:4" ht="14.25" customHeight="1" x14ac:dyDescent="0.35">
      <c r="B975" s="107">
        <v>46003</v>
      </c>
      <c r="C975">
        <v>0.56999999999999995</v>
      </c>
      <c r="D975">
        <v>1.19</v>
      </c>
    </row>
    <row r="976" spans="2:4" ht="14.25" customHeight="1" x14ac:dyDescent="0.35">
      <c r="B976" s="107">
        <v>46006</v>
      </c>
      <c r="C976">
        <v>-0.08</v>
      </c>
      <c r="D976">
        <v>2.98</v>
      </c>
    </row>
    <row r="977" spans="2:4" ht="14.25" customHeight="1" x14ac:dyDescent="0.35">
      <c r="B977" s="107">
        <v>46007</v>
      </c>
      <c r="C977">
        <v>-0.64</v>
      </c>
      <c r="D977">
        <v>-0.48</v>
      </c>
    </row>
    <row r="978" spans="2:4" ht="14.25" customHeight="1" x14ac:dyDescent="0.35">
      <c r="B978" s="107">
        <v>46008</v>
      </c>
      <c r="C978">
        <v>-0.16</v>
      </c>
      <c r="D978">
        <v>0.25</v>
      </c>
    </row>
    <row r="979" spans="2:4" ht="14.25" customHeight="1" x14ac:dyDescent="0.35">
      <c r="B979" s="107">
        <v>46009</v>
      </c>
      <c r="C979">
        <v>-0.01</v>
      </c>
      <c r="D979">
        <v>-0.86</v>
      </c>
    </row>
    <row r="980" spans="2:4" ht="14.25" customHeight="1" x14ac:dyDescent="0.35">
      <c r="B980" s="107">
        <v>46010</v>
      </c>
      <c r="C980">
        <v>0.57999999999999996</v>
      </c>
      <c r="D980">
        <v>0.53</v>
      </c>
    </row>
    <row r="981" spans="2:4" ht="14.25" customHeight="1" x14ac:dyDescent="0.35">
      <c r="B981" s="107">
        <v>46013</v>
      </c>
      <c r="C981">
        <v>0.79</v>
      </c>
      <c r="D981">
        <v>0.65</v>
      </c>
    </row>
    <row r="982" spans="2:4" ht="14.25" customHeight="1" x14ac:dyDescent="0.35">
      <c r="B982" s="107">
        <v>46014</v>
      </c>
      <c r="C982">
        <v>0.02</v>
      </c>
      <c r="D982">
        <v>-0.24</v>
      </c>
    </row>
    <row r="983" spans="2:4" ht="14.25" customHeight="1" x14ac:dyDescent="0.35">
      <c r="B983" s="107">
        <v>46015</v>
      </c>
      <c r="C983">
        <v>-0.13</v>
      </c>
      <c r="D983">
        <v>-1.29</v>
      </c>
    </row>
    <row r="984" spans="2:4" ht="14.25" customHeight="1" x14ac:dyDescent="0.35">
      <c r="B984" s="107">
        <v>46017</v>
      </c>
      <c r="C984">
        <v>-0.38</v>
      </c>
      <c r="D984">
        <v>-0.54</v>
      </c>
    </row>
    <row r="985" spans="2:4" ht="14.25" customHeight="1" x14ac:dyDescent="0.35">
      <c r="B985" s="107">
        <v>46020</v>
      </c>
      <c r="C985">
        <v>-0.38</v>
      </c>
      <c r="D985">
        <v>1.05</v>
      </c>
    </row>
    <row r="986" spans="2:4" ht="14.25" customHeight="1" x14ac:dyDescent="0.35">
      <c r="B986" s="107">
        <v>46021</v>
      </c>
      <c r="C986">
        <v>-0.01</v>
      </c>
      <c r="D986">
        <v>-0.25</v>
      </c>
    </row>
    <row r="987" spans="2:4" ht="14.25" customHeight="1" x14ac:dyDescent="0.35">
      <c r="B987" s="107">
        <v>46022</v>
      </c>
      <c r="C987">
        <v>0.74</v>
      </c>
      <c r="D987">
        <v>3.03</v>
      </c>
    </row>
    <row r="988" spans="2:4" ht="14.25" customHeight="1" x14ac:dyDescent="0.35">
      <c r="B988" s="107">
        <v>46023</v>
      </c>
      <c r="C988">
        <v>0.06</v>
      </c>
      <c r="D988">
        <v>-0.35</v>
      </c>
    </row>
    <row r="989" spans="2:4" ht="14.25" customHeight="1" x14ac:dyDescent="0.35">
      <c r="B989" s="107">
        <v>46024</v>
      </c>
      <c r="C989">
        <v>0.7</v>
      </c>
      <c r="D989">
        <v>0.55000000000000004</v>
      </c>
    </row>
    <row r="990" spans="2:4" ht="14.25" customHeight="1" x14ac:dyDescent="0.35">
      <c r="B990" s="107">
        <v>46027</v>
      </c>
      <c r="C990">
        <v>-0.3</v>
      </c>
      <c r="D990">
        <v>-1.07</v>
      </c>
    </row>
    <row r="991" spans="2:4" ht="14.25" customHeight="1" x14ac:dyDescent="0.35">
      <c r="B991" s="107">
        <v>46028</v>
      </c>
      <c r="C991">
        <v>-0.27</v>
      </c>
      <c r="D991">
        <v>-0.61</v>
      </c>
    </row>
    <row r="992" spans="2:4" ht="14.25" customHeight="1" x14ac:dyDescent="0.35">
      <c r="B992" s="107">
        <v>46029</v>
      </c>
      <c r="C992">
        <v>-0.14000000000000001</v>
      </c>
      <c r="D992">
        <v>-0.81</v>
      </c>
    </row>
    <row r="993" spans="2:4" ht="14.25" customHeight="1" x14ac:dyDescent="0.35">
      <c r="B993" s="107">
        <v>46030</v>
      </c>
      <c r="C993">
        <v>-1.01</v>
      </c>
      <c r="D993">
        <v>-3.87</v>
      </c>
    </row>
    <row r="994" spans="2:4" ht="14.25" customHeight="1" x14ac:dyDescent="0.35">
      <c r="B994" s="107">
        <v>46031</v>
      </c>
      <c r="C994">
        <v>-0.75</v>
      </c>
      <c r="D994">
        <v>0.79</v>
      </c>
    </row>
    <row r="995" spans="2:4" ht="14.25" customHeight="1" x14ac:dyDescent="0.35">
      <c r="B995" s="107">
        <v>46034</v>
      </c>
      <c r="C995">
        <v>0.42</v>
      </c>
      <c r="D995">
        <v>0.4</v>
      </c>
    </row>
    <row r="996" spans="2:4" ht="14.25" customHeight="1" x14ac:dyDescent="0.35">
      <c r="B996" s="107">
        <v>46035</v>
      </c>
      <c r="C996">
        <v>-0.22</v>
      </c>
      <c r="D996">
        <v>-0.53</v>
      </c>
    </row>
    <row r="997" spans="2:4" ht="14.25" customHeight="1" x14ac:dyDescent="0.35">
      <c r="B997" s="107">
        <v>46036</v>
      </c>
      <c r="C997">
        <v>-0.26</v>
      </c>
      <c r="D997">
        <v>1.1200000000000001</v>
      </c>
    </row>
    <row r="998" spans="2:4" ht="14.25" customHeight="1" x14ac:dyDescent="0.35">
      <c r="B998" s="107">
        <v>46038</v>
      </c>
      <c r="C998">
        <v>0.11</v>
      </c>
      <c r="D998">
        <v>1.36</v>
      </c>
    </row>
    <row r="999" spans="2:4" ht="14.25" customHeight="1" x14ac:dyDescent="0.35">
      <c r="B999" s="107">
        <v>46041</v>
      </c>
      <c r="C999">
        <v>-0.42</v>
      </c>
      <c r="D999">
        <v>-0.26</v>
      </c>
    </row>
    <row r="1000" spans="2:4" ht="14.25" customHeight="1" x14ac:dyDescent="0.35">
      <c r="B1000" s="107">
        <v>46042</v>
      </c>
      <c r="C1000">
        <v>-1.38</v>
      </c>
      <c r="D1000">
        <v>-1.54</v>
      </c>
    </row>
    <row r="1001" spans="2:4" ht="14.25" customHeight="1" x14ac:dyDescent="0.35">
      <c r="B1001" s="107">
        <v>46043</v>
      </c>
      <c r="C1001">
        <v>-0.3</v>
      </c>
      <c r="D1001">
        <v>0.25</v>
      </c>
    </row>
    <row r="1002" spans="2:4" ht="14.25" customHeight="1" x14ac:dyDescent="0.35">
      <c r="B1002" s="107">
        <v>46044</v>
      </c>
      <c r="C1002">
        <v>0.53</v>
      </c>
      <c r="D1002">
        <v>0.14000000000000001</v>
      </c>
    </row>
    <row r="1003" spans="2:4" ht="14.25" customHeight="1" x14ac:dyDescent="0.35">
      <c r="B1003" s="107">
        <v>46045</v>
      </c>
      <c r="C1003">
        <v>-0.95</v>
      </c>
      <c r="D1003">
        <v>-1.9</v>
      </c>
    </row>
    <row r="1004" spans="2:4" ht="14.25" customHeight="1" x14ac:dyDescent="0.35">
      <c r="B1004" s="107">
        <v>46049</v>
      </c>
      <c r="C1004">
        <v>0.51</v>
      </c>
      <c r="D1004">
        <v>1.84</v>
      </c>
    </row>
    <row r="1005" spans="2:4" ht="14.25" customHeight="1" x14ac:dyDescent="0.35">
      <c r="B1005" s="107">
        <v>46050</v>
      </c>
      <c r="C1005">
        <v>0.66</v>
      </c>
      <c r="D1005">
        <v>2.4900000000000002</v>
      </c>
    </row>
    <row r="1006" spans="2:4" ht="14.25" customHeight="1" x14ac:dyDescent="0.35">
      <c r="B1006" s="107">
        <v>46051</v>
      </c>
      <c r="C1006">
        <v>0.3</v>
      </c>
      <c r="D1006">
        <v>0.15</v>
      </c>
    </row>
    <row r="1007" spans="2:4" ht="14.25" customHeight="1" x14ac:dyDescent="0.35">
      <c r="B1007" s="107">
        <v>46052</v>
      </c>
      <c r="C1007">
        <v>-0.39</v>
      </c>
      <c r="D1007">
        <v>0.09</v>
      </c>
    </row>
    <row r="1008" spans="2:4" ht="14.25" customHeight="1" x14ac:dyDescent="0.35">
      <c r="B1008" s="107">
        <v>46055</v>
      </c>
      <c r="C1008">
        <v>-0.92</v>
      </c>
      <c r="D1008">
        <v>0.84</v>
      </c>
    </row>
    <row r="1009" spans="2:4" ht="14.25" customHeight="1" x14ac:dyDescent="0.35">
      <c r="B1009" s="107">
        <v>46056</v>
      </c>
      <c r="C1009">
        <v>2.5499999999999998</v>
      </c>
      <c r="D1009">
        <v>1.8</v>
      </c>
    </row>
    <row r="1010" spans="2:4" ht="14.25" customHeight="1" x14ac:dyDescent="0.35">
      <c r="B1010" s="107">
        <v>46057</v>
      </c>
      <c r="C1010">
        <v>0.19</v>
      </c>
      <c r="D1010">
        <v>3.1</v>
      </c>
    </row>
    <row r="1011" spans="2:4" ht="14.25" customHeight="1" x14ac:dyDescent="0.35">
      <c r="B1011" s="107">
        <v>46058</v>
      </c>
      <c r="C1011">
        <v>-0.52</v>
      </c>
      <c r="D1011">
        <v>1.73</v>
      </c>
    </row>
    <row r="1012" spans="2:4" ht="14.25" customHeight="1" x14ac:dyDescent="0.35">
      <c r="B1012" s="107">
        <v>46059</v>
      </c>
      <c r="C1012">
        <v>0.2</v>
      </c>
      <c r="D1012">
        <v>-0.32</v>
      </c>
    </row>
    <row r="1013" spans="2:4" ht="14.25" customHeight="1" x14ac:dyDescent="0.35">
      <c r="B1013" s="107">
        <v>46062</v>
      </c>
      <c r="C1013">
        <v>0.68</v>
      </c>
      <c r="D1013">
        <v>0.55000000000000004</v>
      </c>
    </row>
    <row r="1014" spans="2:4" ht="14.25" customHeight="1" x14ac:dyDescent="0.35">
      <c r="B1014" s="107">
        <v>46063</v>
      </c>
      <c r="C1014">
        <v>0.26</v>
      </c>
      <c r="D1014">
        <v>1.1599999999999999</v>
      </c>
    </row>
    <row r="1015" spans="2:4" ht="14.25" customHeight="1" x14ac:dyDescent="0.35">
      <c r="B1015" s="107">
        <v>46064</v>
      </c>
      <c r="C1015">
        <v>7.0000000000000007E-2</v>
      </c>
      <c r="D1015">
        <v>1.74</v>
      </c>
    </row>
    <row r="1016" spans="2:4" ht="14.25" customHeight="1" x14ac:dyDescent="0.35">
      <c r="B1016" s="107">
        <v>46065</v>
      </c>
      <c r="C1016">
        <v>-0.56999999999999995</v>
      </c>
      <c r="D1016">
        <v>-1.76</v>
      </c>
    </row>
    <row r="1017" spans="2:4" ht="14.25" customHeight="1" x14ac:dyDescent="0.35">
      <c r="B1017" s="107">
        <v>46066</v>
      </c>
      <c r="C1017">
        <v>-1.3</v>
      </c>
      <c r="D1017">
        <v>-0.75</v>
      </c>
    </row>
    <row r="1018" spans="2:4" ht="14.25" customHeight="1" x14ac:dyDescent="0.35">
      <c r="B1018" s="107">
        <v>46069</v>
      </c>
      <c r="C1018">
        <v>0.83</v>
      </c>
      <c r="D1018">
        <v>-0.92</v>
      </c>
    </row>
    <row r="1019" spans="2:4" ht="14.25" customHeight="1" x14ac:dyDescent="0.35">
      <c r="B1019" s="107">
        <v>46070</v>
      </c>
      <c r="C1019">
        <v>0.17</v>
      </c>
      <c r="D1019">
        <v>0.38</v>
      </c>
    </row>
    <row r="1020" spans="2:4" ht="14.25" customHeight="1" x14ac:dyDescent="0.35">
      <c r="B1020" s="107">
        <v>46071</v>
      </c>
      <c r="C1020">
        <v>0.37</v>
      </c>
      <c r="D1020">
        <v>1.67</v>
      </c>
    </row>
    <row r="1021" spans="2:4" ht="14.25" customHeight="1" x14ac:dyDescent="0.35">
      <c r="B1021" s="107">
        <v>46072</v>
      </c>
      <c r="C1021">
        <v>-1.41</v>
      </c>
      <c r="D1021">
        <v>-2.48</v>
      </c>
    </row>
    <row r="1022" spans="2:4" ht="14.25" customHeight="1" x14ac:dyDescent="0.35">
      <c r="B1022" s="107">
        <v>46073</v>
      </c>
      <c r="C1022">
        <v>0.46</v>
      </c>
      <c r="D1022">
        <v>-0.28999999999999998</v>
      </c>
    </row>
    <row r="1023" spans="2:4" ht="14.25" customHeight="1" x14ac:dyDescent="0.35">
      <c r="B1023" s="107">
        <v>46076</v>
      </c>
      <c r="C1023">
        <v>0.55000000000000004</v>
      </c>
      <c r="D1023">
        <v>1.54</v>
      </c>
    </row>
    <row r="1024" spans="2:4" ht="14.25" customHeight="1" x14ac:dyDescent="0.35">
      <c r="B1024" s="107">
        <v>46077</v>
      </c>
      <c r="C1024">
        <v>-1.1200000000000001</v>
      </c>
      <c r="D1024">
        <v>2.11</v>
      </c>
    </row>
    <row r="1025" spans="2:4" ht="14.25" customHeight="1" x14ac:dyDescent="0.35">
      <c r="B1025" s="107">
        <v>46078</v>
      </c>
      <c r="C1025">
        <v>0.23</v>
      </c>
      <c r="D1025">
        <v>1.58</v>
      </c>
    </row>
    <row r="1026" spans="2:4" ht="14.25" customHeight="1" x14ac:dyDescent="0.35">
      <c r="B1026" s="107">
        <v>46079</v>
      </c>
      <c r="C1026">
        <v>0.06</v>
      </c>
      <c r="D1026">
        <v>1.88</v>
      </c>
    </row>
    <row r="1027" spans="2:4" ht="14.25" customHeight="1" x14ac:dyDescent="0.35">
      <c r="B1027" s="107">
        <v>46080</v>
      </c>
      <c r="C1027">
        <v>-1.25</v>
      </c>
      <c r="D1027">
        <v>0.54</v>
      </c>
    </row>
    <row r="1028" spans="2:4" ht="14.25" customHeight="1" x14ac:dyDescent="0.35">
      <c r="B1028" s="107">
        <v>46083</v>
      </c>
      <c r="C1028">
        <v>-1.24</v>
      </c>
      <c r="D1028">
        <v>-4.46</v>
      </c>
    </row>
    <row r="1029" spans="2:4" ht="14.25" customHeight="1" x14ac:dyDescent="0.35">
      <c r="B1029" s="107">
        <v>46085</v>
      </c>
      <c r="C1029">
        <v>-1.55</v>
      </c>
      <c r="D1029">
        <v>-4.84</v>
      </c>
    </row>
    <row r="1030" spans="2:4" ht="14.25" customHeight="1" x14ac:dyDescent="0.35">
      <c r="B1030" s="107">
        <v>46086</v>
      </c>
      <c r="C1030">
        <v>1.17</v>
      </c>
      <c r="D1030">
        <v>0.65</v>
      </c>
    </row>
    <row r="1031" spans="2:4" ht="14.25" customHeight="1" x14ac:dyDescent="0.35">
      <c r="B1031" s="107">
        <v>46087</v>
      </c>
      <c r="C1031">
        <v>-1.27</v>
      </c>
      <c r="D1031">
        <v>-1.67</v>
      </c>
    </row>
    <row r="1032" spans="2:4" ht="14.25" customHeight="1" x14ac:dyDescent="0.35">
      <c r="B1032" s="107">
        <v>46090</v>
      </c>
      <c r="C1032">
        <v>-1.73</v>
      </c>
      <c r="D1032">
        <v>-4.42</v>
      </c>
    </row>
    <row r="1033" spans="2:4" ht="14.25" customHeight="1" x14ac:dyDescent="0.35">
      <c r="B1033" s="107">
        <v>46091</v>
      </c>
      <c r="C1033">
        <v>0.97</v>
      </c>
      <c r="D1033">
        <v>-0.79</v>
      </c>
    </row>
    <row r="1034" spans="2:4" ht="14.25" customHeight="1" x14ac:dyDescent="0.35">
      <c r="B1034" s="107">
        <v>46092</v>
      </c>
      <c r="C1034">
        <v>-1.63</v>
      </c>
      <c r="D1034">
        <v>0.43</v>
      </c>
    </row>
    <row r="1035" spans="2:4" ht="14.25" customHeight="1" x14ac:dyDescent="0.35">
      <c r="B1035" s="107">
        <v>46093</v>
      </c>
      <c r="C1035">
        <v>-0.95</v>
      </c>
      <c r="D1035">
        <v>0.96</v>
      </c>
    </row>
    <row r="1036" spans="2:4" ht="14.25" customHeight="1" x14ac:dyDescent="0.35">
      <c r="B1036" s="107">
        <v>46094</v>
      </c>
      <c r="C1036">
        <v>-2.06</v>
      </c>
      <c r="D1036">
        <v>-2.2599999999999998</v>
      </c>
    </row>
    <row r="1037" spans="2:4" ht="14.25" customHeight="1" x14ac:dyDescent="0.35">
      <c r="B1037" s="107">
        <v>46097</v>
      </c>
      <c r="C1037">
        <v>1.1100000000000001</v>
      </c>
      <c r="D1037">
        <v>-4.84</v>
      </c>
    </row>
    <row r="1038" spans="2:4" ht="14.25" customHeight="1" x14ac:dyDescent="0.35">
      <c r="B1038" s="107">
        <v>46098</v>
      </c>
      <c r="C1038">
        <v>0.74</v>
      </c>
      <c r="D1038">
        <v>-1.53</v>
      </c>
    </row>
    <row r="1039" spans="2:4" ht="14.25" customHeight="1" x14ac:dyDescent="0.35">
      <c r="B1039" s="107">
        <v>46099</v>
      </c>
      <c r="C1039">
        <v>0.83</v>
      </c>
      <c r="D1039">
        <v>1.08</v>
      </c>
    </row>
    <row r="1040" spans="2:4" ht="14.25" customHeight="1" x14ac:dyDescent="0.35">
      <c r="B1040" s="107">
        <v>46100</v>
      </c>
      <c r="C1040">
        <v>-3.26</v>
      </c>
      <c r="D1040">
        <v>-3.74</v>
      </c>
    </row>
    <row r="1041" spans="2:4" ht="14.25" customHeight="1" x14ac:dyDescent="0.35">
      <c r="B1041" s="107">
        <v>46101</v>
      </c>
      <c r="C1041">
        <v>0.49</v>
      </c>
      <c r="D1041">
        <v>1.31</v>
      </c>
    </row>
    <row r="1042" spans="2:4" ht="14.25" customHeight="1" x14ac:dyDescent="0.35">
      <c r="B1042" s="107">
        <v>46104</v>
      </c>
      <c r="C1042">
        <v>-2.6</v>
      </c>
      <c r="D1042">
        <v>-4.49</v>
      </c>
    </row>
    <row r="1043" spans="2:4" ht="14.25" customHeight="1" x14ac:dyDescent="0.35">
      <c r="B1043" s="107">
        <v>46105</v>
      </c>
      <c r="C1043">
        <v>1.78</v>
      </c>
      <c r="D1043">
        <v>0.43</v>
      </c>
    </row>
    <row r="1044" spans="2:4" ht="14.25" customHeight="1" x14ac:dyDescent="0.35">
      <c r="B1044" s="107">
        <v>46106</v>
      </c>
      <c r="C1044">
        <v>1.72</v>
      </c>
      <c r="D1044">
        <v>1.31</v>
      </c>
    </row>
    <row r="1045" spans="2:4" ht="14.25" customHeight="1" x14ac:dyDescent="0.35">
      <c r="B1045" s="107">
        <v>46108</v>
      </c>
      <c r="C1045">
        <v>-2.09</v>
      </c>
      <c r="D1045">
        <v>-1.96</v>
      </c>
    </row>
    <row r="1046" spans="2:4" ht="14.25" customHeight="1" x14ac:dyDescent="0.35">
      <c r="B1046" s="107">
        <v>46111</v>
      </c>
      <c r="C1046">
        <v>-2.14</v>
      </c>
      <c r="D1046">
        <v>-1.71</v>
      </c>
    </row>
    <row r="1047" spans="2:4" ht="14.25" customHeight="1" x14ac:dyDescent="0.35">
      <c r="B1047" s="107">
        <v>46113</v>
      </c>
      <c r="C1047">
        <v>1.56</v>
      </c>
      <c r="D1047">
        <v>0.24</v>
      </c>
    </row>
    <row r="1048" spans="2:4" ht="14.25" customHeight="1" x14ac:dyDescent="0.35">
      <c r="B1048" s="107">
        <v>46114</v>
      </c>
      <c r="C1048">
        <v>0.15</v>
      </c>
      <c r="D1048">
        <v>-1.17</v>
      </c>
    </row>
    <row r="1049" spans="2:4" ht="14.25" customHeight="1" x14ac:dyDescent="0.35">
      <c r="B1049" s="107">
        <v>46118</v>
      </c>
      <c r="C1049">
        <v>1.1200000000000001</v>
      </c>
      <c r="D1049">
        <v>-0.06</v>
      </c>
    </row>
    <row r="1050" spans="2:4" ht="14.25" customHeight="1" x14ac:dyDescent="0.35">
      <c r="B1050" s="107">
        <v>46119</v>
      </c>
      <c r="C1050">
        <v>0.68</v>
      </c>
      <c r="D1050">
        <v>0.28999999999999998</v>
      </c>
    </row>
    <row r="1051" spans="2:4" ht="14.25" customHeight="1" x14ac:dyDescent="0.35">
      <c r="B1051" s="107">
        <v>46120</v>
      </c>
      <c r="C1051">
        <v>3.78</v>
      </c>
      <c r="D1051">
        <v>6.63</v>
      </c>
    </row>
    <row r="1052" spans="2:4" ht="14.25" customHeight="1" x14ac:dyDescent="0.35">
      <c r="B1052" s="107">
        <v>46121</v>
      </c>
      <c r="C1052">
        <v>-0.93</v>
      </c>
      <c r="D1052">
        <v>-1.17</v>
      </c>
    </row>
    <row r="1053" spans="2:4" ht="14.25" customHeight="1" x14ac:dyDescent="0.35">
      <c r="B1053" s="107">
        <v>46122</v>
      </c>
      <c r="C1053">
        <v>1.1599999999999999</v>
      </c>
      <c r="D1053">
        <v>0.91</v>
      </c>
    </row>
    <row r="1054" spans="2:4" ht="14.25" customHeight="1" x14ac:dyDescent="0.35">
      <c r="B1054" s="107">
        <v>46125</v>
      </c>
      <c r="C1054">
        <v>-0.86</v>
      </c>
      <c r="D1054">
        <v>-1.32</v>
      </c>
    </row>
    <row r="1055" spans="2:4" ht="14.25" customHeight="1" x14ac:dyDescent="0.35">
      <c r="B1055" s="107">
        <v>46127</v>
      </c>
      <c r="C1055">
        <v>1.63</v>
      </c>
      <c r="D1055">
        <v>2.93</v>
      </c>
    </row>
    <row r="1056" spans="2:4" ht="14.25" customHeight="1" x14ac:dyDescent="0.35">
      <c r="B1056" s="107">
        <v>46128</v>
      </c>
      <c r="C1056">
        <v>-0.14000000000000001</v>
      </c>
      <c r="D1056">
        <v>-0.71</v>
      </c>
    </row>
    <row r="1057" spans="2:4" ht="14.25" customHeight="1" x14ac:dyDescent="0.35">
      <c r="B1057" s="107">
        <v>46129</v>
      </c>
      <c r="C1057">
        <v>0.65</v>
      </c>
      <c r="D1057">
        <v>1.17</v>
      </c>
    </row>
    <row r="1058" spans="2:4" ht="14.25" customHeight="1" x14ac:dyDescent="0.35">
      <c r="B1058" s="107">
        <v>46132</v>
      </c>
      <c r="C1058">
        <v>0.05</v>
      </c>
      <c r="D1058">
        <v>0.68</v>
      </c>
    </row>
    <row r="1059" spans="2:4" ht="14.25" customHeight="1" x14ac:dyDescent="0.35">
      <c r="B1059" s="107">
        <v>46133</v>
      </c>
      <c r="C1059">
        <v>0.87</v>
      </c>
      <c r="D1059">
        <v>0.3</v>
      </c>
    </row>
    <row r="1060" spans="2:4" ht="14.25" customHeight="1" x14ac:dyDescent="0.35">
      <c r="B1060" s="107">
        <v>46134</v>
      </c>
      <c r="C1060">
        <v>-0.81</v>
      </c>
      <c r="D1060">
        <v>0.03</v>
      </c>
    </row>
    <row r="1061" spans="2:4" ht="14.25" customHeight="1" x14ac:dyDescent="0.35">
      <c r="B1061" s="107">
        <v>46135</v>
      </c>
      <c r="C1061">
        <v>-0.84</v>
      </c>
      <c r="D1061">
        <v>-1.28</v>
      </c>
    </row>
    <row r="1062" spans="2:4" ht="14.25" customHeight="1" x14ac:dyDescent="0.35">
      <c r="B1062" s="107">
        <v>46136</v>
      </c>
      <c r="C1062">
        <v>-1.1399999999999999</v>
      </c>
      <c r="D1062">
        <v>-1.38</v>
      </c>
    </row>
    <row r="1063" spans="2:4" ht="14.25" customHeight="1" x14ac:dyDescent="0.35">
      <c r="B1063" s="107">
        <v>46139</v>
      </c>
      <c r="C1063">
        <v>0.81</v>
      </c>
      <c r="D1063">
        <v>1.94</v>
      </c>
    </row>
    <row r="1064" spans="2:4" ht="14.25" customHeight="1" x14ac:dyDescent="0.35">
      <c r="B1064" s="107">
        <v>46140</v>
      </c>
      <c r="C1064">
        <v>-0.4</v>
      </c>
      <c r="D1064">
        <v>-0.59</v>
      </c>
    </row>
    <row r="1065" spans="2:4" ht="14.25" customHeight="1" x14ac:dyDescent="0.35">
      <c r="B1065" s="107">
        <v>46141</v>
      </c>
      <c r="C1065">
        <v>0.76</v>
      </c>
      <c r="D1065">
        <v>-0.83</v>
      </c>
    </row>
    <row r="1066" spans="2:4" ht="14.25" customHeight="1" x14ac:dyDescent="0.35">
      <c r="B1066" s="107">
        <v>46142</v>
      </c>
      <c r="C1066">
        <v>-0.74</v>
      </c>
      <c r="D1066">
        <v>-1.35</v>
      </c>
    </row>
    <row r="1067" spans="2:4" ht="14.25" customHeight="1" x14ac:dyDescent="0.35">
      <c r="B1067" s="107">
        <v>46146</v>
      </c>
      <c r="C1067">
        <v>0.51</v>
      </c>
      <c r="D1067">
        <v>0.01</v>
      </c>
    </row>
    <row r="1068" spans="2:4" ht="14.25" customHeight="1" x14ac:dyDescent="0.35">
      <c r="B1068" s="107">
        <v>46147</v>
      </c>
      <c r="C1068">
        <v>-0.36</v>
      </c>
      <c r="D1068">
        <v>-0.08</v>
      </c>
    </row>
    <row r="1069" spans="2:4" ht="14.25" customHeight="1" x14ac:dyDescent="0.35">
      <c r="B1069" s="107">
        <v>46148</v>
      </c>
      <c r="C1069">
        <v>1.24</v>
      </c>
      <c r="D1069">
        <v>4.2699999999999996</v>
      </c>
    </row>
    <row r="1070" spans="2:4" ht="14.25" customHeight="1" x14ac:dyDescent="0.35">
      <c r="B1070" s="107">
        <v>46149</v>
      </c>
      <c r="C1070">
        <v>-0.02</v>
      </c>
      <c r="D1070">
        <v>-0.89</v>
      </c>
    </row>
    <row r="1071" spans="2:4" ht="14.25" customHeight="1" x14ac:dyDescent="0.35">
      <c r="B1071" s="107">
        <v>46150</v>
      </c>
      <c r="C1071">
        <v>-0.62</v>
      </c>
      <c r="D1071">
        <v>-1.5</v>
      </c>
    </row>
    <row r="1072" spans="2:4" ht="14.25" customHeight="1" x14ac:dyDescent="0.35">
      <c r="B1072" s="107">
        <v>46153</v>
      </c>
      <c r="C1072">
        <v>-1.49</v>
      </c>
      <c r="D1072">
        <v>-2.99</v>
      </c>
    </row>
    <row r="1073" spans="2:4" ht="14.25" customHeight="1" x14ac:dyDescent="0.35">
      <c r="B1073" s="107">
        <v>46154</v>
      </c>
      <c r="C1073">
        <v>-1.83</v>
      </c>
      <c r="D1073">
        <v>-1.94</v>
      </c>
    </row>
    <row r="1074" spans="2:4" ht="14.25" customHeight="1" x14ac:dyDescent="0.35">
      <c r="B1074" s="107">
        <v>46155</v>
      </c>
      <c r="C1074">
        <v>0.14000000000000001</v>
      </c>
      <c r="D1074">
        <v>2.93</v>
      </c>
    </row>
    <row r="1075" spans="2:4" ht="14.25" customHeight="1" x14ac:dyDescent="0.35">
      <c r="B1075" s="107">
        <v>46156</v>
      </c>
      <c r="C1075">
        <v>1.18</v>
      </c>
      <c r="D1075">
        <v>-1.01</v>
      </c>
    </row>
    <row r="1076" spans="2:4" ht="14.25" customHeight="1" x14ac:dyDescent="0.35">
      <c r="B1076" s="107">
        <v>46157</v>
      </c>
      <c r="C1076">
        <v>-0.19</v>
      </c>
      <c r="D1076">
        <v>-4.12</v>
      </c>
    </row>
    <row r="1077" spans="2:4" ht="14.25" customHeight="1" x14ac:dyDescent="0.35">
      <c r="B1077" s="107">
        <v>46160</v>
      </c>
      <c r="C1077">
        <v>0.03</v>
      </c>
      <c r="D1077">
        <v>-1.99</v>
      </c>
    </row>
    <row r="1078" spans="2:4" ht="14.25" customHeight="1" x14ac:dyDescent="0.35">
      <c r="B1078" s="107">
        <v>46161</v>
      </c>
      <c r="C1078">
        <v>-0.14000000000000001</v>
      </c>
      <c r="D1078">
        <v>2.42</v>
      </c>
    </row>
    <row r="1079" spans="2:4" ht="14.25" customHeight="1" x14ac:dyDescent="0.35">
      <c r="B1079" s="107">
        <v>46162</v>
      </c>
      <c r="C1079">
        <v>0.17</v>
      </c>
      <c r="D1079">
        <v>2.25</v>
      </c>
    </row>
    <row r="1080" spans="2:4" ht="14.25" customHeight="1" x14ac:dyDescent="0.35">
      <c r="B1080" s="107">
        <v>46163</v>
      </c>
      <c r="C1080">
        <v>-0.02</v>
      </c>
      <c r="D1080">
        <v>1.8</v>
      </c>
    </row>
    <row r="1081" spans="2:4" ht="14.25" customHeight="1" x14ac:dyDescent="0.35">
      <c r="B1081" s="107">
        <v>46164</v>
      </c>
      <c r="C1081">
        <v>0.27</v>
      </c>
      <c r="D1081">
        <v>-0.75</v>
      </c>
    </row>
    <row r="1082" spans="2:4" ht="14.25" customHeight="1" x14ac:dyDescent="0.35">
      <c r="B1082" s="107">
        <v>46167</v>
      </c>
      <c r="C1082">
        <v>1.32</v>
      </c>
      <c r="D1082">
        <v>3.21</v>
      </c>
    </row>
    <row r="1083" spans="2:4" ht="14.25" customHeight="1" x14ac:dyDescent="0.35">
      <c r="B1083" s="107">
        <v>46168</v>
      </c>
      <c r="C1083">
        <v>-0.49</v>
      </c>
      <c r="D1083">
        <v>-1.0900000000000001</v>
      </c>
    </row>
    <row r="1084" spans="2:4" ht="14.25" customHeight="1" x14ac:dyDescent="0.35">
      <c r="B1084" s="107">
        <v>46169</v>
      </c>
      <c r="C1084">
        <v>-0.03</v>
      </c>
      <c r="D1084">
        <v>1.1000000000000001</v>
      </c>
    </row>
    <row r="1085" spans="2:4" ht="14.25" customHeight="1" x14ac:dyDescent="0.35">
      <c r="B1085" s="107">
        <v>46171</v>
      </c>
      <c r="C1085">
        <v>-1.5</v>
      </c>
      <c r="D1085">
        <v>-2.57</v>
      </c>
    </row>
    <row r="1086" spans="2:4" ht="14.25" customHeight="1" x14ac:dyDescent="0.35">
      <c r="B1086" s="107">
        <v>46174</v>
      </c>
      <c r="C1086">
        <v>-0.7</v>
      </c>
      <c r="D1086">
        <v>-1.03</v>
      </c>
    </row>
    <row r="1087" spans="2:4" ht="14.25" customHeight="1" x14ac:dyDescent="0.35">
      <c r="B1087" s="107">
        <v>46175</v>
      </c>
      <c r="C1087">
        <v>0.43</v>
      </c>
      <c r="D1087">
        <v>0.02</v>
      </c>
    </row>
    <row r="1088" spans="2:4" ht="14.25" customHeight="1" x14ac:dyDescent="0.35">
      <c r="B1088" s="107">
        <v>46176</v>
      </c>
      <c r="C1088">
        <v>-0.33</v>
      </c>
      <c r="D1088">
        <v>-1.04</v>
      </c>
    </row>
    <row r="1089" spans="2:4" ht="14.25" customHeight="1" x14ac:dyDescent="0.35">
      <c r="B1089" s="107">
        <v>46177</v>
      </c>
      <c r="C1089">
        <v>0.05</v>
      </c>
      <c r="D1089">
        <v>1.1399999999999999</v>
      </c>
    </row>
    <row r="1090" spans="2:4" ht="14.25" customHeight="1" x14ac:dyDescent="0.35">
      <c r="B1090" s="107">
        <v>46178</v>
      </c>
      <c r="C1090">
        <v>-0.21</v>
      </c>
      <c r="D1090">
        <v>-0.5</v>
      </c>
    </row>
    <row r="1091" spans="2:4" ht="14.25" customHeight="1" x14ac:dyDescent="0.35">
      <c r="B1091" s="107">
        <v>46181</v>
      </c>
      <c r="C1091">
        <v>-1.04</v>
      </c>
      <c r="D1091">
        <v>-1.92</v>
      </c>
    </row>
    <row r="1092" spans="2:4" ht="14.25" customHeight="1" x14ac:dyDescent="0.35">
      <c r="B1092" s="107">
        <v>46182</v>
      </c>
      <c r="C1092">
        <v>0.52</v>
      </c>
      <c r="D1092">
        <v>1.87</v>
      </c>
    </row>
    <row r="1093" spans="2:4" ht="14.25" customHeight="1" x14ac:dyDescent="0.35">
      <c r="B1093" s="107">
        <v>46183</v>
      </c>
      <c r="C1093">
        <v>-0.12</v>
      </c>
      <c r="D1093">
        <v>-0.9</v>
      </c>
    </row>
    <row r="1094" spans="2:4" ht="14.25" customHeight="1" x14ac:dyDescent="0.35">
      <c r="B1094" s="107">
        <v>46184</v>
      </c>
      <c r="C1094">
        <v>-0.23</v>
      </c>
      <c r="D1094">
        <v>-1.93</v>
      </c>
    </row>
    <row r="1095" spans="2:4" ht="14.25" customHeight="1" x14ac:dyDescent="0.35">
      <c r="B1095" s="107">
        <v>46185</v>
      </c>
      <c r="C1095">
        <v>1.99</v>
      </c>
      <c r="D1095">
        <v>4.99</v>
      </c>
    </row>
    <row r="1096" spans="2:4" ht="14.25" customHeight="1" x14ac:dyDescent="0.35">
      <c r="B1096" s="107">
        <v>46188</v>
      </c>
      <c r="C1096">
        <v>0.98</v>
      </c>
      <c r="D1096">
        <v>2.52</v>
      </c>
    </row>
    <row r="1097" spans="2:4" ht="14.25" customHeight="1" x14ac:dyDescent="0.35">
      <c r="B1097" s="107">
        <v>46189</v>
      </c>
      <c r="C1097">
        <v>0.56999999999999995</v>
      </c>
      <c r="D1097">
        <v>0.43</v>
      </c>
    </row>
    <row r="1098" spans="2:4" ht="14.25" customHeight="1" x14ac:dyDescent="0.35">
      <c r="B1098" s="107">
        <v>46190</v>
      </c>
      <c r="C1098">
        <v>0.4</v>
      </c>
      <c r="D1098">
        <v>0.21</v>
      </c>
    </row>
    <row r="1099" spans="2:4" ht="14.25" customHeight="1" x14ac:dyDescent="0.35">
      <c r="B1099" s="107">
        <v>46191</v>
      </c>
      <c r="C1099">
        <v>0.34</v>
      </c>
      <c r="D1099">
        <v>0.47</v>
      </c>
    </row>
    <row r="1100" spans="2:4" ht="14.25" customHeight="1" x14ac:dyDescent="0.35">
      <c r="B1100" s="107">
        <v>46192</v>
      </c>
      <c r="C1100">
        <v>-0.64</v>
      </c>
      <c r="D1100">
        <v>-1.83</v>
      </c>
    </row>
    <row r="1101" spans="2:4" ht="14.25" customHeight="1" x14ac:dyDescent="0.35">
      <c r="B1101" s="107">
        <v>46195</v>
      </c>
      <c r="C1101">
        <v>0.37</v>
      </c>
      <c r="D1101">
        <v>0.66</v>
      </c>
    </row>
    <row r="1102" spans="2:4" ht="14.25" customHeight="1" x14ac:dyDescent="0.35">
      <c r="B1102" s="107">
        <v>46196</v>
      </c>
      <c r="C1102">
        <v>-0.95</v>
      </c>
      <c r="D1102">
        <v>-0.09</v>
      </c>
    </row>
  </sheetData>
  <mergeCells count="1">
    <mergeCell ref="F11:G11"/>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H70"/>
  <sheetViews>
    <sheetView showGridLines="0" zoomScale="62" zoomScaleNormal="62" workbookViewId="0">
      <selection activeCell="H8" sqref="H8"/>
    </sheetView>
  </sheetViews>
  <sheetFormatPr defaultColWidth="8.6328125" defaultRowHeight="14.5" x14ac:dyDescent="0.35"/>
  <cols>
    <col min="1" max="1" width="2" customWidth="1"/>
    <col min="2" max="2" width="44" customWidth="1"/>
    <col min="3" max="8" width="14" customWidth="1"/>
  </cols>
  <sheetData>
    <row r="1" spans="2:8" ht="21.75" customHeight="1" x14ac:dyDescent="0.35">
      <c r="B1" s="277" t="s">
        <v>383</v>
      </c>
      <c r="C1" s="277"/>
      <c r="D1" s="277"/>
      <c r="E1" s="277"/>
      <c r="F1" s="277"/>
      <c r="G1" s="277"/>
      <c r="H1" s="277"/>
    </row>
    <row r="2" spans="2:8" ht="15" customHeight="1" x14ac:dyDescent="0.35">
      <c r="B2" s="278"/>
      <c r="C2" s="278"/>
      <c r="D2" s="278"/>
      <c r="E2" s="278"/>
      <c r="F2" s="278"/>
      <c r="G2" s="278"/>
      <c r="H2" s="278"/>
    </row>
    <row r="3" spans="2:8" ht="18" customHeight="1" x14ac:dyDescent="0.35">
      <c r="B3" s="333" t="s">
        <v>384</v>
      </c>
      <c r="C3" s="334">
        <v>2022</v>
      </c>
      <c r="D3" s="334">
        <v>2023</v>
      </c>
      <c r="E3" s="334">
        <v>2024</v>
      </c>
      <c r="F3" s="334">
        <v>2025</v>
      </c>
      <c r="G3" s="334">
        <v>2026</v>
      </c>
      <c r="H3" s="334" t="s">
        <v>385</v>
      </c>
    </row>
    <row r="4" spans="2:8" ht="15.75" customHeight="1" x14ac:dyDescent="0.35">
      <c r="B4" s="279" t="s">
        <v>386</v>
      </c>
      <c r="C4" s="279"/>
      <c r="D4" s="279"/>
      <c r="E4" s="279"/>
      <c r="F4" s="279"/>
      <c r="G4" s="279"/>
      <c r="H4" s="279"/>
    </row>
    <row r="5" spans="2:8" ht="15" customHeight="1" x14ac:dyDescent="0.35">
      <c r="B5" s="111" t="s">
        <v>387</v>
      </c>
      <c r="C5" s="112">
        <f>'Profit &amp; Loss'!G10</f>
        <v>585484.22</v>
      </c>
      <c r="D5" s="112">
        <f>'Profit &amp; Loss'!F10</f>
        <v>837764.89</v>
      </c>
      <c r="E5" s="112">
        <f>'Profit &amp; Loss'!E10</f>
        <v>772067.59</v>
      </c>
      <c r="F5" s="112">
        <f>'Profit &amp; Loss'!D10</f>
        <v>753695.85</v>
      </c>
      <c r="G5" s="112">
        <f>'Profit &amp; Loss'!C10</f>
        <v>784415.43</v>
      </c>
      <c r="H5" s="112">
        <f>AVERAGE(C5:G5)</f>
        <v>746685.59600000002</v>
      </c>
    </row>
    <row r="6" spans="2:8" ht="15" customHeight="1" x14ac:dyDescent="0.35">
      <c r="B6" s="113" t="s">
        <v>388</v>
      </c>
      <c r="C6" s="39"/>
      <c r="D6" s="114">
        <f>'Profit &amp; Loss'!F10/'Profit &amp; Loss'!G10-1</f>
        <v>0.43089234753414885</v>
      </c>
      <c r="E6" s="114">
        <f>'Profit &amp; Loss'!E10/'Profit &amp; Loss'!F10-1</f>
        <v>-7.8419734204903335E-2</v>
      </c>
      <c r="F6" s="114">
        <f>'Profit &amp; Loss'!D10/'Profit &amp; Loss'!E10-1</f>
        <v>-2.3795507333755572E-2</v>
      </c>
      <c r="G6" s="114">
        <f>'Profit &amp; Loss'!C10/'Profit &amp; Loss'!D10-1</f>
        <v>4.0758589821079827E-2</v>
      </c>
      <c r="H6" s="115">
        <f>AVERAGE(D6:G6)</f>
        <v>9.2358923954142441E-2</v>
      </c>
    </row>
    <row r="7" spans="2:8" ht="15" customHeight="1" x14ac:dyDescent="0.35">
      <c r="B7" s="111" t="s">
        <v>389</v>
      </c>
      <c r="C7" s="112">
        <f>'Profit &amp; Loss'!G12-('Profit &amp; Loss'!G16+'Profit &amp; Loss'!G17+'Profit &amp; Loss'!G18+'Profit &amp; Loss'!G19+'Profit &amp; Loss'!G23)</f>
        <v>47469.449999999953</v>
      </c>
      <c r="D7" s="112">
        <f>'Profit &amp; Loss'!F12-('Profit &amp; Loss'!F16+'Profit &amp; Loss'!F17+'Profit &amp; Loss'!F18+'Profit &amp; Loss'!F19+'Profit &amp; Loss'!F23)</f>
        <v>31382.319999999949</v>
      </c>
      <c r="E7" s="112">
        <f>'Profit &amp; Loss'!E12-('Profit &amp; Loss'!E16+'Profit &amp; Loss'!E17+'Profit &amp; Loss'!E18+'Profit &amp; Loss'!E19+'Profit &amp; Loss'!E23)</f>
        <v>75865.239999999991</v>
      </c>
      <c r="F7" s="112">
        <f>'Profit &amp; Loss'!D12-('Profit &amp; Loss'!D16+'Profit &amp; Loss'!D17+'Profit &amp; Loss'!D18+'Profit &amp; Loss'!D19+'Profit &amp; Loss'!D23)</f>
        <v>36163.810000000056</v>
      </c>
      <c r="G7" s="112">
        <f>'Profit &amp; Loss'!C12-('Profit &amp; Loss'!C16+'Profit &amp; Loss'!C17+'Profit &amp; Loss'!C18+'Profit &amp; Loss'!C19+'Profit &amp; Loss'!C23)</f>
        <v>78191.640000000014</v>
      </c>
      <c r="H7" s="112">
        <f>AVERAGE(C7:G7)</f>
        <v>53814.491999999991</v>
      </c>
    </row>
    <row r="8" spans="2:8" ht="15" customHeight="1" x14ac:dyDescent="0.35">
      <c r="B8" s="111" t="s">
        <v>390</v>
      </c>
      <c r="C8" s="115">
        <f>('Profit &amp; Loss'!G12-('Profit &amp; Loss'!G16+'Profit &amp; Loss'!G17+'Profit &amp; Loss'!G18+'Profit &amp; Loss'!G19+'Profit &amp; Loss'!G23))/'Profit &amp; Loss'!G12</f>
        <v>8.0547380343842637E-2</v>
      </c>
      <c r="D8" s="115">
        <f>('Profit &amp; Loss'!F12-('Profit &amp; Loss'!F16+'Profit &amp; Loss'!F17+'Profit &amp; Loss'!F18+'Profit &amp; Loss'!F19+'Profit &amp; Loss'!F23))/'Profit &amp; Loss'!F12</f>
        <v>3.728197168226588E-2</v>
      </c>
      <c r="E8" s="115">
        <f>('Profit &amp; Loss'!E12-('Profit &amp; Loss'!E16+'Profit &amp; Loss'!E17+'Profit &amp; Loss'!E18+'Profit &amp; Loss'!E19+'Profit &amp; Loss'!E23))/'Profit &amp; Loss'!E12</f>
        <v>9.7720176747179768E-2</v>
      </c>
      <c r="F8" s="115">
        <f>('Profit &amp; Loss'!D12-('Profit &amp; Loss'!D16+'Profit &amp; Loss'!D17+'Profit &amp; Loss'!D18+'Profit &amp; Loss'!D19+'Profit &amp; Loss'!D23))/'Profit &amp; Loss'!D12</f>
        <v>4.7702852983015728E-2</v>
      </c>
      <c r="G8" s="115">
        <f>('Profit &amp; Loss'!C12-('Profit &amp; Loss'!C16+'Profit &amp; Loss'!C17+'Profit &amp; Loss'!C18+'Profit &amp; Loss'!C19+'Profit &amp; Loss'!C23))/'Profit &amp; Loss'!C12</f>
        <v>9.9681414986954056E-2</v>
      </c>
      <c r="H8" s="115">
        <f>AVERAGE(C8:G8)</f>
        <v>7.2586759348651608E-2</v>
      </c>
    </row>
    <row r="9" spans="2:8" ht="15" customHeight="1" x14ac:dyDescent="0.35">
      <c r="B9" s="113" t="s">
        <v>391</v>
      </c>
      <c r="C9" s="39"/>
      <c r="D9" s="114">
        <f>('Profit &amp; Loss'!F12-('Profit &amp; Loss'!F16+'Profit &amp; Loss'!F17+'Profit &amp; Loss'!F18+'Profit &amp; Loss'!F19+'Profit &amp; Loss'!F23))/('Profit &amp; Loss'!G12-('Profit &amp; Loss'!G16+'Profit &amp; Loss'!G17+'Profit &amp; Loss'!G18+'Profit &amp; Loss'!G19+'Profit &amp; Loss'!G23))-1</f>
        <v>-0.33889438365095914</v>
      </c>
      <c r="E9" s="114">
        <f>('Profit &amp; Loss'!E12-('Profit &amp; Loss'!E16+'Profit &amp; Loss'!E17+'Profit &amp; Loss'!E18+'Profit &amp; Loss'!E19+'Profit &amp; Loss'!E23))/('Profit &amp; Loss'!F12-('Profit &amp; Loss'!F16+'Profit &amp; Loss'!F17+'Profit &amp; Loss'!F18+'Profit &amp; Loss'!F19+'Profit &amp; Loss'!F23))-1</f>
        <v>1.4174516096961636</v>
      </c>
      <c r="F9" s="114">
        <f>('Profit &amp; Loss'!D12-('Profit &amp; Loss'!D16+'Profit &amp; Loss'!D17+'Profit &amp; Loss'!D18+'Profit &amp; Loss'!D19+'Profit &amp; Loss'!D23))/('Profit &amp; Loss'!E12-('Profit &amp; Loss'!E16+'Profit &amp; Loss'!E17+'Profit &amp; Loss'!E18+'Profit &amp; Loss'!E19+'Profit &amp; Loss'!E23))-1</f>
        <v>-0.5233151572446082</v>
      </c>
      <c r="G9" s="114">
        <f>('Profit &amp; Loss'!C12-('Profit &amp; Loss'!C16+'Profit &amp; Loss'!C17+'Profit &amp; Loss'!C18+'Profit &amp; Loss'!C19+'Profit &amp; Loss'!C23))/('Profit &amp; Loss'!D12-('Profit &amp; Loss'!D16+'Profit &amp; Loss'!D17+'Profit &amp; Loss'!D18+'Profit &amp; Loss'!D19+'Profit &amp; Loss'!D23))-1</f>
        <v>1.1621516095787445</v>
      </c>
      <c r="H9" s="115">
        <f>AVERAGE(D9:G9)</f>
        <v>0.42934841959483516</v>
      </c>
    </row>
    <row r="10" spans="2:8" ht="15" customHeight="1" x14ac:dyDescent="0.35">
      <c r="B10" s="111" t="s">
        <v>392</v>
      </c>
      <c r="C10" s="112">
        <f>('Profit &amp; Loss'!G12-('Profit &amp; Loss'!G16+'Profit &amp; Loss'!G17+'Profit &amp; Loss'!G18+'Profit &amp; Loss'!G19+'Profit &amp; Loss'!G23))-'Profit &amp; Loss'!G22</f>
        <v>35121.869999999952</v>
      </c>
      <c r="D10" s="112">
        <f>('Profit &amp; Loss'!F12-('Profit &amp; Loss'!F16+'Profit &amp; Loss'!F17+'Profit &amp; Loss'!F18+'Profit &amp; Loss'!F19+'Profit &amp; Loss'!F23))-'Profit &amp; Loss'!F22</f>
        <v>18201.26999999995</v>
      </c>
      <c r="E10" s="112">
        <f>('Profit &amp; Loss'!E12-('Profit &amp; Loss'!E16+'Profit &amp; Loss'!E17+'Profit &amp; Loss'!E18+'Profit &amp; Loss'!E19+'Profit &amp; Loss'!E23))-'Profit &amp; Loss'!E22</f>
        <v>59999.12999999999</v>
      </c>
      <c r="F10" s="112">
        <f>('Profit &amp; Loss'!D12-('Profit &amp; Loss'!D16+'Profit &amp; Loss'!D17+'Profit &amp; Loss'!D18+'Profit &amp; Loss'!D19+'Profit &amp; Loss'!D23))-'Profit &amp; Loss'!D22</f>
        <v>19386.470000000056</v>
      </c>
      <c r="G10" s="112">
        <f>('Profit &amp; Loss'!C12-('Profit &amp; Loss'!C16+'Profit &amp; Loss'!C17+'Profit &amp; Loss'!C18+'Profit &amp; Loss'!C19+'Profit &amp; Loss'!C23))-'Profit &amp; Loss'!C22</f>
        <v>59771.400000000009</v>
      </c>
      <c r="H10" s="112">
        <f t="shared" ref="H10:H19" si="0">AVERAGE(C10:G10)</f>
        <v>38496.027999999991</v>
      </c>
    </row>
    <row r="11" spans="2:8" ht="15" customHeight="1" x14ac:dyDescent="0.35">
      <c r="B11" s="111" t="s">
        <v>393</v>
      </c>
      <c r="C11" s="115">
        <f>(('Profit &amp; Loss'!G12-('Profit &amp; Loss'!G16+'Profit &amp; Loss'!G17+'Profit &amp; Loss'!G18+'Profit &amp; Loss'!G19+'Profit &amp; Loss'!G23))-'Profit &amp; Loss'!G22)/'Profit &amp; Loss'!G12</f>
        <v>5.9595689886379456E-2</v>
      </c>
      <c r="D11" s="115">
        <f>(('Profit &amp; Loss'!F12-('Profit &amp; Loss'!F16+'Profit &amp; Loss'!F17+'Profit &amp; Loss'!F18+'Profit &amp; Loss'!F19+'Profit &amp; Loss'!F23))-'Profit &amp; Loss'!F22)/'Profit &amp; Loss'!F12</f>
        <v>2.1622978566316155E-2</v>
      </c>
      <c r="E11" s="115">
        <f>(('Profit &amp; Loss'!E12-('Profit &amp; Loss'!E16+'Profit &amp; Loss'!E17+'Profit &amp; Loss'!E18+'Profit &amp; Loss'!E19+'Profit &amp; Loss'!E23))-'Profit &amp; Loss'!E22)/'Profit &amp; Loss'!E12</f>
        <v>7.7283425034666939E-2</v>
      </c>
      <c r="F11" s="115">
        <f>(('Profit &amp; Loss'!D12-('Profit &amp; Loss'!D16+'Profit &amp; Loss'!D17+'Profit &amp; Loss'!D18+'Profit &amp; Loss'!D19+'Profit &amp; Loss'!D23))-'Profit &amp; Loss'!D22)/'Profit &amp; Loss'!D12</f>
        <v>2.5572248285499956E-2</v>
      </c>
      <c r="G11" s="115">
        <f>(('Profit &amp; Loss'!C12-('Profit &amp; Loss'!C16+'Profit &amp; Loss'!C17+'Profit &amp; Loss'!C18+'Profit &amp; Loss'!C19+'Profit &amp; Loss'!C23))-'Profit &amp; Loss'!C22)/'Profit &amp; Loss'!C12</f>
        <v>7.6198654072880748E-2</v>
      </c>
      <c r="H11" s="115">
        <f t="shared" si="0"/>
        <v>5.2054599169148653E-2</v>
      </c>
    </row>
    <row r="12" spans="2:8" ht="15" customHeight="1" x14ac:dyDescent="0.35">
      <c r="B12" s="113" t="s">
        <v>394</v>
      </c>
      <c r="C12" s="116">
        <f>'Profit &amp; Loss'!G20</f>
        <v>5423.26</v>
      </c>
      <c r="D12" s="116">
        <f>'Profit &amp; Loss'!F20</f>
        <v>7541.36</v>
      </c>
      <c r="E12" s="116">
        <f>'Profit &amp; Loss'!E20</f>
        <v>7825.65</v>
      </c>
      <c r="F12" s="116">
        <f>'Profit &amp; Loss'!D20</f>
        <v>9261.93</v>
      </c>
      <c r="G12" s="116">
        <f>'Profit &amp; Loss'!C20</f>
        <v>8307.8799999999992</v>
      </c>
      <c r="H12" s="112">
        <f t="shared" si="0"/>
        <v>7672.0159999999987</v>
      </c>
    </row>
    <row r="13" spans="2:8" ht="15" customHeight="1" x14ac:dyDescent="0.35">
      <c r="B13" s="113" t="s">
        <v>395</v>
      </c>
      <c r="C13" s="114">
        <f>'Profit &amp; Loss'!G20/'Profit &amp; Loss'!G12</f>
        <v>9.2023266737564571E-3</v>
      </c>
      <c r="D13" s="114">
        <f>'Profit &amp; Loss'!F20/'Profit &amp; Loss'!F12</f>
        <v>8.9590817366521358E-3</v>
      </c>
      <c r="E13" s="114">
        <f>'Profit &amp; Loss'!E20/'Profit &amp; Loss'!E12</f>
        <v>1.0080030079145172E-2</v>
      </c>
      <c r="F13" s="114">
        <f>'Profit &amp; Loss'!D20/'Profit &amp; Loss'!D12</f>
        <v>1.2217199601728419E-2</v>
      </c>
      <c r="G13" s="114">
        <f>'Profit &amp; Loss'!C20/'Profit &amp; Loss'!C12</f>
        <v>1.0591173608096922E-2</v>
      </c>
      <c r="H13" s="115">
        <f t="shared" si="0"/>
        <v>1.0209962339875821E-2</v>
      </c>
    </row>
    <row r="14" spans="2:8" ht="15" customHeight="1" x14ac:dyDescent="0.35">
      <c r="B14" s="113" t="s">
        <v>396</v>
      </c>
      <c r="C14" s="116">
        <f>'Profit &amp; Loss'!G22</f>
        <v>12347.58</v>
      </c>
      <c r="D14" s="116">
        <f>'Profit &amp; Loss'!F22</f>
        <v>13181.05</v>
      </c>
      <c r="E14" s="116">
        <f>'Profit &amp; Loss'!E22</f>
        <v>15866.11</v>
      </c>
      <c r="F14" s="116">
        <f>'Profit &amp; Loss'!D22</f>
        <v>16777.34</v>
      </c>
      <c r="G14" s="116">
        <f>'Profit &amp; Loss'!C22</f>
        <v>18420.240000000002</v>
      </c>
      <c r="H14" s="112">
        <f t="shared" si="0"/>
        <v>15318.464000000002</v>
      </c>
    </row>
    <row r="15" spans="2:8" ht="15" customHeight="1" x14ac:dyDescent="0.35">
      <c r="B15" s="113" t="s">
        <v>397</v>
      </c>
      <c r="C15" s="114">
        <f>'Profit &amp; Loss'!G22/'Profit &amp; Loss'!G12</f>
        <v>2.0951690457463177E-2</v>
      </c>
      <c r="D15" s="114">
        <f>'Profit &amp; Loss'!F22/'Profit &amp; Loss'!F12</f>
        <v>1.5658993115949729E-2</v>
      </c>
      <c r="E15" s="114">
        <f>'Profit &amp; Loss'!E22/'Profit &amp; Loss'!E12</f>
        <v>2.0436751712512826E-2</v>
      </c>
      <c r="F15" s="114">
        <f>'Profit &amp; Loss'!D22/'Profit &amp; Loss'!D12</f>
        <v>2.2130604697515772E-2</v>
      </c>
      <c r="G15" s="114">
        <f>'Profit &amp; Loss'!C22/'Profit &amp; Loss'!C12</f>
        <v>2.3482760914073298E-2</v>
      </c>
      <c r="H15" s="115">
        <f t="shared" si="0"/>
        <v>2.0532160179502958E-2</v>
      </c>
    </row>
    <row r="16" spans="2:8" ht="15" customHeight="1" x14ac:dyDescent="0.35">
      <c r="B16" s="111" t="s">
        <v>398</v>
      </c>
      <c r="C16" s="112">
        <f>'Profit &amp; Loss'!G27</f>
        <v>33053.06</v>
      </c>
      <c r="D16" s="112">
        <f>'Profit &amp; Loss'!F27</f>
        <v>14175.5</v>
      </c>
      <c r="E16" s="112">
        <f>'Profit &amp; Loss'!E27</f>
        <v>55741.86</v>
      </c>
      <c r="F16" s="112">
        <f>'Profit &amp; Loss'!D27</f>
        <v>15303.02</v>
      </c>
      <c r="G16" s="112">
        <f>'Profit &amp; Loss'!C27</f>
        <v>54496.52</v>
      </c>
      <c r="H16" s="112">
        <f t="shared" si="0"/>
        <v>34553.991999999998</v>
      </c>
    </row>
    <row r="17" spans="2:8" ht="15" customHeight="1" x14ac:dyDescent="0.35">
      <c r="B17" s="111" t="s">
        <v>399</v>
      </c>
      <c r="C17" s="115">
        <f>'Profit &amp; Loss'!G27/'Profit &amp; Loss'!G12</f>
        <v>5.6085280013732065E-2</v>
      </c>
      <c r="D17" s="115">
        <f>'Profit &amp; Loss'!F27/'Profit &amp; Loss'!F12</f>
        <v>1.6840392602648909E-2</v>
      </c>
      <c r="E17" s="115">
        <f>'Profit &amp; Loss'!E27/'Profit &amp; Loss'!E12</f>
        <v>7.1799738739593402E-2</v>
      </c>
      <c r="F17" s="115">
        <f>'Profit &amp; Loss'!D27/'Profit &amp; Loss'!D12</f>
        <v>2.018586297340209E-2</v>
      </c>
      <c r="G17" s="115">
        <f>'Profit &amp; Loss'!C27/'Profit &amp; Loss'!C12</f>
        <v>6.9474054073617592E-2</v>
      </c>
      <c r="H17" s="115">
        <f t="shared" si="0"/>
        <v>4.6877065680598809E-2</v>
      </c>
    </row>
    <row r="18" spans="2:8" ht="15" customHeight="1" x14ac:dyDescent="0.35">
      <c r="B18" s="111" t="s">
        <v>400</v>
      </c>
      <c r="C18" s="112">
        <f>'Profit &amp; Loss'!G37</f>
        <v>25102.23</v>
      </c>
      <c r="D18" s="112">
        <f>'Profit &amp; Loss'!F37</f>
        <v>9792.1200000000008</v>
      </c>
      <c r="E18" s="112">
        <f>'Profit &amp; Loss'!E37</f>
        <v>41729.69</v>
      </c>
      <c r="F18" s="112">
        <f>'Profit &amp; Loss'!D37</f>
        <v>13597.84</v>
      </c>
      <c r="G18" s="112">
        <f>'Profit &amp; Loss'!C37</f>
        <v>42096.26</v>
      </c>
      <c r="H18" s="112">
        <f t="shared" si="0"/>
        <v>26463.628000000004</v>
      </c>
    </row>
    <row r="19" spans="2:8" ht="15" customHeight="1" x14ac:dyDescent="0.35">
      <c r="B19" s="111" t="s">
        <v>401</v>
      </c>
      <c r="C19" s="115">
        <f>'Profit &amp; Loss'!G37/'Profit &amp; Loss'!G12</f>
        <v>4.2594107732207113E-2</v>
      </c>
      <c r="D19" s="115">
        <f>'Profit &amp; Loss'!F37/'Profit &amp; Loss'!F12</f>
        <v>1.1632968516965922E-2</v>
      </c>
      <c r="E19" s="115">
        <f>'Profit &amp; Loss'!E37/'Profit &amp; Loss'!E12</f>
        <v>5.3751002203446807E-2</v>
      </c>
      <c r="F19" s="115">
        <f>'Profit &amp; Loss'!D37/'Profit &amp; Loss'!D12</f>
        <v>1.7936599114047151E-2</v>
      </c>
      <c r="G19" s="115">
        <f>'Profit &amp; Loss'!C37/'Profit &amp; Loss'!C12</f>
        <v>5.3665772484868125E-2</v>
      </c>
      <c r="H19" s="115">
        <f t="shared" si="0"/>
        <v>3.5916090010307024E-2</v>
      </c>
    </row>
    <row r="20" spans="2:8" ht="15" customHeight="1" x14ac:dyDescent="0.35">
      <c r="B20" s="113" t="s">
        <v>402</v>
      </c>
      <c r="C20" s="39"/>
      <c r="D20" s="114">
        <f>'Profit &amp; Loss'!F37/'Profit &amp; Loss'!G37-1</f>
        <v>-0.60991035457805931</v>
      </c>
      <c r="E20" s="114">
        <f>'Profit &amp; Loss'!E37/'Profit &amp; Loss'!F37-1</f>
        <v>3.2615582733871724</v>
      </c>
      <c r="F20" s="114">
        <f>'Profit &amp; Loss'!D37/'Profit &amp; Loss'!E37-1</f>
        <v>-0.67414471566886791</v>
      </c>
      <c r="G20" s="114">
        <f>'Profit &amp; Loss'!C37/'Profit &amp; Loss'!D37-1</f>
        <v>2.0958049219581936</v>
      </c>
      <c r="H20" s="115">
        <f>AVERAGE(D20:G20)</f>
        <v>1.0183270312746098</v>
      </c>
    </row>
    <row r="21" spans="2:8" ht="15" customHeight="1" x14ac:dyDescent="0.35">
      <c r="B21" s="113" t="s">
        <v>403</v>
      </c>
      <c r="C21" s="116">
        <f>'Profit &amp; Loss'!G40</f>
        <v>27</v>
      </c>
      <c r="D21" s="116">
        <f>'Profit &amp; Loss'!F40</f>
        <v>7</v>
      </c>
      <c r="E21" s="116">
        <f>'Profit &amp; Loss'!E40</f>
        <v>30</v>
      </c>
      <c r="F21" s="116">
        <f>'Profit &amp; Loss'!D40</f>
        <v>10</v>
      </c>
      <c r="G21" s="116">
        <f>'Profit &amp; Loss'!C40</f>
        <v>31</v>
      </c>
      <c r="H21" s="112">
        <f>AVERAGE(C21:G21)</f>
        <v>21</v>
      </c>
    </row>
    <row r="22" spans="2:8" ht="15" customHeight="1" x14ac:dyDescent="0.35">
      <c r="B22" s="113" t="s">
        <v>404</v>
      </c>
      <c r="C22" s="39"/>
      <c r="D22" s="114">
        <f>'Profit &amp; Loss'!F40/'Profit &amp; Loss'!G40-1</f>
        <v>-0.7407407407407407</v>
      </c>
      <c r="E22" s="114">
        <f>'Profit &amp; Loss'!E40/'Profit &amp; Loss'!F40-1</f>
        <v>3.2857142857142856</v>
      </c>
      <c r="F22" s="114">
        <f>'Profit &amp; Loss'!D40/'Profit &amp; Loss'!E40-1</f>
        <v>-0.66666666666666674</v>
      </c>
      <c r="G22" s="114">
        <f>'Profit &amp; Loss'!C40/'Profit &amp; Loss'!D40-1</f>
        <v>2.1</v>
      </c>
      <c r="H22" s="115">
        <f>AVERAGE(D22:G22)</f>
        <v>0.99457671957671967</v>
      </c>
    </row>
    <row r="24" spans="2:8" ht="15.75" customHeight="1" x14ac:dyDescent="0.35">
      <c r="B24" s="279" t="s">
        <v>405</v>
      </c>
      <c r="C24" s="279"/>
      <c r="D24" s="279"/>
      <c r="E24" s="279"/>
      <c r="F24" s="279"/>
      <c r="G24" s="279"/>
      <c r="H24" s="279"/>
    </row>
    <row r="25" spans="2:8" ht="15" customHeight="1" x14ac:dyDescent="0.35">
      <c r="B25" s="111" t="s">
        <v>406</v>
      </c>
      <c r="C25" s="112">
        <f>'Balance Sheet'!G13</f>
        <v>133535.18</v>
      </c>
      <c r="D25" s="112">
        <f>'Balance Sheet'!F13</f>
        <v>139720.24</v>
      </c>
      <c r="E25" s="112">
        <f>'Balance Sheet'!E13</f>
        <v>183416.27</v>
      </c>
      <c r="F25" s="112">
        <f>'Balance Sheet'!D13</f>
        <v>186487.32</v>
      </c>
      <c r="G25" s="112">
        <f>'Balance Sheet'!C13</f>
        <v>219517.55</v>
      </c>
      <c r="H25" s="112">
        <f t="shared" ref="H25:H36" si="1">AVERAGE(C25:G25)</f>
        <v>172535.31200000001</v>
      </c>
    </row>
    <row r="26" spans="2:8" ht="15" customHeight="1" x14ac:dyDescent="0.35">
      <c r="B26" s="111" t="s">
        <v>407</v>
      </c>
      <c r="C26" s="112">
        <f>'Balance Sheet'!G13+'Balance Sheet'!G14</f>
        <v>135126.65</v>
      </c>
      <c r="D26" s="112">
        <f>'Balance Sheet'!F13+'Balance Sheet'!F14</f>
        <v>143214.34</v>
      </c>
      <c r="E26" s="112">
        <f>'Balance Sheet'!E13+'Balance Sheet'!E14</f>
        <v>188162.97999999998</v>
      </c>
      <c r="F26" s="112">
        <f>'Balance Sheet'!D13+'Balance Sheet'!D14</f>
        <v>191024.66</v>
      </c>
      <c r="G26" s="112">
        <f>'Balance Sheet'!C13+'Balance Sheet'!C14</f>
        <v>225547.11</v>
      </c>
      <c r="H26" s="112">
        <f t="shared" si="1"/>
        <v>176615.14799999999</v>
      </c>
    </row>
    <row r="27" spans="2:8" ht="15" customHeight="1" x14ac:dyDescent="0.35">
      <c r="B27" s="113" t="s">
        <v>408</v>
      </c>
      <c r="C27" s="116">
        <f>'Balance Sheet'!G16</f>
        <v>55944.54</v>
      </c>
      <c r="D27" s="116">
        <f>'Balance Sheet'!F16</f>
        <v>63312.94</v>
      </c>
      <c r="E27" s="116">
        <f>'Balance Sheet'!E16</f>
        <v>46792.9</v>
      </c>
      <c r="F27" s="116">
        <f>'Balance Sheet'!D16</f>
        <v>51755.75</v>
      </c>
      <c r="G27" s="116">
        <f>'Balance Sheet'!C16</f>
        <v>63652.1</v>
      </c>
      <c r="H27" s="112">
        <f t="shared" si="1"/>
        <v>56291.645999999993</v>
      </c>
    </row>
    <row r="28" spans="2:8" ht="15" customHeight="1" x14ac:dyDescent="0.35">
      <c r="B28" s="113" t="s">
        <v>409</v>
      </c>
      <c r="C28" s="116">
        <f>'Balance Sheet'!G22</f>
        <v>67605.56</v>
      </c>
      <c r="D28" s="116">
        <f>'Balance Sheet'!F22</f>
        <v>76801.88</v>
      </c>
      <c r="E28" s="116">
        <f>'Balance Sheet'!E22</f>
        <v>76660.67</v>
      </c>
      <c r="F28" s="116">
        <f>'Balance Sheet'!D22</f>
        <v>90804.15</v>
      </c>
      <c r="G28" s="116">
        <f>'Balance Sheet'!C22</f>
        <v>68170.289999999994</v>
      </c>
      <c r="H28" s="112">
        <f t="shared" si="1"/>
        <v>76008.509999999995</v>
      </c>
    </row>
    <row r="29" spans="2:8" ht="15" customHeight="1" x14ac:dyDescent="0.35">
      <c r="B29" s="111" t="s">
        <v>410</v>
      </c>
      <c r="C29" s="112">
        <f>'Balance Sheet'!G16+'Balance Sheet'!G22</f>
        <v>123550.1</v>
      </c>
      <c r="D29" s="112">
        <f>'Balance Sheet'!F16+'Balance Sheet'!F22</f>
        <v>140114.82</v>
      </c>
      <c r="E29" s="112">
        <f>'Balance Sheet'!E16+'Balance Sheet'!E22</f>
        <v>123453.57</v>
      </c>
      <c r="F29" s="112">
        <f>'Balance Sheet'!D16+'Balance Sheet'!D22</f>
        <v>142559.9</v>
      </c>
      <c r="G29" s="112">
        <f>'Balance Sheet'!C16+'Balance Sheet'!C22</f>
        <v>131822.38999999998</v>
      </c>
      <c r="H29" s="112">
        <f t="shared" si="1"/>
        <v>132300.15600000002</v>
      </c>
    </row>
    <row r="30" spans="2:8" ht="15" customHeight="1" x14ac:dyDescent="0.35">
      <c r="B30" s="113" t="s">
        <v>411</v>
      </c>
      <c r="C30" s="116">
        <f>'Balance Sheet'!G44</f>
        <v>1820.14</v>
      </c>
      <c r="D30" s="116">
        <f>'Balance Sheet'!F44</f>
        <v>2096.64</v>
      </c>
      <c r="E30" s="116">
        <f>'Balance Sheet'!E44</f>
        <v>3158.79</v>
      </c>
      <c r="F30" s="116">
        <f>'Balance Sheet'!D44</f>
        <v>3304.94</v>
      </c>
      <c r="G30" s="116">
        <f>'Balance Sheet'!C44</f>
        <v>4414.66</v>
      </c>
      <c r="H30" s="112">
        <f t="shared" si="1"/>
        <v>2959.0340000000001</v>
      </c>
    </row>
    <row r="31" spans="2:8" ht="15" customHeight="1" x14ac:dyDescent="0.35">
      <c r="B31" s="111" t="s">
        <v>412</v>
      </c>
      <c r="C31" s="112">
        <f>'Balance Sheet'!G16+'Balance Sheet'!G22-'Balance Sheet'!G44</f>
        <v>121729.96</v>
      </c>
      <c r="D31" s="112">
        <f>'Balance Sheet'!F16+'Balance Sheet'!F22-'Balance Sheet'!F44</f>
        <v>138018.18</v>
      </c>
      <c r="E31" s="112">
        <f>'Balance Sheet'!E16+'Balance Sheet'!E22-'Balance Sheet'!E44</f>
        <v>120294.78000000001</v>
      </c>
      <c r="F31" s="112">
        <f>'Balance Sheet'!D16+'Balance Sheet'!D22-'Balance Sheet'!D44</f>
        <v>139254.96</v>
      </c>
      <c r="G31" s="112">
        <f>'Balance Sheet'!C16+'Balance Sheet'!C22-'Balance Sheet'!C44</f>
        <v>127407.72999999998</v>
      </c>
      <c r="H31" s="112">
        <f t="shared" si="1"/>
        <v>129341.122</v>
      </c>
    </row>
    <row r="32" spans="2:8" ht="15" customHeight="1" x14ac:dyDescent="0.35">
      <c r="B32" s="113" t="s">
        <v>413</v>
      </c>
      <c r="C32" s="116">
        <f>'Balance Sheet'!G42</f>
        <v>111736.51</v>
      </c>
      <c r="D32" s="116">
        <f>'Balance Sheet'!F42</f>
        <v>121107.58</v>
      </c>
      <c r="E32" s="116">
        <f>'Balance Sheet'!E42</f>
        <v>121375.83</v>
      </c>
      <c r="F32" s="116">
        <f>'Balance Sheet'!D42</f>
        <v>113878.49</v>
      </c>
      <c r="G32" s="116">
        <f>'Balance Sheet'!C42</f>
        <v>117132.72</v>
      </c>
      <c r="H32" s="112">
        <f t="shared" si="1"/>
        <v>117046.226</v>
      </c>
    </row>
    <row r="33" spans="2:8" ht="15" customHeight="1" x14ac:dyDescent="0.35">
      <c r="B33" s="113" t="s">
        <v>414</v>
      </c>
      <c r="C33" s="116">
        <f>'Balance Sheet'!G43</f>
        <v>18700.419999999998</v>
      </c>
      <c r="D33" s="116">
        <f>'Balance Sheet'!F43</f>
        <v>16271.21</v>
      </c>
      <c r="E33" s="116">
        <f>'Balance Sheet'!E43</f>
        <v>13831.45</v>
      </c>
      <c r="F33" s="116">
        <f>'Balance Sheet'!D43</f>
        <v>18550.96</v>
      </c>
      <c r="G33" s="116">
        <f>'Balance Sheet'!C43</f>
        <v>14634.83</v>
      </c>
      <c r="H33" s="112">
        <f t="shared" si="1"/>
        <v>16397.774000000001</v>
      </c>
    </row>
    <row r="34" spans="2:8" ht="15" customHeight="1" x14ac:dyDescent="0.35">
      <c r="B34" s="113" t="s">
        <v>415</v>
      </c>
      <c r="C34" s="116">
        <f>'Balance Sheet'!G23</f>
        <v>49045.91</v>
      </c>
      <c r="D34" s="116">
        <f>'Balance Sheet'!F23</f>
        <v>54734.1</v>
      </c>
      <c r="E34" s="116">
        <f>'Balance Sheet'!E23</f>
        <v>59454.1</v>
      </c>
      <c r="F34" s="116">
        <f>'Balance Sheet'!D23</f>
        <v>60534.94</v>
      </c>
      <c r="G34" s="116">
        <f>'Balance Sheet'!C23</f>
        <v>57368.69</v>
      </c>
      <c r="H34" s="112">
        <f t="shared" si="1"/>
        <v>56227.547999999995</v>
      </c>
    </row>
    <row r="35" spans="2:8" ht="15" customHeight="1" x14ac:dyDescent="0.35">
      <c r="B35" s="111" t="s">
        <v>416</v>
      </c>
      <c r="C35" s="112">
        <f>'Balance Sheet'!G48</f>
        <v>410624.85</v>
      </c>
      <c r="D35" s="112">
        <f>'Balance Sheet'!F48</f>
        <v>441762.09</v>
      </c>
      <c r="E35" s="112">
        <f>'Balance Sheet'!E48</f>
        <v>482362</v>
      </c>
      <c r="F35" s="112">
        <f>'Balance Sheet'!D48</f>
        <v>506867.05</v>
      </c>
      <c r="G35" s="112">
        <f>'Balance Sheet'!C48</f>
        <v>528954.96</v>
      </c>
      <c r="H35" s="112">
        <f t="shared" si="1"/>
        <v>474114.19000000006</v>
      </c>
    </row>
    <row r="36" spans="2:8" ht="15" customHeight="1" x14ac:dyDescent="0.35">
      <c r="B36" s="113" t="s">
        <v>417</v>
      </c>
      <c r="C36" s="116">
        <f>'Balance Sheet'!G34</f>
        <v>207982.58</v>
      </c>
      <c r="D36" s="116">
        <f>'Balance Sheet'!F34</f>
        <v>231180</v>
      </c>
      <c r="E36" s="116">
        <f>'Balance Sheet'!E34</f>
        <v>257029.17</v>
      </c>
      <c r="F36" s="116">
        <f>'Balance Sheet'!D34</f>
        <v>279062.40999999997</v>
      </c>
      <c r="G36" s="116">
        <f>'Balance Sheet'!C34</f>
        <v>294617.69</v>
      </c>
      <c r="H36" s="112">
        <f t="shared" si="1"/>
        <v>253974.36999999997</v>
      </c>
    </row>
    <row r="38" spans="2:8" ht="15.75" customHeight="1" x14ac:dyDescent="0.35">
      <c r="B38" s="279" t="s">
        <v>418</v>
      </c>
      <c r="C38" s="279"/>
      <c r="D38" s="279"/>
      <c r="E38" s="279"/>
      <c r="F38" s="279"/>
      <c r="G38" s="279"/>
      <c r="H38" s="279"/>
    </row>
    <row r="39" spans="2:8" ht="15" customHeight="1" x14ac:dyDescent="0.35">
      <c r="B39" s="113" t="s">
        <v>419</v>
      </c>
      <c r="C39" s="114">
        <f>'Profit &amp; Loss'!G37/'Balance Sheet'!G13</f>
        <v>0.18798214822490972</v>
      </c>
      <c r="D39" s="114">
        <f>'Profit &amp; Loss'!F37/'Balance Sheet'!F13</f>
        <v>7.0083761665453784E-2</v>
      </c>
      <c r="E39" s="114">
        <f>'Profit &amp; Loss'!E37/'Balance Sheet'!E13</f>
        <v>0.22751356790757987</v>
      </c>
      <c r="F39" s="114">
        <f>'Profit &amp; Loss'!D37/'Balance Sheet'!D13</f>
        <v>7.2915627722034929E-2</v>
      </c>
      <c r="G39" s="114">
        <f>'Profit &amp; Loss'!C37/'Balance Sheet'!C13</f>
        <v>0.19176717305746172</v>
      </c>
      <c r="H39" s="115">
        <f>AVERAGE(C39:G39)</f>
        <v>0.150052455715488</v>
      </c>
    </row>
    <row r="40" spans="2:8" ht="15" customHeight="1" x14ac:dyDescent="0.35">
      <c r="B40" s="113" t="s">
        <v>420</v>
      </c>
      <c r="C40" s="114">
        <f>'Profit &amp; Loss'!G37/'Balance Sheet'!G48</f>
        <v>6.113178488832325E-2</v>
      </c>
      <c r="D40" s="114">
        <f>'Profit &amp; Loss'!F37/'Balance Sheet'!F48</f>
        <v>2.2166048698293691E-2</v>
      </c>
      <c r="E40" s="114">
        <f>'Profit &amp; Loss'!E37/'Balance Sheet'!E48</f>
        <v>8.6511147229673985E-2</v>
      </c>
      <c r="F40" s="114">
        <f>'Profit &amp; Loss'!D37/'Balance Sheet'!D48</f>
        <v>2.6827232111458026E-2</v>
      </c>
      <c r="G40" s="114">
        <f>'Profit &amp; Loss'!C37/'Balance Sheet'!C48</f>
        <v>7.9583826948139411E-2</v>
      </c>
      <c r="H40" s="115">
        <f>AVERAGE(C40:G40)</f>
        <v>5.5244007975177666E-2</v>
      </c>
    </row>
    <row r="41" spans="2:8" ht="15" customHeight="1" x14ac:dyDescent="0.35">
      <c r="B41" s="113" t="s">
        <v>421</v>
      </c>
      <c r="C41" s="114">
        <f>(('Profit &amp; Loss'!G12-('Profit &amp; Loss'!G16+'Profit &amp; Loss'!G17+'Profit &amp; Loss'!G18+'Profit &amp; Loss'!G19+'Profit &amp; Loss'!G23))-'Profit &amp; Loss'!G22)/('Balance Sheet'!G48-'Balance Sheet'!G26)</f>
        <v>0.16076278612890574</v>
      </c>
      <c r="D41" s="114">
        <f>(('Profit &amp; Loss'!F12-('Profit &amp; Loss'!F16+'Profit &amp; Loss'!F17+'Profit &amp; Loss'!F18+'Profit &amp; Loss'!F19+'Profit &amp; Loss'!F23))-'Profit &amp; Loss'!F22)/('Balance Sheet'!F48-'Balance Sheet'!F26)</f>
        <v>7.7418030234820343E-2</v>
      </c>
      <c r="E41" s="114">
        <f>(('Profit &amp; Loss'!E12-('Profit &amp; Loss'!E16+'Profit &amp; Loss'!E17+'Profit &amp; Loss'!E18+'Profit &amp; Loss'!E19+'Profit &amp; Loss'!E23))-'Profit &amp; Loss'!E22)/('Balance Sheet'!E48-'Balance Sheet'!E26)</f>
        <v>0.22559620018298368</v>
      </c>
      <c r="F41" s="114">
        <f>(('Profit &amp; Loss'!D12-('Profit &amp; Loss'!D16+'Profit &amp; Loss'!D17+'Profit &amp; Loss'!D18+'Profit &amp; Loss'!D19+'Profit &amp; Loss'!D23))-'Profit &amp; Loss'!D22)/('Balance Sheet'!D48-'Balance Sheet'!D26)</f>
        <v>7.0176596321396445E-2</v>
      </c>
      <c r="G41" s="114">
        <f>(('Profit &amp; Loss'!C12-('Profit &amp; Loss'!C16+'Profit &amp; Loss'!C17+'Profit &amp; Loss'!C18+'Profit &amp; Loss'!C19+'Profit &amp; Loss'!C23))-'Profit &amp; Loss'!C22)/('Balance Sheet'!C48-'Balance Sheet'!C26)</f>
        <v>0.18810875849364955</v>
      </c>
      <c r="H41" s="115">
        <f>AVERAGE(C41:G41)</f>
        <v>0.14441247427235115</v>
      </c>
    </row>
    <row r="43" spans="2:8" ht="15.75" customHeight="1" x14ac:dyDescent="0.35">
      <c r="B43" s="279" t="s">
        <v>422</v>
      </c>
      <c r="C43" s="279"/>
      <c r="D43" s="279"/>
      <c r="E43" s="279"/>
      <c r="F43" s="279"/>
      <c r="G43" s="279"/>
      <c r="H43" s="279"/>
    </row>
    <row r="44" spans="2:8" ht="15" customHeight="1" x14ac:dyDescent="0.35">
      <c r="B44" s="113" t="s">
        <v>423</v>
      </c>
      <c r="C44" s="117">
        <f>('Balance Sheet'!G16+'Balance Sheet'!G22)/('Balance Sheet'!G13+'Balance Sheet'!G14)</f>
        <v>0.91432815066458029</v>
      </c>
      <c r="D44" s="117">
        <f>('Balance Sheet'!F16+'Balance Sheet'!F22)/('Balance Sheet'!F13+'Balance Sheet'!F14)</f>
        <v>0.97835747453781519</v>
      </c>
      <c r="E44" s="117">
        <f>('Balance Sheet'!E16+'Balance Sheet'!E22)/('Balance Sheet'!E13+'Balance Sheet'!E14)</f>
        <v>0.65609914341280107</v>
      </c>
      <c r="F44" s="117">
        <f>('Balance Sheet'!D16+'Balance Sheet'!D22)/('Balance Sheet'!D13+'Balance Sheet'!D14)</f>
        <v>0.74629055745996353</v>
      </c>
      <c r="G44" s="117">
        <f>('Balance Sheet'!C16+'Balance Sheet'!C22)/('Balance Sheet'!C13+'Balance Sheet'!C14)</f>
        <v>0.58445612537442837</v>
      </c>
      <c r="H44" s="118">
        <f>AVERAGE(C44:G44)</f>
        <v>0.77590629028991764</v>
      </c>
    </row>
    <row r="45" spans="2:8" ht="15" customHeight="1" x14ac:dyDescent="0.35">
      <c r="B45" s="113" t="s">
        <v>424</v>
      </c>
      <c r="C45" s="117">
        <f>('Balance Sheet'!G16+'Balance Sheet'!G22-'Balance Sheet'!G44)/('Balance Sheet'!G13+'Balance Sheet'!G14)</f>
        <v>0.90085826889070375</v>
      </c>
      <c r="D45" s="117">
        <f>('Balance Sheet'!F16+'Balance Sheet'!F22-'Balance Sheet'!F44)/('Balance Sheet'!F13+'Balance Sheet'!F14)</f>
        <v>0.96371759978784244</v>
      </c>
      <c r="E45" s="117">
        <f>('Balance Sheet'!E16+'Balance Sheet'!E22-'Balance Sheet'!E44)/('Balance Sheet'!E13+'Balance Sheet'!E14)</f>
        <v>0.63931162229679839</v>
      </c>
      <c r="F45" s="117">
        <f>('Balance Sheet'!D16+'Balance Sheet'!D22-'Balance Sheet'!D44)/('Balance Sheet'!D13+'Balance Sheet'!D14)</f>
        <v>0.72898944042093827</v>
      </c>
      <c r="G45" s="117">
        <f>('Balance Sheet'!C16+'Balance Sheet'!C22-'Balance Sheet'!C44)/('Balance Sheet'!C13+'Balance Sheet'!C14)</f>
        <v>0.56488300825490512</v>
      </c>
      <c r="H45" s="118">
        <f>AVERAGE(C45:G45)</f>
        <v>0.75955198793023759</v>
      </c>
    </row>
    <row r="46" spans="2:8" ht="15" customHeight="1" x14ac:dyDescent="0.35">
      <c r="B46" s="113" t="s">
        <v>425</v>
      </c>
      <c r="C46" s="117">
        <f>('Balance Sheet'!G16+'Balance Sheet'!G22-'Balance Sheet'!G44)/('Profit &amp; Loss'!G12-('Profit &amp; Loss'!G16+'Profit &amp; Loss'!G17+'Profit &amp; Loss'!G18+'Profit &amp; Loss'!G19+'Profit &amp; Loss'!G23))</f>
        <v>2.5643853046538378</v>
      </c>
      <c r="D46" s="117">
        <f>('Balance Sheet'!F16+'Balance Sheet'!F22-'Balance Sheet'!F44)/('Profit &amp; Loss'!F12-('Profit &amp; Loss'!F16+'Profit &amp; Loss'!F17+'Profit &amp; Loss'!F18+'Profit &amp; Loss'!F19+'Profit &amp; Loss'!F23))</f>
        <v>4.3979597429380686</v>
      </c>
      <c r="E46" s="117">
        <f>('Balance Sheet'!E16+'Balance Sheet'!E22-'Balance Sheet'!E44)/('Profit &amp; Loss'!E12-('Profit &amp; Loss'!E16+'Profit &amp; Loss'!E17+'Profit &amp; Loss'!E18+'Profit &amp; Loss'!E19+'Profit &amp; Loss'!E23))</f>
        <v>1.585637638528528</v>
      </c>
      <c r="F46" s="117">
        <f>('Balance Sheet'!D16+'Balance Sheet'!D22-'Balance Sheet'!D44)/('Profit &amp; Loss'!D12-('Profit &amp; Loss'!D16+'Profit &amp; Loss'!D17+'Profit &amp; Loss'!D18+'Profit &amp; Loss'!D19+'Profit &amp; Loss'!D23))</f>
        <v>3.8506717074334751</v>
      </c>
      <c r="G46" s="117">
        <f>('Balance Sheet'!C16+'Balance Sheet'!C22-'Balance Sheet'!C44)/('Profit &amp; Loss'!C12-('Profit &amp; Loss'!C16+'Profit &amp; Loss'!C17+'Profit &amp; Loss'!C18+'Profit &amp; Loss'!C19+'Profit &amp; Loss'!C23))</f>
        <v>1.6294290540523253</v>
      </c>
      <c r="H46" s="118">
        <f>AVERAGE(C46:G46)</f>
        <v>2.8056166895212469</v>
      </c>
    </row>
    <row r="47" spans="2:8" ht="15" customHeight="1" x14ac:dyDescent="0.35">
      <c r="B47" s="113" t="s">
        <v>426</v>
      </c>
      <c r="C47" s="117">
        <f>(('Profit &amp; Loss'!G12-('Profit &amp; Loss'!G16+'Profit &amp; Loss'!G17+'Profit &amp; Loss'!G18+'Profit &amp; Loss'!G19+'Profit &amp; Loss'!G23))-'Profit &amp; Loss'!G22)/'Profit &amp; Loss'!G20</f>
        <v>6.4761545638601046</v>
      </c>
      <c r="D47" s="117">
        <f>(('Profit &amp; Loss'!F12-('Profit &amp; Loss'!F16+'Profit &amp; Loss'!F17+'Profit &amp; Loss'!F18+'Profit &amp; Loss'!F19+'Profit &amp; Loss'!F23))-'Profit &amp; Loss'!F22)/'Profit &amp; Loss'!F20</f>
        <v>2.4135262074745074</v>
      </c>
      <c r="E47" s="117">
        <f>(('Profit &amp; Loss'!E12-('Profit &amp; Loss'!E16+'Profit &amp; Loss'!E17+'Profit &amp; Loss'!E18+'Profit &amp; Loss'!E19+'Profit &amp; Loss'!E23))-'Profit &amp; Loss'!E22)/'Profit &amp; Loss'!E20</f>
        <v>7.6669835732495057</v>
      </c>
      <c r="F47" s="117">
        <f>(('Profit &amp; Loss'!D12-('Profit &amp; Loss'!D16+'Profit &amp; Loss'!D17+'Profit &amp; Loss'!D18+'Profit &amp; Loss'!D19+'Profit &amp; Loss'!D23))-'Profit &amp; Loss'!D22)/'Profit &amp; Loss'!D20</f>
        <v>2.0931350161359519</v>
      </c>
      <c r="G47" s="117">
        <f>(('Profit &amp; Loss'!C12-('Profit &amp; Loss'!C16+'Profit &amp; Loss'!C17+'Profit &amp; Loss'!C18+'Profit &amp; Loss'!C19+'Profit &amp; Loss'!C23))-'Profit &amp; Loss'!C22)/'Profit &amp; Loss'!C20</f>
        <v>7.1945430121763936</v>
      </c>
      <c r="H47" s="118">
        <f>AVERAGE(C47:G47)</f>
        <v>5.168868474579293</v>
      </c>
    </row>
    <row r="48" spans="2:8" ht="15" customHeight="1" x14ac:dyDescent="0.35">
      <c r="B48" s="113" t="s">
        <v>427</v>
      </c>
      <c r="C48" s="114">
        <f>('Balance Sheet'!G16+'Balance Sheet'!G22)/'Balance Sheet'!G48</f>
        <v>0.30088315405168492</v>
      </c>
      <c r="D48" s="114">
        <f>('Balance Sheet'!F16+'Balance Sheet'!F22)/'Balance Sheet'!F48</f>
        <v>0.31717257585412095</v>
      </c>
      <c r="E48" s="114">
        <f>('Balance Sheet'!E16+'Balance Sheet'!E22)/'Balance Sheet'!E48</f>
        <v>0.255935521454841</v>
      </c>
      <c r="F48" s="114">
        <f>('Balance Sheet'!D16+'Balance Sheet'!D22)/'Balance Sheet'!D48</f>
        <v>0.28125698839567498</v>
      </c>
      <c r="G48" s="114">
        <f>('Balance Sheet'!C16+'Balance Sheet'!C22)/'Balance Sheet'!C48</f>
        <v>0.24921288194367247</v>
      </c>
      <c r="H48" s="115">
        <f>AVERAGE(C48:G48)</f>
        <v>0.28089222433999883</v>
      </c>
    </row>
    <row r="50" spans="2:8" ht="15.75" customHeight="1" x14ac:dyDescent="0.35">
      <c r="B50" s="279" t="s">
        <v>428</v>
      </c>
      <c r="C50" s="279"/>
      <c r="D50" s="279"/>
      <c r="E50" s="279"/>
      <c r="F50" s="279"/>
      <c r="G50" s="279"/>
      <c r="H50" s="279"/>
    </row>
    <row r="51" spans="2:8" ht="15" customHeight="1" x14ac:dyDescent="0.35">
      <c r="B51" s="113" t="s">
        <v>429</v>
      </c>
      <c r="C51" s="117">
        <f>'Profit &amp; Loss'!G12/'Balance Sheet'!G48</f>
        <v>1.4352169382832043</v>
      </c>
      <c r="D51" s="117">
        <f>'Profit &amp; Loss'!F12/'Balance Sheet'!F48</f>
        <v>1.9054507597064292</v>
      </c>
      <c r="E51" s="117">
        <f>'Profit &amp; Loss'!E12/'Balance Sheet'!E48</f>
        <v>1.6094797061128363</v>
      </c>
      <c r="F51" s="117">
        <f>'Profit &amp; Loss'!D12/'Balance Sheet'!D48</f>
        <v>1.4956699394841311</v>
      </c>
      <c r="G51" s="117">
        <f>'Profit &amp; Loss'!C12/'Balance Sheet'!C48</f>
        <v>1.4829531610782138</v>
      </c>
      <c r="H51" s="118">
        <f t="shared" ref="H51:H56" si="2">AVERAGE(C51:G51)</f>
        <v>1.585754100932963</v>
      </c>
    </row>
    <row r="52" spans="2:8" ht="15" customHeight="1" x14ac:dyDescent="0.35">
      <c r="B52" s="113" t="s">
        <v>430</v>
      </c>
      <c r="C52" s="117">
        <f>'Profit &amp; Loss'!G12/'Balance Sheet'!G34</f>
        <v>2.8335822163567737</v>
      </c>
      <c r="D52" s="117">
        <f>'Profit &amp; Loss'!F12/'Balance Sheet'!F34</f>
        <v>3.6411277359633187</v>
      </c>
      <c r="E52" s="117">
        <f>'Profit &amp; Loss'!E12/'Balance Sheet'!E34</f>
        <v>3.0204814885407751</v>
      </c>
      <c r="F52" s="117">
        <f>'Profit &amp; Loss'!D12/'Balance Sheet'!D34</f>
        <v>2.7166174405216386</v>
      </c>
      <c r="G52" s="117">
        <f>'Profit &amp; Loss'!C12/'Balance Sheet'!C34</f>
        <v>2.6624858473365944</v>
      </c>
      <c r="H52" s="118">
        <f t="shared" si="2"/>
        <v>2.9748589457438199</v>
      </c>
    </row>
    <row r="53" spans="2:8" ht="15" customHeight="1" x14ac:dyDescent="0.35">
      <c r="B53" s="113" t="s">
        <v>431</v>
      </c>
      <c r="C53" s="119">
        <f>'Balance Sheet'!G43/'Profit &amp; Loss'!G12*365</f>
        <v>11.581943596361556</v>
      </c>
      <c r="D53" s="119">
        <f>'Balance Sheet'!F43/'Profit &amp; Loss'!F12*365</f>
        <v>7.055479598592898</v>
      </c>
      <c r="E53" s="119">
        <f>'Balance Sheet'!E43/'Profit &amp; Loss'!E12*365</f>
        <v>6.5028237518851801</v>
      </c>
      <c r="F53" s="119">
        <f>'Balance Sheet'!D43/'Profit &amp; Loss'!D12*365</f>
        <v>8.9316033602222351</v>
      </c>
      <c r="G53" s="119">
        <f>'Balance Sheet'!C43/'Profit &amp; Loss'!C12*365</f>
        <v>6.8098009622273752</v>
      </c>
      <c r="H53" s="120">
        <f t="shared" si="2"/>
        <v>8.1763302538578504</v>
      </c>
    </row>
    <row r="54" spans="2:8" ht="15" customHeight="1" x14ac:dyDescent="0.35">
      <c r="B54" s="113" t="s">
        <v>432</v>
      </c>
      <c r="C54" s="119">
        <f>'Balance Sheet'!G42/('Profit &amp; Loss'!G16+'Profit &amp; Loss'!G17+'Profit &amp; Loss'!G18)*365</f>
        <v>83.753123043316918</v>
      </c>
      <c r="D54" s="119">
        <f>'Balance Sheet'!F42/('Profit &amp; Loss'!F16+'Profit &amp; Loss'!F17+'Profit &amp; Loss'!F18)*365</f>
        <v>59.125465355761371</v>
      </c>
      <c r="E54" s="119">
        <f>'Balance Sheet'!E42/('Profit &amp; Loss'!E16+'Profit &amp; Loss'!E17+'Profit &amp; Loss'!E18)*365</f>
        <v>69.352279595984442</v>
      </c>
      <c r="F54" s="119">
        <f>'Balance Sheet'!D42/('Profit &amp; Loss'!D16+'Profit &amp; Loss'!D17+'Profit &amp; Loss'!D18)*365</f>
        <v>63.28648980527128</v>
      </c>
      <c r="G54" s="119">
        <f>'Balance Sheet'!C42/('Profit &amp; Loss'!C16+'Profit &amp; Loss'!C17+'Profit &amp; Loss'!C18)*365</f>
        <v>67.527775965336062</v>
      </c>
      <c r="H54" s="120">
        <f t="shared" si="2"/>
        <v>68.609026753134017</v>
      </c>
    </row>
    <row r="55" spans="2:8" ht="15" customHeight="1" x14ac:dyDescent="0.35">
      <c r="B55" s="113" t="s">
        <v>433</v>
      </c>
      <c r="C55" s="119">
        <f>'Balance Sheet'!G23/('Profit &amp; Loss'!G16+'Profit &amp; Loss'!G17+'Profit &amp; Loss'!G18)*365</f>
        <v>36.762810427866846</v>
      </c>
      <c r="D55" s="119">
        <f>'Balance Sheet'!F23/('Profit &amp; Loss'!F16+'Profit &amp; Loss'!F17+'Profit &amp; Loss'!F18)*365</f>
        <v>26.721524229356891</v>
      </c>
      <c r="E55" s="119">
        <f>'Balance Sheet'!E23/('Profit &amp; Loss'!E16+'Profit &amp; Loss'!E17+'Profit &amp; Loss'!E18)*365</f>
        <v>33.971156912604577</v>
      </c>
      <c r="F55" s="119">
        <f>'Balance Sheet'!D23/('Profit &amp; Loss'!D16+'Profit &amp; Loss'!D17+'Profit &amp; Loss'!D18)*365</f>
        <v>33.641505636162798</v>
      </c>
      <c r="G55" s="119">
        <f>'Balance Sheet'!C23/('Profit &amp; Loss'!C16+'Profit &amp; Loss'!C17+'Profit &amp; Loss'!C18)*365</f>
        <v>33.07342342724403</v>
      </c>
      <c r="H55" s="120">
        <f t="shared" si="2"/>
        <v>32.834084126647028</v>
      </c>
    </row>
    <row r="56" spans="2:8" ht="15" customHeight="1" x14ac:dyDescent="0.35">
      <c r="B56" s="121" t="s">
        <v>241</v>
      </c>
      <c r="C56" s="122">
        <f>C53+C54-C55</f>
        <v>58.572256211811627</v>
      </c>
      <c r="D56" s="122">
        <f>D53+D54-D55</f>
        <v>39.459420724997386</v>
      </c>
      <c r="E56" s="122">
        <f>E53+E54-E55</f>
        <v>41.883946435265038</v>
      </c>
      <c r="F56" s="122">
        <f>F53+F54-F55</f>
        <v>38.576587529330716</v>
      </c>
      <c r="G56" s="122">
        <f>G53+G54-G55</f>
        <v>41.264153500319402</v>
      </c>
      <c r="H56" s="122">
        <f t="shared" si="2"/>
        <v>43.951272880344831</v>
      </c>
    </row>
    <row r="58" spans="2:8" ht="15.75" customHeight="1" x14ac:dyDescent="0.35">
      <c r="B58" s="279" t="s">
        <v>434</v>
      </c>
      <c r="C58" s="279"/>
      <c r="D58" s="279"/>
      <c r="E58" s="279"/>
      <c r="F58" s="279"/>
      <c r="G58" s="279"/>
      <c r="H58" s="279"/>
    </row>
    <row r="59" spans="2:8" ht="15" customHeight="1" x14ac:dyDescent="0.35">
      <c r="B59" s="113" t="s">
        <v>388</v>
      </c>
      <c r="C59" s="39"/>
      <c r="D59" s="114">
        <f>'Profit &amp; Loss'!F12/'Profit &amp; Loss'!G12-1</f>
        <v>0.42831301899321428</v>
      </c>
      <c r="E59" s="114">
        <f>'Profit &amp; Loss'!E12/'Profit &amp; Loss'!F12-1</f>
        <v>-7.7699555444760815E-2</v>
      </c>
      <c r="F59" s="114">
        <f>'Profit &amp; Loss'!D12/'Profit &amp; Loss'!E12-1</f>
        <v>-2.350228185841241E-2</v>
      </c>
      <c r="G59" s="114">
        <f>'Profit &amp; Loss'!C12/'Profit &amp; Loss'!D12-1</f>
        <v>3.4704416788469139E-2</v>
      </c>
      <c r="H59" s="115">
        <f>AVERAGE(D59:G59)</f>
        <v>9.0453899619627548E-2</v>
      </c>
    </row>
    <row r="60" spans="2:8" ht="15" customHeight="1" x14ac:dyDescent="0.35">
      <c r="B60" s="113" t="s">
        <v>391</v>
      </c>
      <c r="C60" s="39"/>
      <c r="D60" s="114">
        <f>('Profit &amp; Loss'!F12-('Profit &amp; Loss'!F16+'Profit &amp; Loss'!F17+'Profit &amp; Loss'!F18+'Profit &amp; Loss'!F19+'Profit &amp; Loss'!F23))/('Profit &amp; Loss'!G12-('Profit &amp; Loss'!G16+'Profit &amp; Loss'!G17+'Profit &amp; Loss'!G18+'Profit &amp; Loss'!G19+'Profit &amp; Loss'!G23))-1</f>
        <v>-0.33889438365095914</v>
      </c>
      <c r="E60" s="114">
        <f>('Profit &amp; Loss'!E12-('Profit &amp; Loss'!E16+'Profit &amp; Loss'!E17+'Profit &amp; Loss'!E18+'Profit &amp; Loss'!E19+'Profit &amp; Loss'!E23))/('Profit &amp; Loss'!F12-('Profit &amp; Loss'!F16+'Profit &amp; Loss'!F17+'Profit &amp; Loss'!F18+'Profit &amp; Loss'!F19+'Profit &amp; Loss'!F23))-1</f>
        <v>1.4174516096961636</v>
      </c>
      <c r="F60" s="114">
        <f>('Profit &amp; Loss'!D12-('Profit &amp; Loss'!D16+'Profit &amp; Loss'!D17+'Profit &amp; Loss'!D18+'Profit &amp; Loss'!D19+'Profit &amp; Loss'!D23))/('Profit &amp; Loss'!E12-('Profit &amp; Loss'!E16+'Profit &amp; Loss'!E17+'Profit &amp; Loss'!E18+'Profit &amp; Loss'!E19+'Profit &amp; Loss'!E23))-1</f>
        <v>-0.5233151572446082</v>
      </c>
      <c r="G60" s="114">
        <f>('Profit &amp; Loss'!C12-('Profit &amp; Loss'!C16+'Profit &amp; Loss'!C17+'Profit &amp; Loss'!C18+'Profit &amp; Loss'!C19+'Profit &amp; Loss'!C23))/('Profit &amp; Loss'!D12-('Profit &amp; Loss'!D16+'Profit &amp; Loss'!D17+'Profit &amp; Loss'!D18+'Profit &amp; Loss'!D19+'Profit &amp; Loss'!D23))-1</f>
        <v>1.1621516095787445</v>
      </c>
      <c r="H60" s="115">
        <f>AVERAGE(D60:G60)</f>
        <v>0.42934841959483516</v>
      </c>
    </row>
    <row r="61" spans="2:8" ht="15" customHeight="1" x14ac:dyDescent="0.35">
      <c r="B61" s="113" t="s">
        <v>402</v>
      </c>
      <c r="C61" s="39"/>
      <c r="D61" s="114">
        <f>'Profit &amp; Loss'!F37/'Profit &amp; Loss'!G37-1</f>
        <v>-0.60991035457805931</v>
      </c>
      <c r="E61" s="114">
        <f>'Profit &amp; Loss'!E37/'Profit &amp; Loss'!F37-1</f>
        <v>3.2615582733871724</v>
      </c>
      <c r="F61" s="114">
        <f>'Profit &amp; Loss'!D37/'Profit &amp; Loss'!E37-1</f>
        <v>-0.67414471566886791</v>
      </c>
      <c r="G61" s="114">
        <f>'Profit &amp; Loss'!C37/'Profit &amp; Loss'!D37-1</f>
        <v>2.0958049219581936</v>
      </c>
      <c r="H61" s="115">
        <f>AVERAGE(D61:G61)</f>
        <v>1.0183270312746098</v>
      </c>
    </row>
    <row r="62" spans="2:8" ht="15" customHeight="1" x14ac:dyDescent="0.35">
      <c r="B62" s="113" t="s">
        <v>404</v>
      </c>
      <c r="C62" s="39"/>
      <c r="D62" s="114">
        <f>'Profit &amp; Loss'!F40/'Profit &amp; Loss'!G40-1</f>
        <v>-0.7407407407407407</v>
      </c>
      <c r="E62" s="114">
        <f>'Profit &amp; Loss'!E40/'Profit &amp; Loss'!F40-1</f>
        <v>3.2857142857142856</v>
      </c>
      <c r="F62" s="114">
        <f>'Profit &amp; Loss'!D40/'Profit &amp; Loss'!E40-1</f>
        <v>-0.66666666666666674</v>
      </c>
      <c r="G62" s="114">
        <f>'Profit &amp; Loss'!C40/'Profit &amp; Loss'!D40-1</f>
        <v>2.1</v>
      </c>
      <c r="H62" s="115">
        <f>AVERAGE(D62:G62)</f>
        <v>0.99457671957671967</v>
      </c>
    </row>
    <row r="64" spans="2:8" ht="15.75" customHeight="1" x14ac:dyDescent="0.35">
      <c r="B64" s="279" t="s">
        <v>435</v>
      </c>
      <c r="C64" s="279"/>
      <c r="D64" s="279"/>
      <c r="E64" s="279"/>
      <c r="F64" s="279"/>
      <c r="G64" s="279"/>
      <c r="H64" s="279"/>
    </row>
    <row r="65" spans="2:8" ht="15" customHeight="1" x14ac:dyDescent="0.35">
      <c r="B65" s="113" t="s">
        <v>403</v>
      </c>
      <c r="C65" s="116">
        <f>'Profit &amp; Loss'!G40</f>
        <v>27</v>
      </c>
      <c r="D65" s="116">
        <f>'Profit &amp; Loss'!F40</f>
        <v>7</v>
      </c>
      <c r="E65" s="116">
        <f>'Profit &amp; Loss'!E40</f>
        <v>30</v>
      </c>
      <c r="F65" s="116">
        <f>'Profit &amp; Loss'!D40</f>
        <v>10</v>
      </c>
      <c r="G65" s="116">
        <f>'Profit &amp; Loss'!C40</f>
        <v>31</v>
      </c>
      <c r="H65" s="112">
        <f t="shared" ref="H65:H70" si="3">AVERAGE(C65:G65)</f>
        <v>21</v>
      </c>
    </row>
    <row r="66" spans="2:8" ht="15" customHeight="1" x14ac:dyDescent="0.35">
      <c r="B66" s="113" t="s">
        <v>436</v>
      </c>
      <c r="C66" s="116">
        <f>'Profit &amp; Loss'!G41</f>
        <v>27</v>
      </c>
      <c r="D66" s="116">
        <f>'Profit &amp; Loss'!F41</f>
        <v>7</v>
      </c>
      <c r="E66" s="116">
        <f>'Profit &amp; Loss'!E41</f>
        <v>30</v>
      </c>
      <c r="F66" s="116">
        <f>'Profit &amp; Loss'!D41</f>
        <v>10</v>
      </c>
      <c r="G66" s="116">
        <f>'Profit &amp; Loss'!C41</f>
        <v>31</v>
      </c>
      <c r="H66" s="112">
        <f t="shared" si="3"/>
        <v>21</v>
      </c>
    </row>
    <row r="67" spans="2:8" ht="15" customHeight="1" x14ac:dyDescent="0.35">
      <c r="B67" s="113" t="s">
        <v>437</v>
      </c>
      <c r="C67" s="116">
        <f>IF('Profit &amp; Loss'!G40&lt;&gt;0,'Balance Sheet'!G13/('Balance Sheet'!G9/10),0)</f>
        <v>145.44668142171255</v>
      </c>
      <c r="D67" s="116">
        <f>IF('Profit &amp; Loss'!F40&lt;&gt;0,'Balance Sheet'!F13/('Balance Sheet'!F9/10),0)</f>
        <v>101.45563756030543</v>
      </c>
      <c r="E67" s="116">
        <f>IF('Profit &amp; Loss'!E40&lt;&gt;0,'Balance Sheet'!E13/('Balance Sheet'!E9/10),0)</f>
        <v>133.18481711585324</v>
      </c>
      <c r="F67" s="116">
        <f>IF('Profit &amp; Loss'!D40&lt;&gt;0,'Balance Sheet'!D13/('Balance Sheet'!D9/10),0)</f>
        <v>135.41481139391618</v>
      </c>
      <c r="G67" s="116">
        <f>IF('Profit &amp; Loss'!C40&lt;&gt;0,'Balance Sheet'!C13/('Balance Sheet'!C9/10),0)</f>
        <v>159.39918934383613</v>
      </c>
      <c r="H67" s="112">
        <f t="shared" si="3"/>
        <v>134.98022736712471</v>
      </c>
    </row>
    <row r="68" spans="2:8" ht="15" customHeight="1" x14ac:dyDescent="0.35">
      <c r="B68" s="113" t="s">
        <v>438</v>
      </c>
      <c r="C68" s="116">
        <f>IF('Profit &amp; Loss'!G40&lt;&gt;0,('Balance Sheet'!G16+'Balance Sheet'!G22-'Balance Sheet'!G44)/('Balance Sheet'!G9/10),0)</f>
        <v>132.58842135531486</v>
      </c>
      <c r="D68" s="116">
        <f>IF('Profit &amp; Loss'!F40&lt;&gt;0,('Balance Sheet'!F16+'Balance Sheet'!F22-'Balance Sheet'!F44)/('Balance Sheet'!F9/10),0)</f>
        <v>100.2197136707824</v>
      </c>
      <c r="E68" s="116">
        <f>IF('Profit &amp; Loss'!E40&lt;&gt;0,('Balance Sheet'!E16+'Balance Sheet'!E22-'Balance Sheet'!E44)/('Balance Sheet'!E9/10),0)</f>
        <v>87.350147695685905</v>
      </c>
      <c r="F68" s="116">
        <f>IF('Profit &amp; Loss'!D40&lt;&gt;0,('Balance Sheet'!D16+'Balance Sheet'!D22-'Balance Sheet'!D44)/('Balance Sheet'!D9/10),0)</f>
        <v>101.11778186349258</v>
      </c>
      <c r="G68" s="116">
        <f>IF('Profit &amp; Loss'!C40&lt;&gt;0,('Balance Sheet'!C16+'Balance Sheet'!C22-'Balance Sheet'!C44)/('Balance Sheet'!C9/10),0)</f>
        <v>92.51510359029767</v>
      </c>
      <c r="H68" s="112">
        <f t="shared" si="3"/>
        <v>102.75823363511469</v>
      </c>
    </row>
    <row r="69" spans="2:8" ht="15" customHeight="1" x14ac:dyDescent="0.35">
      <c r="B69" s="113" t="s">
        <v>439</v>
      </c>
      <c r="C69" s="116">
        <f>IF('Balance Sheet'!G9&gt;0,'Profit &amp; Loss'!G43/('Balance Sheet'!G9/10),0)</f>
        <v>10.500771154466159</v>
      </c>
      <c r="D69" s="116">
        <f>IF('Balance Sheet'!F9&gt;0,'Profit &amp; Loss'!F43/('Balance Sheet'!F9/10),0)</f>
        <v>2.4001347704980409</v>
      </c>
      <c r="E69" s="116">
        <f>IF('Balance Sheet'!E9&gt;0,'Profit &amp; Loss'!E43/('Balance Sheet'!E9/10),0)</f>
        <v>8.0002701219034016</v>
      </c>
      <c r="F69" s="116">
        <f>IF('Balance Sheet'!D9&gt;0,'Profit &amp; Loss'!D43/('Balance Sheet'!D9/10),0)</f>
        <v>7.0001365132199993</v>
      </c>
      <c r="G69" s="116">
        <f>IF('Balance Sheet'!C9&gt;0,'Profit &amp; Loss'!C43/('Balance Sheet'!C9/10),0)</f>
        <v>0</v>
      </c>
      <c r="H69" s="112">
        <f t="shared" si="3"/>
        <v>5.5802625120175202</v>
      </c>
    </row>
    <row r="70" spans="2:8" ht="15" customHeight="1" x14ac:dyDescent="0.35">
      <c r="B70" s="113" t="s">
        <v>440</v>
      </c>
      <c r="C70" s="114">
        <f>IF('Profit &amp; Loss'!G43&gt;0,'Profit &amp; Loss'!G43/'Profit &amp; Loss'!G37,0)</f>
        <v>0.3840614957316541</v>
      </c>
      <c r="D70" s="114">
        <f>IF('Profit &amp; Loss'!F43&gt;0,'Profit &amp; Loss'!F43/'Profit &amp; Loss'!F37,0)</f>
        <v>0.33755305286291426</v>
      </c>
      <c r="E70" s="114">
        <f>IF('Profit &amp; Loss'!E43&gt;0,'Profit &amp; Loss'!E43/'Profit &amp; Loss'!E37,0)</f>
        <v>0.2640235285716237</v>
      </c>
      <c r="F70" s="114">
        <f>IF('Profit &amp; Loss'!D43&gt;0,'Profit &amp; Loss'!D43/'Profit &amp; Loss'!D37,0)</f>
        <v>0.70895671665499815</v>
      </c>
      <c r="G70" s="114">
        <f>IF('Profit &amp; Loss'!C43&gt;0,'Profit &amp; Loss'!C43/'Profit &amp; Loss'!C37,0)</f>
        <v>0</v>
      </c>
      <c r="H70" s="115">
        <f t="shared" si="3"/>
        <v>0.33891895876423805</v>
      </c>
    </row>
  </sheetData>
  <mergeCells count="9">
    <mergeCell ref="B43:H43"/>
    <mergeCell ref="B50:H50"/>
    <mergeCell ref="B58:H58"/>
    <mergeCell ref="B64:H64"/>
    <mergeCell ref="B1:H1"/>
    <mergeCell ref="B2:H2"/>
    <mergeCell ref="B4:H4"/>
    <mergeCell ref="B24:H24"/>
    <mergeCell ref="B38:H3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R21"/>
  <sheetViews>
    <sheetView showGridLines="0" zoomScale="65" zoomScaleNormal="66" workbookViewId="0">
      <selection activeCell="D21" sqref="D21"/>
    </sheetView>
  </sheetViews>
  <sheetFormatPr defaultColWidth="8.6328125" defaultRowHeight="14.5" x14ac:dyDescent="0.35"/>
  <cols>
    <col min="1" max="1" width="2" customWidth="1"/>
    <col min="2" max="2" width="32.81640625" customWidth="1"/>
    <col min="3" max="3" width="4.26953125" customWidth="1"/>
    <col min="4" max="5" width="13" customWidth="1"/>
    <col min="6" max="6" width="15" customWidth="1"/>
    <col min="7" max="8" width="13" customWidth="1"/>
    <col min="9" max="9" width="15" customWidth="1"/>
    <col min="10" max="10" width="4" customWidth="1"/>
    <col min="11" max="11" width="13" customWidth="1"/>
    <col min="12" max="13" width="14" customWidth="1"/>
    <col min="14" max="14" width="12" customWidth="1"/>
    <col min="15" max="15" width="4" customWidth="1"/>
    <col min="16" max="18" width="12" customWidth="1"/>
  </cols>
  <sheetData>
    <row r="1" spans="2:18" ht="37.5" customHeight="1" x14ac:dyDescent="0.35">
      <c r="B1" s="335" t="s">
        <v>441</v>
      </c>
      <c r="C1" s="335"/>
      <c r="D1" s="335"/>
      <c r="E1" s="335"/>
      <c r="F1" s="335"/>
      <c r="G1" s="335"/>
      <c r="H1" s="335"/>
      <c r="I1" s="335"/>
      <c r="J1" s="335"/>
      <c r="K1" s="335"/>
      <c r="L1" s="335"/>
      <c r="M1" s="335"/>
      <c r="N1" s="335"/>
      <c r="O1" s="335"/>
      <c r="P1" s="335"/>
      <c r="Q1" s="335"/>
      <c r="R1" s="335"/>
    </row>
    <row r="3" spans="2:18" ht="15" customHeight="1" x14ac:dyDescent="0.35">
      <c r="B3" s="281" t="s">
        <v>442</v>
      </c>
      <c r="C3" s="281"/>
      <c r="D3" s="281"/>
      <c r="E3" s="281"/>
    </row>
    <row r="4" spans="2:18" ht="15" customHeight="1" x14ac:dyDescent="0.35">
      <c r="B4" s="124" t="s">
        <v>443</v>
      </c>
      <c r="C4" s="125"/>
      <c r="D4" s="282" t="s">
        <v>444</v>
      </c>
      <c r="E4" s="282"/>
      <c r="F4" s="282"/>
      <c r="G4" s="282"/>
      <c r="H4" s="282"/>
      <c r="I4" s="282"/>
      <c r="K4" s="282" t="s">
        <v>445</v>
      </c>
      <c r="L4" s="282"/>
      <c r="M4" s="282"/>
      <c r="N4" s="282"/>
      <c r="P4" s="282" t="s">
        <v>446</v>
      </c>
      <c r="Q4" s="282"/>
      <c r="R4" s="282"/>
    </row>
    <row r="5" spans="2:18" ht="22.5" customHeight="1" x14ac:dyDescent="0.35">
      <c r="B5" s="126" t="s">
        <v>443</v>
      </c>
      <c r="C5" s="127"/>
      <c r="D5" s="128" t="s">
        <v>447</v>
      </c>
      <c r="E5" s="129" t="s">
        <v>448</v>
      </c>
      <c r="F5" s="129" t="s">
        <v>449</v>
      </c>
      <c r="G5" s="129" t="s">
        <v>450</v>
      </c>
      <c r="H5" s="129" t="s">
        <v>451</v>
      </c>
      <c r="I5" s="129" t="s">
        <v>452</v>
      </c>
      <c r="K5" s="129" t="s">
        <v>453</v>
      </c>
      <c r="L5" s="129" t="s">
        <v>454</v>
      </c>
      <c r="M5" s="129" t="s">
        <v>455</v>
      </c>
      <c r="N5" s="129" t="s">
        <v>456</v>
      </c>
      <c r="P5" s="129" t="s">
        <v>457</v>
      </c>
      <c r="Q5" s="129" t="s">
        <v>458</v>
      </c>
      <c r="R5" s="129" t="s">
        <v>459</v>
      </c>
    </row>
    <row r="6" spans="2:18" ht="15.75" customHeight="1" x14ac:dyDescent="0.35">
      <c r="B6" s="130" t="s">
        <v>460</v>
      </c>
      <c r="C6" s="131"/>
      <c r="D6" s="132">
        <f>'Balance Sheet'!C9/WACC!C23</f>
        <v>1377.1559999999999</v>
      </c>
      <c r="E6" s="133">
        <f>WACC!C25</f>
        <v>147</v>
      </c>
      <c r="F6" s="134">
        <f t="shared" ref="F6:F11" si="0">D6*E6</f>
        <v>202441.932</v>
      </c>
      <c r="G6" s="135">
        <f>'Balance Sheet'!C16+'Balance Sheet'!C22</f>
        <v>131822.38999999998</v>
      </c>
      <c r="H6" s="135">
        <f>'Balance Sheet'!C44</f>
        <v>4414.66</v>
      </c>
      <c r="I6" s="135">
        <f t="shared" ref="I6:I11" si="1">F6+G6-H6</f>
        <v>329849.66200000001</v>
      </c>
      <c r="J6" s="13"/>
      <c r="K6" s="135">
        <f>'Profit &amp; Loss'!C12</f>
        <v>784415.43</v>
      </c>
      <c r="L6" s="135">
        <f>'Profit &amp; Loss'!C25+'Profit &amp; Loss'!C20+'Profit &amp; Loss'!C22</f>
        <v>81224.639999999999</v>
      </c>
      <c r="M6" s="135">
        <f>'Profit &amp; Loss'!C37</f>
        <v>42096.26</v>
      </c>
      <c r="N6" s="136">
        <f>'Profit &amp; Loss'!C40</f>
        <v>31</v>
      </c>
      <c r="P6" s="137">
        <f t="shared" ref="P6:P11" si="2">I6/K6</f>
        <v>0.4205037909567893</v>
      </c>
      <c r="Q6" s="137">
        <f t="shared" ref="Q6:Q11" si="3">I6/L6</f>
        <v>4.0609556656699253</v>
      </c>
      <c r="R6" s="137">
        <f t="shared" ref="R6:R11" si="4">E6/N6</f>
        <v>4.741935483870968</v>
      </c>
    </row>
    <row r="7" spans="2:18" ht="15.75" customHeight="1" x14ac:dyDescent="0.35">
      <c r="B7" s="138" t="s">
        <v>461</v>
      </c>
      <c r="C7" s="139"/>
      <c r="D7" s="140">
        <v>216.22</v>
      </c>
      <c r="E7" s="141">
        <v>309.75</v>
      </c>
      <c r="F7" s="142">
        <f t="shared" si="0"/>
        <v>66974.145000000004</v>
      </c>
      <c r="G7" s="143">
        <v>54424.42</v>
      </c>
      <c r="H7" s="143">
        <v>8000</v>
      </c>
      <c r="I7" s="143">
        <f t="shared" si="1"/>
        <v>113398.565</v>
      </c>
      <c r="J7" s="13"/>
      <c r="K7" s="143">
        <v>466045</v>
      </c>
      <c r="L7" s="143">
        <v>18500</v>
      </c>
      <c r="M7" s="143">
        <v>6960</v>
      </c>
      <c r="N7" s="144">
        <v>32.19</v>
      </c>
      <c r="O7" s="13"/>
      <c r="P7" s="145">
        <f t="shared" si="2"/>
        <v>0.24332106341662285</v>
      </c>
      <c r="Q7" s="145">
        <f t="shared" si="3"/>
        <v>6.129652162162162</v>
      </c>
      <c r="R7" s="145">
        <f t="shared" si="4"/>
        <v>9.6225535880708293</v>
      </c>
    </row>
    <row r="8" spans="2:18" ht="15.75" customHeight="1" x14ac:dyDescent="0.35">
      <c r="B8" s="138" t="s">
        <v>462</v>
      </c>
      <c r="C8" s="139"/>
      <c r="D8" s="140">
        <v>213.67</v>
      </c>
      <c r="E8" s="141">
        <v>409.25</v>
      </c>
      <c r="F8" s="142">
        <f t="shared" si="0"/>
        <v>87444.447499999995</v>
      </c>
      <c r="G8" s="143">
        <v>55964.43</v>
      </c>
      <c r="H8" s="143">
        <v>4500</v>
      </c>
      <c r="I8" s="143">
        <f t="shared" si="1"/>
        <v>138908.8775</v>
      </c>
      <c r="J8" s="13"/>
      <c r="K8" s="143">
        <v>471200</v>
      </c>
      <c r="L8" s="143">
        <v>21800</v>
      </c>
      <c r="M8" s="143">
        <v>8200</v>
      </c>
      <c r="N8" s="144">
        <v>38.380000000000003</v>
      </c>
      <c r="O8" s="13"/>
      <c r="P8" s="145">
        <f t="shared" si="2"/>
        <v>0.29479812712224107</v>
      </c>
      <c r="Q8" s="145">
        <f t="shared" si="3"/>
        <v>6.3719668577981654</v>
      </c>
      <c r="R8" s="145">
        <f t="shared" si="4"/>
        <v>10.663105784262637</v>
      </c>
    </row>
    <row r="9" spans="2:18" ht="15.75" customHeight="1" x14ac:dyDescent="0.35">
      <c r="B9" s="138" t="s">
        <v>463</v>
      </c>
      <c r="C9" s="139"/>
      <c r="D9" s="140">
        <v>175.19</v>
      </c>
      <c r="E9" s="141">
        <v>153.93</v>
      </c>
      <c r="F9" s="142">
        <f t="shared" si="0"/>
        <v>26966.9967</v>
      </c>
      <c r="G9" s="143">
        <v>15341.02</v>
      </c>
      <c r="H9" s="143">
        <v>600</v>
      </c>
      <c r="I9" s="143">
        <f t="shared" si="1"/>
        <v>41708.0167</v>
      </c>
      <c r="J9" s="13"/>
      <c r="K9" s="143">
        <v>90200</v>
      </c>
      <c r="L9" s="143">
        <v>6800</v>
      </c>
      <c r="M9" s="143">
        <v>2050</v>
      </c>
      <c r="N9" s="144">
        <v>11.7</v>
      </c>
      <c r="O9" s="13"/>
      <c r="P9" s="145">
        <f t="shared" si="2"/>
        <v>0.46239486363636362</v>
      </c>
      <c r="Q9" s="145">
        <f t="shared" si="3"/>
        <v>6.1335318676470587</v>
      </c>
      <c r="R9" s="145">
        <f t="shared" si="4"/>
        <v>13.156410256410258</v>
      </c>
    </row>
    <row r="10" spans="2:18" ht="15.75" customHeight="1" x14ac:dyDescent="0.35">
      <c r="B10" s="138" t="s">
        <v>464</v>
      </c>
      <c r="C10" s="139"/>
      <c r="D10" s="140">
        <v>14.92</v>
      </c>
      <c r="E10" s="141">
        <v>1102.2</v>
      </c>
      <c r="F10" s="142">
        <f t="shared" si="0"/>
        <v>16444.824000000001</v>
      </c>
      <c r="G10" s="143">
        <v>1964.16</v>
      </c>
      <c r="H10" s="143">
        <v>300</v>
      </c>
      <c r="I10" s="143">
        <f t="shared" si="1"/>
        <v>18108.984</v>
      </c>
      <c r="J10" s="13"/>
      <c r="K10" s="143">
        <v>47500</v>
      </c>
      <c r="L10" s="143">
        <v>2600</v>
      </c>
      <c r="M10" s="143">
        <v>950</v>
      </c>
      <c r="N10" s="144">
        <v>63.67</v>
      </c>
      <c r="O10" s="13"/>
      <c r="P10" s="145">
        <f t="shared" si="2"/>
        <v>0.38124176842105262</v>
      </c>
      <c r="Q10" s="145">
        <f t="shared" si="3"/>
        <v>6.9649938461538463</v>
      </c>
      <c r="R10" s="145">
        <f t="shared" si="4"/>
        <v>17.311135542641747</v>
      </c>
    </row>
    <row r="11" spans="2:18" ht="15.75" customHeight="1" x14ac:dyDescent="0.35">
      <c r="B11" s="138" t="s">
        <v>465</v>
      </c>
      <c r="C11" s="139"/>
      <c r="D11" s="140">
        <v>630.36</v>
      </c>
      <c r="E11" s="141">
        <v>242.45</v>
      </c>
      <c r="F11" s="142">
        <f t="shared" si="0"/>
        <v>152830.78200000001</v>
      </c>
      <c r="G11" s="143">
        <v>31500</v>
      </c>
      <c r="H11" s="143">
        <v>22000</v>
      </c>
      <c r="I11" s="143">
        <f t="shared" si="1"/>
        <v>162330.78200000001</v>
      </c>
      <c r="J11" s="13"/>
      <c r="K11" s="143">
        <v>694500</v>
      </c>
      <c r="L11" s="143">
        <v>98000</v>
      </c>
      <c r="M11" s="143">
        <v>36800</v>
      </c>
      <c r="N11" s="144">
        <v>58.38</v>
      </c>
      <c r="O11" s="13"/>
      <c r="P11" s="145">
        <f t="shared" si="2"/>
        <v>0.23373762706983442</v>
      </c>
      <c r="Q11" s="145">
        <f t="shared" si="3"/>
        <v>1.6564365510204082</v>
      </c>
      <c r="R11" s="145">
        <f t="shared" si="4"/>
        <v>4.1529633436108249</v>
      </c>
    </row>
    <row r="12" spans="2:18" ht="15.75" customHeight="1" x14ac:dyDescent="0.35">
      <c r="N12" s="146" t="s">
        <v>466</v>
      </c>
      <c r="P12" s="147">
        <f>AVERAGE(P6:P11)</f>
        <v>0.33933287343715063</v>
      </c>
      <c r="Q12" s="147">
        <f>AVERAGE(Q6:Q11)</f>
        <v>5.2195894917419272</v>
      </c>
      <c r="R12" s="147">
        <f>AVERAGE(R6:R11)</f>
        <v>9.9413506664778755</v>
      </c>
    </row>
    <row r="13" spans="2:18" ht="15.75" customHeight="1" x14ac:dyDescent="0.35">
      <c r="B13" s="148" t="s">
        <v>467</v>
      </c>
      <c r="C13" s="149"/>
      <c r="D13" s="148"/>
      <c r="E13" s="148"/>
      <c r="F13" s="150" t="s">
        <v>457</v>
      </c>
      <c r="G13" s="150" t="s">
        <v>458</v>
      </c>
      <c r="H13" s="150" t="s">
        <v>468</v>
      </c>
      <c r="N13" s="146" t="s">
        <v>469</v>
      </c>
      <c r="P13" s="147">
        <f>MEDIAN(P6:P11)</f>
        <v>0.33801994777164684</v>
      </c>
      <c r="Q13" s="147">
        <f>MEDIAN(Q6:Q11)</f>
        <v>6.1315920149046104</v>
      </c>
      <c r="R13" s="147">
        <f>MEDIAN(R6:R11)</f>
        <v>10.142829686166733</v>
      </c>
    </row>
    <row r="14" spans="2:18" ht="15.75" customHeight="1" x14ac:dyDescent="0.35">
      <c r="B14" s="123" t="s">
        <v>470</v>
      </c>
      <c r="C14" s="123"/>
      <c r="F14" s="143">
        <f>P13*K6</f>
        <v>265148.0626798739</v>
      </c>
      <c r="G14" s="143">
        <f>Q13*L6</f>
        <v>498036.35403750162</v>
      </c>
      <c r="H14" s="143">
        <f>R13*N6*D6</f>
        <v>433016.02153776161</v>
      </c>
    </row>
    <row r="15" spans="2:18" ht="15.75" customHeight="1" x14ac:dyDescent="0.35">
      <c r="B15" s="123" t="s">
        <v>471</v>
      </c>
      <c r="C15" s="123"/>
      <c r="F15" s="143">
        <f>'Balance Sheet'!C16+'Balance Sheet'!C22-'Balance Sheet'!C44</f>
        <v>127407.72999999998</v>
      </c>
      <c r="G15" s="143">
        <f>'Balance Sheet'!C16+'Balance Sheet'!C22-'Balance Sheet'!C44</f>
        <v>127407.72999999998</v>
      </c>
      <c r="H15" s="143">
        <f>'Balance Sheet'!C16+'Balance Sheet'!C22-'Balance Sheet'!C44</f>
        <v>127407.72999999998</v>
      </c>
      <c r="N15" s="146" t="s">
        <v>472</v>
      </c>
      <c r="P15" s="147">
        <f>MAX(P6:P11)</f>
        <v>0.46239486363636362</v>
      </c>
      <c r="Q15" s="147">
        <f>MAX(Q6:Q11)</f>
        <v>6.9649938461538463</v>
      </c>
      <c r="R15" s="147">
        <f>MAX(R6:R11)</f>
        <v>17.311135542641747</v>
      </c>
    </row>
    <row r="16" spans="2:18" ht="15.75" customHeight="1" x14ac:dyDescent="0.35">
      <c r="B16" s="123" t="s">
        <v>473</v>
      </c>
      <c r="C16" s="123"/>
      <c r="F16" s="143">
        <f>F14-F15</f>
        <v>137740.33267987391</v>
      </c>
      <c r="G16" s="143">
        <f>G14-G15</f>
        <v>370628.62403750164</v>
      </c>
      <c r="H16" s="143">
        <f>H14-H15</f>
        <v>305608.29153776163</v>
      </c>
      <c r="N16" s="146" t="s">
        <v>474</v>
      </c>
      <c r="P16" s="147">
        <f>PERCENTILE(P6:P11,0.75)</f>
        <v>0.41068828532285512</v>
      </c>
      <c r="Q16" s="147">
        <f>PERCENTILE(Q6:Q11,0.75)</f>
        <v>6.312358110260389</v>
      </c>
      <c r="R16" s="147">
        <f>PERCENTILE(R6:R11,0.75)</f>
        <v>12.533084138373352</v>
      </c>
    </row>
    <row r="17" spans="2:18" ht="15.75" customHeight="1" x14ac:dyDescent="0.35">
      <c r="B17" s="123" t="s">
        <v>295</v>
      </c>
      <c r="C17" s="123"/>
      <c r="F17" s="144">
        <f>'Balance Sheet'!C9/WACC!C23</f>
        <v>1377.1559999999999</v>
      </c>
      <c r="G17" s="144">
        <f>'Balance Sheet'!C9/WACC!C23</f>
        <v>1377.1559999999999</v>
      </c>
      <c r="H17" s="144">
        <f>'Balance Sheet'!C9/WACC!C23</f>
        <v>1377.1559999999999</v>
      </c>
    </row>
    <row r="18" spans="2:18" ht="15.75" customHeight="1" x14ac:dyDescent="0.35">
      <c r="B18" s="123" t="s">
        <v>475</v>
      </c>
      <c r="C18" s="123"/>
      <c r="F18" s="151">
        <f>F16/F17</f>
        <v>100.01795924345093</v>
      </c>
      <c r="G18" s="151">
        <f>G16/G17</f>
        <v>269.12610048353395</v>
      </c>
      <c r="H18" s="151">
        <f>H16/H17</f>
        <v>221.91261668087105</v>
      </c>
      <c r="N18" s="146" t="s">
        <v>476</v>
      </c>
      <c r="P18" s="147">
        <f>PERCENTILE(P6:P11,0.25)</f>
        <v>0.25619032934302743</v>
      </c>
      <c r="Q18" s="147">
        <f>PERCENTILE(Q6:Q11,0.25)</f>
        <v>4.5781297897929845</v>
      </c>
      <c r="R18" s="147">
        <f>PERCENTILE(R6:R11,0.25)</f>
        <v>5.9620900099209333</v>
      </c>
    </row>
    <row r="19" spans="2:18" ht="15.75" customHeight="1" x14ac:dyDescent="0.35">
      <c r="N19" s="146" t="s">
        <v>477</v>
      </c>
      <c r="P19" s="147">
        <f>MIN(P6:P11)</f>
        <v>0.23373762706983442</v>
      </c>
      <c r="Q19" s="147">
        <f>MIN(Q6:Q11)</f>
        <v>1.6564365510204082</v>
      </c>
      <c r="R19" s="147">
        <f>MIN(R6:R11)</f>
        <v>4.1529633436108249</v>
      </c>
    </row>
    <row r="20" spans="2:18" ht="15.75" customHeight="1" x14ac:dyDescent="0.35"/>
    <row r="21" spans="2:18" ht="15.75" customHeight="1" x14ac:dyDescent="0.35">
      <c r="B21" s="152"/>
      <c r="C21" s="152"/>
    </row>
  </sheetData>
  <mergeCells count="5">
    <mergeCell ref="B1:R1"/>
    <mergeCell ref="B3:E3"/>
    <mergeCell ref="D4:I4"/>
    <mergeCell ref="K4:N4"/>
    <mergeCell ref="P4:R4"/>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J26"/>
  <sheetViews>
    <sheetView showGridLines="0" zoomScale="75" zoomScaleNormal="75" workbookViewId="0">
      <selection activeCell="K4" sqref="K4"/>
    </sheetView>
  </sheetViews>
  <sheetFormatPr defaultColWidth="8.6328125" defaultRowHeight="14.5" x14ac:dyDescent="0.35"/>
  <cols>
    <col min="1" max="1" width="3" customWidth="1"/>
    <col min="2" max="2" width="38" customWidth="1"/>
    <col min="3" max="3" width="29.90625" customWidth="1"/>
    <col min="4" max="4" width="14" customWidth="1"/>
    <col min="5" max="5" width="13" customWidth="1"/>
    <col min="6" max="6" width="18" customWidth="1"/>
    <col min="7" max="7" width="13" customWidth="1"/>
    <col min="8" max="8" width="9.26953125" customWidth="1"/>
    <col min="9" max="9" width="9.6328125" customWidth="1"/>
  </cols>
  <sheetData>
    <row r="1" spans="2:10" ht="32" customHeight="1" x14ac:dyDescent="0.35">
      <c r="B1" s="336" t="s">
        <v>478</v>
      </c>
      <c r="C1" s="337"/>
      <c r="D1" s="337"/>
      <c r="E1" s="337"/>
      <c r="F1" s="337"/>
      <c r="G1" s="338"/>
    </row>
    <row r="2" spans="2:10" ht="15.75" customHeight="1" x14ac:dyDescent="0.35"/>
    <row r="3" spans="2:10" ht="15.75" customHeight="1" x14ac:dyDescent="0.35">
      <c r="B3" s="153" t="s">
        <v>227</v>
      </c>
      <c r="C3" s="154">
        <v>2022</v>
      </c>
      <c r="D3" s="154">
        <v>2023</v>
      </c>
      <c r="E3" s="154">
        <v>2024</v>
      </c>
      <c r="F3" s="154">
        <v>2025</v>
      </c>
      <c r="G3" s="154">
        <v>2026</v>
      </c>
      <c r="H3" s="155"/>
      <c r="I3" s="155"/>
    </row>
    <row r="4" spans="2:10" ht="15.75" customHeight="1" x14ac:dyDescent="0.35">
      <c r="B4" s="283" t="s">
        <v>479</v>
      </c>
      <c r="C4" s="283"/>
      <c r="D4" s="283"/>
      <c r="E4" s="283"/>
      <c r="F4" s="283"/>
      <c r="G4" s="283"/>
    </row>
    <row r="5" spans="2:10" ht="15.75" customHeight="1" x14ac:dyDescent="0.35">
      <c r="B5" s="156" t="s">
        <v>480</v>
      </c>
      <c r="C5" s="156">
        <v>2022</v>
      </c>
      <c r="D5" s="156">
        <v>2023</v>
      </c>
      <c r="E5" s="156">
        <v>2024</v>
      </c>
      <c r="F5" s="156">
        <v>2025</v>
      </c>
      <c r="G5" s="156">
        <v>2026</v>
      </c>
      <c r="H5" s="157"/>
      <c r="I5" s="157"/>
      <c r="J5" s="157"/>
    </row>
    <row r="6" spans="2:10" ht="15.75" customHeight="1" x14ac:dyDescent="0.35">
      <c r="B6" s="158">
        <v>2022</v>
      </c>
      <c r="C6" s="159">
        <f>Assumption!C5</f>
        <v>585484.22</v>
      </c>
      <c r="D6" s="160"/>
      <c r="E6" s="161">
        <v>1</v>
      </c>
      <c r="F6" s="162">
        <f>LN(C6)</f>
        <v>13.280194510333061</v>
      </c>
      <c r="G6" s="39"/>
    </row>
    <row r="7" spans="2:10" ht="15.75" customHeight="1" x14ac:dyDescent="0.35">
      <c r="B7" s="161">
        <v>2023</v>
      </c>
      <c r="C7" s="159">
        <f>Assumption!D5</f>
        <v>837764.89</v>
      </c>
      <c r="D7" s="163">
        <f>C7/C6-1</f>
        <v>0.43089234753414885</v>
      </c>
      <c r="E7" s="161">
        <v>2</v>
      </c>
      <c r="F7" s="162">
        <f>LN(C7)</f>
        <v>13.638492779240471</v>
      </c>
      <c r="G7" s="162">
        <f>C7/C6</f>
        <v>1.4308923475341488</v>
      </c>
    </row>
    <row r="8" spans="2:10" ht="15.75" customHeight="1" x14ac:dyDescent="0.35">
      <c r="B8" s="161">
        <v>2024</v>
      </c>
      <c r="C8" s="159">
        <f>Assumption!E5</f>
        <v>772067.59</v>
      </c>
      <c r="D8" s="163">
        <f>C8/C7-1</f>
        <v>-7.8419734204903335E-2</v>
      </c>
      <c r="E8" s="161">
        <v>3</v>
      </c>
      <c r="F8" s="162">
        <f>LN(C8)</f>
        <v>13.556827376987949</v>
      </c>
      <c r="G8" s="162">
        <f>C8/C7</f>
        <v>0.92158026579509666</v>
      </c>
    </row>
    <row r="9" spans="2:10" ht="15.75" customHeight="1" x14ac:dyDescent="0.35">
      <c r="B9" s="161">
        <v>2025</v>
      </c>
      <c r="C9" s="159">
        <f>Assumption!F5</f>
        <v>753695.85</v>
      </c>
      <c r="D9" s="163">
        <f>C9/C8-1</f>
        <v>-2.3795507333755572E-2</v>
      </c>
      <c r="E9" s="161">
        <v>4</v>
      </c>
      <c r="F9" s="162">
        <f>LN(C9)</f>
        <v>13.532744183646839</v>
      </c>
      <c r="G9" s="162">
        <f>C9/C8</f>
        <v>0.97620449266624443</v>
      </c>
    </row>
    <row r="10" spans="2:10" ht="15.75" customHeight="1" x14ac:dyDescent="0.35">
      <c r="B10" s="161">
        <v>2026</v>
      </c>
      <c r="C10" s="159">
        <f>Assumption!G5</f>
        <v>784415.43</v>
      </c>
      <c r="D10" s="163">
        <f>C10/C9-1</f>
        <v>4.0758589821079827E-2</v>
      </c>
      <c r="E10" s="161">
        <v>5</v>
      </c>
      <c r="F10" s="162">
        <f>LN(C10)</f>
        <v>13.572694044197036</v>
      </c>
      <c r="G10" s="162">
        <f>C10/C9</f>
        <v>1.0407585898210798</v>
      </c>
    </row>
    <row r="11" spans="2:10" ht="15.75" customHeight="1" x14ac:dyDescent="0.35"/>
    <row r="12" spans="2:10" ht="15.75" customHeight="1" x14ac:dyDescent="0.35">
      <c r="B12" s="164" t="s">
        <v>481</v>
      </c>
      <c r="C12" s="165" t="s">
        <v>304</v>
      </c>
      <c r="D12" s="166"/>
      <c r="E12" s="166"/>
      <c r="F12" s="156" t="s">
        <v>482</v>
      </c>
      <c r="G12" s="156" t="s">
        <v>304</v>
      </c>
    </row>
    <row r="13" spans="2:10" ht="15.75" customHeight="1" x14ac:dyDescent="0.35">
      <c r="B13" s="167" t="s">
        <v>483</v>
      </c>
      <c r="C13" s="168">
        <f>AVERAGE(D7:D10)</f>
        <v>9.2358923954142441E-2</v>
      </c>
      <c r="F13" s="169" t="s">
        <v>484</v>
      </c>
      <c r="G13" s="170">
        <f>C13</f>
        <v>9.2358923954142441E-2</v>
      </c>
    </row>
    <row r="14" spans="2:10" ht="15.75" customHeight="1" x14ac:dyDescent="0.35">
      <c r="B14" s="167" t="s">
        <v>485</v>
      </c>
      <c r="C14" s="168">
        <f>(C10/C6)^(1/(E10-E6))-1</f>
        <v>7.5864886261460152E-2</v>
      </c>
      <c r="F14" s="169" t="s">
        <v>486</v>
      </c>
      <c r="G14" s="170">
        <f>C14</f>
        <v>7.5864886261460152E-2</v>
      </c>
    </row>
    <row r="15" spans="2:10" ht="15.75" customHeight="1" x14ac:dyDescent="0.35">
      <c r="B15" s="167" t="s">
        <v>487</v>
      </c>
      <c r="C15" s="168">
        <f>EXP(SLOPE(F6:F10,E6:E10))-1</f>
        <v>4.9092020007273307E-2</v>
      </c>
      <c r="F15" s="169" t="s">
        <v>488</v>
      </c>
      <c r="G15" s="170">
        <f>C15</f>
        <v>4.9092020007273307E-2</v>
      </c>
    </row>
    <row r="16" spans="2:10" ht="15.75" customHeight="1" x14ac:dyDescent="0.35">
      <c r="B16" s="167" t="s">
        <v>489</v>
      </c>
      <c r="C16" s="168">
        <f>GEOMEAN(G7:G10)-1</f>
        <v>7.5864886261460152E-2</v>
      </c>
      <c r="F16" s="169" t="s">
        <v>490</v>
      </c>
      <c r="G16" s="170">
        <f>C16</f>
        <v>7.5864886261460152E-2</v>
      </c>
    </row>
    <row r="17" spans="2:7" ht="15.75" customHeight="1" x14ac:dyDescent="0.35"/>
    <row r="18" spans="2:7" ht="15.75" customHeight="1" x14ac:dyDescent="0.35">
      <c r="B18" s="171" t="s">
        <v>491</v>
      </c>
      <c r="C18" s="171"/>
      <c r="D18" s="171"/>
      <c r="E18" s="172"/>
      <c r="F18" s="172"/>
      <c r="G18" s="172"/>
    </row>
    <row r="19" spans="2:7" ht="15.75" customHeight="1" x14ac:dyDescent="0.35">
      <c r="B19" s="173" t="s">
        <v>492</v>
      </c>
      <c r="C19" s="156" t="s">
        <v>493</v>
      </c>
      <c r="D19" s="156" t="s">
        <v>304</v>
      </c>
    </row>
    <row r="20" spans="2:7" ht="15.75" customHeight="1" x14ac:dyDescent="0.35">
      <c r="B20" s="174" t="s">
        <v>403</v>
      </c>
      <c r="C20" s="174" t="s">
        <v>494</v>
      </c>
      <c r="D20" s="175">
        <f>'Profit &amp; Loss'!C40</f>
        <v>31</v>
      </c>
    </row>
    <row r="21" spans="2:7" ht="15.75" customHeight="1" x14ac:dyDescent="0.35">
      <c r="B21" s="174" t="s">
        <v>495</v>
      </c>
      <c r="C21" s="174" t="s">
        <v>496</v>
      </c>
      <c r="D21" s="175">
        <f>IF('Profit &amp; Loss'!C40=0,0,'Profit &amp; Loss'!D43/('Profit &amp; Loss'!D37/'Profit &amp; Loss'!D40))</f>
        <v>7.0895671665499815</v>
      </c>
    </row>
    <row r="22" spans="2:7" ht="15.75" customHeight="1" x14ac:dyDescent="0.35">
      <c r="B22" s="174" t="s">
        <v>497</v>
      </c>
      <c r="C22" s="174" t="s">
        <v>498</v>
      </c>
      <c r="D22" s="176">
        <f>D21/D20</f>
        <v>0.22869571504999942</v>
      </c>
    </row>
    <row r="23" spans="2:7" ht="15.75" customHeight="1" x14ac:dyDescent="0.35">
      <c r="B23" s="174" t="s">
        <v>499</v>
      </c>
      <c r="C23" s="174" t="s">
        <v>500</v>
      </c>
      <c r="D23" s="176">
        <f>1-D22</f>
        <v>0.77130428495000058</v>
      </c>
    </row>
    <row r="24" spans="2:7" ht="15.75" customHeight="1" x14ac:dyDescent="0.35">
      <c r="B24" s="174" t="s">
        <v>501</v>
      </c>
      <c r="C24" s="174" t="s">
        <v>502</v>
      </c>
      <c r="D24" s="177">
        <f>AVERAGE('Ratio Analysis'!C39:G39)</f>
        <v>0.150052455715488</v>
      </c>
    </row>
    <row r="25" spans="2:7" ht="15.75" customHeight="1" x14ac:dyDescent="0.35">
      <c r="B25" s="174" t="s">
        <v>503</v>
      </c>
      <c r="C25" s="174" t="s">
        <v>504</v>
      </c>
      <c r="D25" s="178">
        <f>D23*D24</f>
        <v>0.11573610206062611</v>
      </c>
    </row>
    <row r="26" spans="2:7" ht="15.75" customHeight="1" x14ac:dyDescent="0.35"/>
  </sheetData>
  <mergeCells count="2">
    <mergeCell ref="B1:G1"/>
    <mergeCell ref="B4:G4"/>
  </mergeCells>
  <pageMargins left="0.7" right="0.7" top="0.75" bottom="0.75" header="0.511811023622047" footer="0.511811023622047"/>
  <pageSetup paperSize="9" orientation="portrait" horizontalDpi="300" verticalDpi="300"/>
  <ignoredErrors>
    <ignoredError sqref="C15"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W26"/>
  <sheetViews>
    <sheetView showGridLines="0" topLeftCell="B1" zoomScale="71" zoomScaleNormal="71" workbookViewId="0">
      <selection activeCell="B1" sqref="B1:M1"/>
    </sheetView>
  </sheetViews>
  <sheetFormatPr defaultColWidth="8.6328125" defaultRowHeight="14.5" x14ac:dyDescent="0.35"/>
  <cols>
    <col min="1" max="1" width="3" style="13" customWidth="1"/>
    <col min="2" max="2" width="30" style="13" customWidth="1"/>
    <col min="3" max="3" width="14" style="13" customWidth="1"/>
    <col min="4" max="13" width="12" style="13" customWidth="1"/>
    <col min="14" max="14" width="24" style="13" customWidth="1"/>
    <col min="15" max="15" width="14" style="179" customWidth="1"/>
    <col min="16" max="16384" width="8.6328125" style="13"/>
  </cols>
  <sheetData>
    <row r="1" spans="2:15" ht="33" customHeight="1" x14ac:dyDescent="0.35">
      <c r="B1" s="340" t="s">
        <v>505</v>
      </c>
      <c r="C1" s="341"/>
      <c r="D1" s="341"/>
      <c r="E1" s="341"/>
      <c r="F1" s="341"/>
      <c r="G1" s="341"/>
      <c r="H1" s="341"/>
      <c r="I1" s="341"/>
      <c r="J1" s="341"/>
      <c r="K1" s="341"/>
      <c r="L1" s="341"/>
      <c r="M1" s="342"/>
    </row>
    <row r="2" spans="2:15" ht="15.75" customHeight="1" x14ac:dyDescent="0.35"/>
    <row r="3" spans="2:15" ht="15.75" customHeight="1" x14ac:dyDescent="0.35">
      <c r="B3" s="284" t="s">
        <v>506</v>
      </c>
      <c r="C3" s="284"/>
      <c r="D3" s="284"/>
      <c r="E3" s="284"/>
      <c r="F3" s="284"/>
      <c r="G3" s="284"/>
      <c r="H3" s="284"/>
      <c r="I3" s="284"/>
      <c r="J3" s="284"/>
      <c r="K3" s="284"/>
      <c r="L3" s="284"/>
      <c r="M3" s="284"/>
    </row>
    <row r="4" spans="2:15" ht="15.75" customHeight="1" x14ac:dyDescent="0.35">
      <c r="B4" s="180" t="s">
        <v>507</v>
      </c>
      <c r="C4" s="181" t="s">
        <v>508</v>
      </c>
      <c r="D4" s="181" t="s">
        <v>509</v>
      </c>
      <c r="E4" s="181" t="s">
        <v>510</v>
      </c>
      <c r="F4" s="181" t="s">
        <v>511</v>
      </c>
      <c r="G4" s="181" t="s">
        <v>512</v>
      </c>
      <c r="H4" s="181" t="s">
        <v>513</v>
      </c>
      <c r="I4" s="181" t="s">
        <v>514</v>
      </c>
      <c r="J4" s="181" t="s">
        <v>515</v>
      </c>
      <c r="K4" s="181" t="s">
        <v>516</v>
      </c>
      <c r="L4" s="181" t="s">
        <v>517</v>
      </c>
      <c r="M4" s="181" t="s">
        <v>518</v>
      </c>
      <c r="N4" s="182" t="s">
        <v>519</v>
      </c>
      <c r="O4" s="183">
        <f>'Growth Rate Analysis'!C13</f>
        <v>9.2358923954142441E-2</v>
      </c>
    </row>
    <row r="5" spans="2:15" ht="15.75" customHeight="1" x14ac:dyDescent="0.35">
      <c r="B5" s="184" t="s">
        <v>520</v>
      </c>
      <c r="C5" s="185">
        <f>'Profit &amp; Loss'!C10</f>
        <v>784415.43</v>
      </c>
      <c r="D5" s="185">
        <f t="shared" ref="D5:M5" si="0">C5*(1+D6)</f>
        <v>856863.19504782604</v>
      </c>
      <c r="E5" s="185">
        <f t="shared" si="0"/>
        <v>933730.62062837963</v>
      </c>
      <c r="F5" s="185">
        <f t="shared" si="0"/>
        <v>1015018.3520412667</v>
      </c>
      <c r="G5" s="185">
        <f t="shared" si="0"/>
        <v>1100691.9396050344</v>
      </c>
      <c r="H5" s="185">
        <f t="shared" si="0"/>
        <v>1190678.9626257427</v>
      </c>
      <c r="I5" s="185">
        <f t="shared" si="0"/>
        <v>1284866.3910425326</v>
      </c>
      <c r="J5" s="185">
        <f t="shared" si="0"/>
        <v>1383098.2486673186</v>
      </c>
      <c r="K5" s="185">
        <f t="shared" si="0"/>
        <v>1485173.6422423769</v>
      </c>
      <c r="L5" s="185">
        <f t="shared" si="0"/>
        <v>1590845.2195125306</v>
      </c>
      <c r="M5" s="186">
        <f t="shared" si="0"/>
        <v>1699818.117049139</v>
      </c>
      <c r="N5" s="187" t="s">
        <v>521</v>
      </c>
      <c r="O5" s="188">
        <f>WACC!C6</f>
        <v>6.8500000000000005E-2</v>
      </c>
    </row>
    <row r="6" spans="2:15" ht="15.75" customHeight="1" x14ac:dyDescent="0.35">
      <c r="B6" s="184" t="s">
        <v>522</v>
      </c>
      <c r="C6" s="22"/>
      <c r="D6" s="183">
        <f>O4</f>
        <v>9.2358923954142441E-2</v>
      </c>
      <c r="E6" s="183">
        <f t="shared" ref="E6:M6" si="1">D6-$O$7</f>
        <v>8.9707932403682175E-2</v>
      </c>
      <c r="F6" s="183">
        <f t="shared" si="1"/>
        <v>8.7056940853221909E-2</v>
      </c>
      <c r="G6" s="183">
        <f t="shared" si="1"/>
        <v>8.4405949302761643E-2</v>
      </c>
      <c r="H6" s="183">
        <f t="shared" si="1"/>
        <v>8.1754957752301377E-2</v>
      </c>
      <c r="I6" s="183">
        <f t="shared" si="1"/>
        <v>7.9103966201841111E-2</v>
      </c>
      <c r="J6" s="183">
        <f t="shared" si="1"/>
        <v>7.6452974651380845E-2</v>
      </c>
      <c r="K6" s="183">
        <f t="shared" si="1"/>
        <v>7.3801983100920579E-2</v>
      </c>
      <c r="L6" s="183">
        <f t="shared" si="1"/>
        <v>7.1150991550460313E-2</v>
      </c>
      <c r="M6" s="189">
        <f t="shared" si="1"/>
        <v>6.8500000000000047E-2</v>
      </c>
      <c r="N6" s="22"/>
      <c r="O6" s="188">
        <f>O4-O5</f>
        <v>2.3858923954142436E-2</v>
      </c>
    </row>
    <row r="7" spans="2:15" ht="15.75" customHeight="1" x14ac:dyDescent="0.35">
      <c r="N7" s="187" t="s">
        <v>523</v>
      </c>
      <c r="O7" s="188">
        <f>O6/9</f>
        <v>2.6509915504602708E-3</v>
      </c>
    </row>
    <row r="8" spans="2:15" ht="15.75" customHeight="1" x14ac:dyDescent="0.35">
      <c r="B8" s="284" t="s">
        <v>524</v>
      </c>
      <c r="C8" s="284"/>
      <c r="D8" s="284"/>
      <c r="E8" s="284"/>
      <c r="F8" s="284"/>
      <c r="G8" s="284"/>
      <c r="H8" s="284"/>
      <c r="I8" s="284"/>
      <c r="J8" s="284"/>
      <c r="K8" s="284"/>
      <c r="L8" s="284"/>
      <c r="M8" s="284"/>
    </row>
    <row r="9" spans="2:15" ht="15.75" customHeight="1" x14ac:dyDescent="0.35">
      <c r="B9" s="180" t="s">
        <v>507</v>
      </c>
      <c r="C9" s="181" t="s">
        <v>508</v>
      </c>
      <c r="D9" s="181" t="s">
        <v>509</v>
      </c>
      <c r="E9" s="181" t="s">
        <v>510</v>
      </c>
      <c r="F9" s="181" t="s">
        <v>511</v>
      </c>
      <c r="G9" s="181" t="s">
        <v>512</v>
      </c>
      <c r="H9" s="181" t="s">
        <v>513</v>
      </c>
      <c r="I9" s="181" t="s">
        <v>514</v>
      </c>
      <c r="J9" s="181" t="s">
        <v>515</v>
      </c>
      <c r="K9" s="181" t="s">
        <v>516</v>
      </c>
      <c r="L9" s="181" t="s">
        <v>517</v>
      </c>
      <c r="M9" s="181" t="s">
        <v>518</v>
      </c>
      <c r="N9" s="182" t="s">
        <v>519</v>
      </c>
      <c r="O9" s="183">
        <f>'Growth Rate Analysis'!C14</f>
        <v>7.5864886261460152E-2</v>
      </c>
    </row>
    <row r="10" spans="2:15" ht="15.75" customHeight="1" x14ac:dyDescent="0.35">
      <c r="B10" s="184" t="s">
        <v>520</v>
      </c>
      <c r="C10" s="185">
        <f>C5</f>
        <v>784415.43</v>
      </c>
      <c r="D10" s="185">
        <f t="shared" ref="D10:M10" si="2">C10*(1+D11)</f>
        <v>843925.01737868437</v>
      </c>
      <c r="E10" s="185">
        <f t="shared" si="2"/>
        <v>907258.69152796408</v>
      </c>
      <c r="F10" s="185">
        <f t="shared" si="2"/>
        <v>974602.91184315982</v>
      </c>
      <c r="G10" s="185">
        <f t="shared" si="2"/>
        <v>1046148.4377016247</v>
      </c>
      <c r="H10" s="185">
        <f t="shared" si="2"/>
        <v>1122090.0302710063</v>
      </c>
      <c r="I10" s="185">
        <f t="shared" si="2"/>
        <v>1202626.1153214877</v>
      </c>
      <c r="J10" s="185">
        <f t="shared" si="2"/>
        <v>1287958.4057391444</v>
      </c>
      <c r="K10" s="185">
        <f t="shared" si="2"/>
        <v>1378291.4825695558</v>
      </c>
      <c r="L10" s="185">
        <f t="shared" si="2"/>
        <v>1473832.3335704885</v>
      </c>
      <c r="M10" s="186">
        <f t="shared" si="2"/>
        <v>1574789.848420067</v>
      </c>
      <c r="N10" s="187" t="s">
        <v>521</v>
      </c>
      <c r="O10" s="188">
        <f>WACC!C6</f>
        <v>6.8500000000000005E-2</v>
      </c>
    </row>
    <row r="11" spans="2:15" ht="15.75" customHeight="1" x14ac:dyDescent="0.35">
      <c r="B11" s="184" t="s">
        <v>522</v>
      </c>
      <c r="C11" s="22"/>
      <c r="D11" s="183">
        <f>O9</f>
        <v>7.5864886261460152E-2</v>
      </c>
      <c r="E11" s="183">
        <f t="shared" ref="E11:M11" si="3">D11-$O$12</f>
        <v>7.5046565565742351E-2</v>
      </c>
      <c r="F11" s="183">
        <f t="shared" si="3"/>
        <v>7.4228244870024551E-2</v>
      </c>
      <c r="G11" s="183">
        <f t="shared" si="3"/>
        <v>7.3409924174306751E-2</v>
      </c>
      <c r="H11" s="183">
        <f t="shared" si="3"/>
        <v>7.2591603478588951E-2</v>
      </c>
      <c r="I11" s="183">
        <f t="shared" si="3"/>
        <v>7.1773282782871151E-2</v>
      </c>
      <c r="J11" s="183">
        <f t="shared" si="3"/>
        <v>7.095496208715335E-2</v>
      </c>
      <c r="K11" s="183">
        <f t="shared" si="3"/>
        <v>7.013664139143555E-2</v>
      </c>
      <c r="L11" s="183">
        <f t="shared" si="3"/>
        <v>6.931832069571775E-2</v>
      </c>
      <c r="M11" s="189">
        <f t="shared" si="3"/>
        <v>6.849999999999995E-2</v>
      </c>
      <c r="N11" s="22"/>
      <c r="O11" s="188">
        <f>O9-O10</f>
        <v>7.3648862614601462E-3</v>
      </c>
    </row>
    <row r="12" spans="2:15" ht="15.75" customHeight="1" x14ac:dyDescent="0.35">
      <c r="N12" s="187" t="s">
        <v>523</v>
      </c>
      <c r="O12" s="188">
        <f>O11/9</f>
        <v>8.1832069571779402E-4</v>
      </c>
    </row>
    <row r="13" spans="2:15" ht="15.75" customHeight="1" x14ac:dyDescent="0.35">
      <c r="B13" s="284" t="s">
        <v>525</v>
      </c>
      <c r="C13" s="284"/>
      <c r="D13" s="284"/>
      <c r="E13" s="284"/>
      <c r="F13" s="284"/>
      <c r="G13" s="284"/>
      <c r="H13" s="284"/>
      <c r="I13" s="284"/>
      <c r="J13" s="284"/>
      <c r="K13" s="284"/>
      <c r="L13" s="284"/>
      <c r="M13" s="284"/>
    </row>
    <row r="14" spans="2:15" ht="15.75" customHeight="1" x14ac:dyDescent="0.35">
      <c r="B14" s="180" t="s">
        <v>507</v>
      </c>
      <c r="C14" s="181" t="s">
        <v>508</v>
      </c>
      <c r="D14" s="181" t="s">
        <v>509</v>
      </c>
      <c r="E14" s="181" t="s">
        <v>510</v>
      </c>
      <c r="F14" s="181" t="s">
        <v>511</v>
      </c>
      <c r="G14" s="181" t="s">
        <v>512</v>
      </c>
      <c r="H14" s="181" t="s">
        <v>513</v>
      </c>
      <c r="I14" s="181" t="s">
        <v>514</v>
      </c>
      <c r="J14" s="181" t="s">
        <v>515</v>
      </c>
      <c r="K14" s="181" t="s">
        <v>516</v>
      </c>
      <c r="L14" s="181" t="s">
        <v>517</v>
      </c>
      <c r="M14" s="181" t="s">
        <v>518</v>
      </c>
      <c r="N14" s="182" t="s">
        <v>519</v>
      </c>
      <c r="O14" s="183">
        <f>'Growth Rate Analysis'!D25</f>
        <v>0.11573610206062611</v>
      </c>
    </row>
    <row r="15" spans="2:15" ht="15.75" customHeight="1" x14ac:dyDescent="0.35">
      <c r="B15" s="184" t="s">
        <v>520</v>
      </c>
      <c r="C15" s="185">
        <f>C10</f>
        <v>784415.43</v>
      </c>
      <c r="D15" s="185">
        <f t="shared" ref="D15:M15" si="4">C15*(1+D16)</f>
        <v>875200.61426440987</v>
      </c>
      <c r="E15" s="185">
        <f t="shared" si="4"/>
        <v>981086.3736069845</v>
      </c>
      <c r="F15" s="185">
        <f t="shared" si="4"/>
        <v>1104931.8631783829</v>
      </c>
      <c r="G15" s="185">
        <f t="shared" si="4"/>
        <v>1250209.9281516112</v>
      </c>
      <c r="H15" s="185">
        <f t="shared" si="4"/>
        <v>1421151.0381104308</v>
      </c>
      <c r="I15" s="185">
        <f t="shared" si="4"/>
        <v>1622923.7616339384</v>
      </c>
      <c r="J15" s="185">
        <f t="shared" si="4"/>
        <v>1861861.6933744566</v>
      </c>
      <c r="K15" s="185">
        <f t="shared" si="4"/>
        <v>2145749.5997635061</v>
      </c>
      <c r="L15" s="185">
        <f t="shared" si="4"/>
        <v>2484185.2696302622</v>
      </c>
      <c r="M15" s="186">
        <f t="shared" si="4"/>
        <v>2876000.2819192577</v>
      </c>
      <c r="N15" s="187" t="s">
        <v>521</v>
      </c>
      <c r="O15" s="188">
        <f>WACC!C6</f>
        <v>6.8500000000000005E-2</v>
      </c>
    </row>
    <row r="16" spans="2:15" ht="15.75" customHeight="1" x14ac:dyDescent="0.35">
      <c r="B16" s="184" t="s">
        <v>522</v>
      </c>
      <c r="C16" s="22"/>
      <c r="D16" s="183">
        <f>O14</f>
        <v>0.11573610206062611</v>
      </c>
      <c r="E16" s="183">
        <f t="shared" ref="E16:M16" si="5">D16-(-P17)</f>
        <v>0.12098455784514012</v>
      </c>
      <c r="F16" s="183">
        <f t="shared" si="5"/>
        <v>0.12623301362965414</v>
      </c>
      <c r="G16" s="183">
        <f t="shared" si="5"/>
        <v>0.13148146941416816</v>
      </c>
      <c r="H16" s="183">
        <f t="shared" si="5"/>
        <v>0.13672992519868218</v>
      </c>
      <c r="I16" s="183">
        <f t="shared" si="5"/>
        <v>0.14197838098319621</v>
      </c>
      <c r="J16" s="183">
        <f t="shared" si="5"/>
        <v>0.14722683676771023</v>
      </c>
      <c r="K16" s="183">
        <f t="shared" si="5"/>
        <v>0.15247529255222425</v>
      </c>
      <c r="L16" s="183">
        <f t="shared" si="5"/>
        <v>0.15772374833673827</v>
      </c>
      <c r="M16" s="189">
        <f t="shared" si="5"/>
        <v>0.15772374833673827</v>
      </c>
      <c r="N16" s="22"/>
      <c r="O16" s="190">
        <f>O14-O15</f>
        <v>4.7236102060626103E-2</v>
      </c>
    </row>
    <row r="17" spans="2:23" ht="15.75" customHeight="1" x14ac:dyDescent="0.35">
      <c r="N17" s="187" t="s">
        <v>523</v>
      </c>
      <c r="O17" s="183">
        <f>O16/9</f>
        <v>5.2484557845140119E-3</v>
      </c>
      <c r="P17" s="183">
        <f>O16/9</f>
        <v>5.2484557845140119E-3</v>
      </c>
      <c r="Q17" s="183">
        <f>O16/9</f>
        <v>5.2484557845140119E-3</v>
      </c>
      <c r="R17" s="183">
        <f>O16/9</f>
        <v>5.2484557845140119E-3</v>
      </c>
      <c r="S17" s="183">
        <f>O16/9</f>
        <v>5.2484557845140119E-3</v>
      </c>
      <c r="T17" s="183">
        <f>O16/9</f>
        <v>5.2484557845140119E-3</v>
      </c>
      <c r="U17" s="183">
        <f>O16/9</f>
        <v>5.2484557845140119E-3</v>
      </c>
      <c r="V17" s="183">
        <f>O16/9</f>
        <v>5.2484557845140119E-3</v>
      </c>
      <c r="W17" s="183">
        <f>O16/9</f>
        <v>5.2484557845140119E-3</v>
      </c>
    </row>
    <row r="18" spans="2:23" ht="15.75" customHeight="1" x14ac:dyDescent="0.35">
      <c r="B18" s="191" t="s">
        <v>526</v>
      </c>
      <c r="C18" s="192">
        <v>2</v>
      </c>
    </row>
    <row r="19" spans="2:23" ht="15.75" customHeight="1" x14ac:dyDescent="0.35">
      <c r="B19" s="193" t="s">
        <v>507</v>
      </c>
      <c r="C19" s="194" t="s">
        <v>508</v>
      </c>
      <c r="D19" s="194" t="s">
        <v>509</v>
      </c>
      <c r="E19" s="194" t="s">
        <v>510</v>
      </c>
      <c r="F19" s="194" t="s">
        <v>511</v>
      </c>
      <c r="G19" s="194" t="s">
        <v>512</v>
      </c>
      <c r="H19" s="194" t="s">
        <v>513</v>
      </c>
      <c r="I19" s="194" t="s">
        <v>514</v>
      </c>
      <c r="J19" s="194" t="s">
        <v>515</v>
      </c>
      <c r="K19" s="194" t="s">
        <v>516</v>
      </c>
      <c r="L19" s="194" t="s">
        <v>517</v>
      </c>
      <c r="M19" s="194" t="s">
        <v>518</v>
      </c>
    </row>
    <row r="20" spans="2:23" ht="15.75" customHeight="1" x14ac:dyDescent="0.35">
      <c r="B20" s="184" t="s">
        <v>520</v>
      </c>
      <c r="C20" s="185">
        <f>C5</f>
        <v>784415.43</v>
      </c>
      <c r="D20" s="185">
        <f t="shared" ref="D20:M20" si="6">C20*(1+D21)</f>
        <v>843925.01737868437</v>
      </c>
      <c r="E20" s="185">
        <f t="shared" si="6"/>
        <v>907258.69152796408</v>
      </c>
      <c r="F20" s="185">
        <f t="shared" si="6"/>
        <v>974602.91184315982</v>
      </c>
      <c r="G20" s="185">
        <f t="shared" si="6"/>
        <v>1046148.4377016247</v>
      </c>
      <c r="H20" s="185">
        <f t="shared" si="6"/>
        <v>1122090.0302710063</v>
      </c>
      <c r="I20" s="185">
        <f t="shared" si="6"/>
        <v>1202626.1153214877</v>
      </c>
      <c r="J20" s="185">
        <f t="shared" si="6"/>
        <v>1287958.4057391444</v>
      </c>
      <c r="K20" s="185">
        <f t="shared" si="6"/>
        <v>1378291.4825695558</v>
      </c>
      <c r="L20" s="185">
        <f t="shared" si="6"/>
        <v>1473832.3335704885</v>
      </c>
      <c r="M20" s="185">
        <f t="shared" si="6"/>
        <v>1574789.848420067</v>
      </c>
    </row>
    <row r="21" spans="2:23" ht="15.75" customHeight="1" x14ac:dyDescent="0.35">
      <c r="B21" s="184" t="s">
        <v>522</v>
      </c>
      <c r="C21" s="22"/>
      <c r="D21" s="183">
        <f t="shared" ref="D21:M21" si="7">CHOOSE($C$18,D6,D11,D16)</f>
        <v>7.5864886261460152E-2</v>
      </c>
      <c r="E21" s="183">
        <f t="shared" si="7"/>
        <v>7.5046565565742351E-2</v>
      </c>
      <c r="F21" s="183">
        <f t="shared" si="7"/>
        <v>7.4228244870024551E-2</v>
      </c>
      <c r="G21" s="183">
        <f t="shared" si="7"/>
        <v>7.3409924174306751E-2</v>
      </c>
      <c r="H21" s="183">
        <f t="shared" si="7"/>
        <v>7.2591603478588951E-2</v>
      </c>
      <c r="I21" s="183">
        <f t="shared" si="7"/>
        <v>7.1773282782871151E-2</v>
      </c>
      <c r="J21" s="183">
        <f t="shared" si="7"/>
        <v>7.095496208715335E-2</v>
      </c>
      <c r="K21" s="183">
        <f t="shared" si="7"/>
        <v>7.013664139143555E-2</v>
      </c>
      <c r="L21" s="183">
        <f t="shared" si="7"/>
        <v>6.931832069571775E-2</v>
      </c>
      <c r="M21" s="183">
        <f t="shared" si="7"/>
        <v>6.849999999999995E-2</v>
      </c>
    </row>
    <row r="22" spans="2:23" ht="15.75" customHeight="1" x14ac:dyDescent="0.35"/>
    <row r="23" spans="2:23" ht="15.75" customHeight="1" x14ac:dyDescent="0.35">
      <c r="N23" s="195" t="s">
        <v>527</v>
      </c>
      <c r="O23" s="195" t="s">
        <v>528</v>
      </c>
    </row>
    <row r="24" spans="2:23" ht="15.75" customHeight="1" x14ac:dyDescent="0.35">
      <c r="N24" s="196" t="s">
        <v>529</v>
      </c>
      <c r="O24" s="183">
        <f>O4</f>
        <v>9.2358923954142441E-2</v>
      </c>
    </row>
    <row r="25" spans="2:23" ht="15.75" customHeight="1" x14ac:dyDescent="0.35">
      <c r="N25" s="196" t="s">
        <v>530</v>
      </c>
      <c r="O25" s="183">
        <f>O9</f>
        <v>7.5864886261460152E-2</v>
      </c>
    </row>
    <row r="26" spans="2:23" ht="15.75" customHeight="1" x14ac:dyDescent="0.35">
      <c r="N26" s="196" t="s">
        <v>531</v>
      </c>
      <c r="O26" s="183">
        <f>O14</f>
        <v>0.11573610206062611</v>
      </c>
    </row>
  </sheetData>
  <mergeCells count="4">
    <mergeCell ref="B1:M1"/>
    <mergeCell ref="B3:M3"/>
    <mergeCell ref="B8:M8"/>
    <mergeCell ref="B13:M13"/>
  </mergeCell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3"/>
  <sheetViews>
    <sheetView showGridLines="0" tabSelected="1" zoomScale="62" zoomScaleNormal="62" workbookViewId="0">
      <selection activeCell="P22" sqref="P22"/>
    </sheetView>
  </sheetViews>
  <sheetFormatPr defaultColWidth="8.6328125" defaultRowHeight="14.5" x14ac:dyDescent="0.35"/>
  <cols>
    <col min="1" max="1" width="3" customWidth="1"/>
    <col min="2" max="2" width="28.26953125" customWidth="1"/>
    <col min="3" max="3" width="9.90625" customWidth="1"/>
    <col min="4" max="5" width="9.81640625" customWidth="1"/>
    <col min="6" max="6" width="24.90625" customWidth="1"/>
    <col min="7" max="13" width="10.7265625" customWidth="1"/>
    <col min="14" max="14" width="4.1796875" customWidth="1"/>
    <col min="15" max="15" width="19.36328125" customWidth="1"/>
    <col min="16" max="16" width="10.7265625" customWidth="1"/>
    <col min="17" max="17" width="5.08984375" customWidth="1"/>
    <col min="18" max="18" width="23.7265625" customWidth="1"/>
    <col min="19" max="19" width="5.453125" customWidth="1"/>
    <col min="20" max="20" width="10" customWidth="1"/>
  </cols>
  <sheetData>
    <row r="1" spans="1:19" ht="38" customHeight="1" x14ac:dyDescent="0.35">
      <c r="A1" s="197"/>
      <c r="B1" s="339" t="s">
        <v>532</v>
      </c>
      <c r="C1" s="339"/>
      <c r="D1" s="339"/>
      <c r="E1" s="339"/>
      <c r="F1" s="339"/>
      <c r="G1" s="339"/>
      <c r="H1" s="339"/>
      <c r="I1" s="339"/>
      <c r="J1" s="339"/>
      <c r="K1" s="339"/>
      <c r="L1" s="339"/>
      <c r="M1" s="339"/>
      <c r="N1" s="197"/>
      <c r="O1" s="197"/>
      <c r="P1" s="197"/>
      <c r="Q1" s="197"/>
      <c r="R1" s="197"/>
      <c r="S1" s="197"/>
    </row>
    <row r="2" spans="1:19" ht="15" customHeight="1" x14ac:dyDescent="0.35">
      <c r="A2" s="197"/>
      <c r="B2" s="197"/>
      <c r="C2" s="197"/>
      <c r="D2" s="197"/>
      <c r="E2" s="197"/>
      <c r="F2" s="197"/>
      <c r="G2" s="197"/>
      <c r="H2" s="197"/>
      <c r="I2" s="197"/>
      <c r="J2" s="197"/>
      <c r="K2" s="197"/>
      <c r="L2" s="197"/>
      <c r="M2" s="197"/>
      <c r="N2" s="197"/>
      <c r="O2" s="197"/>
      <c r="P2" s="197"/>
      <c r="Q2" s="197"/>
      <c r="R2" s="197"/>
      <c r="S2" s="197"/>
    </row>
    <row r="3" spans="1:19" ht="15" customHeight="1" x14ac:dyDescent="0.35">
      <c r="A3" s="197"/>
      <c r="B3" s="197"/>
      <c r="C3" s="197"/>
      <c r="D3" s="198">
        <v>1</v>
      </c>
      <c r="E3" s="198">
        <v>2</v>
      </c>
      <c r="F3" s="198">
        <v>3</v>
      </c>
      <c r="G3" s="198">
        <v>4</v>
      </c>
      <c r="H3" s="198">
        <v>5</v>
      </c>
      <c r="I3" s="198">
        <v>6</v>
      </c>
      <c r="J3" s="198">
        <v>7</v>
      </c>
      <c r="K3" s="198">
        <v>8</v>
      </c>
      <c r="L3" s="198">
        <v>9</v>
      </c>
      <c r="M3" s="198">
        <v>10</v>
      </c>
      <c r="N3" s="197"/>
      <c r="O3" s="197"/>
      <c r="P3" s="197"/>
      <c r="Q3" s="197"/>
      <c r="R3" s="197"/>
      <c r="S3" s="197"/>
    </row>
    <row r="4" spans="1:19" ht="15" customHeight="1" x14ac:dyDescent="0.35">
      <c r="A4" s="197"/>
      <c r="B4" s="199" t="s">
        <v>507</v>
      </c>
      <c r="C4" s="200" t="s">
        <v>508</v>
      </c>
      <c r="D4" s="198" t="s">
        <v>509</v>
      </c>
      <c r="E4" s="198" t="s">
        <v>510</v>
      </c>
      <c r="F4" s="198" t="s">
        <v>511</v>
      </c>
      <c r="G4" s="198" t="s">
        <v>512</v>
      </c>
      <c r="H4" s="198" t="s">
        <v>513</v>
      </c>
      <c r="I4" s="198" t="s">
        <v>514</v>
      </c>
      <c r="J4" s="198" t="s">
        <v>515</v>
      </c>
      <c r="K4" s="198" t="s">
        <v>516</v>
      </c>
      <c r="L4" s="198" t="s">
        <v>517</v>
      </c>
      <c r="M4" s="198" t="s">
        <v>518</v>
      </c>
      <c r="N4" s="201"/>
      <c r="O4" s="198" t="s">
        <v>533</v>
      </c>
      <c r="P4" s="202"/>
      <c r="Q4" s="197"/>
      <c r="R4" s="203" t="s">
        <v>534</v>
      </c>
      <c r="S4" s="204">
        <v>0.01</v>
      </c>
    </row>
    <row r="5" spans="1:19" ht="15" customHeight="1" x14ac:dyDescent="0.35">
      <c r="A5" s="197"/>
      <c r="B5" s="205" t="s">
        <v>520</v>
      </c>
      <c r="C5" s="206">
        <f>'Growth Scenerio'!C20</f>
        <v>784415.43</v>
      </c>
      <c r="D5" s="207">
        <f>'Growth Scenerio'!D20</f>
        <v>843925.01737868437</v>
      </c>
      <c r="E5" s="207">
        <f>'Growth Scenerio'!E20</f>
        <v>907258.69152796408</v>
      </c>
      <c r="F5" s="207">
        <f>'Growth Scenerio'!F20</f>
        <v>974602.91184315982</v>
      </c>
      <c r="G5" s="207">
        <f>'Growth Scenerio'!G20</f>
        <v>1046148.4377016247</v>
      </c>
      <c r="H5" s="207">
        <f>'Growth Scenerio'!H20</f>
        <v>1122090.0302710063</v>
      </c>
      <c r="I5" s="207">
        <f>'Growth Scenerio'!I20</f>
        <v>1202626.1153214877</v>
      </c>
      <c r="J5" s="207">
        <f>'Growth Scenerio'!J20</f>
        <v>1287958.4057391444</v>
      </c>
      <c r="K5" s="207">
        <f>'Growth Scenerio'!K20</f>
        <v>1378291.4825695558</v>
      </c>
      <c r="L5" s="207">
        <f>'Growth Scenerio'!L20</f>
        <v>1473832.3335704885</v>
      </c>
      <c r="M5" s="207">
        <f>'Growth Scenerio'!M20</f>
        <v>1574789.848420067</v>
      </c>
      <c r="N5" s="197"/>
      <c r="O5" s="205" t="s">
        <v>535</v>
      </c>
      <c r="P5" s="207">
        <f>M5*(1+S4)</f>
        <v>1590537.7469042677</v>
      </c>
      <c r="Q5" s="208"/>
      <c r="R5" s="203" t="s">
        <v>536</v>
      </c>
      <c r="S5" s="209">
        <f>WACC!C34</f>
        <v>0.10595785741488351</v>
      </c>
    </row>
    <row r="6" spans="1:19" ht="15" customHeight="1" x14ac:dyDescent="0.35">
      <c r="A6" s="197"/>
      <c r="B6" s="205" t="s">
        <v>522</v>
      </c>
      <c r="C6" s="174"/>
      <c r="D6" s="163">
        <f>'Growth Scenerio'!D21</f>
        <v>7.5864886261460152E-2</v>
      </c>
      <c r="E6" s="163">
        <f>'Growth Scenerio'!E21</f>
        <v>7.5046565565742351E-2</v>
      </c>
      <c r="F6" s="163">
        <f>'Growth Scenerio'!F21</f>
        <v>7.4228244870024551E-2</v>
      </c>
      <c r="G6" s="163">
        <f>'Growth Scenerio'!G21</f>
        <v>7.3409924174306751E-2</v>
      </c>
      <c r="H6" s="163">
        <f>'Growth Scenerio'!H21</f>
        <v>7.2591603478588951E-2</v>
      </c>
      <c r="I6" s="163">
        <f>'Growth Scenerio'!I21</f>
        <v>7.1773282782871151E-2</v>
      </c>
      <c r="J6" s="163">
        <f>'Growth Scenerio'!J21</f>
        <v>7.095496208715335E-2</v>
      </c>
      <c r="K6" s="163">
        <f>'Growth Scenerio'!K21</f>
        <v>7.013664139143555E-2</v>
      </c>
      <c r="L6" s="163">
        <f>'Growth Scenerio'!L21</f>
        <v>6.931832069571775E-2</v>
      </c>
      <c r="M6" s="163">
        <f>'Growth Scenerio'!M21</f>
        <v>6.849999999999995E-2</v>
      </c>
      <c r="N6" s="197"/>
      <c r="O6" s="210" t="s">
        <v>537</v>
      </c>
      <c r="P6" s="163">
        <f>S4</f>
        <v>0.01</v>
      </c>
      <c r="Q6" s="211"/>
      <c r="R6" s="203" t="s">
        <v>538</v>
      </c>
      <c r="S6" s="163">
        <f>S4*S5</f>
        <v>1.0595785741488351E-3</v>
      </c>
    </row>
    <row r="7" spans="1:19" ht="15" customHeight="1" x14ac:dyDescent="0.35">
      <c r="A7" s="197"/>
      <c r="B7" s="205" t="s">
        <v>196</v>
      </c>
      <c r="C7" s="174"/>
      <c r="D7" s="207">
        <f t="shared" ref="D7:M7" si="0">D8*D5</f>
        <v>45073.513112253459</v>
      </c>
      <c r="E7" s="207">
        <f t="shared" si="0"/>
        <v>48456.125469310537</v>
      </c>
      <c r="F7" s="207">
        <f t="shared" si="0"/>
        <v>52052.938616099149</v>
      </c>
      <c r="G7" s="207">
        <f t="shared" si="0"/>
        <v>55874.140892956828</v>
      </c>
      <c r="H7" s="207">
        <f t="shared" si="0"/>
        <v>59930.134373365159</v>
      </c>
      <c r="I7" s="207">
        <f t="shared" si="0"/>
        <v>64231.516854960159</v>
      </c>
      <c r="J7" s="207">
        <f t="shared" si="0"/>
        <v>68789.061698204212</v>
      </c>
      <c r="K7" s="207">
        <f t="shared" si="0"/>
        <v>73613.695450184488</v>
      </c>
      <c r="L7" s="207">
        <f t="shared" si="0"/>
        <v>78716.473198997279</v>
      </c>
      <c r="M7" s="207">
        <f t="shared" si="0"/>
        <v>84108.551613128599</v>
      </c>
      <c r="N7" s="197"/>
      <c r="O7" s="205" t="s">
        <v>196</v>
      </c>
      <c r="P7" s="207">
        <f>P8*P5</f>
        <v>84949.637129259892</v>
      </c>
      <c r="Q7" s="208"/>
      <c r="R7" s="197"/>
      <c r="S7" s="197"/>
    </row>
    <row r="8" spans="1:19" ht="15" customHeight="1" x14ac:dyDescent="0.35">
      <c r="A8" s="197"/>
      <c r="B8" s="205" t="s">
        <v>316</v>
      </c>
      <c r="C8" s="174"/>
      <c r="D8" s="163">
        <f>Assumption!$J$34</f>
        <v>5.3409381383498149E-2</v>
      </c>
      <c r="E8" s="163">
        <f>Assumption!$J$34</f>
        <v>5.3409381383498149E-2</v>
      </c>
      <c r="F8" s="163">
        <f>Assumption!$J$34</f>
        <v>5.3409381383498149E-2</v>
      </c>
      <c r="G8" s="163">
        <f>Assumption!$J$34</f>
        <v>5.3409381383498149E-2</v>
      </c>
      <c r="H8" s="163">
        <f>Assumption!$J$34</f>
        <v>5.3409381383498149E-2</v>
      </c>
      <c r="I8" s="163">
        <f>Assumption!$J$34</f>
        <v>5.3409381383498149E-2</v>
      </c>
      <c r="J8" s="163">
        <f>Assumption!$J$34</f>
        <v>5.3409381383498149E-2</v>
      </c>
      <c r="K8" s="163">
        <f>Assumption!$J$34</f>
        <v>5.3409381383498149E-2</v>
      </c>
      <c r="L8" s="163">
        <f>Assumption!$J$34</f>
        <v>5.3409381383498149E-2</v>
      </c>
      <c r="M8" s="163">
        <f>Assumption!$J$34</f>
        <v>5.3409381383498149E-2</v>
      </c>
      <c r="N8" s="197"/>
      <c r="O8" s="205" t="s">
        <v>197</v>
      </c>
      <c r="P8" s="163">
        <f>M8</f>
        <v>5.3409381383498149E-2</v>
      </c>
      <c r="Q8" s="211"/>
      <c r="R8" s="197"/>
      <c r="S8" s="197"/>
    </row>
    <row r="9" spans="1:19" ht="15" customHeight="1" x14ac:dyDescent="0.35">
      <c r="A9" s="197"/>
      <c r="B9" s="205" t="s">
        <v>539</v>
      </c>
      <c r="C9" s="174"/>
      <c r="D9" s="207">
        <f>D7*Assumption!$C$40</f>
        <v>11268.378278063365</v>
      </c>
      <c r="E9" s="207">
        <f>E7*Assumption!$C$40</f>
        <v>12114.031367327634</v>
      </c>
      <c r="F9" s="207">
        <f>F7*Assumption!$C$40</f>
        <v>13013.234654024787</v>
      </c>
      <c r="G9" s="207">
        <f>G7*Assumption!$C$40</f>
        <v>13968.535223239207</v>
      </c>
      <c r="H9" s="207">
        <f>H7*Assumption!$C$40</f>
        <v>14982.53359334129</v>
      </c>
      <c r="I9" s="207">
        <f>I7*Assumption!$C$40</f>
        <v>16057.87921374004</v>
      </c>
      <c r="J9" s="207">
        <f>J7*Assumption!$C$40</f>
        <v>17197.265424551053</v>
      </c>
      <c r="K9" s="207">
        <f>K7*Assumption!$C$40</f>
        <v>18403.423862546122</v>
      </c>
      <c r="L9" s="207">
        <f>L7*Assumption!$C$40</f>
        <v>19679.11829974932</v>
      </c>
      <c r="M9" s="207">
        <f>M7*Assumption!$C$40</f>
        <v>21027.13790328215</v>
      </c>
      <c r="N9" s="197"/>
      <c r="O9" s="205" t="s">
        <v>540</v>
      </c>
      <c r="P9" s="207">
        <f>25%*P7</f>
        <v>21237.409282314973</v>
      </c>
      <c r="Q9" s="208"/>
      <c r="R9" s="197"/>
      <c r="S9" s="197"/>
    </row>
    <row r="10" spans="1:19" ht="15" customHeight="1" x14ac:dyDescent="0.35">
      <c r="A10" s="197"/>
      <c r="B10" s="203" t="s">
        <v>541</v>
      </c>
      <c r="C10" s="174"/>
      <c r="D10" s="212">
        <f t="shared" ref="D10:M10" si="1">D7-D9</f>
        <v>33805.134834190096</v>
      </c>
      <c r="E10" s="212">
        <f t="shared" si="1"/>
        <v>36342.094101982904</v>
      </c>
      <c r="F10" s="212">
        <f t="shared" si="1"/>
        <v>39039.70396207436</v>
      </c>
      <c r="G10" s="212">
        <f t="shared" si="1"/>
        <v>41905.605669717625</v>
      </c>
      <c r="H10" s="212">
        <f t="shared" si="1"/>
        <v>44947.600780023873</v>
      </c>
      <c r="I10" s="212">
        <f t="shared" si="1"/>
        <v>48173.637641220121</v>
      </c>
      <c r="J10" s="212">
        <f t="shared" si="1"/>
        <v>51591.796273653163</v>
      </c>
      <c r="K10" s="212">
        <f t="shared" si="1"/>
        <v>55210.271587638366</v>
      </c>
      <c r="L10" s="212">
        <f t="shared" si="1"/>
        <v>59037.354899247963</v>
      </c>
      <c r="M10" s="212">
        <f t="shared" si="1"/>
        <v>63081.413709846449</v>
      </c>
      <c r="N10" s="197"/>
      <c r="O10" s="205" t="s">
        <v>541</v>
      </c>
      <c r="P10" s="207">
        <f>P7-P9</f>
        <v>63712.227846944923</v>
      </c>
      <c r="Q10" s="208"/>
      <c r="R10" s="197"/>
      <c r="S10" s="197"/>
    </row>
    <row r="11" spans="1:19" ht="15" customHeight="1" x14ac:dyDescent="0.35">
      <c r="A11" s="197"/>
      <c r="B11" s="205" t="s">
        <v>263</v>
      </c>
      <c r="C11" s="174"/>
      <c r="D11" s="207">
        <f>D5*'Fixed Assets Schedule'!$D$13</f>
        <v>23257.33083622609</v>
      </c>
      <c r="E11" s="207">
        <f>E5*'Fixed Assets Schedule'!$D$13</f>
        <v>25002.713639711092</v>
      </c>
      <c r="F11" s="207">
        <f>F5*'Fixed Assets Schedule'!$D$13</f>
        <v>26858.621190174668</v>
      </c>
      <c r="G11" s="207">
        <f>G5*'Fixed Assets Schedule'!$D$13</f>
        <v>28830.310535171819</v>
      </c>
      <c r="H11" s="207">
        <f>H5*'Fixed Assets Schedule'!$D$13</f>
        <v>30923.149005705593</v>
      </c>
      <c r="I11" s="207">
        <f>I5*'Fixed Assets Schedule'!$D$13</f>
        <v>33142.604923828963</v>
      </c>
      <c r="J11" s="207">
        <f>J5*'Fixed Assets Schedule'!$D$13</f>
        <v>35494.237199668751</v>
      </c>
      <c r="K11" s="207">
        <f>K5*'Fixed Assets Schedule'!$D$13</f>
        <v>37983.683785604466</v>
      </c>
      <c r="L11" s="207">
        <f>L5*'Fixed Assets Schedule'!$D$13</f>
        <v>40616.64895945973</v>
      </c>
      <c r="M11" s="207">
        <f>M5*'Fixed Assets Schedule'!$D$13</f>
        <v>43398.889413182726</v>
      </c>
      <c r="N11" s="197"/>
      <c r="O11" s="197"/>
      <c r="P11" s="197"/>
      <c r="Q11" s="197"/>
      <c r="R11" s="197"/>
      <c r="S11" s="197"/>
    </row>
    <row r="12" spans="1:19" ht="15" customHeight="1" x14ac:dyDescent="0.35">
      <c r="A12" s="197"/>
      <c r="B12" s="205" t="s">
        <v>542</v>
      </c>
      <c r="C12" s="207">
        <f>'Working Capital Changes'!G17</f>
        <v>2224.0599999999686</v>
      </c>
      <c r="D12" s="207">
        <f>C12+D5*'Working Capital Changes'!$D$21</f>
        <v>619.21551108309245</v>
      </c>
      <c r="E12" s="207">
        <f>D12+E5*'Working Capital Changes'!$D$21</f>
        <v>-1106.0670449941044</v>
      </c>
      <c r="F12" s="207">
        <f>E12+F5*'Working Capital Changes'!$D$21</f>
        <v>-2959.4142971137812</v>
      </c>
      <c r="G12" s="207">
        <f>F12+G5*'Working Capital Changes'!$D$21</f>
        <v>-4948.8156304802233</v>
      </c>
      <c r="H12" s="207">
        <f>G12+H5*'Working Capital Changes'!$D$21</f>
        <v>-7082.6307965981778</v>
      </c>
      <c r="I12" s="207">
        <f>H12+I5*'Working Capital Changes'!$D$21</f>
        <v>-9369.5968820402959</v>
      </c>
      <c r="J12" s="207">
        <f>I12+J5*'Working Capital Changes'!$D$21</f>
        <v>-11818.834559369565</v>
      </c>
      <c r="K12" s="207">
        <f>J12+K5*'Working Capital Changes'!$D$21</f>
        <v>-14439.853541356069</v>
      </c>
      <c r="L12" s="207">
        <f>K12+L5*'Working Capital Changes'!$D$21</f>
        <v>-17242.557157685478</v>
      </c>
      <c r="M12" s="207">
        <f>L12+M5*'Working Capital Changes'!$D$21</f>
        <v>-20237.24597173345</v>
      </c>
      <c r="N12" s="197"/>
      <c r="O12" s="197"/>
      <c r="P12" s="197"/>
      <c r="Q12" s="197"/>
      <c r="R12" s="197"/>
      <c r="S12" s="197"/>
    </row>
    <row r="13" spans="1:19" ht="15" customHeight="1" x14ac:dyDescent="0.35">
      <c r="A13" s="197"/>
      <c r="B13" s="205" t="s">
        <v>264</v>
      </c>
      <c r="C13" s="174"/>
      <c r="D13" s="207">
        <f t="shared" ref="D13:M13" si="2">D12-C12</f>
        <v>-1604.8444889168761</v>
      </c>
      <c r="E13" s="207">
        <f t="shared" si="2"/>
        <v>-1725.2825560771969</v>
      </c>
      <c r="F13" s="207">
        <f t="shared" si="2"/>
        <v>-1853.3472521196768</v>
      </c>
      <c r="G13" s="207">
        <f t="shared" si="2"/>
        <v>-1989.401333366442</v>
      </c>
      <c r="H13" s="207">
        <f t="shared" si="2"/>
        <v>-2133.8151661179545</v>
      </c>
      <c r="I13" s="207">
        <f t="shared" si="2"/>
        <v>-2286.9660854421181</v>
      </c>
      <c r="J13" s="207">
        <f t="shared" si="2"/>
        <v>-2449.237677329269</v>
      </c>
      <c r="K13" s="207">
        <f t="shared" si="2"/>
        <v>-2621.0189819865045</v>
      </c>
      <c r="L13" s="207">
        <f t="shared" si="2"/>
        <v>-2802.7036163294088</v>
      </c>
      <c r="M13" s="207">
        <f t="shared" si="2"/>
        <v>-2994.6888140479714</v>
      </c>
      <c r="N13" s="197"/>
      <c r="O13" s="197"/>
      <c r="P13" s="197"/>
      <c r="Q13" s="197"/>
      <c r="R13" s="197"/>
      <c r="S13" s="197"/>
    </row>
    <row r="14" spans="1:19" ht="15" customHeight="1" x14ac:dyDescent="0.35">
      <c r="A14" s="197"/>
      <c r="B14" s="205" t="s">
        <v>543</v>
      </c>
      <c r="C14" s="174"/>
      <c r="D14" s="207">
        <f t="shared" ref="D14:M14" si="3">D11+D13</f>
        <v>21652.486347309215</v>
      </c>
      <c r="E14" s="207">
        <f t="shared" si="3"/>
        <v>23277.431083633895</v>
      </c>
      <c r="F14" s="207">
        <f t="shared" si="3"/>
        <v>25005.27393805499</v>
      </c>
      <c r="G14" s="207">
        <f t="shared" si="3"/>
        <v>26840.909201805378</v>
      </c>
      <c r="H14" s="207">
        <f t="shared" si="3"/>
        <v>28789.333839587638</v>
      </c>
      <c r="I14" s="207">
        <f t="shared" si="3"/>
        <v>30855.638838386847</v>
      </c>
      <c r="J14" s="207">
        <f t="shared" si="3"/>
        <v>33044.99952233948</v>
      </c>
      <c r="K14" s="207">
        <f t="shared" si="3"/>
        <v>35362.664803617961</v>
      </c>
      <c r="L14" s="207">
        <f t="shared" si="3"/>
        <v>37813.945343130319</v>
      </c>
      <c r="M14" s="207">
        <f t="shared" si="3"/>
        <v>40404.200599134754</v>
      </c>
      <c r="N14" s="197"/>
      <c r="O14" s="197"/>
      <c r="P14" s="207">
        <f>P10*P16</f>
        <v>67.508111537911603</v>
      </c>
      <c r="Q14" s="208"/>
      <c r="R14" s="197"/>
      <c r="S14" s="197"/>
    </row>
    <row r="15" spans="1:19" ht="15" customHeight="1" x14ac:dyDescent="0.35">
      <c r="A15" s="197"/>
      <c r="B15" s="203" t="s">
        <v>544</v>
      </c>
      <c r="C15" s="174"/>
      <c r="D15" s="212">
        <f t="shared" ref="D15:M15" si="4">D10-D14</f>
        <v>12152.64848688088</v>
      </c>
      <c r="E15" s="212">
        <f t="shared" si="4"/>
        <v>13064.663018349009</v>
      </c>
      <c r="F15" s="212">
        <f t="shared" si="4"/>
        <v>14034.43002401937</v>
      </c>
      <c r="G15" s="212">
        <f t="shared" si="4"/>
        <v>15064.696467912247</v>
      </c>
      <c r="H15" s="212">
        <f t="shared" si="4"/>
        <v>16158.266940436235</v>
      </c>
      <c r="I15" s="212">
        <f t="shared" si="4"/>
        <v>17317.998802833274</v>
      </c>
      <c r="J15" s="212">
        <f t="shared" si="4"/>
        <v>18546.796751313683</v>
      </c>
      <c r="K15" s="212">
        <f t="shared" si="4"/>
        <v>19847.606784020405</v>
      </c>
      <c r="L15" s="212">
        <f t="shared" si="4"/>
        <v>21223.409556117644</v>
      </c>
      <c r="M15" s="212">
        <f t="shared" si="4"/>
        <v>22677.213110711695</v>
      </c>
      <c r="N15" s="197"/>
      <c r="O15" s="197"/>
      <c r="P15" s="207">
        <f>P10-P14</f>
        <v>63644.719735407009</v>
      </c>
      <c r="Q15" s="208"/>
      <c r="R15" s="197"/>
      <c r="S15" s="197"/>
    </row>
    <row r="16" spans="1:19" ht="15" customHeight="1" x14ac:dyDescent="0.35">
      <c r="A16" s="197"/>
      <c r="B16" s="205" t="s">
        <v>545</v>
      </c>
      <c r="C16" s="174"/>
      <c r="D16" s="163">
        <f t="shared" ref="D16:M16" si="5">D14/D10</f>
        <v>0.6405088000243726</v>
      </c>
      <c r="E16" s="163">
        <f t="shared" si="5"/>
        <v>0.64050880002437249</v>
      </c>
      <c r="F16" s="163">
        <f t="shared" si="5"/>
        <v>0.64050880002437249</v>
      </c>
      <c r="G16" s="163">
        <f t="shared" si="5"/>
        <v>0.64050880002437249</v>
      </c>
      <c r="H16" s="163">
        <f t="shared" si="5"/>
        <v>0.64050880002437249</v>
      </c>
      <c r="I16" s="163">
        <f t="shared" si="5"/>
        <v>0.6405088000243726</v>
      </c>
      <c r="J16" s="163">
        <f t="shared" si="5"/>
        <v>0.64050880002437249</v>
      </c>
      <c r="K16" s="163">
        <f t="shared" si="5"/>
        <v>0.6405088000243726</v>
      </c>
      <c r="L16" s="163">
        <f t="shared" si="5"/>
        <v>0.64050880002437249</v>
      </c>
      <c r="M16" s="163">
        <f t="shared" si="5"/>
        <v>0.6405088000243726</v>
      </c>
      <c r="N16" s="197"/>
      <c r="O16" s="197"/>
      <c r="P16" s="163">
        <f>S6</f>
        <v>1.0595785741488351E-3</v>
      </c>
      <c r="Q16" s="211"/>
      <c r="R16" s="197"/>
      <c r="S16" s="197"/>
    </row>
    <row r="17" spans="1:20" ht="15" customHeight="1" x14ac:dyDescent="0.35">
      <c r="A17" s="197"/>
      <c r="B17" s="197"/>
      <c r="C17" s="197"/>
      <c r="D17" s="197"/>
      <c r="E17" s="197"/>
      <c r="F17" s="197"/>
      <c r="G17" s="197"/>
      <c r="H17" s="197"/>
      <c r="I17" s="197"/>
      <c r="J17" s="197"/>
      <c r="K17" s="197"/>
      <c r="L17" s="197"/>
      <c r="M17" s="197"/>
      <c r="N17" s="197"/>
      <c r="O17" s="197"/>
      <c r="P17" s="197"/>
      <c r="Q17" s="197"/>
      <c r="R17" s="197"/>
      <c r="S17" s="197"/>
    </row>
    <row r="18" spans="1:20" ht="15" customHeight="1" x14ac:dyDescent="0.35">
      <c r="A18" s="197"/>
      <c r="B18" s="199" t="s">
        <v>546</v>
      </c>
      <c r="C18" s="197"/>
      <c r="D18" s="197"/>
      <c r="E18" s="197"/>
      <c r="F18" s="197"/>
      <c r="G18" s="197"/>
      <c r="H18" s="197"/>
      <c r="I18" s="197"/>
      <c r="J18" s="197"/>
      <c r="K18" s="197"/>
      <c r="L18" s="197"/>
      <c r="M18" s="213">
        <f>P15/(S5-S4)</f>
        <v>663256.99062071193</v>
      </c>
      <c r="N18" s="197"/>
      <c r="O18" s="197"/>
      <c r="P18" s="197"/>
      <c r="Q18" s="197"/>
      <c r="R18" s="197"/>
      <c r="S18" s="197"/>
      <c r="T18" t="s">
        <v>558</v>
      </c>
    </row>
    <row r="19" spans="1:20" ht="15" customHeight="1" x14ac:dyDescent="0.35">
      <c r="A19" s="197"/>
      <c r="B19" s="197"/>
      <c r="C19" s="197"/>
      <c r="D19" s="197"/>
      <c r="E19" s="197"/>
      <c r="F19" s="197"/>
      <c r="G19" s="197"/>
      <c r="H19" s="197"/>
      <c r="I19" s="197"/>
      <c r="J19" s="197"/>
      <c r="K19" s="197"/>
      <c r="L19" s="197"/>
      <c r="M19" s="197"/>
      <c r="N19" s="197"/>
      <c r="O19" s="197"/>
      <c r="P19" s="197"/>
      <c r="Q19" s="197"/>
      <c r="R19" s="197"/>
      <c r="S19" s="197"/>
    </row>
    <row r="20" spans="1:20" ht="15" customHeight="1" x14ac:dyDescent="0.35">
      <c r="A20" s="197"/>
      <c r="B20" s="205" t="s">
        <v>547</v>
      </c>
      <c r="C20" s="174"/>
      <c r="D20" s="162">
        <f>1/(1+$S$5)^1</f>
        <v>0.90419358504079494</v>
      </c>
      <c r="E20" s="162">
        <f>1/(1+$S$5)^2</f>
        <v>0.81756603922892535</v>
      </c>
      <c r="F20" s="162">
        <f>1/(1+$S$5)^3</f>
        <v>0.73923796801800523</v>
      </c>
      <c r="G20" s="162">
        <f>1/(1+$S$5)^4</f>
        <v>0.66841422850047272</v>
      </c>
      <c r="H20" s="162">
        <f>1/(1+$S$5)^5</f>
        <v>0.60437585756011947</v>
      </c>
      <c r="I20" s="162">
        <f>1/(1+$S$5)^6</f>
        <v>0.54647277335938926</v>
      </c>
      <c r="J20" s="162">
        <f>1/(1+$S$5)^7</f>
        <v>0.49411717607101213</v>
      </c>
      <c r="K20" s="162">
        <f>1/(1+$S$5)^8</f>
        <v>0.44677758086188213</v>
      </c>
      <c r="L20" s="162">
        <f>1/(1+$S$5)^9</f>
        <v>0.40397342255535895</v>
      </c>
      <c r="M20" s="162">
        <f>1/(1+$S$5)^10</f>
        <v>0.36527017720152988</v>
      </c>
      <c r="N20" s="197"/>
      <c r="O20" s="197"/>
      <c r="P20" s="197"/>
      <c r="Q20" s="197"/>
      <c r="R20" s="197"/>
      <c r="S20" s="197"/>
    </row>
    <row r="21" spans="1:20" ht="15" customHeight="1" x14ac:dyDescent="0.35">
      <c r="A21" s="197"/>
      <c r="B21" s="197"/>
      <c r="C21" s="197"/>
      <c r="D21" s="197"/>
      <c r="E21" s="197"/>
      <c r="F21" s="197"/>
      <c r="G21" s="197"/>
      <c r="H21" s="197"/>
      <c r="I21" s="197"/>
      <c r="J21" s="197"/>
      <c r="K21" s="197"/>
      <c r="L21" s="197"/>
      <c r="M21" s="197"/>
      <c r="N21" s="197"/>
      <c r="O21" s="197"/>
      <c r="P21" s="197"/>
      <c r="Q21" s="197"/>
      <c r="R21" s="197"/>
      <c r="S21" s="197"/>
    </row>
    <row r="22" spans="1:20" ht="15" customHeight="1" x14ac:dyDescent="0.35">
      <c r="A22" s="197"/>
      <c r="B22" s="203" t="s">
        <v>548</v>
      </c>
      <c r="C22" s="214">
        <f>SUM(D22:M22)</f>
        <v>96232.053503786432</v>
      </c>
      <c r="D22" s="212">
        <f t="shared" ref="D22:M22" si="6">D15*D20</f>
        <v>10988.346803093415</v>
      </c>
      <c r="E22" s="212">
        <f t="shared" si="6"/>
        <v>10681.224797772216</v>
      </c>
      <c r="F22" s="212">
        <f t="shared" si="6"/>
        <v>10374.783533246964</v>
      </c>
      <c r="G22" s="212">
        <f t="shared" si="6"/>
        <v>10069.457467193361</v>
      </c>
      <c r="H22" s="212">
        <f t="shared" si="6"/>
        <v>9765.6664388114768</v>
      </c>
      <c r="I22" s="212">
        <f t="shared" si="6"/>
        <v>9463.8148348188824</v>
      </c>
      <c r="J22" s="212">
        <f t="shared" si="6"/>
        <v>9164.2908359221383</v>
      </c>
      <c r="K22" s="212">
        <f t="shared" si="6"/>
        <v>8867.4657448625167</v>
      </c>
      <c r="L22" s="212">
        <f t="shared" si="6"/>
        <v>8573.6933966789566</v>
      </c>
      <c r="M22" s="212">
        <f t="shared" si="6"/>
        <v>8283.3096513865166</v>
      </c>
      <c r="N22" s="197"/>
      <c r="O22" s="197"/>
      <c r="P22" s="197"/>
      <c r="Q22" s="197"/>
      <c r="R22" s="197"/>
      <c r="S22" s="197"/>
    </row>
    <row r="23" spans="1:20" ht="15" customHeight="1" x14ac:dyDescent="0.35">
      <c r="A23" s="197"/>
      <c r="B23" s="215" t="s">
        <v>549</v>
      </c>
      <c r="C23" s="197"/>
      <c r="D23" s="197"/>
      <c r="E23" s="197"/>
      <c r="F23" s="197"/>
      <c r="G23" s="197"/>
      <c r="H23" s="197"/>
      <c r="I23" s="197"/>
      <c r="J23" s="197"/>
      <c r="K23" s="197"/>
      <c r="L23" s="197"/>
      <c r="M23" s="216">
        <f>M18*M20</f>
        <v>242267.99849418088</v>
      </c>
      <c r="N23" s="197"/>
      <c r="O23" s="197"/>
      <c r="P23" s="197"/>
      <c r="Q23" s="197"/>
      <c r="R23" s="197"/>
      <c r="S23" s="197"/>
    </row>
    <row r="24" spans="1:20" ht="15" customHeight="1" x14ac:dyDescent="0.35">
      <c r="A24" s="197"/>
      <c r="B24" s="197"/>
      <c r="C24" s="197"/>
      <c r="D24" s="197"/>
      <c r="E24" s="197"/>
      <c r="F24" s="197"/>
      <c r="G24" s="197"/>
      <c r="H24" s="197"/>
      <c r="I24" s="285" t="s">
        <v>550</v>
      </c>
      <c r="J24" s="285"/>
      <c r="K24" s="285"/>
      <c r="L24" s="285"/>
      <c r="M24" s="285"/>
      <c r="N24" s="197"/>
      <c r="O24" s="197"/>
      <c r="P24" s="197"/>
      <c r="Q24" s="197"/>
      <c r="R24" s="197"/>
      <c r="S24" s="197"/>
    </row>
    <row r="25" spans="1:20" ht="15" customHeight="1" x14ac:dyDescent="0.35">
      <c r="A25" s="197"/>
      <c r="B25" s="217" t="s">
        <v>551</v>
      </c>
      <c r="C25" s="218">
        <f>C22+M23</f>
        <v>338500.0519979673</v>
      </c>
      <c r="D25" s="197"/>
      <c r="E25" s="197"/>
      <c r="F25" s="197"/>
      <c r="G25" s="197"/>
      <c r="H25" s="197"/>
      <c r="I25" s="208">
        <f>C32</f>
        <v>148.90307416005689</v>
      </c>
      <c r="J25" s="219">
        <f>S5-0.02</f>
        <v>8.5957857414883501E-2</v>
      </c>
      <c r="K25" s="219">
        <f>S5-0.01</f>
        <v>9.595785741488351E-2</v>
      </c>
      <c r="L25" s="219">
        <f>S5</f>
        <v>0.10595785741488351</v>
      </c>
      <c r="M25" s="219">
        <f>S5+0.01</f>
        <v>0.1159578574148835</v>
      </c>
      <c r="N25" s="197"/>
      <c r="O25" s="197"/>
      <c r="P25" s="197"/>
      <c r="Q25" s="197"/>
      <c r="R25" s="197"/>
      <c r="S25" s="197"/>
    </row>
    <row r="26" spans="1:20" ht="15" customHeight="1" x14ac:dyDescent="0.35">
      <c r="A26" s="197"/>
      <c r="B26" s="220" t="s">
        <v>552</v>
      </c>
      <c r="C26" s="221">
        <f>'Balance Sheet'!C44</f>
        <v>4414.66</v>
      </c>
      <c r="D26" s="197"/>
      <c r="E26" s="197"/>
      <c r="F26" s="197"/>
      <c r="G26" s="197"/>
      <c r="H26" s="197"/>
      <c r="I26" s="222">
        <f>S4-0.01</f>
        <v>0</v>
      </c>
      <c r="J26" s="223">
        <f>(D15*(1/(1+J25)^1)+E15*(1/(1+J25)^2)+F15*(1/(1+J25)^3)+G15*(1/(1+J25)^4)+H15*(1/(1+J25)^5)+I15*(1/(1+J25)^6)+J15*(1/(1+J25)^7)+K15*(1/(1+J25)^8)+L15*(1/(1+J25)^9)+M15*(1/(1+J25)^10)+(P15/(J25-I26))*(1/(1+J25)^10)+C26-C27-C28)/C31</f>
        <v>215.80638087376047</v>
      </c>
      <c r="K26" s="223">
        <f>(D15*(1/(1+K25)^1)+E15*(1/(1+K25)^2)+F15*(1/(1+K25)^3)+G15*(1/(1+K25)^4)+H15*(1/(1+K25)^5)+I15*(1/(1+K25)^6)+J15*(1/(1+K25)^7)+K15*(1/(1+K25)^8)+L15*(1/(1+K25)^9)+M15*(1/(1+K25)^10)+(P15/(K25-I26))*(1/(1+K25)^10)+C26-C27-C28)/C31</f>
        <v>169.06245177866592</v>
      </c>
      <c r="L26" s="223">
        <f>(D15*(1/(1+L25)^1)+E15*(1/(1+L25)^2)+F15*(1/(1+L25)^3)+G15*(1/(1+L25)^4)+H15*(1/(1+L25)^5)+I15*(1/(1+L25)^6)+J15*(1/(1+L25)^7)+K15*(1/(1+L25)^8)+L15*(1/(1+L25)^9)+M15*(1/(1+L25)^10)+(P15/(L25-I26))*(1/(1+L25)^10)+C26-C27-C28)/C31</f>
        <v>132.30033499649963</v>
      </c>
      <c r="M26" s="223">
        <f>(D15*(1/(1+M25)^1)+E15*(1/(1+M25)^2)+F15*(1/(1+M25)^3)+G15*(1/(1+M25)^4)+H15*(1/(1+M25)^5)+I15*(1/(1+M25)^6)+J15*(1/(1+M25)^7)+K15*(1/(1+M25)^8)+L15*(1/(1+M25)^9)+M15*(1/(1+M25)^10)+(P15/(M25-I26))*(1/(1+M25)^10)+C26-C27-C28)/C31</f>
        <v>102.83130045434982</v>
      </c>
      <c r="N26" s="197"/>
      <c r="O26" s="197"/>
      <c r="P26" s="197"/>
      <c r="Q26" s="197"/>
      <c r="R26" s="197"/>
      <c r="S26" s="197"/>
    </row>
    <row r="27" spans="1:20" ht="15" customHeight="1" x14ac:dyDescent="0.35">
      <c r="A27" s="197"/>
      <c r="B27" s="220" t="s">
        <v>553</v>
      </c>
      <c r="C27" s="221">
        <f>'Balance Sheet'!C16+'Balance Sheet'!C22</f>
        <v>131822.38999999998</v>
      </c>
      <c r="D27" s="197"/>
      <c r="E27" s="197"/>
      <c r="F27" s="197"/>
      <c r="G27" s="197"/>
      <c r="H27" s="197"/>
      <c r="I27" s="222">
        <f>S4</f>
        <v>0.01</v>
      </c>
      <c r="J27" s="223">
        <f>(D15*(1/(1+J25)^1)+E15*(1/(1+J25)^2)+F15*(1/(1+J25)^3)+G15*(1/(1+J25)^4)+H15*(1/(1+J25)^5)+I15*(1/(1+J25)^6)+J15*(1/(1+J25)^7)+K15*(1/(1+J25)^8)+L15*(1/(1+J25)^9)+M15*(1/(1+J25)^10)+(P15/(J25-I27))*(1/(1+J25)^10)+C26-C27-C28)/C31</f>
        <v>246.83705655871574</v>
      </c>
      <c r="K27" s="223">
        <f>(D15*(1/(1+K25)^1)+E15*(1/(1+K25)^2)+F15*(1/(1+K25)^3)+G15*(1/(1+K25)^4)+H15*(1/(1+K25)^5)+I15*(1/(1+K25)^6)+J15*(1/(1+K25)^7)+K15*(1/(1+K25)^8)+L15*(1/(1+K25)^9)+M15*(1/(1+K25)^10)+(P15/(K25-I27))*(1/(1+K25)^10)+C26-C27-C28)/C31</f>
        <v>191.47413984600107</v>
      </c>
      <c r="L27" s="223">
        <f>(D15*(1/(1+L25)^1)+E15*(1/(1+L25)^2)+F15*(1/(1+L25)^3)+G15*(1/(1+L25)^4)+H15*(1/(1+L25)^5)+I15*(1/(1+L25)^6)+J15*(1/(1+L25)^7)+K15*(1/(1+L25)^8)+L15*(1/(1+L25)^9)+M15*(1/(1+L25)^10)+(P15/(L25-I27))*(1/(1+L25)^10)+C26-C27-C28)/C31</f>
        <v>148.90307416005689</v>
      </c>
      <c r="M27" s="223">
        <f>(D15*(1/(1+M25)^1)+E15*(1/(1+M25)^2)+F15*(1/(1+M25)^3)+G15*(1/(1+M25)^4)+H15*(1/(1+M25)^5)+I15*(1/(1+M25)^6)+J15*(1/(1+M25)^7)+K15*(1/(1+M25)^8)+L15*(1/(1+M25)^9)+M15*(1/(1+M25)^10)+(P15/(M25-I27))*(1/(1+M25)^10)+C26-C27-C28)/C31</f>
        <v>115.38778151501734</v>
      </c>
      <c r="N27" s="197"/>
      <c r="O27" s="197"/>
      <c r="P27" s="197"/>
      <c r="Q27" s="197"/>
      <c r="R27" s="197"/>
      <c r="S27" s="197"/>
    </row>
    <row r="28" spans="1:20" ht="15" customHeight="1" x14ac:dyDescent="0.35">
      <c r="A28" s="197"/>
      <c r="B28" s="220" t="s">
        <v>321</v>
      </c>
      <c r="C28" s="221">
        <f>'Balance Sheet'!C14</f>
        <v>6029.56</v>
      </c>
      <c r="D28" s="197"/>
      <c r="E28" s="197"/>
      <c r="F28" s="197"/>
      <c r="G28" s="197"/>
      <c r="H28" s="197"/>
      <c r="I28" s="222">
        <f>S4+0.01</f>
        <v>0.02</v>
      </c>
      <c r="J28" s="223">
        <f>(D15*(1/(1+J25)^1)+E15*(1/(1+J25)^2)+F15*(1/(1+J25)^3)+G15*(1/(1+J25)^4)+H15*(1/(1+J25)^5)+I15*(1/(1+J25)^6)+J15*(1/(1+J25)^7)+K15*(1/(1+J25)^8)+L15*(1/(1+J25)^9)+M15*(1/(1+J25)^10)+(P15/(J25-I28))*(1/(1+J25)^10)+C26-C27-C28)/C31</f>
        <v>287.27697532740819</v>
      </c>
      <c r="K28" s="223">
        <f>(D15*(1/(1+K25)^1)+E15*(1/(1+K25)^2)+F15*(1/(1+K25)^3)+G15*(1/(1+K25)^4)+H15*(1/(1+K25)^5)+I15*(1/(1+K25)^6)+J15*(1/(1+K25)^7)+K15*(1/(1+K25)^8)+L15*(1/(1+K25)^9)+M15*(1/(1+K25)^10)+(P15/(K25-I28))*(1/(1+K25)^10)+C26-C27-C28)/C31</f>
        <v>219.78691275961401</v>
      </c>
      <c r="L28" s="223">
        <f>(D15*(1/(1+L25)^1)+E15*(1/(1+L25)^2)+F15*(1/(1+L25)^3)+G15*(1/(1+L25)^4)+H15*(1/(1+L25)^5)+I15*(1/(1+L25)^6)+J15*(1/(1+L25)^7)+K15*(1/(1+L25)^8)+L15*(1/(1+L25)^9)+M15*(1/(1+L25)^10)+(P15/(L25-I28))*(1/(1+L25)^10)+C26-C27-C28)/C31</f>
        <v>169.36880843839998</v>
      </c>
      <c r="M28" s="223">
        <f>(D15*(1/(1+M25)^1)+E15*(1/(1+M25)^2)+F15*(1/(1+M25)^3)+G15*(1/(1+M25)^4)+H15*(1/(1+M25)^5)+I15*(1/(1+M25)^6)+J15*(1/(1+M25)^7)+K15*(1/(1+M25)^8)+L15*(1/(1+M25)^9)+M15*(1/(1+M25)^10)+(P15/(M25-I28))*(1/(1+M25)^10)+C26-C27-C28)/C31</f>
        <v>130.56134499059931</v>
      </c>
      <c r="N28" s="197"/>
      <c r="O28" s="197"/>
      <c r="P28" s="197"/>
      <c r="Q28" s="197"/>
      <c r="R28" s="197"/>
      <c r="S28" s="197"/>
    </row>
    <row r="29" spans="1:20" ht="15" customHeight="1" x14ac:dyDescent="0.35">
      <c r="A29" s="197"/>
      <c r="B29" s="224" t="s">
        <v>554</v>
      </c>
      <c r="C29" s="225">
        <f>C25+C26-C27-C28</f>
        <v>205062.76199796729</v>
      </c>
      <c r="D29" s="197"/>
      <c r="E29" s="197"/>
      <c r="F29" s="197"/>
      <c r="G29" s="197"/>
      <c r="H29" s="197"/>
      <c r="I29" s="222">
        <f>S4+0.02</f>
        <v>0.03</v>
      </c>
      <c r="J29" s="223">
        <f>(D15*(1/(1+J25)^1)+E15*(1/(1+J25)^2)+F15*(1/(1+J25)^3)+G15*(1/(1+J25)^4)+H15*(1/(1+J25)^5)+I15*(1/(1+J25)^6)+J15*(1/(1+J25)^7)+K15*(1/(1+J25)^8)+L15*(1/(1+J25)^9)+M15*(1/(1+J25)^10)+(P15/(J25-I29))*(1/(1+J25)^10)+C26-C27-C28)/C31</f>
        <v>342.17059930817186</v>
      </c>
      <c r="K29" s="223">
        <f>(D15*(1/(1+K25)^1)+E15*(1/(1+K25)^2)+F15*(1/(1+K25)^3)+G15*(1/(1+K25)^4)+H15*(1/(1+K25)^5)+I15*(1/(1+K25)^6)+J15*(1/(1+K25)^7)+K15*(1/(1+K25)^8)+L15*(1/(1+K25)^9)+M15*(1/(1+K25)^10)+(P15/(K25-I29))*(1/(1+K25)^10)+C26-C27-C28)/C31</f>
        <v>256.68479562776116</v>
      </c>
      <c r="L29" s="223">
        <f>(D15*(1/(1+L25)^1)+E15*(1/(1+L25)^2)+F15*(1/(1+L25)^3)+G15*(1/(1+L25)^4)+H15*(1/(1+L25)^5)+I15*(1/(1+L25)^6)+J15*(1/(1+L25)^7)+K15*(1/(1+L25)^8)+L15*(1/(1+L25)^9)+M15*(1/(1+L25)^10)+(P15/(L25-I29))*(1/(1+L25)^10)+C26-C27-C28)/C31</f>
        <v>195.22325034354154</v>
      </c>
      <c r="M29" s="223">
        <f>(D15*(1/(1+M25)^1)+E15*(1/(1+M25)^2)+F15*(1/(1+M25)^3)+G15*(1/(1+M25)^4)+H15*(1/(1+M25)^5)+I15*(1/(1+M25)^6)+J15*(1/(1+M25)^7)+K15*(1/(1+M25)^8)+L15*(1/(1+M25)^9)+M15*(1/(1+M25)^10)+(P15/(M25-I29))*(1/(1+M25)^10)+C26-C27-C28)/C31</f>
        <v>149.26537419250698</v>
      </c>
      <c r="N29" s="197"/>
      <c r="O29" s="197"/>
      <c r="P29" s="197"/>
      <c r="Q29" s="197"/>
      <c r="R29" s="197"/>
      <c r="S29" s="197"/>
    </row>
    <row r="30" spans="1:20" ht="15" customHeight="1" x14ac:dyDescent="0.35">
      <c r="A30" s="197"/>
      <c r="B30" s="197"/>
      <c r="C30" s="197"/>
      <c r="D30" s="197"/>
      <c r="E30" s="197"/>
      <c r="F30" s="197"/>
      <c r="G30" s="197"/>
      <c r="H30" s="197"/>
      <c r="I30" s="222">
        <f>S4+0.03</f>
        <v>0.04</v>
      </c>
      <c r="J30" s="223">
        <f>(D15*(1/(1+J25)^1)+E15*(1/(1+J25)^2)+F15*(1/(1+J25)^3)+G15*(1/(1+J25)^4)+H15*(1/(1+J25)^5)+I15*(1/(1+J25)^6)+J15*(1/(1+J25)^7)+K15*(1/(1+J25)^8)+L15*(1/(1+J25)^9)+M15*(1/(1+J25)^10)+(P15/(J25-I30))*(1/(1+J25)^10)+C26-C27-C28)/C31</f>
        <v>420.95290177331862</v>
      </c>
      <c r="K30" s="223">
        <f>(D15*(1/(1+K25)^1)+E15*(1/(1+K25)^2)+F15*(1/(1+K25)^3)+G15*(1/(1+K25)^4)+H15*(1/(1+K25)^5)+I15*(1/(1+K25)^6)+J15*(1/(1+K25)^7)+K15*(1/(1+K25)^8)+L15*(1/(1+K25)^9)+M15*(1/(1+K25)^10)+(P15/(K25-I30))*(1/(1+K25)^10)+C26-C27-C28)/C31</f>
        <v>306.77041818886261</v>
      </c>
      <c r="L30" s="223">
        <f>(D15*(1/(1+L25)^1)+E15*(1/(1+L25)^2)+F15*(1/(1+L25)^3)+G15*(1/(1+L25)^4)+H15*(1/(1+L25)^5)+I15*(1/(1+L25)^6)+J15*(1/(1+L25)^7)+K15*(1/(1+L25)^8)+L15*(1/(1+L25)^9)+M15*(1/(1+L25)^10)+(P15/(L25-I30))*(1/(1+L25)^10)+C26-C27-C28)/C31</f>
        <v>228.91737744115812</v>
      </c>
      <c r="M30" s="223">
        <f>(D15*(1/(1+M25)^1)+E15*(1/(1+M25)^2)+F15*(1/(1+M25)^3)+G15*(1/(1+M25)^4)+H15*(1/(1+M25)^5)+I15*(1/(1+M25)^6)+J15*(1/(1+M25)^7)+K15*(1/(1+M25)^8)+L15*(1/(1+M25)^9)+M15*(1/(1+M25)^10)+(P15/(M25-I30))*(1/(1+M25)^10)+C26-C27-C28)/C31</f>
        <v>172.89424720609446</v>
      </c>
      <c r="N30" s="197"/>
      <c r="O30" s="197"/>
      <c r="P30" s="197"/>
      <c r="Q30" s="197"/>
      <c r="R30" s="197"/>
      <c r="S30" s="197"/>
    </row>
    <row r="31" spans="1:20" ht="15" customHeight="1" x14ac:dyDescent="0.35">
      <c r="A31" s="197"/>
      <c r="B31" s="220" t="s">
        <v>555</v>
      </c>
      <c r="C31" s="221">
        <f>WACC!C24</f>
        <v>1377.1559999999999</v>
      </c>
      <c r="D31" s="197"/>
      <c r="E31" s="197"/>
      <c r="F31" s="197"/>
      <c r="G31" s="197"/>
      <c r="H31" s="197"/>
      <c r="I31" s="197"/>
      <c r="J31" s="197"/>
      <c r="K31" s="197"/>
      <c r="L31" s="197"/>
      <c r="M31" s="197"/>
      <c r="N31" s="197"/>
      <c r="O31" s="197"/>
      <c r="P31" s="197"/>
      <c r="Q31" s="197"/>
      <c r="R31" s="197"/>
      <c r="S31" s="197"/>
    </row>
    <row r="32" spans="1:20" ht="15" customHeight="1" x14ac:dyDescent="0.35">
      <c r="A32" s="197"/>
      <c r="B32" s="199" t="s">
        <v>556</v>
      </c>
      <c r="C32" s="213">
        <f>C29/C31</f>
        <v>148.90307416005689</v>
      </c>
      <c r="D32" s="197"/>
      <c r="E32" s="197"/>
      <c r="G32" s="197"/>
      <c r="H32" s="197"/>
      <c r="I32" s="197"/>
      <c r="J32" s="197"/>
      <c r="K32" s="197"/>
      <c r="L32" s="197"/>
      <c r="M32" s="197"/>
      <c r="N32" s="197"/>
      <c r="O32" s="197"/>
      <c r="P32" s="197"/>
      <c r="Q32" s="197"/>
      <c r="R32" s="197"/>
      <c r="S32" s="197"/>
    </row>
    <row r="33" spans="3:3" ht="15" customHeight="1" x14ac:dyDescent="0.35">
      <c r="C33" s="226" t="s">
        <v>557</v>
      </c>
    </row>
  </sheetData>
  <mergeCells count="2">
    <mergeCell ref="B1:M1"/>
    <mergeCell ref="I24:M2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About</vt:lpstr>
      <vt:lpstr>Promoters</vt:lpstr>
      <vt:lpstr>Public</vt:lpstr>
      <vt:lpstr>Balance Sheet</vt:lpstr>
      <vt:lpstr>Profit &amp; Loss</vt:lpstr>
      <vt:lpstr>Cash Flow</vt:lpstr>
      <vt:lpstr>Stock Analysis</vt:lpstr>
      <vt:lpstr>Historical FS</vt:lpstr>
      <vt:lpstr>Working Capital Changes</vt:lpstr>
      <vt:lpstr>Fixed Assets Schedule</vt:lpstr>
      <vt:lpstr>FCFF</vt:lpstr>
      <vt:lpstr>WACC</vt:lpstr>
      <vt:lpstr>Assumption</vt:lpstr>
      <vt:lpstr>Beta</vt:lpstr>
      <vt:lpstr>Ratio Analysis</vt:lpstr>
      <vt:lpstr>Relative Valuation</vt:lpstr>
      <vt:lpstr>Growth Rate Analysis</vt:lpstr>
      <vt:lpstr>Growth Scenerio</vt:lpstr>
      <vt:lpstr>DCF Valuation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Naina Sinsinwar</dc:creator>
  <dc:description/>
  <cp:lastModifiedBy>Naina Sinsinwar</cp:lastModifiedBy>
  <cp:revision>0</cp:revision>
  <dcterms:created xsi:type="dcterms:W3CDTF">2026-06-23T04:20:45Z</dcterms:created>
  <dcterms:modified xsi:type="dcterms:W3CDTF">2026-06-29T09:06:58Z</dcterms:modified>
  <dc:language>en-US</dc:language>
</cp:coreProperties>
</file>