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aina\Downloads\CSA Advisor\"/>
    </mc:Choice>
  </mc:AlternateContent>
  <xr:revisionPtr revIDLastSave="0" documentId="13_ncr:1_{965DA5CA-9A1E-48E0-90B8-146F437EF4F1}" xr6:coauthVersionLast="47" xr6:coauthVersionMax="47" xr10:uidLastSave="{00000000-0000-0000-0000-000000000000}"/>
  <bookViews>
    <workbookView xWindow="-110" yWindow="-110" windowWidth="19420" windowHeight="11500" tabRatio="500" xr2:uid="{00000000-000D-0000-FFFF-FFFF00000000}"/>
  </bookViews>
  <sheets>
    <sheet name="About" sheetId="1" r:id="rId1"/>
    <sheet name="Promoter" sheetId="2" r:id="rId2"/>
    <sheet name="Public" sheetId="3" r:id="rId3"/>
    <sheet name="Stock Analysis" sheetId="5" r:id="rId4"/>
    <sheet name="Data Sheet" sheetId="6" r:id="rId5"/>
    <sheet name="Historical FS" sheetId="7" r:id="rId6"/>
    <sheet name="Assumptions" sheetId="8" r:id="rId7"/>
    <sheet name="Ratio Analysis" sheetId="9" r:id="rId8"/>
    <sheet name="Fixed Assets Schedule" sheetId="10" state="hidden" r:id="rId9"/>
    <sheet name="Changes In Working Capital" sheetId="11" state="hidden" r:id="rId10"/>
    <sheet name="FCFF" sheetId="12" state="hidden" r:id="rId11"/>
    <sheet name="Beta Calculation" sheetId="13" r:id="rId12"/>
    <sheet name="WACC" sheetId="14" r:id="rId13"/>
    <sheet name="Valuation" sheetId="15" r:id="rId1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1" i="8" l="1"/>
  <c r="K7" i="7"/>
  <c r="C33" i="5"/>
  <c r="D33" i="5"/>
  <c r="H82" i="15"/>
  <c r="F73" i="15"/>
  <c r="E70" i="15"/>
  <c r="D54" i="15"/>
  <c r="I33" i="15"/>
  <c r="H33" i="15"/>
  <c r="G33" i="15"/>
  <c r="F33" i="15"/>
  <c r="E33" i="15"/>
  <c r="D33" i="15"/>
  <c r="C22" i="15"/>
  <c r="C17" i="15"/>
  <c r="C10" i="15"/>
  <c r="C9" i="15"/>
  <c r="C8" i="15"/>
  <c r="C6" i="15"/>
  <c r="C29" i="14"/>
  <c r="C30" i="14" s="1"/>
  <c r="C35" i="14" s="1"/>
  <c r="C27" i="14"/>
  <c r="C22" i="14"/>
  <c r="C20" i="14"/>
  <c r="C23" i="14" s="1"/>
  <c r="C17" i="14"/>
  <c r="I65" i="13"/>
  <c r="D65" i="13"/>
  <c r="I64" i="13"/>
  <c r="D64" i="13"/>
  <c r="I63" i="13"/>
  <c r="D63" i="13"/>
  <c r="I62" i="13"/>
  <c r="D62" i="13"/>
  <c r="I61" i="13"/>
  <c r="D61" i="13"/>
  <c r="I60" i="13"/>
  <c r="D60" i="13"/>
  <c r="I59" i="13"/>
  <c r="D59" i="13"/>
  <c r="I58" i="13"/>
  <c r="D58" i="13"/>
  <c r="I57" i="13"/>
  <c r="D57" i="13"/>
  <c r="I56" i="13"/>
  <c r="D56" i="13"/>
  <c r="I55" i="13"/>
  <c r="D55" i="13"/>
  <c r="I54" i="13"/>
  <c r="D54" i="13"/>
  <c r="I53" i="13"/>
  <c r="D53" i="13"/>
  <c r="I52" i="13"/>
  <c r="D52" i="13"/>
  <c r="I51" i="13"/>
  <c r="D51" i="13"/>
  <c r="I50" i="13"/>
  <c r="D50" i="13"/>
  <c r="I49" i="13"/>
  <c r="D49" i="13"/>
  <c r="I48" i="13"/>
  <c r="D48" i="13"/>
  <c r="I47" i="13"/>
  <c r="D47" i="13"/>
  <c r="I46" i="13"/>
  <c r="D46" i="13"/>
  <c r="I45" i="13"/>
  <c r="D45" i="13"/>
  <c r="I44" i="13"/>
  <c r="D44" i="13"/>
  <c r="I43" i="13"/>
  <c r="D43" i="13"/>
  <c r="I42" i="13"/>
  <c r="D42" i="13"/>
  <c r="I41" i="13"/>
  <c r="D41" i="13"/>
  <c r="I40" i="13"/>
  <c r="D40" i="13"/>
  <c r="I39" i="13"/>
  <c r="D39" i="13"/>
  <c r="I38" i="13"/>
  <c r="D38" i="13"/>
  <c r="I37" i="13"/>
  <c r="D37" i="13"/>
  <c r="I36" i="13"/>
  <c r="D36" i="13"/>
  <c r="I35" i="13"/>
  <c r="D35" i="13"/>
  <c r="I34" i="13"/>
  <c r="D34" i="13"/>
  <c r="I33" i="13"/>
  <c r="D33" i="13"/>
  <c r="I32" i="13"/>
  <c r="D32" i="13"/>
  <c r="I31" i="13"/>
  <c r="D31" i="13"/>
  <c r="I30" i="13"/>
  <c r="D30" i="13"/>
  <c r="I29" i="13"/>
  <c r="D29" i="13"/>
  <c r="I28" i="13"/>
  <c r="D28" i="13"/>
  <c r="I27" i="13"/>
  <c r="D27" i="13"/>
  <c r="I26" i="13"/>
  <c r="D26" i="13"/>
  <c r="I25" i="13"/>
  <c r="D25" i="13"/>
  <c r="I24" i="13"/>
  <c r="D24" i="13"/>
  <c r="I23" i="13"/>
  <c r="D23" i="13"/>
  <c r="I22" i="13"/>
  <c r="D22" i="13"/>
  <c r="I21" i="13"/>
  <c r="D21" i="13"/>
  <c r="I20" i="13"/>
  <c r="D20" i="13"/>
  <c r="I19" i="13"/>
  <c r="D19" i="13"/>
  <c r="I18" i="13"/>
  <c r="D18" i="13"/>
  <c r="I17" i="13"/>
  <c r="D17" i="13"/>
  <c r="I16" i="13"/>
  <c r="D16" i="13"/>
  <c r="I15" i="13"/>
  <c r="D15" i="13"/>
  <c r="I14" i="13"/>
  <c r="D14" i="13"/>
  <c r="I13" i="13"/>
  <c r="D13" i="13"/>
  <c r="I12" i="13"/>
  <c r="D12" i="13"/>
  <c r="I11" i="13"/>
  <c r="D11" i="13"/>
  <c r="I10" i="13"/>
  <c r="D10" i="13"/>
  <c r="I9" i="13"/>
  <c r="D9" i="13"/>
  <c r="I8" i="13"/>
  <c r="D8" i="13"/>
  <c r="I7" i="13"/>
  <c r="D7" i="13"/>
  <c r="D7" i="11"/>
  <c r="D9" i="11" s="1"/>
  <c r="D10" i="11" s="1"/>
  <c r="C7" i="11"/>
  <c r="G6" i="11"/>
  <c r="F6" i="11"/>
  <c r="E6" i="11"/>
  <c r="D6" i="11"/>
  <c r="C6" i="11"/>
  <c r="C5" i="11"/>
  <c r="D11" i="10"/>
  <c r="G8" i="10"/>
  <c r="D8" i="10"/>
  <c r="E4" i="10" s="1"/>
  <c r="E7" i="10"/>
  <c r="D7" i="10"/>
  <c r="D6" i="10"/>
  <c r="D5" i="10" s="1"/>
  <c r="D10" i="10" s="1"/>
  <c r="D7" i="12" s="1"/>
  <c r="F40" i="9"/>
  <c r="E40" i="9"/>
  <c r="G33" i="9"/>
  <c r="G30" i="9"/>
  <c r="D28" i="9"/>
  <c r="H27" i="9"/>
  <c r="H5" i="9"/>
  <c r="E5" i="9"/>
  <c r="C21" i="8"/>
  <c r="D20" i="8"/>
  <c r="C20" i="8"/>
  <c r="G19" i="8"/>
  <c r="G105" i="7"/>
  <c r="H105" i="7" s="1"/>
  <c r="F105" i="7"/>
  <c r="E105" i="7"/>
  <c r="D105" i="7"/>
  <c r="C105" i="7"/>
  <c r="H104" i="7"/>
  <c r="H103" i="7"/>
  <c r="H102" i="7"/>
  <c r="H101" i="7"/>
  <c r="G101" i="7"/>
  <c r="F101" i="7"/>
  <c r="E101" i="7"/>
  <c r="D101" i="7"/>
  <c r="C101" i="7"/>
  <c r="H100" i="7"/>
  <c r="H99" i="7"/>
  <c r="H98" i="7"/>
  <c r="E95" i="7"/>
  <c r="D95" i="7"/>
  <c r="C95" i="7"/>
  <c r="H94" i="7"/>
  <c r="H93" i="7"/>
  <c r="H92" i="7"/>
  <c r="G92" i="7"/>
  <c r="F92" i="7"/>
  <c r="E92" i="7"/>
  <c r="D92" i="7"/>
  <c r="C92" i="7"/>
  <c r="H91" i="7"/>
  <c r="G91" i="7"/>
  <c r="G95" i="7" s="1"/>
  <c r="H95" i="7" s="1"/>
  <c r="F91" i="7"/>
  <c r="F95" i="7" s="1"/>
  <c r="E91" i="7"/>
  <c r="D91" i="7"/>
  <c r="C91" i="7"/>
  <c r="H90" i="7"/>
  <c r="H89" i="7"/>
  <c r="H88" i="7"/>
  <c r="H87" i="7"/>
  <c r="H86" i="7"/>
  <c r="F83" i="7"/>
  <c r="E83" i="7"/>
  <c r="D83" i="7"/>
  <c r="C83" i="7"/>
  <c r="H82" i="7"/>
  <c r="H80" i="7"/>
  <c r="H79" i="7"/>
  <c r="H78" i="7"/>
  <c r="G77" i="7"/>
  <c r="G81" i="7" s="1"/>
  <c r="F77" i="7"/>
  <c r="F81" i="7" s="1"/>
  <c r="E77" i="7"/>
  <c r="E81" i="7" s="1"/>
  <c r="D77" i="7"/>
  <c r="D81" i="7" s="1"/>
  <c r="C77" i="7"/>
  <c r="C81" i="7" s="1"/>
  <c r="H76" i="7"/>
  <c r="H75" i="7"/>
  <c r="H73" i="7"/>
  <c r="E73" i="7"/>
  <c r="D73" i="7"/>
  <c r="G69" i="7"/>
  <c r="F110" i="6" s="1"/>
  <c r="E69" i="7"/>
  <c r="E71" i="7" s="1"/>
  <c r="D69" i="7"/>
  <c r="D71" i="7" s="1"/>
  <c r="G67" i="7"/>
  <c r="H67" i="7" s="1"/>
  <c r="F67" i="7"/>
  <c r="E67" i="7"/>
  <c r="D67" i="7"/>
  <c r="C67" i="7"/>
  <c r="H66" i="7"/>
  <c r="G66" i="7"/>
  <c r="G21" i="8" s="1"/>
  <c r="F66" i="7"/>
  <c r="E66" i="7"/>
  <c r="E21" i="8" s="1"/>
  <c r="D66" i="7"/>
  <c r="D21" i="8" s="1"/>
  <c r="C66" i="7"/>
  <c r="G65" i="7"/>
  <c r="H65" i="7" s="1"/>
  <c r="H29" i="9" s="1"/>
  <c r="F65" i="7"/>
  <c r="E65" i="7"/>
  <c r="E29" i="9" s="1"/>
  <c r="D65" i="7"/>
  <c r="E88" i="15" s="1"/>
  <c r="C65" i="7"/>
  <c r="H64" i="7"/>
  <c r="G64" i="7"/>
  <c r="G5" i="11" s="1"/>
  <c r="F64" i="7"/>
  <c r="F5" i="11" s="1"/>
  <c r="F7" i="11" s="1"/>
  <c r="E64" i="7"/>
  <c r="D64" i="7"/>
  <c r="D5" i="11" s="1"/>
  <c r="C64" i="7"/>
  <c r="G62" i="7"/>
  <c r="H62" i="7" s="1"/>
  <c r="F62" i="7"/>
  <c r="F69" i="7" s="1"/>
  <c r="E62" i="7"/>
  <c r="D62" i="7"/>
  <c r="C62" i="7"/>
  <c r="C69" i="7" s="1"/>
  <c r="C71" i="7" s="1"/>
  <c r="G61" i="7"/>
  <c r="H61" i="7" s="1"/>
  <c r="F61" i="7"/>
  <c r="E61" i="7"/>
  <c r="D61" i="7"/>
  <c r="C61" i="7"/>
  <c r="H60" i="7"/>
  <c r="G60" i="7"/>
  <c r="F60" i="7"/>
  <c r="E60" i="7"/>
  <c r="D60" i="7"/>
  <c r="C60" i="7"/>
  <c r="H59" i="7"/>
  <c r="G59" i="7"/>
  <c r="F59" i="7"/>
  <c r="E59" i="7"/>
  <c r="D59" i="7"/>
  <c r="C59" i="7"/>
  <c r="H58" i="7"/>
  <c r="G58" i="7"/>
  <c r="F58" i="7"/>
  <c r="F8" i="10" s="1"/>
  <c r="G4" i="10" s="1"/>
  <c r="E58" i="7"/>
  <c r="D58" i="7"/>
  <c r="C58" i="7"/>
  <c r="C8" i="10" s="1"/>
  <c r="D4" i="10" s="1"/>
  <c r="H56" i="7"/>
  <c r="G56" i="7"/>
  <c r="F56" i="7"/>
  <c r="E56" i="7"/>
  <c r="D56" i="7"/>
  <c r="C56" i="7"/>
  <c r="H55" i="7"/>
  <c r="G55" i="7"/>
  <c r="F55" i="7"/>
  <c r="E55" i="7"/>
  <c r="D55" i="7"/>
  <c r="C55" i="7"/>
  <c r="H54" i="7"/>
  <c r="H33" i="9" s="1"/>
  <c r="G54" i="7"/>
  <c r="F54" i="7"/>
  <c r="E54" i="7"/>
  <c r="D54" i="7"/>
  <c r="C54" i="7"/>
  <c r="C33" i="9" s="1"/>
  <c r="H53" i="7"/>
  <c r="G53" i="7"/>
  <c r="F53" i="7"/>
  <c r="F19" i="8" s="1"/>
  <c r="E53" i="7"/>
  <c r="D53" i="7"/>
  <c r="C53" i="7"/>
  <c r="C19" i="8" s="1"/>
  <c r="C22" i="8" s="1"/>
  <c r="H52" i="7"/>
  <c r="G52" i="7"/>
  <c r="F52" i="7"/>
  <c r="E52" i="7"/>
  <c r="D52" i="7"/>
  <c r="C52" i="7"/>
  <c r="H51" i="7"/>
  <c r="E51" i="7"/>
  <c r="D51" i="7"/>
  <c r="H46" i="7"/>
  <c r="F46" i="7"/>
  <c r="E46" i="7"/>
  <c r="E9" i="9" s="1"/>
  <c r="D46" i="7"/>
  <c r="C46" i="7"/>
  <c r="D9" i="9" s="1"/>
  <c r="H41" i="7"/>
  <c r="H70" i="7" s="1"/>
  <c r="G41" i="7"/>
  <c r="G70" i="7" s="1"/>
  <c r="H79" i="15" s="1"/>
  <c r="F41" i="7"/>
  <c r="E41" i="7"/>
  <c r="D41" i="7"/>
  <c r="C41" i="7"/>
  <c r="H35" i="7"/>
  <c r="G35" i="7"/>
  <c r="F35" i="7"/>
  <c r="E35" i="7"/>
  <c r="D35" i="7"/>
  <c r="C35" i="7"/>
  <c r="H30" i="7"/>
  <c r="G30" i="7"/>
  <c r="F30" i="7"/>
  <c r="E30" i="7"/>
  <c r="D30" i="7"/>
  <c r="C30" i="7"/>
  <c r="H27" i="7"/>
  <c r="H28" i="7" s="1"/>
  <c r="G27" i="7"/>
  <c r="G28" i="7" s="1"/>
  <c r="F27" i="7"/>
  <c r="F28" i="7" s="1"/>
  <c r="E27" i="7"/>
  <c r="E28" i="7" s="1"/>
  <c r="D27" i="7"/>
  <c r="C27" i="7"/>
  <c r="C30" i="9" s="1"/>
  <c r="H22" i="7"/>
  <c r="H18" i="9" s="1"/>
  <c r="G22" i="7"/>
  <c r="G18" i="9" s="1"/>
  <c r="H21" i="7"/>
  <c r="G21" i="7"/>
  <c r="G7" i="10" s="1"/>
  <c r="F21" i="7"/>
  <c r="F7" i="10" s="1"/>
  <c r="E21" i="7"/>
  <c r="D21" i="7"/>
  <c r="C21" i="7"/>
  <c r="H15" i="7"/>
  <c r="G15" i="7"/>
  <c r="G18" i="7" s="1"/>
  <c r="F15" i="7"/>
  <c r="E15" i="7"/>
  <c r="D15" i="7"/>
  <c r="C15" i="7"/>
  <c r="G12" i="7"/>
  <c r="F12" i="7"/>
  <c r="H10" i="7"/>
  <c r="G10" i="7"/>
  <c r="H9" i="7"/>
  <c r="G9" i="7"/>
  <c r="G27" i="9" s="1"/>
  <c r="F9" i="7"/>
  <c r="F10" i="7" s="1"/>
  <c r="E9" i="7"/>
  <c r="E12" i="7" s="1"/>
  <c r="D9" i="7"/>
  <c r="D12" i="7" s="1"/>
  <c r="C9" i="7"/>
  <c r="H7" i="7"/>
  <c r="E7" i="7"/>
  <c r="H6" i="7"/>
  <c r="H12" i="7" s="1"/>
  <c r="G6" i="7"/>
  <c r="F6" i="7"/>
  <c r="E6" i="7"/>
  <c r="D6" i="7"/>
  <c r="C6" i="7"/>
  <c r="C12" i="7" s="1"/>
  <c r="G3" i="7"/>
  <c r="F3" i="7"/>
  <c r="F73" i="7" s="1"/>
  <c r="E3" i="7"/>
  <c r="D3" i="7"/>
  <c r="C3" i="7"/>
  <c r="C51" i="7" s="1"/>
  <c r="F113" i="6"/>
  <c r="F111" i="6"/>
  <c r="E111" i="6"/>
  <c r="D111" i="6"/>
  <c r="C111" i="6"/>
  <c r="F109" i="6"/>
  <c r="C109" i="6"/>
  <c r="F108" i="6"/>
  <c r="B104" i="6"/>
  <c r="F101" i="6"/>
  <c r="E101" i="6"/>
  <c r="T50" i="6"/>
  <c r="S50" i="6"/>
  <c r="R50" i="6"/>
  <c r="W50" i="6" s="1"/>
  <c r="Q50" i="6"/>
  <c r="V50" i="6" s="1"/>
  <c r="P50" i="6"/>
  <c r="U50" i="6" s="1"/>
  <c r="O50" i="6"/>
  <c r="C32" i="5"/>
  <c r="C31" i="5"/>
  <c r="C30" i="5"/>
  <c r="E30" i="5" s="1"/>
  <c r="C29" i="5"/>
  <c r="E31" i="5" l="1"/>
  <c r="E29" i="5"/>
  <c r="D18" i="7"/>
  <c r="D13" i="7"/>
  <c r="D26" i="9"/>
  <c r="C96" i="6"/>
  <c r="G24" i="7"/>
  <c r="G19" i="7"/>
  <c r="F105" i="6"/>
  <c r="C18" i="7"/>
  <c r="C13" i="7"/>
  <c r="B96" i="6"/>
  <c r="C26" i="9"/>
  <c r="F71" i="7"/>
  <c r="F26" i="9"/>
  <c r="E13" i="7"/>
  <c r="E18" i="7"/>
  <c r="D96" i="6"/>
  <c r="E26" i="9"/>
  <c r="K33" i="9"/>
  <c r="F38" i="9"/>
  <c r="C31" i="9"/>
  <c r="E8" i="10"/>
  <c r="D109" i="6"/>
  <c r="D38" i="9"/>
  <c r="D107" i="7"/>
  <c r="H30" i="9"/>
  <c r="E32" i="5"/>
  <c r="H69" i="7"/>
  <c r="E109" i="6"/>
  <c r="D35" i="15"/>
  <c r="F44" i="15"/>
  <c r="C24" i="15"/>
  <c r="E33" i="9"/>
  <c r="G71" i="7"/>
  <c r="H71" i="7" s="1"/>
  <c r="G83" i="7"/>
  <c r="H81" i="7"/>
  <c r="D9" i="12"/>
  <c r="B110" i="6"/>
  <c r="H13" i="7"/>
  <c r="H11" i="9" s="1"/>
  <c r="H26" i="9"/>
  <c r="G9" i="9"/>
  <c r="F9" i="9"/>
  <c r="K9" i="9" s="1"/>
  <c r="F70" i="7"/>
  <c r="H77" i="7"/>
  <c r="H28" i="9"/>
  <c r="H34" i="9"/>
  <c r="G34" i="9"/>
  <c r="F34" i="9"/>
  <c r="F46" i="15"/>
  <c r="C26" i="15"/>
  <c r="D60" i="15"/>
  <c r="C38" i="9"/>
  <c r="C107" i="7"/>
  <c r="B115" i="6"/>
  <c r="D16" i="7"/>
  <c r="D17" i="9" s="1"/>
  <c r="D31" i="9"/>
  <c r="E16" i="7"/>
  <c r="E17" i="9" s="1"/>
  <c r="E31" i="9"/>
  <c r="F6" i="10"/>
  <c r="H31" i="9"/>
  <c r="H16" i="7"/>
  <c r="H17" i="9" s="1"/>
  <c r="D19" i="8"/>
  <c r="D22" i="8" s="1"/>
  <c r="D70" i="7"/>
  <c r="C110" i="6"/>
  <c r="H18" i="7"/>
  <c r="H9" i="9"/>
  <c r="C73" i="7"/>
  <c r="G31" i="9"/>
  <c r="G16" i="7"/>
  <c r="G17" i="9" s="1"/>
  <c r="J33" i="9"/>
  <c r="H86" i="15"/>
  <c r="K30" i="9"/>
  <c r="D8" i="12"/>
  <c r="G73" i="7"/>
  <c r="G51" i="7"/>
  <c r="B108" i="6"/>
  <c r="B109" i="6"/>
  <c r="F51" i="7"/>
  <c r="E107" i="7"/>
  <c r="G6" i="10"/>
  <c r="G5" i="10" s="1"/>
  <c r="G10" i="10" s="1"/>
  <c r="E5" i="11"/>
  <c r="E7" i="11" s="1"/>
  <c r="E9" i="11" s="1"/>
  <c r="D108" i="6"/>
  <c r="D33" i="9"/>
  <c r="C101" i="6"/>
  <c r="C104" i="6"/>
  <c r="C115" i="6"/>
  <c r="C28" i="9"/>
  <c r="F13" i="7"/>
  <c r="F18" i="7"/>
  <c r="E96" i="6"/>
  <c r="E30" i="9"/>
  <c r="C40" i="9"/>
  <c r="L7" i="13"/>
  <c r="D10" i="7"/>
  <c r="D27" i="9"/>
  <c r="C7" i="10"/>
  <c r="C6" i="10" s="1"/>
  <c r="C22" i="7"/>
  <c r="C18" i="9" s="1"/>
  <c r="E10" i="7"/>
  <c r="E27" i="9"/>
  <c r="D30" i="9"/>
  <c r="D28" i="7"/>
  <c r="F16" i="7"/>
  <c r="F17" i="9" s="1"/>
  <c r="F31" i="9"/>
  <c r="F107" i="7"/>
  <c r="E115" i="6"/>
  <c r="E38" i="9"/>
  <c r="C16" i="7"/>
  <c r="C17" i="9" s="1"/>
  <c r="C28" i="7"/>
  <c r="B111" i="6"/>
  <c r="C27" i="9"/>
  <c r="C10" i="7"/>
  <c r="G13" i="7"/>
  <c r="F96" i="6"/>
  <c r="G26" i="9"/>
  <c r="G88" i="15"/>
  <c r="H88" i="15"/>
  <c r="G29" i="9"/>
  <c r="F29" i="9"/>
  <c r="F30" i="9"/>
  <c r="C34" i="9"/>
  <c r="D40" i="9"/>
  <c r="C34" i="14"/>
  <c r="C33" i="14"/>
  <c r="E20" i="8"/>
  <c r="D104" i="6"/>
  <c r="E108" i="6"/>
  <c r="D110" i="6"/>
  <c r="E28" i="9"/>
  <c r="E22" i="7"/>
  <c r="E18" i="9" s="1"/>
  <c r="E104" i="6"/>
  <c r="G7" i="11"/>
  <c r="G9" i="11" s="1"/>
  <c r="F20" i="8"/>
  <c r="F22" i="8" s="1"/>
  <c r="D22" i="7"/>
  <c r="D18" i="9" s="1"/>
  <c r="E19" i="8"/>
  <c r="C70" i="7"/>
  <c r="E110" i="6"/>
  <c r="F28" i="9"/>
  <c r="F7" i="7"/>
  <c r="F22" i="7"/>
  <c r="F18" i="9" s="1"/>
  <c r="F104" i="6"/>
  <c r="E70" i="7"/>
  <c r="G20" i="8"/>
  <c r="G22" i="8" s="1"/>
  <c r="D29" i="9"/>
  <c r="C108" i="6"/>
  <c r="D101" i="6"/>
  <c r="B101" i="6"/>
  <c r="D115" i="6"/>
  <c r="G28" i="9"/>
  <c r="G7" i="7"/>
  <c r="D11" i="8"/>
  <c r="C11" i="8"/>
  <c r="F33" i="9"/>
  <c r="I88" i="15"/>
  <c r="F27" i="9"/>
  <c r="D7" i="7"/>
  <c r="F88" i="15"/>
  <c r="L6" i="13"/>
  <c r="E10" i="11" l="1"/>
  <c r="E8" i="12"/>
  <c r="E79" i="15"/>
  <c r="E86" i="15" s="1"/>
  <c r="D34" i="9"/>
  <c r="D84" i="15"/>
  <c r="C11" i="9"/>
  <c r="J30" i="9"/>
  <c r="F19" i="7"/>
  <c r="E105" i="6"/>
  <c r="F6" i="9"/>
  <c r="F24" i="7"/>
  <c r="G12" i="9"/>
  <c r="G4" i="8"/>
  <c r="E19" i="7"/>
  <c r="D105" i="6"/>
  <c r="E24" i="7"/>
  <c r="E6" i="9"/>
  <c r="F5" i="9"/>
  <c r="J9" i="9"/>
  <c r="G107" i="7"/>
  <c r="H107" i="7" s="1"/>
  <c r="H83" i="7"/>
  <c r="F115" i="6"/>
  <c r="G40" i="9"/>
  <c r="G38" i="9"/>
  <c r="F84" i="15"/>
  <c r="E11" i="9"/>
  <c r="G7" i="9"/>
  <c r="G25" i="8"/>
  <c r="C28" i="8"/>
  <c r="G25" i="7"/>
  <c r="G32" i="7"/>
  <c r="F95" i="6"/>
  <c r="G18" i="8"/>
  <c r="G26" i="8" s="1"/>
  <c r="F103" i="6"/>
  <c r="G4" i="12"/>
  <c r="D5" i="9"/>
  <c r="C10" i="8"/>
  <c r="K26" i="9"/>
  <c r="J26" i="9"/>
  <c r="G11" i="10"/>
  <c r="G7" i="12"/>
  <c r="G9" i="12" s="1"/>
  <c r="F9" i="11"/>
  <c r="G8" i="12"/>
  <c r="G10" i="11"/>
  <c r="B105" i="6"/>
  <c r="C19" i="7"/>
  <c r="C24" i="7"/>
  <c r="F79" i="15"/>
  <c r="F86" i="15" s="1"/>
  <c r="E34" i="9"/>
  <c r="K17" i="9"/>
  <c r="J17" i="9"/>
  <c r="K28" i="9"/>
  <c r="J28" i="9"/>
  <c r="K18" i="9"/>
  <c r="J18" i="9"/>
  <c r="C7" i="15"/>
  <c r="L8" i="13"/>
  <c r="L9" i="13"/>
  <c r="C10" i="14" s="1"/>
  <c r="D79" i="15"/>
  <c r="G79" i="15"/>
  <c r="G86" i="15" s="1"/>
  <c r="F4" i="10"/>
  <c r="F5" i="10" s="1"/>
  <c r="F10" i="10" s="1"/>
  <c r="E6" i="10"/>
  <c r="E5" i="10" s="1"/>
  <c r="E10" i="10" s="1"/>
  <c r="E84" i="15"/>
  <c r="D11" i="9"/>
  <c r="J27" i="9"/>
  <c r="K27" i="9"/>
  <c r="K29" i="9"/>
  <c r="J29" i="9"/>
  <c r="K34" i="9"/>
  <c r="J34" i="9"/>
  <c r="F11" i="9"/>
  <c r="G84" i="15"/>
  <c r="G6" i="9"/>
  <c r="G5" i="9"/>
  <c r="E22" i="8"/>
  <c r="H84" i="15"/>
  <c r="G11" i="9"/>
  <c r="H6" i="9"/>
  <c r="H24" i="7"/>
  <c r="H19" i="7"/>
  <c r="H12" i="9" s="1"/>
  <c r="J31" i="9"/>
  <c r="K31" i="9"/>
  <c r="D6" i="9"/>
  <c r="D19" i="7"/>
  <c r="C105" i="6"/>
  <c r="D24" i="7"/>
  <c r="F7" i="12" l="1"/>
  <c r="F11" i="10"/>
  <c r="G33" i="7"/>
  <c r="G38" i="7"/>
  <c r="G36" i="7"/>
  <c r="G14" i="8" s="1"/>
  <c r="F12" i="9"/>
  <c r="F4" i="8"/>
  <c r="K11" i="9"/>
  <c r="J11" i="9"/>
  <c r="E32" i="7"/>
  <c r="E25" i="7"/>
  <c r="E4" i="12"/>
  <c r="D95" i="6"/>
  <c r="E18" i="8"/>
  <c r="E26" i="8" s="1"/>
  <c r="E21" i="9" s="1"/>
  <c r="E25" i="8"/>
  <c r="D103" i="6"/>
  <c r="E7" i="9"/>
  <c r="K6" i="9"/>
  <c r="J6" i="9"/>
  <c r="E12" i="9"/>
  <c r="E4" i="8"/>
  <c r="I79" i="15"/>
  <c r="D86" i="15"/>
  <c r="I86" i="15" s="1"/>
  <c r="G13" i="9"/>
  <c r="G19" i="9" s="1"/>
  <c r="G5" i="8"/>
  <c r="D4" i="12"/>
  <c r="D32" i="7"/>
  <c r="D25" i="7"/>
  <c r="D7" i="9"/>
  <c r="D18" i="8"/>
  <c r="D26" i="8" s="1"/>
  <c r="D21" i="9" s="1"/>
  <c r="C95" i="6"/>
  <c r="C103" i="6"/>
  <c r="D25" i="8"/>
  <c r="E13" i="14"/>
  <c r="E37" i="14" s="1"/>
  <c r="C13" i="14"/>
  <c r="C18" i="8"/>
  <c r="C26" i="8" s="1"/>
  <c r="C21" i="9" s="1"/>
  <c r="C25" i="7"/>
  <c r="B103" i="6"/>
  <c r="C4" i="12"/>
  <c r="B95" i="6"/>
  <c r="C25" i="8"/>
  <c r="C32" i="7"/>
  <c r="C12" i="9"/>
  <c r="C4" i="8"/>
  <c r="I84" i="15"/>
  <c r="D12" i="9"/>
  <c r="D4" i="8"/>
  <c r="K5" i="9"/>
  <c r="J5" i="9"/>
  <c r="F8" i="12"/>
  <c r="F10" i="11"/>
  <c r="D12" i="11" s="1"/>
  <c r="G5" i="12"/>
  <c r="G6" i="12" s="1"/>
  <c r="E7" i="12"/>
  <c r="E9" i="12" s="1"/>
  <c r="E11" i="10"/>
  <c r="H7" i="9"/>
  <c r="H25" i="7"/>
  <c r="H13" i="9" s="1"/>
  <c r="H19" i="9" s="1"/>
  <c r="H32" i="7"/>
  <c r="G21" i="9"/>
  <c r="H21" i="9"/>
  <c r="H40" i="9"/>
  <c r="H38" i="9"/>
  <c r="F4" i="12"/>
  <c r="F32" i="7"/>
  <c r="F25" i="7"/>
  <c r="E95" i="6"/>
  <c r="F25" i="8"/>
  <c r="F7" i="9"/>
  <c r="E103" i="6"/>
  <c r="F18" i="8"/>
  <c r="F26" i="8" s="1"/>
  <c r="F21" i="9" s="1"/>
  <c r="G10" i="12" l="1"/>
  <c r="G12" i="12"/>
  <c r="D38" i="15"/>
  <c r="C5" i="15"/>
  <c r="D58" i="15" s="1"/>
  <c r="C37" i="14"/>
  <c r="E38" i="15"/>
  <c r="H38" i="15"/>
  <c r="C21" i="15"/>
  <c r="D36" i="15"/>
  <c r="G38" i="15"/>
  <c r="F38" i="15"/>
  <c r="F13" i="9"/>
  <c r="F19" i="9" s="1"/>
  <c r="F5" i="8"/>
  <c r="C38" i="7"/>
  <c r="C36" i="7"/>
  <c r="C14" i="8" s="1"/>
  <c r="C33" i="7"/>
  <c r="D13" i="10"/>
  <c r="D14" i="10"/>
  <c r="E38" i="7"/>
  <c r="E36" i="7"/>
  <c r="E14" i="8" s="1"/>
  <c r="E33" i="7"/>
  <c r="J40" i="9"/>
  <c r="K40" i="9"/>
  <c r="D38" i="7"/>
  <c r="D33" i="7"/>
  <c r="D36" i="7"/>
  <c r="D14" i="8" s="1"/>
  <c r="F99" i="6"/>
  <c r="G43" i="7"/>
  <c r="G39" i="7"/>
  <c r="F98" i="6"/>
  <c r="F106" i="6"/>
  <c r="G32" i="9"/>
  <c r="G23" i="9"/>
  <c r="D29" i="5"/>
  <c r="G39" i="9"/>
  <c r="F5" i="12"/>
  <c r="F6" i="12" s="1"/>
  <c r="F10" i="12" s="1"/>
  <c r="J7" i="9"/>
  <c r="K7" i="9"/>
  <c r="D5" i="8"/>
  <c r="D13" i="9"/>
  <c r="D19" i="9" s="1"/>
  <c r="D5" i="12"/>
  <c r="D6" i="12"/>
  <c r="G6" i="8"/>
  <c r="G14" i="9"/>
  <c r="E5" i="12"/>
  <c r="E6" i="12"/>
  <c r="E10" i="12" s="1"/>
  <c r="E13" i="9"/>
  <c r="E19" i="9" s="1"/>
  <c r="E5" i="8"/>
  <c r="E12" i="12"/>
  <c r="F38" i="7"/>
  <c r="G8" i="9" s="1"/>
  <c r="F36" i="7"/>
  <c r="F14" i="8" s="1"/>
  <c r="F33" i="7"/>
  <c r="J38" i="9"/>
  <c r="K38" i="9"/>
  <c r="D13" i="11"/>
  <c r="C5" i="12"/>
  <c r="C6" i="12" s="1"/>
  <c r="J12" i="9"/>
  <c r="K12" i="9"/>
  <c r="C5" i="8"/>
  <c r="C13" i="9"/>
  <c r="H33" i="7"/>
  <c r="H14" i="9" s="1"/>
  <c r="H38" i="7"/>
  <c r="H36" i="7"/>
  <c r="K21" i="9"/>
  <c r="J21" i="9"/>
  <c r="F9" i="12"/>
  <c r="C19" i="9" l="1"/>
  <c r="K13" i="9"/>
  <c r="J13" i="9"/>
  <c r="G49" i="7"/>
  <c r="D34" i="15"/>
  <c r="H80" i="15"/>
  <c r="H87" i="15" s="1"/>
  <c r="C11" i="15"/>
  <c r="D52" i="15" s="1"/>
  <c r="G35" i="9"/>
  <c r="C6" i="8"/>
  <c r="C14" i="9"/>
  <c r="C23" i="9"/>
  <c r="B98" i="6"/>
  <c r="B99" i="6"/>
  <c r="C43" i="7"/>
  <c r="B106" i="6"/>
  <c r="C39" i="7"/>
  <c r="C32" i="9"/>
  <c r="C39" i="9"/>
  <c r="C13" i="15"/>
  <c r="G81" i="15"/>
  <c r="F97" i="6"/>
  <c r="G7" i="8"/>
  <c r="H85" i="15"/>
  <c r="G15" i="9"/>
  <c r="D6" i="8"/>
  <c r="D14" i="9"/>
  <c r="D32" i="5"/>
  <c r="F32" i="5" s="1"/>
  <c r="C106" i="6"/>
  <c r="D8" i="9"/>
  <c r="D32" i="9"/>
  <c r="D23" i="9"/>
  <c r="D43" i="7"/>
  <c r="C98" i="6"/>
  <c r="D39" i="7"/>
  <c r="C99" i="6"/>
  <c r="D39" i="9"/>
  <c r="D10" i="12"/>
  <c r="D12" i="12"/>
  <c r="H23" i="9"/>
  <c r="H81" i="15" s="1"/>
  <c r="H83" i="15" s="1"/>
  <c r="H8" i="9"/>
  <c r="H43" i="7"/>
  <c r="H39" i="7"/>
  <c r="H15" i="9" s="1"/>
  <c r="H32" i="9"/>
  <c r="H39" i="9"/>
  <c r="E14" i="9"/>
  <c r="E6" i="8"/>
  <c r="D99" i="6"/>
  <c r="D31" i="5"/>
  <c r="D106" i="6"/>
  <c r="E32" i="9"/>
  <c r="D98" i="6"/>
  <c r="E8" i="9"/>
  <c r="E23" i="9"/>
  <c r="E43" i="7"/>
  <c r="E39" i="7"/>
  <c r="E39" i="9"/>
  <c r="D30" i="5"/>
  <c r="F29" i="5" s="1"/>
  <c r="E99" i="6"/>
  <c r="E98" i="6"/>
  <c r="F43" i="7"/>
  <c r="G44" i="7" s="1"/>
  <c r="E106" i="6"/>
  <c r="F32" i="9"/>
  <c r="F23" i="9"/>
  <c r="F8" i="9"/>
  <c r="F39" i="7"/>
  <c r="F39" i="9"/>
  <c r="F12" i="12"/>
  <c r="F14" i="9"/>
  <c r="F6" i="8"/>
  <c r="K14" i="9" l="1"/>
  <c r="J14" i="9"/>
  <c r="D13" i="12"/>
  <c r="D14" i="12"/>
  <c r="C15" i="9"/>
  <c r="C7" i="8"/>
  <c r="D85" i="15"/>
  <c r="B97" i="6"/>
  <c r="F31" i="5"/>
  <c r="K32" i="9"/>
  <c r="J32" i="9"/>
  <c r="D37" i="15"/>
  <c r="D39" i="15" s="1"/>
  <c r="E34" i="15"/>
  <c r="G85" i="15"/>
  <c r="E97" i="6"/>
  <c r="F7" i="8"/>
  <c r="F15" i="9"/>
  <c r="D57" i="15"/>
  <c r="D59" i="15" s="1"/>
  <c r="E85" i="15"/>
  <c r="C97" i="6"/>
  <c r="D15" i="9"/>
  <c r="D7" i="8"/>
  <c r="F80" i="15"/>
  <c r="F87" i="15" s="1"/>
  <c r="E44" i="7"/>
  <c r="E35" i="9"/>
  <c r="E47" i="7"/>
  <c r="E49" i="7" s="1"/>
  <c r="E81" i="15"/>
  <c r="K8" i="9"/>
  <c r="J8" i="9"/>
  <c r="F44" i="7"/>
  <c r="G80" i="15"/>
  <c r="G87" i="15" s="1"/>
  <c r="F47" i="7"/>
  <c r="F35" i="9"/>
  <c r="F85" i="15"/>
  <c r="E15" i="9"/>
  <c r="E7" i="8"/>
  <c r="D97" i="6"/>
  <c r="F114" i="6"/>
  <c r="G22" i="9"/>
  <c r="G24" i="9" s="1"/>
  <c r="E80" i="15"/>
  <c r="E87" i="15" s="1"/>
  <c r="D44" i="7"/>
  <c r="D47" i="7"/>
  <c r="D35" i="9"/>
  <c r="C12" i="15"/>
  <c r="D53" i="15" s="1"/>
  <c r="D55" i="15" s="1"/>
  <c r="D56" i="15" s="1"/>
  <c r="C20" i="15"/>
  <c r="C23" i="15" s="1"/>
  <c r="C25" i="15" s="1"/>
  <c r="D81" i="15"/>
  <c r="J39" i="9"/>
  <c r="K39" i="9"/>
  <c r="F30" i="5"/>
  <c r="D80" i="15"/>
  <c r="C47" i="7"/>
  <c r="C35" i="9"/>
  <c r="F81" i="15"/>
  <c r="H44" i="7"/>
  <c r="H35" i="9"/>
  <c r="H47" i="7"/>
  <c r="H49" i="7" s="1"/>
  <c r="H22" i="9" s="1"/>
  <c r="H24" i="9" s="1"/>
  <c r="K23" i="9"/>
  <c r="J23" i="9"/>
  <c r="K19" i="9"/>
  <c r="J19" i="9"/>
  <c r="E22" i="9" l="1"/>
  <c r="E24" i="9" s="1"/>
  <c r="D114" i="6"/>
  <c r="D69" i="15"/>
  <c r="F69" i="15" s="1"/>
  <c r="D61" i="15"/>
  <c r="C27" i="15"/>
  <c r="D67" i="15"/>
  <c r="F67" i="15" s="1"/>
  <c r="K15" i="9"/>
  <c r="J15" i="9"/>
  <c r="C14" i="15"/>
  <c r="E35" i="15" s="1"/>
  <c r="E82" i="15"/>
  <c r="E83" i="15" s="1"/>
  <c r="C113" i="6"/>
  <c r="K35" i="9"/>
  <c r="J35" i="9"/>
  <c r="G82" i="15"/>
  <c r="G83" i="15" s="1"/>
  <c r="E113" i="6"/>
  <c r="I80" i="15"/>
  <c r="D87" i="15"/>
  <c r="I87" i="15" s="1"/>
  <c r="D49" i="7"/>
  <c r="F49" i="7"/>
  <c r="I81" i="15"/>
  <c r="I85" i="15"/>
  <c r="F82" i="15"/>
  <c r="F83" i="15" s="1"/>
  <c r="D113" i="6"/>
  <c r="D82" i="15"/>
  <c r="B113" i="6"/>
  <c r="C49" i="7"/>
  <c r="F34" i="15"/>
  <c r="D22" i="9" l="1"/>
  <c r="D24" i="9" s="1"/>
  <c r="C114" i="6"/>
  <c r="G34" i="15"/>
  <c r="F35" i="15"/>
  <c r="E36" i="15"/>
  <c r="E37" i="15" s="1"/>
  <c r="E39" i="15" s="1"/>
  <c r="F22" i="9"/>
  <c r="F24" i="9" s="1"/>
  <c r="E114" i="6"/>
  <c r="B114" i="6"/>
  <c r="C22" i="9"/>
  <c r="I82" i="15"/>
  <c r="D83" i="15"/>
  <c r="I83" i="15" s="1"/>
  <c r="G35" i="15" l="1"/>
  <c r="F36" i="15"/>
  <c r="F37" i="15" s="1"/>
  <c r="F39" i="15" s="1"/>
  <c r="K22" i="9"/>
  <c r="J22" i="9"/>
  <c r="C24" i="9"/>
  <c r="H34" i="15"/>
  <c r="I34" i="15" l="1"/>
  <c r="K24" i="9"/>
  <c r="J24" i="9"/>
  <c r="H35" i="15"/>
  <c r="G36" i="15"/>
  <c r="G37" i="15" s="1"/>
  <c r="G39" i="15" s="1"/>
  <c r="H36" i="15" l="1"/>
  <c r="H37" i="15" s="1"/>
  <c r="H39" i="15" s="1"/>
  <c r="I36" i="15"/>
  <c r="F42" i="15"/>
  <c r="I37" i="15"/>
  <c r="I40" i="15" s="1"/>
  <c r="F43" i="15" s="1"/>
  <c r="F45" i="15" l="1"/>
  <c r="D68" i="15" l="1"/>
  <c r="F68" i="15" s="1"/>
  <c r="F72" i="15" s="1"/>
  <c r="F74" i="15" s="1"/>
  <c r="F47"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5" authorId="0" shapeId="0" xr:uid="{00000000-0006-0000-0500-000001000000}">
      <text>
        <r>
          <rPr>
            <sz val="10"/>
            <rFont val="Arial"/>
            <family val="2"/>
          </rPr>
          <t>Naina Kumari:
both a bonus issue and a stock split in September 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6" authorId="0" shapeId="0" xr:uid="{00000000-0006-0000-0E00-000001000000}">
      <text>
        <r>
          <rPr>
            <sz val="10"/>
            <rFont val="Arial"/>
            <family val="2"/>
          </rPr>
          <t xml:space="preserve">Naina Kumari:
Long-run nominal GDP India
</t>
        </r>
      </text>
    </comment>
  </commentList>
</comments>
</file>

<file path=xl/sharedStrings.xml><?xml version="1.0" encoding="utf-8"?>
<sst xmlns="http://schemas.openxmlformats.org/spreadsheetml/2006/main" count="1471" uniqueCount="699">
  <si>
    <t xml:space="preserve">BAJAJ FINSERV LTD </t>
  </si>
  <si>
    <t>NSE: BAJAJFINSV  |  BSE: 532978  |  Sector: Financial Services  | Holding Company</t>
  </si>
  <si>
    <t xml:space="preserve">  Company Snapshot</t>
  </si>
  <si>
    <t>Legal Name</t>
  </si>
  <si>
    <t>Bajaj Finserv Limited</t>
  </si>
  <si>
    <t>CIN</t>
  </si>
  <si>
    <t>L65923PN2007PLC130075</t>
  </si>
  <si>
    <t>Incorporated</t>
  </si>
  <si>
    <t>30-Apr-2007 (demerger from Bajaj Auto Limited)</t>
  </si>
  <si>
    <t>Registered Office</t>
  </si>
  <si>
    <t>Bajaj Auto Limited Complex, Mumbai-Pune Road, Pune, Maharashtra 411035</t>
  </si>
  <si>
    <t>Chairman &amp; Managing Dir.</t>
  </si>
  <si>
    <t>Sanjiv Bajaj</t>
  </si>
  <si>
    <t>Website</t>
  </si>
  <si>
    <t>www.bajajfinserv.in</t>
  </si>
  <si>
    <t>Face Value</t>
  </si>
  <si>
    <t>₹1 per share</t>
  </si>
  <si>
    <t xml:space="preserve">NSE / BSE </t>
  </si>
  <si>
    <t>Financial Services &gt; Finance &gt; Holding Company</t>
  </si>
  <si>
    <t xml:space="preserve">  Business Description</t>
  </si>
  <si>
    <t>Bajaj Finserv Ltd. is the listed holding company for the financial services businesses of the Bajaj Group. It is an unregistered Core Investment Company (CIC) under RBI's CIC Directions and does not itself carry out an operating business value accrues from its stakes in operating subsidiaries spanning retail/SME/commercial lending (Bajaj Finance Ltd.), general &amp; health insurance (Bajaj General Insurance Co. Ltd., formerly BAGIC), life insurance (Bajaj Life Insurance Co. Ltd., formerly BALIC), and a small direct-to-consumer platform (Bajaj Markets). Post Allianz buy-out in FY26, BFS holds 100% of both insurance arms.</t>
  </si>
  <si>
    <t xml:space="preserve">  Group Structure - Holdings</t>
  </si>
  <si>
    <t>Entity</t>
  </si>
  <si>
    <t>Business</t>
  </si>
  <si>
    <t>BFS Effective Stake</t>
  </si>
  <si>
    <t>Listing Status</t>
  </si>
  <si>
    <t>Bajaj Finance Limited</t>
  </si>
  <si>
    <t>NBFC - retail, SME &amp; commercial lending</t>
  </si>
  <si>
    <t>51.32%</t>
  </si>
  <si>
    <t>Listed (BAJFINANCE)</t>
  </si>
  <si>
    <t>Bajaj Housing Finance Limited</t>
  </si>
  <si>
    <t>Housing finance (88.70%-owned subsidiary of Bajaj Finance)</t>
  </si>
  <si>
    <t>~45.5% look-through</t>
  </si>
  <si>
    <t>Listed (BAJAJHFL)</t>
  </si>
  <si>
    <t>Bajaj General Insurance Co. Ltd.</t>
  </si>
  <si>
    <t>General &amp; health insurance (fka BAGIC)</t>
  </si>
  <si>
    <t>100% (post Allianz buy-out, FY26)</t>
  </si>
  <si>
    <t>Unlisted</t>
  </si>
  <si>
    <t>Bajaj Life Insurance Co. Ltd.</t>
  </si>
  <si>
    <t>Life insurance (fka BALIC)</t>
  </si>
  <si>
    <t>Bajaj Markets (Finserv Direct)</t>
  </si>
  <si>
    <t>Digital consumer platform - loans, cards, insurance, MF</t>
  </si>
  <si>
    <t>100%</t>
  </si>
  <si>
    <t>Shareholding Pattern</t>
  </si>
  <si>
    <t>Bajaj Finserv Ltd</t>
  </si>
  <si>
    <t>Scrip Code : 532978</t>
  </si>
  <si>
    <t>Quarter Ending : Mar-26</t>
  </si>
  <si>
    <t>Statement showing shareholding pattern of the Promoter and Promoter Group</t>
  </si>
  <si>
    <t>Category of shareholder</t>
  </si>
  <si>
    <t>Entity Type</t>
  </si>
  <si>
    <t>Nos. of shareholders</t>
  </si>
  <si>
    <t>No. of fully paid up equity shares held</t>
  </si>
  <si>
    <t>Total nos. shares held</t>
  </si>
  <si>
    <t>Shareholding as a % of total no. of shares (calculated as per SCRR, 1957)As a % of (A+B+C2)</t>
  </si>
  <si>
    <t>Number of Voting Rights held in each class of securities</t>
  </si>
  <si>
    <t>No. Of Outstanding ESOP Granted</t>
  </si>
  <si>
    <t>Total No. Of shares on fully diluted basis (including warrants, ESOP, Convertible Securities etc.)</t>
  </si>
  <si>
    <t>Shareholding , as a % assuming full conversion of convertible securities ( as a percentage of diluted share capital)As a % of (A+B+C2)</t>
  </si>
  <si>
    <t>Other Encumbrances, if any</t>
  </si>
  <si>
    <t>Number of equity shares held in dematerialized form</t>
  </si>
  <si>
    <t>Class eg: X</t>
  </si>
  <si>
    <t>Total</t>
  </si>
  <si>
    <t>No.(a)</t>
  </si>
  <si>
    <t>As a % of total Shares held(b)</t>
  </si>
  <si>
    <t>A1) Indian</t>
  </si>
  <si>
    <t>-</t>
  </si>
  <si>
    <t>Individuals/Hindu undivided Family</t>
  </si>
  <si>
    <t>DEEPA BAJAJ</t>
  </si>
  <si>
    <t>Promoter Group</t>
  </si>
  <si>
    <t>GEETIKA BAJAJ</t>
  </si>
  <si>
    <t>KIRAN BAJAJ</t>
  </si>
  <si>
    <t>KRITI BAJAJ</t>
  </si>
  <si>
    <t>KUMUD BAJAJ</t>
  </si>
  <si>
    <t>MINAL BAJAJ</t>
  </si>
  <si>
    <t>NEELIMA BAJAJ SWAMY</t>
  </si>
  <si>
    <t>NIMISHA JAIPURIA</t>
  </si>
  <si>
    <t>NIRAJ BAJAJ</t>
  </si>
  <si>
    <t>Promoter</t>
  </si>
  <si>
    <t>NIRAVNAYAN BAJAJ</t>
  </si>
  <si>
    <t>RAJIVNAYAN BAJAJ</t>
  </si>
  <si>
    <t>RISHABNAYAN BAJAJ</t>
  </si>
  <si>
    <t>SANJIVNAYAN BAJAJ</t>
  </si>
  <si>
    <t>SHEFALI BAJAJ</t>
  </si>
  <si>
    <t>SHEKHAR BAJAJ</t>
  </si>
  <si>
    <t>SUMAN JAIN</t>
  </si>
  <si>
    <t>MANISH KEJRIWAL</t>
  </si>
  <si>
    <t>NIRVAAN KEJRIWAL</t>
  </si>
  <si>
    <t>POOJA BAJAJ</t>
  </si>
  <si>
    <t>AARAV SWAMY</t>
  </si>
  <si>
    <t>VIHAAN JAIPURIA</t>
  </si>
  <si>
    <t>VANRAJ BAJAJ</t>
  </si>
  <si>
    <t>SHEETAL BAJAJ</t>
  </si>
  <si>
    <t>ARYAN BAJAJ</t>
  </si>
  <si>
    <t>Estate of Rahulkumar Bajaj</t>
  </si>
  <si>
    <t>SIDDHANTNAYAN BAJAJ</t>
  </si>
  <si>
    <t>SANJALI BAJAJ</t>
  </si>
  <si>
    <t>Any Other (specify)</t>
  </si>
  <si>
    <t>BACHHRAJ AND COMPANY PRIVATE LIMITED</t>
  </si>
  <si>
    <t>BACHHRAJ FACTORIES PRIVATE LIMITED</t>
  </si>
  <si>
    <t>BAJAJ AUTO HOLDINGS LIMITED</t>
  </si>
  <si>
    <t>BAJAJ HOLDINGS AND INVESTMENT LIMITED</t>
  </si>
  <si>
    <t>BAJAJ SEVASHRAM PRIVATE LIMITED</t>
  </si>
  <si>
    <t>BARODA INDUSTRIES PRIVATE LIMITED</t>
  </si>
  <si>
    <t>HERCULES INVESTMENTS LIMITED (erstwhile Hercules Hoists Limited)</t>
  </si>
  <si>
    <t>JAMNALAL SONS PRIVATE LIMITED</t>
  </si>
  <si>
    <t>KAMALNAYAN INVESTMENT &amp; TRADING PRIVATE LIMITED</t>
  </si>
  <si>
    <t>MADHUR SECURITIES PVT LTD</t>
  </si>
  <si>
    <t>MAHARASHTRA SCOOTERS LTD</t>
  </si>
  <si>
    <t>NIRAJ HOLDINGS PVT LTD</t>
  </si>
  <si>
    <t>RAHUL SECURITIES PVT LTD</t>
  </si>
  <si>
    <t>RUPA EQUITIES PVT LTD</t>
  </si>
  <si>
    <t>SHEKHAR HOLDINGS PVT LTD</t>
  </si>
  <si>
    <t>HINDUSTAN HOUSING COMPANY LTD</t>
  </si>
  <si>
    <t>Sanraj Nayan Investments Pvt Ltd</t>
  </si>
  <si>
    <t>Bajaj International Pvt Ltd</t>
  </si>
  <si>
    <t>Rose Realtors Pvt. Ltd</t>
  </si>
  <si>
    <t>Emerald Acres Pvt. Ltd.</t>
  </si>
  <si>
    <t>Sankalp Resorts Pvt. Ltd.</t>
  </si>
  <si>
    <t>Hind Musafir Agency Ltd.</t>
  </si>
  <si>
    <t>Bajaj Integrated Health System Private Limited (erstwhile Bajaj Vitality Private Limited)</t>
  </si>
  <si>
    <t>Indef Manufacturing Ltd.</t>
  </si>
  <si>
    <t>Niravnayan Bajaj Family Trust (Niraj Bajaj)</t>
  </si>
  <si>
    <t>Geetika Shekhar Bajaj Trust (Shekhar Bajaj)</t>
  </si>
  <si>
    <t>NIRAVNAYAN TRUST (NIRAJ BAJAJ)</t>
  </si>
  <si>
    <t>Neelima Bajaj Family Trust (Kumud Bajaj)</t>
  </si>
  <si>
    <t>Nimisha Bajaj Family Trust (Kumud Bajaj)</t>
  </si>
  <si>
    <t>Nimisha Jaipuria Family Trust (Nimisha Jaipuria)</t>
  </si>
  <si>
    <t>Neelima Bajaj Swamy Family Trust (Neelima Bajaj Swamy)</t>
  </si>
  <si>
    <t>Rishab Family Trust (Rajivnayan Bajaj)</t>
  </si>
  <si>
    <t>Madhur Nimisha Family Trust (Kumud Bajaj )</t>
  </si>
  <si>
    <t>Kumud Neelima Family Trust (Nimisha Jaipuria )</t>
  </si>
  <si>
    <t>Kumud Nimisha Family Trust (Neelima Bajaj Swamy)</t>
  </si>
  <si>
    <t>Madhur Neelima Family Trust (Kumud Bajaj )</t>
  </si>
  <si>
    <t>Aryaman Family Trust (Manish Kejriwal)</t>
  </si>
  <si>
    <t>Nirvaan Family Trust (Late Sunaina Kejriwal)</t>
  </si>
  <si>
    <t>Kriti Bajaj Family Trust (Minal Bajaj)</t>
  </si>
  <si>
    <t>SANJALI FAMILY TRUST (Sanjivnayan Bajaj)</t>
  </si>
  <si>
    <t>SIDDHANT FAMILY TRUST (Sanjivnayan Bajaj)</t>
  </si>
  <si>
    <t>ANANT BAJAJ TRUST (Shekhar Bajaj)</t>
  </si>
  <si>
    <t>SIDDHANT TRUST (SANJIVNAYAN BAJAJ)</t>
  </si>
  <si>
    <t>Nirav Trust (Niraj Bajaj)</t>
  </si>
  <si>
    <t>NIMISHA TRUST (KUMUD BAJAJ)</t>
  </si>
  <si>
    <t>DEEPA TRUST (NIRAJ BAJAJ)</t>
  </si>
  <si>
    <t>RISHAB TRUST (RAJIVNAYAN BAJAJ)</t>
  </si>
  <si>
    <t>SANJALI TRUST (SANJIVNAYAN BAJAJ)</t>
  </si>
  <si>
    <t>Aryaman Trust (Manish Kejriwal)</t>
  </si>
  <si>
    <t>NIRVAAN TRUST (SUNAINA KEJRIWAL)</t>
  </si>
  <si>
    <t>RAJIV TRUST (Shekhar Bajaj)</t>
  </si>
  <si>
    <t>SANJIV TRUST (Shekhar Bajaj)</t>
  </si>
  <si>
    <t>Vanraj Bajaj Trust (Kiran Bajaj)</t>
  </si>
  <si>
    <t>BAJAJ TRADING COMPANY</t>
  </si>
  <si>
    <t>Rajivnayan Bajaj HUF (Rajivnayan Bajaj)</t>
  </si>
  <si>
    <t>Sanjivnayan Bajaj HUF (Sanjivnayan Bajaj)</t>
  </si>
  <si>
    <t>Aryan Nayan Realty LLP</t>
  </si>
  <si>
    <t>RDR Ventures LLP</t>
  </si>
  <si>
    <t>BAJAJ AUTO LIMITED</t>
  </si>
  <si>
    <t>SRB &amp; Family LLP</t>
  </si>
  <si>
    <t>DRR &amp; Family LLP</t>
  </si>
  <si>
    <t>NRB &amp; Family LLP</t>
  </si>
  <si>
    <t>SRJB Family LLP</t>
  </si>
  <si>
    <t>SNRS Family LLP</t>
  </si>
  <si>
    <t>Sub Total A1</t>
  </si>
  <si>
    <t>A2) Foreign</t>
  </si>
  <si>
    <t>Individuals (NonResident Individuals/ Foreign Individuals)</t>
  </si>
  <si>
    <t>ARYAMAN KEJRIWAL</t>
  </si>
  <si>
    <t>Sub Total A2</t>
  </si>
  <si>
    <t>A=A1+A2</t>
  </si>
  <si>
    <t>Shareholding Pattern Public Shareholder</t>
  </si>
  <si>
    <t>Statement showing shareholding pattern of the Public shareholder</t>
  </si>
  <si>
    <t>Category &amp; Name of the Shareholders</t>
  </si>
  <si>
    <t>No. of shareholder</t>
  </si>
  <si>
    <t>Total no. shares held</t>
  </si>
  <si>
    <t>Shareholding % calculated as per SCRR, 1957 As a % of (A+B+C2)</t>
  </si>
  <si>
    <t>No. of Voting Rights</t>
  </si>
  <si>
    <t>Total as a % of Total Voting right</t>
  </si>
  <si>
    <t>No. of equity shares held in dematerialized form(Not Applicable)</t>
  </si>
  <si>
    <t>Sub-categorization of shares (XV)</t>
  </si>
  <si>
    <t>Shareholding (No. of shares) under</t>
  </si>
  <si>
    <t>SubCategory_I</t>
  </si>
  <si>
    <t>SubCategory_II</t>
  </si>
  <si>
    <t>SubCategory_III</t>
  </si>
  <si>
    <t>Institutions</t>
  </si>
  <si>
    <t>B2) Institutions (Domestic)</t>
  </si>
  <si>
    <t>Mutual Funds/</t>
  </si>
  <si>
    <t>SBI ARBITRAGE OPPORTUNITIES FUND</t>
  </si>
  <si>
    <t>ICICI PRUDENTIAL SENSEX ETF</t>
  </si>
  <si>
    <t>Venture Capital Funds</t>
  </si>
  <si>
    <t>Alternate Investment Funds</t>
  </si>
  <si>
    <t>Banks</t>
  </si>
  <si>
    <t>Insurance Companies</t>
  </si>
  <si>
    <t>LICI ASM NON PAR</t>
  </si>
  <si>
    <t>Provident Funds/ Pension Funds</t>
  </si>
  <si>
    <t>Asset reconstruction companies</t>
  </si>
  <si>
    <t>Sovereign Wealth Funds</t>
  </si>
  <si>
    <t>NBFCs registered with RBI</t>
  </si>
  <si>
    <t>Other Financial Institutions</t>
  </si>
  <si>
    <t>Any Other(Institutions (Domestic))</t>
  </si>
  <si>
    <t>Sub Total B1</t>
  </si>
  <si>
    <t>B18) Institutions (Foreign)</t>
  </si>
  <si>
    <t>Foreign Direct Investment</t>
  </si>
  <si>
    <t>Foreign Venture Capital Investors</t>
  </si>
  <si>
    <t>Foreign Portfolio Investors Category I</t>
  </si>
  <si>
    <t>Foreign Portfolio Investors Category II</t>
  </si>
  <si>
    <t>Overseas Depositories (holding DRs) (balancing figure)</t>
  </si>
  <si>
    <t>Any Other(Institutions (Foreign))</t>
  </si>
  <si>
    <t>FOREIGN INSTITUTIONAL INVESTORS</t>
  </si>
  <si>
    <t>Foreign Banks</t>
  </si>
  <si>
    <t>Sub Total B2</t>
  </si>
  <si>
    <t>B29) Central Government/ State Government(s)/ President of India</t>
  </si>
  <si>
    <t>Central Government / President of India</t>
  </si>
  <si>
    <t>State Government / Governor</t>
  </si>
  <si>
    <t>Shareholding by Companies or Bodies Corporate where Central / State Government is a promoter</t>
  </si>
  <si>
    <t>Sub Total B3</t>
  </si>
  <si>
    <t>B34) Non-Institutions</t>
  </si>
  <si>
    <t>Associate companies / Subsidiaries</t>
  </si>
  <si>
    <t>Directors and their relatives (excluding independent directors and nominee directors)</t>
  </si>
  <si>
    <t>Key Managerial Personnel</t>
  </si>
  <si>
    <t>Relatives of promoters (other than 'immediate relatives' of promoters disclosed under 'Promoter and Promoter Group' category)</t>
  </si>
  <si>
    <t>Trusts where any person belonging to 'Promoter and Promoter Group' category is 'trustee', 'beneficiary', or 'author of the trust'</t>
  </si>
  <si>
    <t>Niraj Bajaj (Yamuna Trust)</t>
  </si>
  <si>
    <t>Investor Education and Protection Fund (IEPF)</t>
  </si>
  <si>
    <t>Resident Individuals holding nominal share capital up to Rs. 2 lakhs</t>
  </si>
  <si>
    <t>Resident Individuals holding nominal share capital in excess of Rs. 2 lakhs</t>
  </si>
  <si>
    <t>Non Resident Indians (NRIs)</t>
  </si>
  <si>
    <t>Foreign Nationals</t>
  </si>
  <si>
    <t>Foreign Companies</t>
  </si>
  <si>
    <t>Bodies Corporate</t>
  </si>
  <si>
    <t>JAYA HIND INDUSTRIES PRIVATE LIMITED</t>
  </si>
  <si>
    <t>Employees</t>
  </si>
  <si>
    <t>ESOP or ESOS or ESPS</t>
  </si>
  <si>
    <t>Trusts</t>
  </si>
  <si>
    <t>HUF</t>
  </si>
  <si>
    <t>Clearing Members</t>
  </si>
  <si>
    <t>Sub Total B4</t>
  </si>
  <si>
    <t>B=B1+B2+B3+B4</t>
  </si>
  <si>
    <t>Stock Analysis</t>
  </si>
  <si>
    <t>Metric</t>
  </si>
  <si>
    <t>FY22</t>
  </si>
  <si>
    <t>FY23</t>
  </si>
  <si>
    <t>FY24</t>
  </si>
  <si>
    <t>FY25</t>
  </si>
  <si>
    <t>FY26</t>
  </si>
  <si>
    <t>Avg 5Y</t>
  </si>
  <si>
    <t>Total Income (₹ Cr)</t>
  </si>
  <si>
    <t>Financial Year</t>
  </si>
  <si>
    <t>PAT (₹ Cr)</t>
  </si>
  <si>
    <t>PAT Change (%)</t>
  </si>
  <si>
    <t xml:space="preserve"> Recommendation: </t>
  </si>
  <si>
    <t>FY 2025-26</t>
  </si>
  <si>
    <t>FY 2024-25</t>
  </si>
  <si>
    <t>FY 2023-24</t>
  </si>
  <si>
    <t>FY 2022-23</t>
  </si>
  <si>
    <t>FY 2021-22</t>
  </si>
  <si>
    <t>0</t>
  </si>
  <si>
    <t>Particulars</t>
  </si>
  <si>
    <t>Mar '22</t>
  </si>
  <si>
    <t>Mar '23</t>
  </si>
  <si>
    <t>Mar '24</t>
  </si>
  <si>
    <t>Mar '25</t>
  </si>
  <si>
    <t>Mar '26</t>
  </si>
  <si>
    <t xml:space="preserve">INCOME </t>
  </si>
  <si>
    <t>Revenue From Operations [Net]</t>
  </si>
  <si>
    <t>Other Operating Revenues</t>
  </si>
  <si>
    <t>Total Operating Revenues</t>
  </si>
  <si>
    <t>Other Income</t>
  </si>
  <si>
    <t>Total Revenue</t>
  </si>
  <si>
    <t>EXPENSES</t>
  </si>
  <si>
    <t>Operating &amp; Direct Expenses</t>
  </si>
  <si>
    <t>Employee Benefit Expenses</t>
  </si>
  <si>
    <t>Finance Costs</t>
  </si>
  <si>
    <t>Provisions &amp; Contingencies</t>
  </si>
  <si>
    <t>Depreciation &amp; Amortisation</t>
  </si>
  <si>
    <t>Other Expenses</t>
  </si>
  <si>
    <t>Total Expenses</t>
  </si>
  <si>
    <t>PROFIT</t>
  </si>
  <si>
    <t>Profit Before Exceptional Items &amp; Tax</t>
  </si>
  <si>
    <t>Exceptional Items</t>
  </si>
  <si>
    <t>Profit Before Tax</t>
  </si>
  <si>
    <t>Current Tax</t>
  </si>
  <si>
    <t>Deferred Tax</t>
  </si>
  <si>
    <t>Tax for Earlier Years</t>
  </si>
  <si>
    <t>Total Tax Expenses</t>
  </si>
  <si>
    <t>Profit After Tax</t>
  </si>
  <si>
    <t>Consolidated PAT (After MI &amp; Associates)</t>
  </si>
  <si>
    <t xml:space="preserve"> EPS</t>
  </si>
  <si>
    <t>Basic EPS (Rs.)</t>
  </si>
  <si>
    <t>Diluted EPS (Rs.)</t>
  </si>
  <si>
    <t>DIVIDEND</t>
  </si>
  <si>
    <t>Equity Share Dividend</t>
  </si>
  <si>
    <t>Equity Share Capital</t>
  </si>
  <si>
    <t>Total Share Capital</t>
  </si>
  <si>
    <t>Reserves and Surplus</t>
  </si>
  <si>
    <t>Total Reserves and Surplus</t>
  </si>
  <si>
    <t>Total Shareholders Funds</t>
  </si>
  <si>
    <t>Hybrid/Debt/Other Securities</t>
  </si>
  <si>
    <t>Long Term Borrowings</t>
  </si>
  <si>
    <t>Other Long Term Liabilities</t>
  </si>
  <si>
    <t>Long Term Provisions</t>
  </si>
  <si>
    <t>Total Non-Current Liabilities</t>
  </si>
  <si>
    <t>Short Term Borrowings</t>
  </si>
  <si>
    <t>Trade Payables</t>
  </si>
  <si>
    <t>Other Current Liabilities</t>
  </si>
  <si>
    <t>Total Current Liabilities</t>
  </si>
  <si>
    <t>Total Capital and Liabilities</t>
  </si>
  <si>
    <t>Tangible Assets</t>
  </si>
  <si>
    <t>Intangible Assets</t>
  </si>
  <si>
    <t>Capital Work-In-Progress</t>
  </si>
  <si>
    <t>Fixed Assets</t>
  </si>
  <si>
    <t>Deferred Tax Assets [Net]</t>
  </si>
  <si>
    <t>Other Non-Current Assets</t>
  </si>
  <si>
    <t>Total Non-Current Assets</t>
  </si>
  <si>
    <t>Current Investments</t>
  </si>
  <si>
    <t>Trade Receivables</t>
  </si>
  <si>
    <t>Cash and Cash Equivalents</t>
  </si>
  <si>
    <t>Short Term Loans &amp; Advances</t>
  </si>
  <si>
    <t>Other Current Assets</t>
  </si>
  <si>
    <t>Total Current Assets</t>
  </si>
  <si>
    <t>Total Assets</t>
  </si>
  <si>
    <t>Contingent Liabilities</t>
  </si>
  <si>
    <t>Mar '21</t>
  </si>
  <si>
    <t>Net Profit Before Tax</t>
  </si>
  <si>
    <t>Cash Flow from Operating Activities (CFO)</t>
  </si>
  <si>
    <t>Cash Flow from Investing Activities (CFI)</t>
  </si>
  <si>
    <t>Cash Flow from Financing Activities (CFF)</t>
  </si>
  <si>
    <t>Net Cash Flow</t>
  </si>
  <si>
    <t>Free Cash Flow</t>
  </si>
  <si>
    <t>Ratio</t>
  </si>
  <si>
    <t>Face Value (Rs.)</t>
  </si>
  <si>
    <t>Operating Profit Per Share (Rs.)</t>
  </si>
  <si>
    <t>Net Operating Profit Per Share (Rs.)</t>
  </si>
  <si>
    <t>Operating Profit Margin (%)</t>
  </si>
  <si>
    <t>Net Interest Margin Spread</t>
  </si>
  <si>
    <t>Net Profit Margin (%)</t>
  </si>
  <si>
    <t>Cash Profit Margin (%)</t>
  </si>
  <si>
    <t>Return on Net Worth (%)</t>
  </si>
  <si>
    <t>Debt Equity Ratio</t>
  </si>
  <si>
    <t>Interest Cover</t>
  </si>
  <si>
    <t>Total Debt to Owners Fund</t>
  </si>
  <si>
    <t>Financial Charges Coverage Ratio</t>
  </si>
  <si>
    <t>Financial Charges Coverage Ratio Post Tax</t>
  </si>
  <si>
    <t>Debtors Turnover Ratio</t>
  </si>
  <si>
    <t>Fixed Assets Turnover Ratio</t>
  </si>
  <si>
    <t>Total Assets Turnover Ratio</t>
  </si>
  <si>
    <t>Number of Days in Working Capital</t>
  </si>
  <si>
    <t>Dividend Payout Ratio - Net Profit (%)</t>
  </si>
  <si>
    <t>Earning Retention Ratio (%)</t>
  </si>
  <si>
    <t>Adjusted Cash Flow Times</t>
  </si>
  <si>
    <t>Years</t>
  </si>
  <si>
    <t>LTM</t>
  </si>
  <si>
    <t xml:space="preserve"># </t>
  </si>
  <si>
    <t>Income statement</t>
  </si>
  <si>
    <t>Interest Income (Revenue)</t>
  </si>
  <si>
    <t>Sales Growth</t>
  </si>
  <si>
    <t>Finance Costs (Cost of Funds)</t>
  </si>
  <si>
    <t>Cost of Funds % Revenue</t>
  </si>
  <si>
    <t>Net Interest Income (NII)</t>
  </si>
  <si>
    <t>NII Margin</t>
  </si>
  <si>
    <t>Operating Expenses (OpEx)</t>
  </si>
  <si>
    <t>OpEx % Revenue</t>
  </si>
  <si>
    <t>EBITDA</t>
  </si>
  <si>
    <t>EBITDA Margins</t>
  </si>
  <si>
    <t xml:space="preserve">Depriciation </t>
  </si>
  <si>
    <t xml:space="preserve">Depriciation % of Sales </t>
  </si>
  <si>
    <t>EBIT</t>
  </si>
  <si>
    <t>EBIT Margin</t>
  </si>
  <si>
    <t>Provisions % Revenue</t>
  </si>
  <si>
    <t>Profit Before Tax (PBT)</t>
  </si>
  <si>
    <t>EBT % Sales</t>
  </si>
  <si>
    <t>Tax</t>
  </si>
  <si>
    <t xml:space="preserve">Effective Tax Rate </t>
  </si>
  <si>
    <t>Net Profit</t>
  </si>
  <si>
    <t>Net Margins</t>
  </si>
  <si>
    <t xml:space="preserve">No. of Equity Shares </t>
  </si>
  <si>
    <t>Earnings Per Share (Basic EPS)</t>
  </si>
  <si>
    <t>EPS Growth %</t>
  </si>
  <si>
    <t>Dividend per Share</t>
  </si>
  <si>
    <t xml:space="preserve">Divident Payout Ratio </t>
  </si>
  <si>
    <t xml:space="preserve">Retained Earnings </t>
  </si>
  <si>
    <t>Balance statement</t>
  </si>
  <si>
    <t>Reserves</t>
  </si>
  <si>
    <t>Borrowings</t>
  </si>
  <si>
    <t>Other Liabilities</t>
  </si>
  <si>
    <t>Total Liabilities</t>
  </si>
  <si>
    <t>Fixed Assets Net Block</t>
  </si>
  <si>
    <t>Capital Work in Progress</t>
  </si>
  <si>
    <t>Investments</t>
  </si>
  <si>
    <t>Other Assets</t>
  </si>
  <si>
    <t>Receivables</t>
  </si>
  <si>
    <t>Loan Book &amp; Other Assets (incl. in Other)</t>
  </si>
  <si>
    <t>Cash &amp; Bank</t>
  </si>
  <si>
    <t xml:space="preserve">Total Assets </t>
  </si>
  <si>
    <t>Book Value Per Share</t>
  </si>
  <si>
    <t>Check</t>
  </si>
  <si>
    <t>Cash Flow Statement</t>
  </si>
  <si>
    <t xml:space="preserve">Operating Activities </t>
  </si>
  <si>
    <t>Profit from operations</t>
  </si>
  <si>
    <t>Payables</t>
  </si>
  <si>
    <t>Net Loan Disbursement</t>
  </si>
  <si>
    <t>Other WC items</t>
  </si>
  <si>
    <t>Working capital changes</t>
  </si>
  <si>
    <t>Direct taxes</t>
  </si>
  <si>
    <t xml:space="preserve">Cash from Operating Activities </t>
  </si>
  <si>
    <t xml:space="preserve"> Investing Activity -</t>
  </si>
  <si>
    <t>Fixed assets purchased</t>
  </si>
  <si>
    <t>Fixed assets sold</t>
  </si>
  <si>
    <t>Investments purchased</t>
  </si>
  <si>
    <t>Investments sold</t>
  </si>
  <si>
    <t>Interest received</t>
  </si>
  <si>
    <t>Dividends received</t>
  </si>
  <si>
    <t>Acquisition of companies</t>
  </si>
  <si>
    <t>Other investing items</t>
  </si>
  <si>
    <t xml:space="preserve">Cash from Investing Activities </t>
  </si>
  <si>
    <t xml:space="preserve">Financing Activities </t>
  </si>
  <si>
    <t>Proceeds from shares</t>
  </si>
  <si>
    <t>Net Borrowings Raised</t>
  </si>
  <si>
    <t>Repayment of borrowings</t>
  </si>
  <si>
    <t>Interest paid fin</t>
  </si>
  <si>
    <t>Dividends paid</t>
  </si>
  <si>
    <t>Financial liabilities</t>
  </si>
  <si>
    <t>Other financing items</t>
  </si>
  <si>
    <t xml:space="preserve">Cash from Financing Activities </t>
  </si>
  <si>
    <t>Cash Flow Ratios</t>
  </si>
  <si>
    <t>Assumptions: BAJAJ FINSERV</t>
  </si>
  <si>
    <t>Margins</t>
  </si>
  <si>
    <t>EBT</t>
  </si>
  <si>
    <t>Historical Growth</t>
  </si>
  <si>
    <t>Average Growth</t>
  </si>
  <si>
    <t>CAGR %</t>
  </si>
  <si>
    <t>(RRI Formula)</t>
  </si>
  <si>
    <t>Tax Rate</t>
  </si>
  <si>
    <t>Effective Tax Rate</t>
  </si>
  <si>
    <t>Marginal Tax Rate</t>
  </si>
  <si>
    <t>Return On Capital Employed</t>
  </si>
  <si>
    <t>EBIT*(1-T)</t>
  </si>
  <si>
    <t xml:space="preserve">Book Equity </t>
  </si>
  <si>
    <t>Book Debt</t>
  </si>
  <si>
    <t xml:space="preserve">Cash and Equivalents </t>
  </si>
  <si>
    <t>Capital Employed</t>
  </si>
  <si>
    <t>Pre/Post Tax Return on Capital Employed</t>
  </si>
  <si>
    <t xml:space="preserve">Pre Tax Return on Capital </t>
  </si>
  <si>
    <t xml:space="preserve">Post Tax Return on Capital </t>
  </si>
  <si>
    <t>Growth in EBIT</t>
  </si>
  <si>
    <t>ROCE / Capital Employed framework retained for analytical reference only. Not used to drive growth assumptions, intrinsic value, or terminal value for Bajaj Finserv — ROE-based methods (P/B, Residual Income) are the appropriate framework for a financial holding company.</t>
  </si>
  <si>
    <t>Ratio Analysis - BAJAJ FINSERV</t>
  </si>
  <si>
    <t>Trends</t>
  </si>
  <si>
    <t>Mean</t>
  </si>
  <si>
    <t>Median</t>
  </si>
  <si>
    <t>EBITDA Growth</t>
  </si>
  <si>
    <t>EBIT Growth</t>
  </si>
  <si>
    <t>Net Profit Growth</t>
  </si>
  <si>
    <t xml:space="preserve">Dividend Growth </t>
  </si>
  <si>
    <t>Gross Margin</t>
  </si>
  <si>
    <t>EBITDA Margin</t>
  </si>
  <si>
    <t>EBT Margin</t>
  </si>
  <si>
    <t>Net Profit Margin</t>
  </si>
  <si>
    <t>Sales Expenses%Sales</t>
  </si>
  <si>
    <t>Depriciation%Sales</t>
  </si>
  <si>
    <t>Operating Income%Sales</t>
  </si>
  <si>
    <t xml:space="preserve">Return on Capital Employed </t>
  </si>
  <si>
    <t>Retained Earning %</t>
  </si>
  <si>
    <t>Return on Equity %</t>
  </si>
  <si>
    <t xml:space="preserve">Self Sustained Growth Rate </t>
  </si>
  <si>
    <t>NBFC-Specific Ratios</t>
  </si>
  <si>
    <t>Net Interest Margin (NIM)</t>
  </si>
  <si>
    <t>Cost of Funds %</t>
  </si>
  <si>
    <t>Yield on Loan Book</t>
  </si>
  <si>
    <t>Loan Book Growth</t>
  </si>
  <si>
    <t>Credit Cost (Provisions / Loan Book)</t>
  </si>
  <si>
    <t>OpEx Ratio (OpEx / NII)</t>
  </si>
  <si>
    <t>Return on Assets (ROA)</t>
  </si>
  <si>
    <t>Net Gearing (Borrowings / Equity)</t>
  </si>
  <si>
    <t>P/B (at CMP)</t>
  </si>
  <si>
    <t>P/E (at CMP)</t>
  </si>
  <si>
    <t>CFO / Total Assets</t>
  </si>
  <si>
    <t>CFO / Net Profit</t>
  </si>
  <si>
    <t>CFO / Borrowings</t>
  </si>
  <si>
    <t>Fixed Asset Schedule</t>
  </si>
  <si>
    <t xml:space="preserve">Beginning Balance </t>
  </si>
  <si>
    <t>Add: Net Purchases</t>
  </si>
  <si>
    <t>Total Fixed Assets</t>
  </si>
  <si>
    <t xml:space="preserve">Less: Depriciation </t>
  </si>
  <si>
    <t>Closing Balance (Fixed Assets)</t>
  </si>
  <si>
    <t xml:space="preserve">Net Capital Expenditure </t>
  </si>
  <si>
    <t>Net Capital Expenditure / Sales %</t>
  </si>
  <si>
    <t>Median Capex / sales %</t>
  </si>
  <si>
    <t>Average capital expenditure / sales %</t>
  </si>
  <si>
    <t>Change in Working Capital</t>
  </si>
  <si>
    <t xml:space="preserve">Inventories </t>
  </si>
  <si>
    <t>Non Cash WC</t>
  </si>
  <si>
    <t>Change in working capital</t>
  </si>
  <si>
    <t>Change in Working Capital / % of sales</t>
  </si>
  <si>
    <t>Median Change in working capital / % of sales</t>
  </si>
  <si>
    <t>Average Change in  working capital / % of sales</t>
  </si>
  <si>
    <t xml:space="preserve"> </t>
  </si>
  <si>
    <t>FCFF</t>
  </si>
  <si>
    <t>Less: Tax on EBIT</t>
  </si>
  <si>
    <t>EBIT*(1-tax)</t>
  </si>
  <si>
    <t>Less: Net capital expenditure</t>
  </si>
  <si>
    <t>Less: Change in WC</t>
  </si>
  <si>
    <t>Reinvestment</t>
  </si>
  <si>
    <t>Free Cah Flow to Firm</t>
  </si>
  <si>
    <t>Reinvestment Rate %</t>
  </si>
  <si>
    <t xml:space="preserve">Medium Reinvestment Rate </t>
  </si>
  <si>
    <t xml:space="preserve">Average Reinvestment Rate </t>
  </si>
  <si>
    <t>FCFF presented for academic/reference purposes only. Not used in final valuation weighting due to limitations in applying industrial-company FCFF methodology (Net Capex / ΔWC) to a financial institution, where loan-book growth and borrowings are the core operating drivers, not working capital. FCFF Weight in blended valuation = 0%.</t>
  </si>
  <si>
    <t>Data Source: NSE Historical Data (Monthly, Jan 2020 - Dec 2024, 60 months)</t>
  </si>
  <si>
    <t>BAJAJ Finserv</t>
  </si>
  <si>
    <t>Nifty 50</t>
  </si>
  <si>
    <t>BETA-</t>
  </si>
  <si>
    <t>Date</t>
  </si>
  <si>
    <t>BAJAJFINSV.NS Monthly Close</t>
  </si>
  <si>
    <t>Return</t>
  </si>
  <si>
    <t>^NSEI Monthly Close</t>
  </si>
  <si>
    <t>Jan-20</t>
  </si>
  <si>
    <t>Feb-20</t>
  </si>
  <si>
    <t>Mar-20</t>
  </si>
  <si>
    <t>Apr-20</t>
  </si>
  <si>
    <t>Vasicek Adj Beta</t>
  </si>
  <si>
    <t>May-20</t>
  </si>
  <si>
    <t>(2/3 × raw + 1/3 × 1.0)</t>
  </si>
  <si>
    <t>Jun-20</t>
  </si>
  <si>
    <t>Jul-20</t>
  </si>
  <si>
    <t>Aug-20</t>
  </si>
  <si>
    <t>Sep-20</t>
  </si>
  <si>
    <t>Oct-20</t>
  </si>
  <si>
    <t>Nov-20</t>
  </si>
  <si>
    <t>Dec-20</t>
  </si>
  <si>
    <t>Jan-21</t>
  </si>
  <si>
    <t>Feb-21</t>
  </si>
  <si>
    <t>Mar-21</t>
  </si>
  <si>
    <t>Apr-21</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</si>
  <si>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</si>
  <si>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</si>
  <si>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</si>
  <si>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</si>
  <si>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</si>
  <si>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</si>
  <si>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</si>
  <si>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</si>
  <si>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</si>
  <si>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</si>
  <si>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</si>
  <si>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</si>
  <si>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</si>
  <si>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</si>
  <si>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</si>
  <si>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</si>
  <si>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</si>
  <si>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</si>
  <si>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</si>
  <si>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</si>
  <si>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</si>
  <si>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</si>
  <si>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</si>
  <si>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</si>
  <si>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</si>
  <si>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</si>
  <si>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</si>
  <si>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</si>
  <si>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</si>
  <si>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</si>
  <si>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</si>
  <si>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</si>
  <si>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</si>
  <si>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</si>
  <si>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</si>
  <si>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</si>
  <si>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</si>
  <si>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</si>
  <si>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</si>
  <si>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</si>
  <si>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</si>
  <si>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</si>
  <si>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</si>
  <si>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</si>
  <si>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(Check Alpha Spread)</t>
  </si>
  <si>
    <t>Cost of capital</t>
  </si>
  <si>
    <t>As On Date: Jun 2025</t>
  </si>
  <si>
    <t>Cost of equity using CAPM:</t>
  </si>
  <si>
    <t>Risk-free rate</t>
  </si>
  <si>
    <t>India default spread</t>
  </si>
  <si>
    <t>Beta</t>
  </si>
  <si>
    <t>(Vasicek Adjusted Beta = 2/3×raw + 1/3×1.0)</t>
  </si>
  <si>
    <t>Market Return</t>
  </si>
  <si>
    <t>Equity risk premium</t>
  </si>
  <si>
    <t>(Damodaran India ERP Jan 2025 - conservative)</t>
  </si>
  <si>
    <t>Cost of equity</t>
  </si>
  <si>
    <t>Cost of debt:</t>
  </si>
  <si>
    <t>Company credit rating</t>
  </si>
  <si>
    <t>Rating default spread</t>
  </si>
  <si>
    <t>Pre-tax cost of debt</t>
  </si>
  <si>
    <t>Marginal tax rate %</t>
  </si>
  <si>
    <t>Post-tax cost of debt</t>
  </si>
  <si>
    <t>Market value weights:</t>
  </si>
  <si>
    <t>Book value of Debt</t>
  </si>
  <si>
    <t>Share price (as on above date)</t>
  </si>
  <si>
    <t>No. of shares outstanding</t>
  </si>
  <si>
    <t>Market value of Equity</t>
  </si>
  <si>
    <t>D/E Ratio</t>
  </si>
  <si>
    <t xml:space="preserve">weight of debt, wa </t>
  </si>
  <si>
    <t>Weightof equity, we</t>
  </si>
  <si>
    <t>Cost of Capital</t>
  </si>
  <si>
    <t>NBFC VALUATION MODEL</t>
  </si>
  <si>
    <t>ASSUMPTIONS:</t>
  </si>
  <si>
    <t>Item</t>
  </si>
  <si>
    <t>Value</t>
  </si>
  <si>
    <t xml:space="preserve">Cost of Equity </t>
  </si>
  <si>
    <t xml:space="preserve">Risk-Free Rate </t>
  </si>
  <si>
    <t>Beta (5Y Monthly)</t>
  </si>
  <si>
    <t xml:space="preserve">Equity Risk Premium </t>
  </si>
  <si>
    <t>Shares Outstanding (Cr)</t>
  </si>
  <si>
    <t xml:space="preserve">Book Value Per Share </t>
  </si>
  <si>
    <t>EPS</t>
  </si>
  <si>
    <t>ROE - 4yr Average</t>
  </si>
  <si>
    <t>ROE - FY25</t>
  </si>
  <si>
    <t xml:space="preserve">Retention Ratio (b) </t>
  </si>
  <si>
    <t>Near-Term EPS Growth</t>
  </si>
  <si>
    <t xml:space="preserve">Terminal Growth Rate </t>
  </si>
  <si>
    <t>Current Share Price</t>
  </si>
  <si>
    <t>P/BOOK VALUATION</t>
  </si>
  <si>
    <t xml:space="preserve">ROE </t>
  </si>
  <si>
    <t>Justified P/B Multiple</t>
  </si>
  <si>
    <t>Intrinsic Value (P/B)</t>
  </si>
  <si>
    <t xml:space="preserve">Current Price </t>
  </si>
  <si>
    <t>Upside / (Downside)</t>
  </si>
  <si>
    <t>RESIDUAL INCOME MODEL (RI)</t>
  </si>
  <si>
    <t>FY27E</t>
  </si>
  <si>
    <t>FY28E</t>
  </si>
  <si>
    <t>FY29E</t>
  </si>
  <si>
    <t>FY30E</t>
  </si>
  <si>
    <t>FY31E</t>
  </si>
  <si>
    <t>Terminal</t>
  </si>
  <si>
    <t xml:space="preserve">EPS Growth Rate </t>
  </si>
  <si>
    <t xml:space="preserve">EPS </t>
  </si>
  <si>
    <t xml:space="preserve">BVPS </t>
  </si>
  <si>
    <t>Equity Charge (Ke × BVPS)</t>
  </si>
  <si>
    <t xml:space="preserve">Residual Income </t>
  </si>
  <si>
    <t>PV Factor</t>
  </si>
  <si>
    <t>PV of Residual Income</t>
  </si>
  <si>
    <t>Terminal RI – PV</t>
  </si>
  <si>
    <t>Sum of PV(RI) – Years 1 to 5</t>
  </si>
  <si>
    <t>PV of Terminal RI</t>
  </si>
  <si>
    <t>Current BVPS – FY26 (Rs)</t>
  </si>
  <si>
    <t>Intrinsic Value (RI Model) – Rs/share</t>
  </si>
  <si>
    <t>Current Price (Rs)</t>
  </si>
  <si>
    <t>DIVIDEND DISCOUNT MODEL</t>
  </si>
  <si>
    <t xml:space="preserve">Implied Sustainable Retention </t>
  </si>
  <si>
    <t>Sustainable Payout Ratio (1 − Retention)</t>
  </si>
  <si>
    <t xml:space="preserve">Next-Year Dividend Per Share – D1 </t>
  </si>
  <si>
    <t xml:space="preserve">Intrinsic Value (DDM) </t>
  </si>
  <si>
    <t>VALUATION</t>
  </si>
  <si>
    <t>Method</t>
  </si>
  <si>
    <t>Intrinsic Value (Rs/share)</t>
  </si>
  <si>
    <t>Weight</t>
  </si>
  <si>
    <t>Weighted Value (Rs)</t>
  </si>
  <si>
    <t>P/Book Valuation</t>
  </si>
  <si>
    <t>Residual Income Model</t>
  </si>
  <si>
    <t>DDM (Stable Growth)</t>
  </si>
  <si>
    <t>TOTAL WEIGHTS</t>
  </si>
  <si>
    <t xml:space="preserve">BLENDED INTRINSIC VALUE </t>
  </si>
  <si>
    <t>Current Market Price (Rs)</t>
  </si>
  <si>
    <t>Upside / (Downside) to Intrinsic Value</t>
  </si>
  <si>
    <t>Verdict</t>
  </si>
  <si>
    <t>Fairly Valued</t>
  </si>
  <si>
    <t>NBFC VALUATION METRICS</t>
  </si>
  <si>
    <t>Avg</t>
  </si>
  <si>
    <t xml:space="preserve">EPS - Adjusted </t>
  </si>
  <si>
    <t>ROE</t>
  </si>
  <si>
    <t xml:space="preserve">Retention Ratio </t>
  </si>
  <si>
    <t xml:space="preserve">Sustainable Growth (ROE×b) </t>
  </si>
  <si>
    <t xml:space="preserve">NII Margin </t>
  </si>
  <si>
    <t xml:space="preserve">Net Profit Margin </t>
  </si>
  <si>
    <t>P/B (at Current Price)</t>
  </si>
  <si>
    <t>P/E (at Current Price)</t>
  </si>
  <si>
    <t xml:space="preserve">Loan Book Growth </t>
  </si>
  <si>
    <t>Total Income Change</t>
  </si>
  <si>
    <r>
      <rPr>
        <b/>
        <i/>
        <sz val="10"/>
        <rFont val="Arial"/>
        <family val="2"/>
      </rPr>
      <t xml:space="preserve">BUY – </t>
    </r>
    <r>
      <rPr>
        <sz val="10"/>
        <rFont val="Arial"/>
        <family val="2"/>
      </rPr>
      <t>Bajaj Finserv Ltd. is the listed holding company for the Bajaj Group's financial services businesses, with stakes in Bajaj Finance (51.3%), and post-Allianz buyout in FY26, 100% ownership of both Bajaj Life Insurance (BALIC) and Bajaj General Insurance (BAGIC). FY26 consolidated revenues stood at ₹1,50,530 Cr with PAT of ₹20,059 Cr. The consolidated loan book crossed ₹5,00,016 Cr (up 22% YoY). ROE sustained above 26% and BVPS reached ₹975/share. At CMP ₹1,754, BFS trades at 1.80x FY26 P/B vs. intrinsic value estimate of ₹2,050+; with loan book CAGR of ~27% over FY22-26 and improving insurance profitability post-buyout, the holdco discount to NAV offers a compelling entry. Key risks: BFL credit cost spike, regulatory tightening on NBFC lending, and insurance JV restructuring costs.</t>
    </r>
  </si>
  <si>
    <t xml:space="preserve"> Profit &amp; Loss Account  </t>
  </si>
  <si>
    <t xml:space="preserve">Balance Sheet </t>
  </si>
  <si>
    <t xml:space="preserve">EQUITIES &amp; LIABILITIES </t>
  </si>
  <si>
    <t>SHAREHOLDER'S FUNDS</t>
  </si>
  <si>
    <t>NON-CURRENT LIABILITIES</t>
  </si>
  <si>
    <t>CURRENT LIABILITIES</t>
  </si>
  <si>
    <t>ASSETS</t>
  </si>
  <si>
    <t>NON-CURRENT ASSETS</t>
  </si>
  <si>
    <t>CURRENT ASSETS</t>
  </si>
  <si>
    <t>CONTINGENT LIABILITIES</t>
  </si>
  <si>
    <t xml:space="preserve">INVESTMENT VALUATION </t>
  </si>
  <si>
    <t xml:space="preserve">PROFITABILITY RATIOS </t>
  </si>
  <si>
    <t>LIQUIDITY &amp; SOLVENCY</t>
  </si>
  <si>
    <t xml:space="preserve">DEBT COVERAGE </t>
  </si>
  <si>
    <t>MANAGEMENT EFFICIENCY</t>
  </si>
  <si>
    <t>CASH FLOW INDICATORS</t>
  </si>
  <si>
    <t xml:space="preserve">Cash Flow Statement  </t>
  </si>
  <si>
    <t>Financial Ratios</t>
  </si>
  <si>
    <t>Average Sales Growth</t>
  </si>
  <si>
    <t>Historical Financial Statement</t>
  </si>
  <si>
    <t>Beta Calculation</t>
  </si>
  <si>
    <t>WACC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</si>
</sst>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
    <numFmt numFmtId="165" formatCode="mmm\-yy"/>
    <numFmt numFmtId="166" formatCode="#,##0.00;\(#,##0.00\);\-"/>
    <numFmt numFmtId="167" formatCode="0.0%;\(0.0%\);\-"/>
    <numFmt numFmtId="168" formatCode="&quot;₹ &quot;#,##0.00;&quot;(₹ -&quot;#,##0.0\);\-"/>
    <numFmt numFmtId="169" formatCode="_ * #,##0.00_ ;_ * \-#,##0.00_ ;_ * \-??_ ;_ @_ "/>
    <numFmt numFmtId="170" formatCode="[$-409]mmm\-yy;@"/>
    <numFmt numFmtId="171" formatCode="0.0"/>
    <numFmt numFmtId="172" formatCode="0.0\x"/>
    <numFmt numFmtId="173" formatCode="0.00\x"/>
    <numFmt numFmtId="174" formatCode="&quot;₹ &quot;#,##0.00"/>
    <numFmt numFmtId="175" formatCode="m/d/yyyy"/>
    <numFmt numFmtId="176" formatCode="0.000%"/>
    <numFmt numFmtId="177" formatCode="0.0000%"/>
    <numFmt numFmtId="178" formatCode="0.0000"/>
  </numFmts>
  <fonts count="72" x14ac:knownFonts="1">
    <font>
      <sz val="11"/>
      <color theme="1"/>
      <name val="Calibri"/>
      <family val="2"/>
      <charset val="1"/>
    </font>
    <font>
      <sz val="10"/>
      <name val="Arial"/>
      <family val="2"/>
    </font>
    <font>
      <b/>
      <sz val="11"/>
      <color rgb="FF000000"/>
      <name val="Arial"/>
      <family val="2"/>
      <charset val="1"/>
    </font>
    <font>
      <sz val="11"/>
      <color rgb="FF000000"/>
      <name val="Calibri"/>
      <family val="2"/>
      <charset val="1"/>
    </font>
    <font>
      <sz val="11"/>
      <color rgb="FF000000"/>
      <name val="Arial"/>
      <family val="2"/>
      <charset val="1"/>
    </font>
    <font>
      <b/>
      <sz val="11"/>
      <color rgb="FFFFFFFF"/>
      <name val="Arial"/>
      <family val="2"/>
    </font>
    <font>
      <b/>
      <sz val="10"/>
      <name val="Arial"/>
      <family val="2"/>
    </font>
    <font>
      <b/>
      <sz val="11"/>
      <name val="Arial"/>
      <family val="2"/>
    </font>
    <font>
      <sz val="11"/>
      <name val="Arial"/>
      <family val="2"/>
    </font>
    <font>
      <b/>
      <sz val="12"/>
      <color rgb="FFFFFFFF"/>
      <name val="Arial"/>
      <family val="2"/>
    </font>
    <font>
      <b/>
      <sz val="11"/>
      <color theme="1"/>
      <name val="Calibri"/>
      <family val="2"/>
      <charset val="1"/>
    </font>
    <font>
      <b/>
      <sz val="10"/>
      <name val="Arial"/>
      <family val="2"/>
      <charset val="1"/>
    </font>
    <font>
      <b/>
      <sz val="10"/>
      <color rgb="FF000000"/>
      <name val="Arial"/>
      <family val="2"/>
      <charset val="1"/>
    </font>
    <font>
      <b/>
      <sz val="11"/>
      <color theme="0"/>
      <name val="Calibri"/>
      <family val="2"/>
      <charset val="1"/>
    </font>
    <font>
      <b/>
      <sz val="14"/>
      <color theme="0"/>
      <name val="Calibri"/>
      <family val="2"/>
      <charset val="1"/>
    </font>
    <font>
      <i/>
      <sz val="9"/>
      <color rgb="FF595959"/>
      <name val="Arial"/>
      <family val="2"/>
      <charset val="1"/>
    </font>
    <font>
      <sz val="11"/>
      <color theme="1"/>
      <name val="Arial"/>
      <family val="2"/>
      <charset val="1"/>
    </font>
    <font>
      <b/>
      <sz val="11"/>
      <name val="Arial"/>
      <family val="2"/>
      <charset val="1"/>
    </font>
    <font>
      <b/>
      <sz val="11"/>
      <color theme="1"/>
      <name val="Arial"/>
      <family val="2"/>
      <charset val="1"/>
    </font>
    <font>
      <i/>
      <sz val="9"/>
      <color rgb="FF808080"/>
      <name val="Arial"/>
      <family val="2"/>
      <charset val="1"/>
    </font>
    <font>
      <sz val="11"/>
      <color theme="0"/>
      <name val="Calibri"/>
      <family val="2"/>
      <charset val="1"/>
    </font>
    <font>
      <sz val="11"/>
      <color rgb="FF008000"/>
      <name val="Calibri"/>
      <family val="2"/>
      <charset val="1"/>
    </font>
    <font>
      <i/>
      <sz val="9"/>
      <color rgb="FF808080"/>
      <name val="Calibri"/>
      <family val="2"/>
      <charset val="1"/>
    </font>
    <font>
      <sz val="11"/>
      <color rgb="FF0000FF"/>
      <name val="Calibri"/>
      <family val="2"/>
      <charset val="1"/>
    </font>
    <font>
      <b/>
      <u/>
      <sz val="11"/>
      <color theme="1"/>
      <name val="Calibri"/>
      <family val="2"/>
      <charset val="1"/>
    </font>
    <font>
      <sz val="11"/>
      <name val="Cambria"/>
      <family val="1"/>
      <charset val="1"/>
    </font>
    <font>
      <i/>
      <sz val="9"/>
      <color rgb="FFFF6600"/>
      <name val="Cambria"/>
      <family val="1"/>
      <charset val="1"/>
    </font>
    <font>
      <i/>
      <sz val="11"/>
      <color theme="1"/>
      <name val="Calibri"/>
      <family val="2"/>
      <charset val="1"/>
    </font>
    <font>
      <b/>
      <sz val="14"/>
      <color theme="0"/>
      <name val="Arial"/>
      <family val="2"/>
      <charset val="1"/>
    </font>
    <font>
      <b/>
      <sz val="11"/>
      <color theme="0"/>
      <name val="Arial"/>
      <family val="2"/>
      <charset val="1"/>
    </font>
    <font>
      <b/>
      <sz val="12"/>
      <color rgb="FF000000"/>
      <name val="Arial"/>
      <family val="2"/>
      <charset val="1"/>
    </font>
    <font>
      <sz val="11"/>
      <name val="Arial"/>
      <family val="2"/>
      <charset val="1"/>
    </font>
    <font>
      <i/>
      <sz val="9"/>
      <color rgb="FFFF6600"/>
      <name val="Arial"/>
      <family val="2"/>
      <charset val="1"/>
    </font>
    <font>
      <b/>
      <sz val="11"/>
      <color rgb="FF1F4E79"/>
      <name val="Arial"/>
      <family val="2"/>
      <charset val="1"/>
    </font>
    <font>
      <b/>
      <sz val="11"/>
      <color theme="4" tint="-0.499984740745262"/>
      <name val="Arial"/>
      <family val="2"/>
      <charset val="1"/>
    </font>
    <font>
      <sz val="11"/>
      <color rgb="FF0070C0"/>
      <name val="Arial"/>
      <family val="2"/>
      <charset val="1"/>
    </font>
    <font>
      <b/>
      <sz val="11"/>
      <color rgb="FF00B050"/>
      <name val="Arial"/>
      <family val="2"/>
      <charset val="1"/>
    </font>
    <font>
      <b/>
      <sz val="12"/>
      <color rgb="FF1F4E79"/>
      <name val="Arial"/>
      <family val="2"/>
      <charset val="1"/>
    </font>
    <font>
      <b/>
      <sz val="12"/>
      <name val="Arial"/>
      <family val="2"/>
      <charset val="1"/>
    </font>
    <font>
      <sz val="12"/>
      <color theme="0"/>
      <name val="Calibri"/>
      <family val="2"/>
      <charset val="1"/>
    </font>
    <font>
      <sz val="11"/>
      <color theme="1"/>
      <name val="Calibri"/>
      <family val="2"/>
      <charset val="1"/>
    </font>
    <font>
      <b/>
      <sz val="16"/>
      <color theme="0"/>
      <name val="Arial"/>
      <family val="2"/>
    </font>
    <font>
      <b/>
      <i/>
      <sz val="10"/>
      <name val="Arial"/>
      <family val="2"/>
    </font>
    <font>
      <b/>
      <sz val="11"/>
      <color theme="0"/>
      <name val="Arial"/>
      <family val="2"/>
    </font>
    <font>
      <sz val="11"/>
      <color theme="1"/>
      <name val="Arial"/>
      <family val="2"/>
    </font>
    <font>
      <b/>
      <sz val="14"/>
      <color rgb="FFFFFFFF"/>
      <name val="Arial"/>
      <family val="2"/>
    </font>
    <font>
      <i/>
      <sz val="8"/>
      <color rgb="FF404040"/>
      <name val="Arial"/>
      <family val="2"/>
    </font>
    <font>
      <b/>
      <sz val="10"/>
      <color rgb="FFFFFFFF"/>
      <name val="Arial"/>
      <family val="2"/>
    </font>
    <font>
      <b/>
      <sz val="9"/>
      <color rgb="FF404040"/>
      <name val="Arial"/>
      <family val="2"/>
    </font>
    <font>
      <sz val="9"/>
      <color rgb="FF0D1B2A"/>
      <name val="Arial"/>
      <family val="2"/>
    </font>
    <font>
      <i/>
      <sz val="7.5"/>
      <color rgb="FF808080"/>
      <name val="Arial"/>
      <family val="2"/>
    </font>
    <font>
      <b/>
      <sz val="10"/>
      <color theme="0"/>
      <name val="Arial"/>
      <family val="2"/>
    </font>
    <font>
      <b/>
      <sz val="9"/>
      <color rgb="FFFFFFFF"/>
      <name val="Arial"/>
      <family val="2"/>
    </font>
    <font>
      <sz val="7"/>
      <color rgb="FF000000"/>
      <name val="Arial"/>
      <family val="2"/>
    </font>
    <font>
      <sz val="7"/>
      <color rgb="FFFFFFFF"/>
      <name val="Arial"/>
      <family val="2"/>
    </font>
    <font>
      <sz val="11"/>
      <color rgb="FF000000"/>
      <name val="Arial"/>
      <family val="2"/>
    </font>
    <font>
      <sz val="11"/>
      <color theme="0"/>
      <name val="Arial"/>
      <family val="2"/>
    </font>
    <font>
      <b/>
      <sz val="14"/>
      <color theme="0"/>
      <name val="Arial"/>
      <family val="2"/>
    </font>
    <font>
      <b/>
      <sz val="10"/>
      <color theme="1"/>
      <name val="Arial"/>
      <family val="2"/>
    </font>
    <font>
      <b/>
      <sz val="11"/>
      <color theme="1"/>
      <name val="Arial"/>
      <family val="2"/>
    </font>
    <font>
      <sz val="10"/>
      <color rgb="FF000000"/>
      <name val="Arial"/>
      <family val="2"/>
    </font>
    <font>
      <b/>
      <sz val="10"/>
      <color rgb="FF1F3864"/>
      <name val="Arial"/>
      <family val="2"/>
    </font>
    <font>
      <b/>
      <sz val="10"/>
      <color rgb="FF000000"/>
      <name val="Arial"/>
      <family val="2"/>
    </font>
    <font>
      <b/>
      <sz val="16"/>
      <color rgb="FFFFFFFF"/>
      <name val="Arial"/>
      <family val="2"/>
    </font>
    <font>
      <b/>
      <sz val="12"/>
      <name val="Arial"/>
      <family val="2"/>
    </font>
    <font>
      <b/>
      <i/>
      <sz val="11"/>
      <color theme="0" tint="-0.499984740745262"/>
      <name val="Arial"/>
      <family val="2"/>
    </font>
    <font>
      <b/>
      <i/>
      <sz val="11"/>
      <color theme="1"/>
      <name val="Arial"/>
      <family val="2"/>
    </font>
    <font>
      <sz val="11"/>
      <color rgb="FF22222F"/>
      <name val="Arial"/>
      <family val="2"/>
    </font>
    <font>
      <sz val="9"/>
      <color rgb="FF000000"/>
      <name val="Arial"/>
      <family val="2"/>
    </font>
    <font>
      <i/>
      <sz val="9"/>
      <color rgb="FF595959"/>
      <name val="Arial"/>
      <family val="2"/>
    </font>
    <font>
      <b/>
      <sz val="16"/>
      <color theme="0"/>
      <name val="Arial"/>
      <family val="2"/>
      <charset val="1"/>
    </font>
    <font>
      <b/>
      <sz val="12"/>
      <color theme="0"/>
      <name val="Arial"/>
      <family val="2"/>
      <charset val="1"/>
    </font>
  </fonts>
  <fills count="25">
    <fill>
      <patternFill patternType="none"/>
    </fill>
    <fill>
      <patternFill patternType="gray125"/>
    </fill>
    <fill>
      <patternFill patternType="solid">
        <fgColor theme="4" tint="-0.499984740745262"/>
        <bgColor rgb="FF1F3864"/>
      </patternFill>
    </fill>
    <fill>
      <patternFill patternType="solid">
        <fgColor rgb="FFF0F4FA"/>
        <bgColor rgb="FFEBF3FB"/>
      </patternFill>
    </fill>
    <fill>
      <patternFill patternType="solid">
        <fgColor rgb="FFFFFFFF"/>
        <bgColor rgb="FFF0F4FA"/>
      </patternFill>
    </fill>
    <fill>
      <patternFill patternType="solid">
        <fgColor rgb="FF243166"/>
        <bgColor rgb="FF203864"/>
      </patternFill>
    </fill>
    <fill>
      <patternFill patternType="solid">
        <fgColor rgb="FFEBF3FB"/>
        <bgColor rgb="FFF0F4FA"/>
      </patternFill>
    </fill>
    <fill>
      <patternFill patternType="solid">
        <fgColor rgb="FFF2F2F2"/>
        <bgColor rgb="FFF0F4FA"/>
      </patternFill>
    </fill>
    <fill>
      <patternFill patternType="solid">
        <fgColor theme="4" tint="0.79979857783745845"/>
        <bgColor rgb="FFD6E4F0"/>
      </patternFill>
    </fill>
    <fill>
      <patternFill patternType="solid">
        <fgColor theme="0" tint="-0.14999847407452621"/>
        <bgColor rgb="FFDDDDDD"/>
      </patternFill>
    </fill>
    <fill>
      <patternFill patternType="solid">
        <fgColor rgb="FFD6E4F0"/>
        <bgColor rgb="FFDAE3F3"/>
      </patternFill>
    </fill>
    <fill>
      <patternFill patternType="solid">
        <fgColor rgb="FF002060"/>
        <bgColor rgb="FF1B2A47"/>
      </patternFill>
    </fill>
    <fill>
      <patternFill patternType="solid">
        <fgColor rgb="FFDCE6F1"/>
        <bgColor rgb="FFDAE3F3"/>
      </patternFill>
    </fill>
    <fill>
      <patternFill patternType="solid">
        <fgColor rgb="FFFFFF00"/>
        <bgColor rgb="FFFFFF00"/>
      </patternFill>
    </fill>
    <fill>
      <patternFill patternType="solid">
        <fgColor theme="4" tint="0.39988402966399123"/>
        <bgColor rgb="FF969696"/>
      </patternFill>
    </fill>
    <fill>
      <patternFill patternType="solid">
        <fgColor theme="8" tint="0.79989013336588644"/>
        <bgColor rgb="FFDCE6F1"/>
      </patternFill>
    </fill>
    <fill>
      <patternFill patternType="solid">
        <fgColor theme="4" tint="-0.499984740745262"/>
        <bgColor indexed="64"/>
      </patternFill>
    </fill>
    <fill>
      <patternFill patternType="solid">
        <fgColor rgb="FF002060"/>
        <bgColor indexed="64"/>
      </patternFill>
    </fill>
    <fill>
      <patternFill patternType="solid">
        <fgColor theme="4" tint="-0.499984740745262"/>
        <bgColor rgb="FF2E75B6"/>
      </patternFill>
    </fill>
    <fill>
      <patternFill patternType="solid">
        <fgColor theme="4" tint="-0.499984740745262"/>
        <bgColor rgb="FFF0F4FA"/>
      </patternFill>
    </fill>
    <fill>
      <patternFill patternType="solid">
        <fgColor rgb="FF002060"/>
        <bgColor rgb="FF203864"/>
      </patternFill>
    </fill>
    <fill>
      <patternFill patternType="solid">
        <fgColor rgb="FF002060"/>
        <bgColor rgb="FF2F5597"/>
      </patternFill>
    </fill>
    <fill>
      <patternFill patternType="solid">
        <fgColor theme="0" tint="-4.9989318521683403E-2"/>
        <bgColor indexed="64"/>
      </patternFill>
    </fill>
    <fill>
      <patternFill patternType="solid">
        <fgColor rgb="FF002060"/>
        <bgColor rgb="FF1F4E79"/>
      </patternFill>
    </fill>
    <fill>
      <patternFill patternType="solid">
        <fgColor rgb="FF002060"/>
        <bgColor rgb="FF1F3864"/>
      </patternFill>
    </fill>
  </fills>
  <borders count="35">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double">
        <color rgb="FFDDDDDD"/>
      </left>
      <right style="double">
        <color rgb="FFDDDDDD"/>
      </right>
      <top style="double">
        <color rgb="FFDDDDDD"/>
      </top>
      <bottom style="double">
        <color rgb="FFDDDDDD"/>
      </bottom>
      <diagonal/>
    </border>
    <border>
      <left style="medium">
        <color auto="1"/>
      </left>
      <right style="medium">
        <color auto="1"/>
      </right>
      <top style="double">
        <color rgb="FFDDDDDD"/>
      </top>
      <bottom style="double">
        <color rgb="FFDDDDDD"/>
      </bottom>
      <diagonal/>
    </border>
    <border>
      <left style="medium">
        <color auto="1"/>
      </left>
      <right style="medium">
        <color auto="1"/>
      </right>
      <top/>
      <bottom style="double">
        <color rgb="FFDDDDDD"/>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double">
        <color rgb="FFDDDDDD"/>
      </bottom>
      <diagonal/>
    </border>
    <border>
      <left/>
      <right style="medium">
        <color auto="1"/>
      </right>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style="medium">
        <color auto="1"/>
      </bottom>
      <diagonal/>
    </border>
    <border>
      <left style="medium">
        <color auto="1"/>
      </left>
      <right/>
      <top/>
      <bottom/>
      <diagonal/>
    </border>
    <border>
      <left/>
      <right/>
      <top style="hair">
        <color rgb="FF002060"/>
      </top>
      <bottom style="hair">
        <color rgb="FF002060"/>
      </bottom>
      <diagonal/>
    </border>
    <border>
      <left/>
      <right/>
      <top style="hair">
        <color auto="1"/>
      </top>
      <bottom style="hair">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right/>
      <top style="hair">
        <color theme="7" tint="-0.249977111117893"/>
      </top>
      <bottom style="hair">
        <color theme="7" tint="-0.249977111117893"/>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2">
    <xf numFmtId="0" fontId="0" fillId="0" borderId="0"/>
    <xf numFmtId="9" fontId="40" fillId="0" borderId="0"/>
  </cellStyleXfs>
  <cellXfs count="320">
    <xf numFmtId="0" fontId="0" fillId="0" borderId="0" xfId="0"/>
    <xf numFmtId="0" fontId="8" fillId="0" borderId="0" xfId="0" applyFont="1" applyAlignment="1">
      <alignment horizontal="center" vertical="center" wrapText="1"/>
    </xf>
    <xf numFmtId="4" fontId="8" fillId="0" borderId="0" xfId="0" applyNumberFormat="1" applyFont="1" applyAlignment="1">
      <alignment horizontal="right" vertical="center" wrapText="1"/>
    </xf>
    <xf numFmtId="164" fontId="8" fillId="0" borderId="0" xfId="0" applyNumberFormat="1" applyFont="1" applyAlignment="1">
      <alignment horizontal="right" vertical="center" wrapText="1"/>
    </xf>
    <xf numFmtId="4" fontId="0" fillId="0" borderId="0" xfId="0" applyNumberFormat="1"/>
    <xf numFmtId="168" fontId="0" fillId="0" borderId="0" xfId="0" applyNumberFormat="1"/>
    <xf numFmtId="0" fontId="10" fillId="0" borderId="0" xfId="0" applyFont="1"/>
    <xf numFmtId="0" fontId="0" fillId="0" borderId="16" xfId="0" applyBorder="1"/>
    <xf numFmtId="0" fontId="13" fillId="11" borderId="0" xfId="0" applyFont="1" applyFill="1"/>
    <xf numFmtId="9" fontId="0" fillId="0" borderId="0" xfId="0" applyNumberFormat="1"/>
    <xf numFmtId="164" fontId="0" fillId="0" borderId="0" xfId="0" applyNumberFormat="1"/>
    <xf numFmtId="0" fontId="10" fillId="0" borderId="15" xfId="0" applyFont="1" applyBorder="1"/>
    <xf numFmtId="10" fontId="10" fillId="0" borderId="15" xfId="0" applyNumberFormat="1" applyFont="1" applyBorder="1"/>
    <xf numFmtId="165" fontId="13" fillId="11" borderId="0" xfId="0" applyNumberFormat="1" applyFont="1" applyFill="1"/>
    <xf numFmtId="0" fontId="0" fillId="13" borderId="0" xfId="0" applyFill="1"/>
    <xf numFmtId="174" fontId="0" fillId="0" borderId="0" xfId="0" applyNumberFormat="1"/>
    <xf numFmtId="0" fontId="10" fillId="0" borderId="14" xfId="0" applyFont="1" applyBorder="1"/>
    <xf numFmtId="174" fontId="10" fillId="0" borderId="14" xfId="0" applyNumberFormat="1" applyFont="1" applyBorder="1"/>
    <xf numFmtId="10" fontId="0" fillId="0" borderId="0" xfId="0" applyNumberFormat="1"/>
    <xf numFmtId="4" fontId="10" fillId="0" borderId="14" xfId="0" applyNumberFormat="1" applyFont="1" applyBorder="1"/>
    <xf numFmtId="168" fontId="10" fillId="0" borderId="14" xfId="0" applyNumberFormat="1" applyFont="1" applyBorder="1"/>
    <xf numFmtId="4" fontId="10" fillId="0" borderId="0" xfId="0" applyNumberFormat="1" applyFont="1"/>
    <xf numFmtId="0" fontId="10" fillId="0" borderId="18" xfId="0" applyFont="1" applyBorder="1"/>
    <xf numFmtId="168" fontId="10" fillId="0" borderId="18" xfId="0" applyNumberFormat="1" applyFont="1" applyBorder="1"/>
    <xf numFmtId="0" fontId="16" fillId="0" borderId="0" xfId="0" applyFont="1"/>
    <xf numFmtId="0" fontId="15" fillId="0" borderId="0" xfId="0" applyFont="1"/>
    <xf numFmtId="0" fontId="16" fillId="14" borderId="0" xfId="0" applyFont="1" applyFill="1"/>
    <xf numFmtId="175" fontId="17" fillId="0" borderId="2" xfId="0" applyNumberFormat="1" applyFont="1" applyBorder="1" applyAlignment="1">
      <alignment horizontal="center" vertical="top"/>
    </xf>
    <xf numFmtId="0" fontId="17" fillId="0" borderId="2" xfId="0" applyFont="1" applyBorder="1" applyAlignment="1">
      <alignment horizontal="center" vertical="top"/>
    </xf>
    <xf numFmtId="0" fontId="18" fillId="0" borderId="2" xfId="0" applyFont="1" applyBorder="1"/>
    <xf numFmtId="0" fontId="18" fillId="0" borderId="19" xfId="0" applyFont="1" applyBorder="1"/>
    <xf numFmtId="0" fontId="18" fillId="0" borderId="20" xfId="0" applyFont="1" applyBorder="1"/>
    <xf numFmtId="175" fontId="16" fillId="0" borderId="0" xfId="0" applyNumberFormat="1" applyFont="1"/>
    <xf numFmtId="0" fontId="17" fillId="14" borderId="0" xfId="0" applyFont="1" applyFill="1"/>
    <xf numFmtId="0" fontId="2" fillId="14" borderId="16" xfId="0" applyFont="1" applyFill="1" applyBorder="1"/>
    <xf numFmtId="0" fontId="4" fillId="14" borderId="16" xfId="0" applyFont="1" applyFill="1" applyBorder="1"/>
    <xf numFmtId="0" fontId="19" fillId="0" borderId="0" xfId="0" applyFont="1"/>
    <xf numFmtId="0" fontId="20" fillId="11" borderId="0" xfId="0" applyFont="1" applyFill="1"/>
    <xf numFmtId="2" fontId="21" fillId="0" borderId="0" xfId="0" applyNumberFormat="1" applyFont="1"/>
    <xf numFmtId="0" fontId="22" fillId="0" borderId="0" xfId="0" applyFont="1"/>
    <xf numFmtId="2" fontId="0" fillId="0" borderId="0" xfId="0" applyNumberFormat="1"/>
    <xf numFmtId="10" fontId="23" fillId="0" borderId="0" xfId="0" applyNumberFormat="1" applyFont="1"/>
    <xf numFmtId="10" fontId="3" fillId="0" borderId="15" xfId="0" applyNumberFormat="1" applyFont="1" applyBorder="1"/>
    <xf numFmtId="176" fontId="24" fillId="0" borderId="0" xfId="0" applyNumberFormat="1" applyFont="1"/>
    <xf numFmtId="177" fontId="10" fillId="0" borderId="15" xfId="0" applyNumberFormat="1" applyFont="1" applyBorder="1"/>
    <xf numFmtId="3" fontId="0" fillId="0" borderId="0" xfId="0" applyNumberFormat="1"/>
    <xf numFmtId="0" fontId="25" fillId="0" borderId="0" xfId="0" applyFont="1"/>
    <xf numFmtId="0" fontId="26" fillId="0" borderId="0" xfId="0" applyFont="1"/>
    <xf numFmtId="169" fontId="3" fillId="0" borderId="0" xfId="0" applyNumberFormat="1" applyFont="1"/>
    <xf numFmtId="169" fontId="0" fillId="0" borderId="0" xfId="0" applyNumberFormat="1"/>
    <xf numFmtId="10" fontId="24" fillId="0" borderId="0" xfId="0" applyNumberFormat="1" applyFont="1"/>
    <xf numFmtId="0" fontId="27" fillId="0" borderId="0" xfId="0" applyFont="1"/>
    <xf numFmtId="0" fontId="0" fillId="0" borderId="0" xfId="0" applyAlignment="1">
      <alignment horizontal="right"/>
    </xf>
    <xf numFmtId="0" fontId="30" fillId="15" borderId="2" xfId="0" applyFont="1" applyFill="1" applyBorder="1"/>
    <xf numFmtId="0" fontId="30" fillId="15" borderId="2" xfId="0" applyFont="1" applyFill="1" applyBorder="1" applyAlignment="1">
      <alignment horizontal="right"/>
    </xf>
    <xf numFmtId="0" fontId="12" fillId="0" borderId="0" xfId="0" applyFont="1"/>
    <xf numFmtId="0" fontId="4" fillId="0" borderId="21" xfId="0" applyFont="1" applyBorder="1"/>
    <xf numFmtId="10" fontId="31" fillId="0" borderId="22" xfId="0" applyNumberFormat="1" applyFont="1" applyBorder="1" applyAlignment="1">
      <alignment horizontal="right"/>
    </xf>
    <xf numFmtId="10" fontId="31" fillId="0" borderId="23" xfId="0" applyNumberFormat="1" applyFont="1" applyBorder="1" applyAlignment="1">
      <alignment horizontal="right"/>
    </xf>
    <xf numFmtId="2" fontId="31" fillId="0" borderId="23" xfId="0" applyNumberFormat="1" applyFont="1" applyBorder="1" applyAlignment="1">
      <alignment horizontal="right"/>
    </xf>
    <xf numFmtId="4" fontId="31" fillId="0" borderId="23" xfId="0" applyNumberFormat="1" applyFont="1" applyBorder="1" applyAlignment="1">
      <alignment horizontal="right"/>
    </xf>
    <xf numFmtId="164" fontId="31" fillId="0" borderId="23" xfId="0" applyNumberFormat="1" applyFont="1" applyBorder="1" applyAlignment="1">
      <alignment horizontal="right"/>
    </xf>
    <xf numFmtId="0" fontId="4" fillId="0" borderId="24" xfId="0" applyFont="1" applyBorder="1"/>
    <xf numFmtId="3" fontId="31" fillId="0" borderId="25" xfId="0" applyNumberFormat="1" applyFont="1" applyBorder="1" applyAlignment="1">
      <alignment horizontal="right"/>
    </xf>
    <xf numFmtId="0" fontId="31" fillId="0" borderId="26" xfId="0" applyFont="1" applyBorder="1"/>
    <xf numFmtId="10" fontId="31" fillId="0" borderId="22" xfId="0" applyNumberFormat="1" applyFont="1" applyBorder="1"/>
    <xf numFmtId="0" fontId="31" fillId="0" borderId="21" xfId="0" applyFont="1" applyBorder="1"/>
    <xf numFmtId="10" fontId="31" fillId="0" borderId="23" xfId="0" applyNumberFormat="1" applyFont="1" applyBorder="1"/>
    <xf numFmtId="0" fontId="17" fillId="0" borderId="21" xfId="0" applyFont="1" applyBorder="1"/>
    <xf numFmtId="173" fontId="17" fillId="0" borderId="23" xfId="0" applyNumberFormat="1" applyFont="1" applyBorder="1"/>
    <xf numFmtId="4" fontId="31" fillId="0" borderId="23" xfId="0" applyNumberFormat="1" applyFont="1" applyBorder="1"/>
    <xf numFmtId="0" fontId="17" fillId="13" borderId="21" xfId="0" applyFont="1" applyFill="1" applyBorder="1"/>
    <xf numFmtId="4" fontId="17" fillId="13" borderId="23" xfId="0" applyNumberFormat="1" applyFont="1" applyFill="1" applyBorder="1"/>
    <xf numFmtId="0" fontId="34" fillId="0" borderId="24" xfId="0" applyFont="1" applyBorder="1"/>
    <xf numFmtId="164" fontId="34" fillId="0" borderId="25" xfId="0" applyNumberFormat="1" applyFont="1" applyBorder="1"/>
    <xf numFmtId="0" fontId="11" fillId="0" borderId="26" xfId="0" applyFont="1" applyBorder="1"/>
    <xf numFmtId="0" fontId="0" fillId="0" borderId="27" xfId="0" applyBorder="1" applyAlignment="1">
      <alignment horizontal="right"/>
    </xf>
    <xf numFmtId="0" fontId="12" fillId="0" borderId="27" xfId="0" applyFont="1" applyBorder="1" applyAlignment="1">
      <alignment horizontal="right" vertical="center"/>
    </xf>
    <xf numFmtId="0" fontId="12" fillId="0" borderId="28" xfId="0" applyFont="1" applyBorder="1" applyAlignment="1">
      <alignment horizontal="right" vertical="center"/>
    </xf>
    <xf numFmtId="10" fontId="35" fillId="0" borderId="0" xfId="0" applyNumberFormat="1" applyFont="1" applyAlignment="1">
      <alignment horizontal="right"/>
    </xf>
    <xf numFmtId="10" fontId="4" fillId="0" borderId="0" xfId="0" applyNumberFormat="1" applyFont="1" applyAlignment="1">
      <alignment horizontal="right"/>
    </xf>
    <xf numFmtId="10" fontId="4" fillId="0" borderId="29" xfId="0" applyNumberFormat="1" applyFont="1" applyBorder="1" applyAlignment="1">
      <alignment horizontal="right"/>
    </xf>
    <xf numFmtId="4" fontId="4" fillId="0" borderId="0" xfId="0" applyNumberFormat="1" applyFont="1" applyAlignment="1">
      <alignment horizontal="right"/>
    </xf>
    <xf numFmtId="4" fontId="4" fillId="0" borderId="29" xfId="0" applyNumberFormat="1" applyFont="1" applyBorder="1" applyAlignment="1">
      <alignment horizontal="right"/>
    </xf>
    <xf numFmtId="0" fontId="0" fillId="0" borderId="29" xfId="0" applyBorder="1" applyAlignment="1">
      <alignment horizontal="right"/>
    </xf>
    <xf numFmtId="178" fontId="4" fillId="0" borderId="0" xfId="0" applyNumberFormat="1" applyFont="1" applyAlignment="1">
      <alignment horizontal="right"/>
    </xf>
    <xf numFmtId="0" fontId="4" fillId="15" borderId="24" xfId="0" applyFont="1" applyFill="1" applyBorder="1"/>
    <xf numFmtId="0" fontId="0" fillId="15" borderId="16" xfId="0" applyFill="1" applyBorder="1" applyAlignment="1">
      <alignment horizontal="right"/>
    </xf>
    <xf numFmtId="0" fontId="0" fillId="15" borderId="16" xfId="0" applyFill="1" applyBorder="1"/>
    <xf numFmtId="4" fontId="4" fillId="15" borderId="30" xfId="0" applyNumberFormat="1" applyFont="1" applyFill="1" applyBorder="1"/>
    <xf numFmtId="0" fontId="4" fillId="0" borderId="27" xfId="0" applyFont="1" applyBorder="1"/>
    <xf numFmtId="0" fontId="0" fillId="0" borderId="27" xfId="0" applyBorder="1"/>
    <xf numFmtId="4" fontId="17" fillId="0" borderId="27" xfId="0" applyNumberFormat="1" applyFont="1" applyBorder="1"/>
    <xf numFmtId="0" fontId="4" fillId="0" borderId="0" xfId="0" applyFont="1"/>
    <xf numFmtId="4" fontId="17" fillId="0" borderId="0" xfId="0" applyNumberFormat="1" applyFont="1"/>
    <xf numFmtId="4" fontId="4" fillId="0" borderId="0" xfId="0" applyNumberFormat="1" applyFont="1"/>
    <xf numFmtId="0" fontId="17" fillId="13" borderId="0" xfId="0" applyFont="1" applyFill="1"/>
    <xf numFmtId="0" fontId="0" fillId="13" borderId="0" xfId="0" applyFill="1" applyAlignment="1">
      <alignment horizontal="right"/>
    </xf>
    <xf numFmtId="4" fontId="17" fillId="13" borderId="0" xfId="0" applyNumberFormat="1" applyFont="1" applyFill="1"/>
    <xf numFmtId="0" fontId="4" fillId="0" borderId="16" xfId="0" applyFont="1" applyBorder="1"/>
    <xf numFmtId="0" fontId="0" fillId="0" borderId="16" xfId="0" applyBorder="1" applyAlignment="1">
      <alignment horizontal="right"/>
    </xf>
    <xf numFmtId="164" fontId="17" fillId="0" borderId="16" xfId="0" applyNumberFormat="1" applyFont="1" applyBorder="1"/>
    <xf numFmtId="164" fontId="17" fillId="0" borderId="0" xfId="0" applyNumberFormat="1" applyFont="1"/>
    <xf numFmtId="0" fontId="2" fillId="15" borderId="19" xfId="0" applyFont="1" applyFill="1" applyBorder="1"/>
    <xf numFmtId="0" fontId="0" fillId="15" borderId="31" xfId="0" applyFill="1" applyBorder="1"/>
    <xf numFmtId="0" fontId="2" fillId="15" borderId="2" xfId="0" applyFont="1" applyFill="1" applyBorder="1" applyAlignment="1">
      <alignment horizontal="right"/>
    </xf>
    <xf numFmtId="0" fontId="11" fillId="0" borderId="0" xfId="0" applyFont="1"/>
    <xf numFmtId="4" fontId="4" fillId="0" borderId="23" xfId="0" applyNumberFormat="1" applyFont="1" applyBorder="1"/>
    <xf numFmtId="9" fontId="4" fillId="0" borderId="0" xfId="0" applyNumberFormat="1" applyFont="1"/>
    <xf numFmtId="10" fontId="4" fillId="0" borderId="23" xfId="0" applyNumberFormat="1" applyFont="1" applyBorder="1"/>
    <xf numFmtId="9" fontId="11" fillId="0" borderId="0" xfId="0" applyNumberFormat="1" applyFont="1"/>
    <xf numFmtId="0" fontId="4" fillId="13" borderId="21" xfId="0" applyFont="1" applyFill="1" applyBorder="1"/>
    <xf numFmtId="4" fontId="2" fillId="13" borderId="23" xfId="0" applyNumberFormat="1" applyFont="1" applyFill="1" applyBorder="1"/>
    <xf numFmtId="0" fontId="4" fillId="0" borderId="19" xfId="0" applyFont="1" applyBorder="1"/>
    <xf numFmtId="0" fontId="0" fillId="0" borderId="31" xfId="0" applyBorder="1"/>
    <xf numFmtId="164" fontId="36" fillId="0" borderId="2" xfId="0" applyNumberFormat="1" applyFont="1" applyBorder="1"/>
    <xf numFmtId="0" fontId="20" fillId="0" borderId="0" xfId="0" applyFont="1" applyAlignment="1">
      <alignment horizontal="right"/>
    </xf>
    <xf numFmtId="164" fontId="4" fillId="0" borderId="0" xfId="0" applyNumberFormat="1" applyFont="1"/>
    <xf numFmtId="0" fontId="12" fillId="0" borderId="27" xfId="0" applyFont="1" applyBorder="1"/>
    <xf numFmtId="10" fontId="12" fillId="0" borderId="27" xfId="0" applyNumberFormat="1" applyFont="1" applyBorder="1" applyAlignment="1">
      <alignment horizontal="right"/>
    </xf>
    <xf numFmtId="10" fontId="4" fillId="0" borderId="0" xfId="0" applyNumberFormat="1" applyFont="1"/>
    <xf numFmtId="9" fontId="35" fillId="0" borderId="0" xfId="0" applyNumberFormat="1" applyFont="1" applyAlignment="1">
      <alignment horizontal="right"/>
    </xf>
    <xf numFmtId="173" fontId="4" fillId="0" borderId="0" xfId="0" applyNumberFormat="1" applyFont="1"/>
    <xf numFmtId="173" fontId="4" fillId="0" borderId="16" xfId="0" applyNumberFormat="1" applyFont="1" applyBorder="1"/>
    <xf numFmtId="9" fontId="2" fillId="0" borderId="16" xfId="0" applyNumberFormat="1" applyFont="1" applyBorder="1"/>
    <xf numFmtId="0" fontId="37" fillId="0" borderId="27" xfId="0" applyFont="1" applyBorder="1"/>
    <xf numFmtId="4" fontId="38" fillId="0" borderId="27" xfId="0" applyNumberFormat="1" applyFont="1" applyBorder="1"/>
    <xf numFmtId="164" fontId="36" fillId="0" borderId="0" xfId="0" applyNumberFormat="1" applyFont="1"/>
    <xf numFmtId="0" fontId="38" fillId="0" borderId="16" xfId="0" applyFont="1" applyBorder="1" applyAlignment="1">
      <alignment horizontal="right"/>
    </xf>
    <xf numFmtId="0" fontId="29" fillId="2" borderId="0" xfId="0" applyFont="1" applyFill="1"/>
    <xf numFmtId="0" fontId="39" fillId="2" borderId="0" xfId="0" applyFont="1" applyFill="1"/>
    <xf numFmtId="0" fontId="12" fillId="0" borderId="0" xfId="0" applyFont="1" applyAlignment="1">
      <alignment horizontal="center"/>
    </xf>
    <xf numFmtId="10" fontId="4" fillId="0" borderId="16" xfId="0" applyNumberFormat="1" applyFont="1" applyBorder="1"/>
    <xf numFmtId="10" fontId="0" fillId="0" borderId="16" xfId="0" applyNumberFormat="1" applyBorder="1"/>
    <xf numFmtId="0" fontId="8" fillId="0" borderId="2" xfId="0" applyFont="1" applyBorder="1" applyAlignment="1">
      <alignment horizontal="center" vertical="center" wrapText="1"/>
    </xf>
    <xf numFmtId="4" fontId="8" fillId="0" borderId="2" xfId="0" applyNumberFormat="1" applyFont="1" applyBorder="1" applyAlignment="1">
      <alignment horizontal="right" vertical="center" wrapText="1"/>
    </xf>
    <xf numFmtId="164" fontId="8" fillId="0" borderId="2" xfId="0" applyNumberFormat="1" applyFont="1" applyBorder="1" applyAlignment="1">
      <alignment horizontal="right" vertical="center" wrapText="1"/>
    </xf>
    <xf numFmtId="0" fontId="41" fillId="0" borderId="0" xfId="0" applyFont="1" applyAlignment="1">
      <alignment vertical="center" wrapText="1"/>
    </xf>
    <xf numFmtId="0" fontId="43" fillId="16" borderId="2" xfId="0" applyFont="1" applyFill="1" applyBorder="1" applyAlignment="1">
      <alignment horizontal="center" vertical="center" wrapText="1"/>
    </xf>
    <xf numFmtId="0" fontId="43" fillId="16" borderId="2" xfId="0" applyFont="1" applyFill="1" applyBorder="1" applyAlignment="1">
      <alignment horizontal="right" vertical="center" wrapText="1"/>
    </xf>
    <xf numFmtId="0" fontId="43" fillId="0" borderId="0" xfId="0" applyFont="1" applyAlignment="1">
      <alignment horizontal="left" vertical="center" wrapText="1"/>
    </xf>
    <xf numFmtId="0" fontId="43" fillId="0" borderId="0" xfId="0" applyFont="1" applyAlignment="1">
      <alignment horizontal="right" vertical="center" wrapText="1"/>
    </xf>
    <xf numFmtId="0" fontId="6" fillId="0" borderId="0" xfId="0" applyFont="1" applyAlignment="1">
      <alignment horizontal="left" vertical="center" wrapText="1"/>
    </xf>
    <xf numFmtId="4"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0" fontId="44" fillId="0" borderId="0" xfId="0" applyFont="1" applyAlignment="1">
      <alignment horizontal="left"/>
    </xf>
    <xf numFmtId="0" fontId="44" fillId="0" borderId="0" xfId="0" applyFont="1"/>
    <xf numFmtId="0" fontId="48" fillId="0" borderId="1" xfId="0" applyFont="1" applyBorder="1" applyAlignment="1">
      <alignment horizontal="left" vertical="center"/>
    </xf>
    <xf numFmtId="0" fontId="49" fillId="0" borderId="1" xfId="0" applyFont="1" applyBorder="1" applyAlignment="1">
      <alignment horizontal="left" vertical="center" wrapText="1"/>
    </xf>
    <xf numFmtId="0" fontId="52" fillId="2" borderId="1" xfId="0" applyFont="1" applyFill="1" applyBorder="1" applyAlignment="1">
      <alignment horizontal="left" vertical="center"/>
    </xf>
    <xf numFmtId="0" fontId="52" fillId="2" borderId="1" xfId="0" applyFont="1" applyFill="1" applyBorder="1" applyAlignment="1">
      <alignment horizontal="center" vertical="center"/>
    </xf>
    <xf numFmtId="0" fontId="44" fillId="2" borderId="0" xfId="0" applyFont="1" applyFill="1"/>
    <xf numFmtId="0" fontId="53" fillId="4" borderId="3" xfId="0" applyFont="1" applyFill="1" applyBorder="1" applyAlignment="1">
      <alignment horizontal="center" vertical="center" wrapText="1"/>
    </xf>
    <xf numFmtId="0" fontId="44" fillId="4" borderId="0" xfId="0" applyFont="1" applyFill="1"/>
    <xf numFmtId="0" fontId="54" fillId="5" borderId="6" xfId="0" applyFont="1" applyFill="1" applyBorder="1" applyAlignment="1">
      <alignment horizontal="center" vertical="center" wrapText="1"/>
    </xf>
    <xf numFmtId="0" fontId="53" fillId="4" borderId="3" xfId="0" applyFont="1" applyFill="1" applyBorder="1" applyAlignment="1">
      <alignment horizontal="left" vertical="center" wrapText="1"/>
    </xf>
    <xf numFmtId="0" fontId="53" fillId="4" borderId="3" xfId="0" applyFont="1" applyFill="1" applyBorder="1" applyAlignment="1">
      <alignment horizontal="right" vertical="center" wrapText="1"/>
    </xf>
    <xf numFmtId="3" fontId="53" fillId="4" borderId="3" xfId="0" applyNumberFormat="1" applyFont="1" applyFill="1" applyBorder="1" applyAlignment="1">
      <alignment horizontal="right" vertical="center" wrapText="1"/>
    </xf>
    <xf numFmtId="0" fontId="55" fillId="4" borderId="8" xfId="0" applyFont="1" applyFill="1" applyBorder="1" applyAlignment="1">
      <alignment horizontal="left" vertical="center" wrapText="1"/>
    </xf>
    <xf numFmtId="0" fontId="55" fillId="4" borderId="9" xfId="0" applyFont="1" applyFill="1" applyBorder="1" applyAlignment="1">
      <alignment horizontal="right" vertical="center" wrapText="1"/>
    </xf>
    <xf numFmtId="0" fontId="54" fillId="5" borderId="11" xfId="0" applyFont="1" applyFill="1" applyBorder="1" applyAlignment="1">
      <alignment horizontal="center" vertical="center" wrapText="1"/>
    </xf>
    <xf numFmtId="0" fontId="55" fillId="4" borderId="13" xfId="0" applyFont="1" applyFill="1" applyBorder="1" applyAlignment="1">
      <alignment horizontal="right" vertical="center" wrapText="1"/>
    </xf>
    <xf numFmtId="3" fontId="55" fillId="4" borderId="9" xfId="0" applyNumberFormat="1" applyFont="1" applyFill="1" applyBorder="1" applyAlignment="1">
      <alignment horizontal="right" vertical="center" wrapText="1"/>
    </xf>
    <xf numFmtId="0" fontId="56" fillId="4" borderId="0" xfId="0" applyFont="1" applyFill="1"/>
    <xf numFmtId="0" fontId="1" fillId="0" borderId="0" xfId="0" applyFont="1" applyAlignment="1">
      <alignment horizontal="left" vertical="center" wrapText="1"/>
    </xf>
    <xf numFmtId="0" fontId="44" fillId="0" borderId="0" xfId="0" applyFont="1" applyAlignment="1">
      <alignment horizontal="right"/>
    </xf>
    <xf numFmtId="4"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0" fontId="58" fillId="0" borderId="2" xfId="0" applyFont="1" applyBorder="1" applyAlignment="1">
      <alignment horizontal="left" vertical="center" wrapText="1"/>
    </xf>
    <xf numFmtId="0" fontId="58" fillId="0" borderId="2" xfId="0" applyFont="1" applyBorder="1" applyAlignment="1">
      <alignment horizontal="center" vertical="center"/>
    </xf>
    <xf numFmtId="0" fontId="59" fillId="0" borderId="0" xfId="0" applyFont="1" applyAlignment="1">
      <alignment horizontal="center" vertical="center" wrapText="1"/>
    </xf>
    <xf numFmtId="0" fontId="59" fillId="0" borderId="0" xfId="0" applyFont="1" applyAlignment="1">
      <alignment horizontal="right" vertical="center" wrapText="1"/>
    </xf>
    <xf numFmtId="0" fontId="59" fillId="0" borderId="0" xfId="0" applyFont="1" applyAlignment="1">
      <alignment vertical="center" wrapText="1"/>
    </xf>
    <xf numFmtId="0" fontId="44" fillId="0" borderId="0" xfId="0" applyFont="1" applyAlignment="1">
      <alignment horizontal="right" vertical="center" wrapText="1"/>
    </xf>
    <xf numFmtId="0" fontId="60" fillId="0" borderId="2" xfId="0" applyFont="1" applyBorder="1" applyAlignment="1">
      <alignment horizontal="left" vertical="center" wrapText="1"/>
    </xf>
    <xf numFmtId="4" fontId="44" fillId="0" borderId="2" xfId="0" applyNumberFormat="1" applyFont="1" applyBorder="1" applyAlignment="1">
      <alignment horizontal="right" vertical="center" wrapText="1"/>
    </xf>
    <xf numFmtId="0" fontId="44" fillId="0" borderId="0" xfId="0" applyFont="1" applyAlignment="1">
      <alignment vertical="center" wrapText="1"/>
    </xf>
    <xf numFmtId="4" fontId="44" fillId="0" borderId="0" xfId="0" applyNumberFormat="1" applyFont="1" applyAlignment="1">
      <alignment horizontal="right" vertical="center" wrapText="1"/>
    </xf>
    <xf numFmtId="0" fontId="44" fillId="0" borderId="2" xfId="0" applyFont="1" applyBorder="1" applyAlignment="1">
      <alignment horizontal="right" vertical="center" wrapText="1"/>
    </xf>
    <xf numFmtId="0" fontId="6" fillId="0" borderId="2" xfId="0" applyFont="1" applyBorder="1" applyAlignment="1">
      <alignment horizontal="left" vertical="center" wrapText="1"/>
    </xf>
    <xf numFmtId="4" fontId="59" fillId="0" borderId="2" xfId="0" applyNumberFormat="1" applyFont="1" applyBorder="1" applyAlignment="1">
      <alignment horizontal="right" vertical="center" wrapText="1"/>
    </xf>
    <xf numFmtId="4" fontId="59" fillId="0" borderId="0" xfId="0" applyNumberFormat="1" applyFont="1" applyAlignment="1">
      <alignment horizontal="right" vertical="center" wrapText="1"/>
    </xf>
    <xf numFmtId="4" fontId="44" fillId="0" borderId="2" xfId="0" applyNumberFormat="1" applyFont="1" applyBorder="1" applyAlignment="1">
      <alignment horizontal="right" vertical="center"/>
    </xf>
    <xf numFmtId="0" fontId="44" fillId="9" borderId="0" xfId="0" applyFont="1" applyFill="1" applyAlignment="1">
      <alignment vertical="center" wrapText="1"/>
    </xf>
    <xf numFmtId="4" fontId="44" fillId="9" borderId="0" xfId="0" applyNumberFormat="1" applyFont="1" applyFill="1" applyAlignment="1">
      <alignment horizontal="right" vertical="center" wrapText="1"/>
    </xf>
    <xf numFmtId="0" fontId="44" fillId="9" borderId="0" xfId="0" applyFont="1" applyFill="1" applyAlignment="1">
      <alignment horizontal="right" vertical="center" wrapText="1"/>
    </xf>
    <xf numFmtId="0" fontId="44" fillId="0" borderId="2" xfId="0" applyFont="1" applyBorder="1"/>
    <xf numFmtId="4" fontId="44" fillId="0" borderId="0" xfId="0" applyNumberFormat="1" applyFont="1"/>
    <xf numFmtId="0" fontId="60" fillId="6" borderId="2" xfId="0" applyFont="1" applyFill="1" applyBorder="1" applyAlignment="1">
      <alignment horizontal="left" vertical="center" wrapText="1"/>
    </xf>
    <xf numFmtId="0" fontId="6" fillId="10" borderId="2" xfId="0" applyFont="1" applyFill="1" applyBorder="1" applyAlignment="1">
      <alignment horizontal="left" vertical="center" wrapText="1"/>
    </xf>
    <xf numFmtId="0" fontId="60" fillId="4" borderId="2" xfId="0" applyFont="1" applyFill="1" applyBorder="1" applyAlignment="1">
      <alignment horizontal="left" vertical="center" wrapText="1"/>
    </xf>
    <xf numFmtId="4" fontId="44" fillId="4" borderId="2" xfId="0" applyNumberFormat="1" applyFont="1" applyFill="1" applyBorder="1" applyAlignment="1">
      <alignment horizontal="right" vertical="center"/>
    </xf>
    <xf numFmtId="0" fontId="59" fillId="0" borderId="2" xfId="0" applyFont="1" applyBorder="1" applyAlignment="1">
      <alignment horizontal="left" vertical="center" wrapText="1"/>
    </xf>
    <xf numFmtId="0" fontId="59" fillId="0" borderId="2" xfId="0" applyFont="1" applyBorder="1" applyAlignment="1">
      <alignment horizontal="center" vertical="center"/>
    </xf>
    <xf numFmtId="0" fontId="58" fillId="0" borderId="0" xfId="0" applyFont="1" applyAlignment="1">
      <alignment horizontal="left" vertical="center" wrapText="1"/>
    </xf>
    <xf numFmtId="0" fontId="58" fillId="0" borderId="0" xfId="0" applyFont="1" applyAlignment="1">
      <alignment horizontal="center" vertical="center"/>
    </xf>
    <xf numFmtId="0" fontId="62" fillId="0" borderId="2" xfId="0" applyFont="1" applyBorder="1" applyAlignment="1">
      <alignment horizontal="left" vertical="center" wrapText="1"/>
    </xf>
    <xf numFmtId="0" fontId="59" fillId="0" borderId="2" xfId="0" applyFont="1" applyBorder="1" applyAlignment="1">
      <alignment vertical="center" wrapText="1"/>
    </xf>
    <xf numFmtId="3" fontId="44" fillId="0" borderId="2" xfId="0" applyNumberFormat="1" applyFont="1" applyBorder="1" applyAlignment="1">
      <alignment horizontal="right" vertical="center" wrapText="1"/>
    </xf>
    <xf numFmtId="164" fontId="55" fillId="4" borderId="2" xfId="0" applyNumberFormat="1" applyFont="1" applyFill="1" applyBorder="1" applyAlignment="1">
      <alignment horizontal="right" vertical="center"/>
    </xf>
    <xf numFmtId="164" fontId="55" fillId="6" borderId="2" xfId="0" applyNumberFormat="1" applyFont="1" applyFill="1" applyBorder="1" applyAlignment="1">
      <alignment horizontal="right" vertical="center"/>
    </xf>
    <xf numFmtId="2" fontId="55" fillId="6" borderId="2" xfId="0" applyNumberFormat="1" applyFont="1" applyFill="1" applyBorder="1" applyAlignment="1">
      <alignment horizontal="right" vertical="center"/>
    </xf>
    <xf numFmtId="2" fontId="55" fillId="4" borderId="2" xfId="0" applyNumberFormat="1" applyFont="1" applyFill="1" applyBorder="1" applyAlignment="1">
      <alignment horizontal="right" vertical="center"/>
    </xf>
    <xf numFmtId="0" fontId="5" fillId="0" borderId="0" xfId="0" applyFont="1"/>
    <xf numFmtId="0" fontId="59" fillId="0" borderId="2" xfId="0" applyFont="1" applyBorder="1" applyAlignment="1">
      <alignment horizontal="left"/>
    </xf>
    <xf numFmtId="165" fontId="59" fillId="0" borderId="2" xfId="0" applyNumberFormat="1" applyFont="1" applyBorder="1" applyAlignment="1">
      <alignment horizontal="right"/>
    </xf>
    <xf numFmtId="0" fontId="5" fillId="0" borderId="0" xfId="0" applyFont="1" applyAlignment="1">
      <alignment horizontal="center"/>
    </xf>
    <xf numFmtId="0" fontId="43" fillId="4" borderId="2" xfId="0" applyFont="1" applyFill="1" applyBorder="1" applyAlignment="1">
      <alignment horizontal="left"/>
    </xf>
    <xf numFmtId="165" fontId="43" fillId="4" borderId="2" xfId="0" applyNumberFormat="1" applyFont="1" applyFill="1" applyBorder="1" applyAlignment="1">
      <alignment horizontal="right"/>
    </xf>
    <xf numFmtId="165" fontId="43" fillId="4" borderId="2" xfId="0" applyNumberFormat="1" applyFont="1" applyFill="1" applyBorder="1" applyAlignment="1">
      <alignment horizontal="right" vertical="top"/>
    </xf>
    <xf numFmtId="0" fontId="64" fillId="8" borderId="2" xfId="0" applyFont="1" applyFill="1" applyBorder="1" applyAlignment="1">
      <alignment horizontal="left"/>
    </xf>
    <xf numFmtId="0" fontId="59" fillId="8" borderId="2" xfId="0" applyFont="1" applyFill="1" applyBorder="1" applyAlignment="1">
      <alignment horizontal="right"/>
    </xf>
    <xf numFmtId="0" fontId="44" fillId="8" borderId="2" xfId="0" applyFont="1" applyFill="1" applyBorder="1" applyAlignment="1">
      <alignment horizontal="right"/>
    </xf>
    <xf numFmtId="0" fontId="8" fillId="0" borderId="2" xfId="0" applyFont="1" applyBorder="1" applyAlignment="1">
      <alignment horizontal="left"/>
    </xf>
    <xf numFmtId="166" fontId="44" fillId="0" borderId="2" xfId="0" applyNumberFormat="1" applyFont="1" applyBorder="1" applyAlignment="1">
      <alignment horizontal="right"/>
    </xf>
    <xf numFmtId="0" fontId="7" fillId="22" borderId="0" xfId="0" applyFont="1" applyFill="1" applyAlignment="1">
      <alignment horizontal="left"/>
    </xf>
    <xf numFmtId="0" fontId="44" fillId="22" borderId="0" xfId="0" applyFont="1" applyFill="1"/>
    <xf numFmtId="0" fontId="7" fillId="0" borderId="2" xfId="0" applyFont="1" applyBorder="1" applyAlignment="1">
      <alignment horizontal="left"/>
    </xf>
    <xf numFmtId="167" fontId="59" fillId="7" borderId="2" xfId="0" applyNumberFormat="1" applyFont="1" applyFill="1" applyBorder="1" applyAlignment="1">
      <alignment horizontal="right"/>
    </xf>
    <xf numFmtId="0" fontId="44" fillId="0" borderId="2" xfId="0" applyFont="1" applyBorder="1" applyAlignment="1">
      <alignment horizontal="left"/>
    </xf>
    <xf numFmtId="0" fontId="44" fillId="0" borderId="2" xfId="0" applyFont="1" applyBorder="1" applyAlignment="1">
      <alignment horizontal="right"/>
    </xf>
    <xf numFmtId="166" fontId="59" fillId="12" borderId="2" xfId="0" applyNumberFormat="1" applyFont="1" applyFill="1" applyBorder="1" applyAlignment="1">
      <alignment horizontal="right"/>
    </xf>
    <xf numFmtId="0" fontId="65" fillId="0" borderId="2" xfId="0" applyFont="1" applyBorder="1" applyAlignment="1">
      <alignment horizontal="left"/>
    </xf>
    <xf numFmtId="9" fontId="66" fillId="0" borderId="2" xfId="0" applyNumberFormat="1" applyFont="1" applyBorder="1" applyAlignment="1">
      <alignment horizontal="right"/>
    </xf>
    <xf numFmtId="168" fontId="8" fillId="0" borderId="2" xfId="0" applyNumberFormat="1" applyFont="1" applyBorder="1" applyAlignment="1">
      <alignment horizontal="left"/>
    </xf>
    <xf numFmtId="168" fontId="44" fillId="0" borderId="2" xfId="0" applyNumberFormat="1" applyFont="1" applyBorder="1" applyAlignment="1">
      <alignment horizontal="right"/>
    </xf>
    <xf numFmtId="165" fontId="59" fillId="8" borderId="2" xfId="0" applyNumberFormat="1" applyFont="1" applyFill="1" applyBorder="1" applyAlignment="1">
      <alignment horizontal="right"/>
    </xf>
    <xf numFmtId="169" fontId="8" fillId="0" borderId="2" xfId="0" applyNumberFormat="1" applyFont="1" applyBorder="1" applyAlignment="1">
      <alignment horizontal="left"/>
    </xf>
    <xf numFmtId="169" fontId="59" fillId="0" borderId="2" xfId="0" applyNumberFormat="1" applyFont="1" applyBorder="1" applyAlignment="1">
      <alignment horizontal="left"/>
    </xf>
    <xf numFmtId="166" fontId="44" fillId="12" borderId="2" xfId="0" applyNumberFormat="1" applyFont="1" applyFill="1" applyBorder="1" applyAlignment="1">
      <alignment horizontal="right"/>
    </xf>
    <xf numFmtId="4" fontId="44" fillId="0" borderId="2" xfId="0" applyNumberFormat="1" applyFont="1" applyBorder="1" applyAlignment="1">
      <alignment horizontal="right"/>
    </xf>
    <xf numFmtId="0" fontId="8" fillId="4" borderId="2" xfId="0" applyFont="1" applyFill="1" applyBorder="1" applyAlignment="1">
      <alignment horizontal="left" vertical="center"/>
    </xf>
    <xf numFmtId="4" fontId="44" fillId="12" borderId="2" xfId="0" applyNumberFormat="1" applyFont="1" applyFill="1" applyBorder="1" applyAlignment="1">
      <alignment horizontal="right"/>
    </xf>
    <xf numFmtId="0" fontId="7" fillId="4" borderId="2" xfId="0" applyFont="1" applyFill="1" applyBorder="1" applyAlignment="1">
      <alignment horizontal="left" vertical="center"/>
    </xf>
    <xf numFmtId="0" fontId="67" fillId="4" borderId="2" xfId="0" applyFont="1" applyFill="1" applyBorder="1" applyAlignment="1">
      <alignment horizontal="left" vertical="center"/>
    </xf>
    <xf numFmtId="0" fontId="43" fillId="11" borderId="2" xfId="0" applyFont="1" applyFill="1" applyBorder="1"/>
    <xf numFmtId="170" fontId="43" fillId="11" borderId="2" xfId="0" applyNumberFormat="1" applyFont="1" applyFill="1" applyBorder="1" applyAlignment="1">
      <alignment horizontal="center"/>
    </xf>
    <xf numFmtId="0" fontId="59" fillId="0" borderId="2" xfId="0" applyFont="1" applyBorder="1"/>
    <xf numFmtId="9" fontId="44" fillId="0" borderId="2" xfId="0" applyNumberFormat="1" applyFont="1" applyBorder="1"/>
    <xf numFmtId="164" fontId="44" fillId="0" borderId="2" xfId="0" applyNumberFormat="1" applyFont="1" applyBorder="1"/>
    <xf numFmtId="0" fontId="43" fillId="11" borderId="0" xfId="0" applyFont="1" applyFill="1"/>
    <xf numFmtId="170" fontId="43" fillId="11" borderId="0" xfId="0" applyNumberFormat="1" applyFont="1" applyFill="1" applyAlignment="1">
      <alignment horizontal="center"/>
    </xf>
    <xf numFmtId="9" fontId="44" fillId="0" borderId="0" xfId="0" applyNumberFormat="1" applyFont="1"/>
    <xf numFmtId="9" fontId="44" fillId="13" borderId="0" xfId="0" applyNumberFormat="1" applyFont="1" applyFill="1"/>
    <xf numFmtId="0" fontId="59" fillId="0" borderId="0" xfId="0" applyFont="1"/>
    <xf numFmtId="171" fontId="44" fillId="0" borderId="2" xfId="0" applyNumberFormat="1" applyFont="1" applyBorder="1"/>
    <xf numFmtId="4" fontId="44" fillId="0" borderId="2" xfId="0" applyNumberFormat="1" applyFont="1" applyBorder="1"/>
    <xf numFmtId="0" fontId="68" fillId="0" borderId="0" xfId="0" applyFont="1"/>
    <xf numFmtId="0" fontId="59" fillId="0" borderId="15" xfId="0" applyFont="1" applyBorder="1"/>
    <xf numFmtId="10" fontId="59" fillId="0" borderId="15" xfId="0" applyNumberFormat="1" applyFont="1" applyBorder="1"/>
    <xf numFmtId="0" fontId="43" fillId="11" borderId="25" xfId="0" applyFont="1" applyFill="1" applyBorder="1"/>
    <xf numFmtId="170" fontId="43" fillId="11" borderId="25" xfId="0" applyNumberFormat="1" applyFont="1" applyFill="1" applyBorder="1" applyAlignment="1">
      <alignment horizontal="center"/>
    </xf>
    <xf numFmtId="165" fontId="43" fillId="11" borderId="0" xfId="0" applyNumberFormat="1" applyFont="1" applyFill="1"/>
    <xf numFmtId="165" fontId="43" fillId="11" borderId="0" xfId="0" applyNumberFormat="1" applyFont="1" applyFill="1" applyAlignment="1">
      <alignment horizontal="center"/>
    </xf>
    <xf numFmtId="0" fontId="43" fillId="11" borderId="0" xfId="0" applyFont="1" applyFill="1" applyAlignment="1">
      <alignment horizontal="center"/>
    </xf>
    <xf numFmtId="0" fontId="44" fillId="0" borderId="14" xfId="0" applyFont="1" applyBorder="1"/>
    <xf numFmtId="10" fontId="44" fillId="0" borderId="14" xfId="0" applyNumberFormat="1" applyFont="1" applyBorder="1"/>
    <xf numFmtId="164" fontId="44" fillId="0" borderId="14" xfId="0" applyNumberFormat="1" applyFont="1" applyBorder="1"/>
    <xf numFmtId="0" fontId="44" fillId="13" borderId="0" xfId="0" applyFont="1" applyFill="1"/>
    <xf numFmtId="164" fontId="44" fillId="0" borderId="0" xfId="0" applyNumberFormat="1" applyFont="1"/>
    <xf numFmtId="172" fontId="44" fillId="0" borderId="14" xfId="0" applyNumberFormat="1" applyFont="1" applyBorder="1"/>
    <xf numFmtId="173" fontId="44" fillId="0" borderId="14" xfId="0" applyNumberFormat="1" applyFont="1" applyBorder="1"/>
    <xf numFmtId="0" fontId="66" fillId="0" borderId="0" xfId="0" applyFont="1"/>
    <xf numFmtId="1" fontId="44" fillId="0" borderId="14" xfId="0" applyNumberFormat="1" applyFont="1" applyBorder="1"/>
    <xf numFmtId="0" fontId="0" fillId="0" borderId="0" xfId="0" applyAlignment="1">
      <alignment vertical="center"/>
    </xf>
    <xf numFmtId="0" fontId="71" fillId="0" borderId="0" xfId="0" applyFont="1" applyAlignment="1">
      <alignment vertical="center"/>
    </xf>
    <xf numFmtId="0" fontId="15" fillId="0" borderId="0" xfId="0" applyFont="1"/>
    <xf numFmtId="0" fontId="71" fillId="2" borderId="0" xfId="0" applyFont="1" applyFill="1" applyAlignment="1">
      <alignment horizontal="center" vertical="center"/>
    </xf>
    <xf numFmtId="0" fontId="71" fillId="2" borderId="19" xfId="0" applyFont="1" applyFill="1" applyBorder="1" applyAlignment="1">
      <alignment horizontal="center" vertical="center"/>
    </xf>
    <xf numFmtId="0" fontId="71" fillId="2" borderId="31" xfId="0" applyFont="1" applyFill="1" applyBorder="1" applyAlignment="1">
      <alignment horizontal="center" vertical="center"/>
    </xf>
    <xf numFmtId="0" fontId="28" fillId="24" borderId="2" xfId="0" applyFont="1" applyFill="1" applyBorder="1" applyAlignment="1">
      <alignment horizontal="center" vertical="center"/>
    </xf>
    <xf numFmtId="0" fontId="29" fillId="24" borderId="2" xfId="0" applyFont="1" applyFill="1" applyBorder="1" applyAlignment="1">
      <alignment horizontal="center" vertical="center"/>
    </xf>
    <xf numFmtId="0" fontId="32" fillId="0" borderId="0" xfId="0" applyFont="1"/>
    <xf numFmtId="0" fontId="33" fillId="10" borderId="0" xfId="0" applyFont="1" applyFill="1" applyAlignment="1">
      <alignment horizontal="center"/>
    </xf>
    <xf numFmtId="0" fontId="71" fillId="24" borderId="0" xfId="0" applyFont="1" applyFill="1" applyAlignment="1">
      <alignment horizontal="center" vertical="center"/>
    </xf>
    <xf numFmtId="0" fontId="49" fillId="4" borderId="1" xfId="0" applyFont="1" applyFill="1" applyBorder="1" applyAlignment="1">
      <alignment horizontal="left" vertical="top" wrapText="1"/>
    </xf>
    <xf numFmtId="0" fontId="50" fillId="0" borderId="0" xfId="0" applyFont="1" applyAlignment="1">
      <alignment horizontal="left" vertical="center"/>
    </xf>
    <xf numFmtId="0" fontId="51" fillId="2" borderId="0" xfId="0" applyFont="1" applyFill="1" applyAlignment="1">
      <alignment horizontal="left" vertical="center"/>
    </xf>
    <xf numFmtId="0" fontId="45" fillId="2" borderId="0" xfId="0" applyFont="1" applyFill="1" applyAlignment="1">
      <alignment horizontal="center" vertical="center"/>
    </xf>
    <xf numFmtId="0" fontId="46" fillId="3" borderId="0" xfId="0" applyFont="1" applyFill="1" applyAlignment="1">
      <alignment horizontal="center" vertical="center"/>
    </xf>
    <xf numFmtId="0" fontId="47" fillId="2" borderId="0" xfId="0" applyFont="1" applyFill="1" applyAlignment="1">
      <alignment horizontal="left" vertical="center"/>
    </xf>
    <xf numFmtId="0" fontId="53" fillId="4" borderId="3" xfId="0" applyFont="1" applyFill="1" applyBorder="1" applyAlignment="1">
      <alignment horizontal="center" vertical="center" wrapText="1"/>
    </xf>
    <xf numFmtId="0" fontId="54" fillId="5" borderId="4" xfId="0" applyFont="1" applyFill="1" applyBorder="1" applyAlignment="1">
      <alignment horizontal="center" vertical="center" wrapText="1"/>
    </xf>
    <xf numFmtId="0" fontId="54" fillId="5" borderId="5" xfId="0" applyFont="1" applyFill="1" applyBorder="1" applyAlignment="1">
      <alignment horizontal="center" vertical="center" wrapText="1"/>
    </xf>
    <xf numFmtId="0" fontId="71" fillId="17" borderId="21" xfId="0" applyFont="1" applyFill="1" applyBorder="1" applyAlignment="1">
      <alignment horizontal="center" vertical="center" wrapText="1"/>
    </xf>
    <xf numFmtId="0" fontId="71" fillId="17" borderId="0" xfId="0" applyFont="1" applyFill="1" applyAlignment="1">
      <alignment horizontal="center" vertical="center" wrapText="1"/>
    </xf>
    <xf numFmtId="0" fontId="54" fillId="5" borderId="6" xfId="0" applyFont="1" applyFill="1" applyBorder="1" applyAlignment="1">
      <alignment horizontal="center" vertical="center" wrapText="1"/>
    </xf>
    <xf numFmtId="0" fontId="54" fillId="5" borderId="7" xfId="0" applyFont="1" applyFill="1" applyBorder="1" applyAlignment="1">
      <alignment horizontal="center" vertical="center" wrapText="1"/>
    </xf>
    <xf numFmtId="0" fontId="57" fillId="19" borderId="32" xfId="0" applyFont="1" applyFill="1" applyBorder="1" applyAlignment="1">
      <alignment horizontal="center" vertical="center" wrapText="1"/>
    </xf>
    <xf numFmtId="0" fontId="57" fillId="19" borderId="33" xfId="0" applyFont="1" applyFill="1" applyBorder="1" applyAlignment="1">
      <alignment horizontal="center" vertical="center" wrapText="1"/>
    </xf>
    <xf numFmtId="0" fontId="57" fillId="19" borderId="34" xfId="0" applyFont="1" applyFill="1" applyBorder="1" applyAlignment="1">
      <alignment horizontal="center" vertical="center" wrapText="1"/>
    </xf>
    <xf numFmtId="0" fontId="53" fillId="4" borderId="0" xfId="0" applyFont="1" applyFill="1" applyAlignment="1">
      <alignment vertical="center" wrapText="1"/>
    </xf>
    <xf numFmtId="0" fontId="55" fillId="4" borderId="8" xfId="0" applyFont="1" applyFill="1" applyBorder="1" applyAlignment="1">
      <alignment horizontal="center" vertical="center" wrapText="1"/>
    </xf>
    <xf numFmtId="0" fontId="55" fillId="4" borderId="8" xfId="0" applyFont="1" applyFill="1" applyBorder="1" applyAlignment="1">
      <alignment horizontal="left" vertical="center" wrapText="1"/>
    </xf>
    <xf numFmtId="0" fontId="44" fillId="4" borderId="0" xfId="0" applyFont="1" applyFill="1" applyAlignment="1">
      <alignment horizontal="center" vertical="center" wrapText="1"/>
    </xf>
    <xf numFmtId="0" fontId="55" fillId="4" borderId="0" xfId="0" applyFont="1" applyFill="1" applyAlignment="1">
      <alignment horizontal="center" vertical="center" wrapText="1"/>
    </xf>
    <xf numFmtId="0" fontId="54" fillId="5" borderId="10" xfId="0" applyFont="1" applyFill="1" applyBorder="1" applyAlignment="1">
      <alignment horizontal="center" vertical="center" wrapText="1"/>
    </xf>
    <xf numFmtId="0" fontId="54" fillId="5" borderId="11" xfId="0" applyFont="1" applyFill="1" applyBorder="1" applyAlignment="1">
      <alignment horizontal="center" vertical="center" wrapText="1"/>
    </xf>
    <xf numFmtId="0" fontId="54" fillId="5" borderId="12" xfId="0" applyFont="1" applyFill="1" applyBorder="1" applyAlignment="1">
      <alignment horizontal="center" vertical="center" wrapText="1"/>
    </xf>
    <xf numFmtId="0" fontId="9" fillId="18" borderId="0" xfId="0" applyFont="1" applyFill="1" applyAlignment="1">
      <alignment horizontal="left" vertical="center" wrapText="1"/>
    </xf>
    <xf numFmtId="0" fontId="1" fillId="7" borderId="0" xfId="0" applyFont="1" applyFill="1" applyAlignment="1">
      <alignment horizontal="left" vertical="center" wrapText="1"/>
    </xf>
    <xf numFmtId="0" fontId="41" fillId="17" borderId="0" xfId="0" applyFont="1" applyFill="1" applyAlignment="1">
      <alignment horizontal="center" vertical="center" wrapText="1"/>
    </xf>
    <xf numFmtId="0" fontId="45" fillId="21" borderId="2" xfId="0" applyFont="1" applyFill="1" applyBorder="1" applyAlignment="1">
      <alignment horizontal="center" vertical="center"/>
    </xf>
    <xf numFmtId="0" fontId="58" fillId="8" borderId="2" xfId="0" applyFont="1" applyFill="1" applyBorder="1" applyAlignment="1">
      <alignment horizontal="left" vertical="center"/>
    </xf>
    <xf numFmtId="0" fontId="45" fillId="20" borderId="2" xfId="0" applyFont="1" applyFill="1" applyBorder="1" applyAlignment="1">
      <alignment horizontal="center" vertical="center"/>
    </xf>
    <xf numFmtId="0" fontId="61" fillId="10" borderId="2" xfId="0" applyFont="1" applyFill="1" applyBorder="1" applyAlignment="1">
      <alignment horizontal="left" vertical="center"/>
    </xf>
    <xf numFmtId="0" fontId="9" fillId="20" borderId="0" xfId="0" applyFont="1" applyFill="1" applyAlignment="1">
      <alignment horizontal="center" vertical="center"/>
    </xf>
    <xf numFmtId="0" fontId="45" fillId="20" borderId="0" xfId="0" applyFont="1" applyFill="1" applyAlignment="1">
      <alignment horizontal="center" vertical="center"/>
    </xf>
    <xf numFmtId="0" fontId="63" fillId="11" borderId="0" xfId="0" applyFont="1" applyFill="1" applyAlignment="1">
      <alignment horizontal="center" vertical="center"/>
    </xf>
    <xf numFmtId="167" fontId="44" fillId="22" borderId="16" xfId="0" applyNumberFormat="1" applyFont="1" applyFill="1" applyBorder="1" applyAlignment="1">
      <alignment horizontal="center"/>
    </xf>
    <xf numFmtId="0" fontId="57" fillId="11" borderId="32" xfId="0" applyFont="1" applyFill="1" applyBorder="1" applyAlignment="1">
      <alignment horizontal="center"/>
    </xf>
    <xf numFmtId="0" fontId="57" fillId="11" borderId="33" xfId="0" applyFont="1" applyFill="1" applyBorder="1" applyAlignment="1">
      <alignment horizontal="center"/>
    </xf>
    <xf numFmtId="0" fontId="57" fillId="11" borderId="34" xfId="0" applyFont="1" applyFill="1" applyBorder="1" applyAlignment="1">
      <alignment horizontal="center"/>
    </xf>
    <xf numFmtId="0" fontId="59" fillId="0" borderId="0" xfId="0" applyFont="1" applyAlignment="1">
      <alignment horizontal="center"/>
    </xf>
    <xf numFmtId="0" fontId="69" fillId="0" borderId="0" xfId="0" applyFont="1" applyAlignment="1">
      <alignment wrapText="1"/>
    </xf>
    <xf numFmtId="0" fontId="57" fillId="11" borderId="17" xfId="0" applyFont="1" applyFill="1" applyBorder="1" applyAlignment="1">
      <alignment horizontal="center" vertical="center"/>
    </xf>
    <xf numFmtId="0" fontId="13" fillId="11" borderId="0" xfId="0" applyFont="1" applyFill="1" applyAlignment="1">
      <alignment horizontal="center"/>
    </xf>
    <xf numFmtId="0" fontId="15" fillId="0" borderId="0" xfId="0" applyFont="1" applyAlignment="1">
      <alignment wrapText="1"/>
    </xf>
    <xf numFmtId="0" fontId="70" fillId="17" borderId="17" xfId="0" applyFont="1" applyFill="1" applyBorder="1" applyAlignment="1">
      <alignment horizontal="center"/>
    </xf>
    <xf numFmtId="0" fontId="14" fillId="23" borderId="0" xfId="0" applyFont="1" applyFill="1" applyAlignment="1">
      <alignment horizontal="center" vertical="center"/>
    </xf>
  </cellXfs>
  <cellStyles count="2">
    <cellStyle name="Normal" xfId="0" builtinId="0"/>
    <cellStyle name="Percent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99"/>
      <rgbColor rgb="FF808000"/>
      <rgbColor rgb="FF800080"/>
      <rgbColor rgb="FF2E75B6"/>
      <rgbColor rgb="FFBFBFBF"/>
      <rgbColor rgb="FF808080"/>
      <rgbColor rgb="FF8FAADC"/>
      <rgbColor rgb="FF2F5597"/>
      <rgbColor rgb="FFF2F2F2"/>
      <rgbColor rgb="FFDEEBF7"/>
      <rgbColor rgb="FF203864"/>
      <rgbColor rgb="FFFF8080"/>
      <rgbColor rgb="FF0070C0"/>
      <rgbColor rgb="FFB8CCE4"/>
      <rgbColor rgb="FF1B2A47"/>
      <rgbColor rgb="FFFF00FF"/>
      <rgbColor rgb="FFFFFF00"/>
      <rgbColor rgb="FF00FFFF"/>
      <rgbColor rgb="FF800080"/>
      <rgbColor rgb="FF800000"/>
      <rgbColor rgb="FF1F4E79"/>
      <rgbColor rgb="FF0000FF"/>
      <rgbColor rgb="FF00CCFF"/>
      <rgbColor rgb="FFEBF3FB"/>
      <rgbColor rgb="FFDCE6F1"/>
      <rgbColor rgb="FFF0F4FA"/>
      <rgbColor rgb="FFD6E4F0"/>
      <rgbColor rgb="FFDAE3F3"/>
      <rgbColor rgb="FFDDDDDD"/>
      <rgbColor rgb="FFD9D9D9"/>
      <rgbColor rgb="FF4472C4"/>
      <rgbColor rgb="FF33CCCC"/>
      <rgbColor rgb="FF99CC00"/>
      <rgbColor rgb="FFFFC000"/>
      <rgbColor rgb="FFBF9000"/>
      <rgbColor rgb="FFFF6600"/>
      <rgbColor rgb="FF595959"/>
      <rgbColor rgb="FF969696"/>
      <rgbColor rgb="FF002060"/>
      <rgbColor rgb="FF00B050"/>
      <rgbColor rgb="FF0D1B2A"/>
      <rgbColor rgb="FF22222F"/>
      <rgbColor rgb="FF993300"/>
      <rgbColor rgb="FF1F3864"/>
      <rgbColor rgb="FF24316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gif"/></Relationships>
</file>

<file path=xl/drawings/drawing1.xml><?xml version="1.0" encoding="utf-8"?>
<xdr:wsDr xmlns:xdr="http://schemas.openxmlformats.org/drawingml/2006/spreadsheetDrawing" xmlns:a="http://schemas.openxmlformats.org/drawingml/2006/main">
  <xdr:twoCellAnchor editAs="oneCell">
    <xdr:from>
      <xdr:col>2</xdr:col>
      <xdr:colOff>196920</xdr:colOff>
      <xdr:row>3</xdr:row>
      <xdr:rowOff>38160</xdr:rowOff>
    </xdr:from>
    <xdr:to>
      <xdr:col>4</xdr:col>
      <xdr:colOff>1160640</xdr:colOff>
      <xdr:row>12</xdr:row>
      <xdr:rowOff>121680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382120" y="685800"/>
          <a:ext cx="3219120" cy="13791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186265</xdr:colOff>
      <xdr:row>1</xdr:row>
      <xdr:rowOff>93134</xdr:rowOff>
    </xdr:from>
    <xdr:to>
      <xdr:col>6</xdr:col>
      <xdr:colOff>649987</xdr:colOff>
      <xdr:row>16</xdr:row>
      <xdr:rowOff>36596</xdr:rowOff>
    </xdr:to>
    <xdr:pic>
      <xdr:nvPicPr>
        <xdr:cNvPr id="2" name="Picture 1">
          <a:extLst>
            <a:ext uri="{FF2B5EF4-FFF2-40B4-BE49-F238E27FC236}">
              <a16:creationId xmlns:a16="http://schemas.microsoft.com/office/drawing/2014/main" id="{7703CFF2-0CC6-39F4-40F7-A7D98364C8AA}"/>
            </a:ext>
          </a:extLst>
        </xdr:cNvPr>
        <xdr:cNvPicPr>
          <a:picLocks noChangeAspect="1"/>
        </xdr:cNvPicPr>
      </xdr:nvPicPr>
      <xdr:blipFill>
        <a:blip xmlns:r="http://schemas.openxmlformats.org/officeDocument/2006/relationships" r:embed="rId1"/>
        <a:stretch>
          <a:fillRect/>
        </a:stretch>
      </xdr:blipFill>
      <xdr:spPr>
        <a:xfrm>
          <a:off x="465665" y="347134"/>
          <a:ext cx="6695189" cy="26447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66960</xdr:colOff>
      <xdr:row>3</xdr:row>
      <xdr:rowOff>66960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tretch/>
      </xdr:blipFill>
      <xdr:spPr>
        <a:xfrm>
          <a:off x="211320" y="542880"/>
          <a:ext cx="66960" cy="66960"/>
        </a:xfrm>
        <a:prstGeom prst="rect">
          <a:avLst/>
        </a:prstGeom>
        <a:ln w="0">
          <a:noFill/>
        </a:ln>
      </xdr:spPr>
    </xdr:pic>
    <xdr:clientData/>
  </xdr:twoCellAnchor>
  <xdr:twoCellAnchor editAs="oneCell">
    <xdr:from>
      <xdr:col>1</xdr:col>
      <xdr:colOff>0</xdr:colOff>
      <xdr:row>3</xdr:row>
      <xdr:rowOff>0</xdr:rowOff>
    </xdr:from>
    <xdr:to>
      <xdr:col>1</xdr:col>
      <xdr:colOff>66960</xdr:colOff>
      <xdr:row>3</xdr:row>
      <xdr:rowOff>66960</xdr:rowOff>
    </xdr:to>
    <xdr:pic>
      <xdr:nvPicPr>
        <xdr:cNvPr id="3" name="Picture 2">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a:stretch/>
      </xdr:blipFill>
      <xdr:spPr>
        <a:xfrm>
          <a:off x="211320" y="542880"/>
          <a:ext cx="66960" cy="669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7"/>
  </sheetPr>
  <dimension ref="B1:F35"/>
  <sheetViews>
    <sheetView showGridLines="0" tabSelected="1" zoomScale="85" zoomScaleNormal="85" workbookViewId="0">
      <selection activeCell="H12" sqref="H12"/>
    </sheetView>
  </sheetViews>
  <sheetFormatPr defaultColWidth="8.6328125" defaultRowHeight="14" x14ac:dyDescent="0.3"/>
  <cols>
    <col min="1" max="1" width="3" style="146" customWidth="1"/>
    <col min="2" max="2" width="28" style="145" customWidth="1"/>
    <col min="3" max="3" width="30" style="146" customWidth="1"/>
    <col min="4" max="4" width="2" style="146" customWidth="1"/>
    <col min="5" max="5" width="25.1796875" style="146" customWidth="1"/>
    <col min="6" max="6" width="30" style="146" customWidth="1"/>
    <col min="7" max="7" width="3" style="146" customWidth="1"/>
    <col min="8" max="16384" width="8.6328125" style="146"/>
  </cols>
  <sheetData>
    <row r="1" spans="2:6" ht="7.5" customHeight="1" x14ac:dyDescent="0.3"/>
    <row r="2" spans="2:6" ht="30" customHeight="1" x14ac:dyDescent="0.3">
      <c r="B2" s="278" t="s">
        <v>0</v>
      </c>
      <c r="C2" s="278"/>
      <c r="D2" s="278"/>
      <c r="E2" s="278"/>
      <c r="F2" s="278"/>
    </row>
    <row r="3" spans="2:6" ht="13.5" customHeight="1" x14ac:dyDescent="0.3">
      <c r="B3" s="279" t="s">
        <v>1</v>
      </c>
      <c r="C3" s="279"/>
      <c r="D3" s="279"/>
      <c r="E3" s="279"/>
      <c r="F3" s="279"/>
    </row>
    <row r="4" spans="2:6" ht="6" customHeight="1" x14ac:dyDescent="0.3"/>
    <row r="5" spans="2:6" ht="12" customHeight="1" x14ac:dyDescent="0.3"/>
    <row r="6" spans="2:6" ht="12" customHeight="1" x14ac:dyDescent="0.3"/>
    <row r="7" spans="2:6" ht="12" customHeight="1" x14ac:dyDescent="0.3"/>
    <row r="8" spans="2:6" ht="12" customHeight="1" x14ac:dyDescent="0.3"/>
    <row r="9" spans="2:6" ht="12" customHeight="1" x14ac:dyDescent="0.3"/>
    <row r="10" spans="2:6" ht="12" customHeight="1" x14ac:dyDescent="0.3"/>
    <row r="11" spans="2:6" ht="12" customHeight="1" x14ac:dyDescent="0.3"/>
    <row r="12" spans="2:6" ht="12" customHeight="1" x14ac:dyDescent="0.3"/>
    <row r="13" spans="2:6" ht="12" customHeight="1" x14ac:dyDescent="0.3"/>
    <row r="14" spans="2:6" ht="12" customHeight="1" x14ac:dyDescent="0.3"/>
    <row r="15" spans="2:6" ht="18" customHeight="1" x14ac:dyDescent="0.3">
      <c r="B15" s="280" t="s">
        <v>2</v>
      </c>
      <c r="C15" s="280"/>
      <c r="D15" s="280"/>
      <c r="E15" s="280"/>
      <c r="F15" s="280"/>
    </row>
    <row r="16" spans="2:6" ht="15.75" customHeight="1" x14ac:dyDescent="0.3">
      <c r="B16" s="147" t="s">
        <v>3</v>
      </c>
      <c r="C16" s="148" t="s">
        <v>4</v>
      </c>
      <c r="E16" s="147" t="s">
        <v>5</v>
      </c>
      <c r="F16" s="148" t="s">
        <v>6</v>
      </c>
    </row>
    <row r="17" spans="2:6" ht="22.5" customHeight="1" x14ac:dyDescent="0.3">
      <c r="B17" s="147" t="s">
        <v>7</v>
      </c>
      <c r="C17" s="148" t="s">
        <v>8</v>
      </c>
      <c r="E17" s="147" t="s">
        <v>9</v>
      </c>
      <c r="F17" s="148" t="s">
        <v>10</v>
      </c>
    </row>
    <row r="18" spans="2:6" ht="24" customHeight="1" x14ac:dyDescent="0.3">
      <c r="B18" s="147" t="s">
        <v>11</v>
      </c>
      <c r="C18" s="148" t="s">
        <v>12</v>
      </c>
      <c r="E18" s="147" t="s">
        <v>13</v>
      </c>
      <c r="F18" s="148" t="s">
        <v>14</v>
      </c>
    </row>
    <row r="19" spans="2:6" ht="24.75" customHeight="1" x14ac:dyDescent="0.3">
      <c r="B19" s="147" t="s">
        <v>15</v>
      </c>
      <c r="C19" s="148" t="s">
        <v>16</v>
      </c>
      <c r="E19" s="147" t="s">
        <v>17</v>
      </c>
      <c r="F19" s="148" t="s">
        <v>18</v>
      </c>
    </row>
    <row r="20" spans="2:6" ht="12" customHeight="1" x14ac:dyDescent="0.3">
      <c r="B20" s="276"/>
      <c r="C20" s="276"/>
      <c r="D20" s="276"/>
      <c r="E20" s="276"/>
      <c r="F20" s="276"/>
    </row>
    <row r="21" spans="2:6" ht="6" customHeight="1" x14ac:dyDescent="0.3"/>
    <row r="22" spans="2:6" ht="18" customHeight="1" x14ac:dyDescent="0.3">
      <c r="B22" s="280" t="s">
        <v>19</v>
      </c>
      <c r="C22" s="280"/>
      <c r="D22" s="280"/>
      <c r="E22" s="280"/>
      <c r="F22" s="280"/>
    </row>
    <row r="23" spans="2:6" ht="60" customHeight="1" x14ac:dyDescent="0.3">
      <c r="B23" s="275" t="s">
        <v>20</v>
      </c>
      <c r="C23" s="275"/>
      <c r="D23" s="275"/>
      <c r="E23" s="275"/>
      <c r="F23" s="275"/>
    </row>
    <row r="24" spans="2:6" ht="12" customHeight="1" x14ac:dyDescent="0.3">
      <c r="B24" s="276"/>
      <c r="C24" s="276"/>
      <c r="D24" s="276"/>
      <c r="E24" s="276"/>
      <c r="F24" s="276"/>
    </row>
    <row r="25" spans="2:6" ht="6" customHeight="1" x14ac:dyDescent="0.3"/>
    <row r="26" spans="2:6" ht="18" customHeight="1" x14ac:dyDescent="0.3">
      <c r="B26" s="277" t="s">
        <v>21</v>
      </c>
      <c r="C26" s="277"/>
      <c r="D26" s="277"/>
      <c r="E26" s="277"/>
      <c r="F26" s="277"/>
    </row>
    <row r="27" spans="2:6" ht="15" customHeight="1" x14ac:dyDescent="0.3">
      <c r="B27" s="149" t="s">
        <v>22</v>
      </c>
      <c r="C27" s="150" t="s">
        <v>23</v>
      </c>
      <c r="D27" s="151"/>
      <c r="E27" s="150" t="s">
        <v>24</v>
      </c>
      <c r="F27" s="150" t="s">
        <v>25</v>
      </c>
    </row>
    <row r="28" spans="2:6" ht="27.75" customHeight="1" x14ac:dyDescent="0.3">
      <c r="B28" s="148" t="s">
        <v>26</v>
      </c>
      <c r="C28" s="148" t="s">
        <v>27</v>
      </c>
      <c r="E28" s="148" t="s">
        <v>28</v>
      </c>
      <c r="F28" s="148" t="s">
        <v>29</v>
      </c>
    </row>
    <row r="29" spans="2:6" ht="27.75" customHeight="1" x14ac:dyDescent="0.3">
      <c r="B29" s="148" t="s">
        <v>30</v>
      </c>
      <c r="C29" s="148" t="s">
        <v>31</v>
      </c>
      <c r="E29" s="148" t="s">
        <v>32</v>
      </c>
      <c r="F29" s="148" t="s">
        <v>33</v>
      </c>
    </row>
    <row r="30" spans="2:6" ht="27.75" customHeight="1" x14ac:dyDescent="0.3">
      <c r="B30" s="148" t="s">
        <v>34</v>
      </c>
      <c r="C30" s="148" t="s">
        <v>35</v>
      </c>
      <c r="E30" s="148" t="s">
        <v>36</v>
      </c>
      <c r="F30" s="148" t="s">
        <v>37</v>
      </c>
    </row>
    <row r="31" spans="2:6" ht="27.75" customHeight="1" x14ac:dyDescent="0.3">
      <c r="B31" s="148" t="s">
        <v>38</v>
      </c>
      <c r="C31" s="148" t="s">
        <v>39</v>
      </c>
      <c r="E31" s="148" t="s">
        <v>36</v>
      </c>
      <c r="F31" s="148" t="s">
        <v>37</v>
      </c>
    </row>
    <row r="32" spans="2:6" ht="27.75" customHeight="1" x14ac:dyDescent="0.3">
      <c r="B32" s="148" t="s">
        <v>40</v>
      </c>
      <c r="C32" s="148" t="s">
        <v>41</v>
      </c>
      <c r="E32" s="148" t="s">
        <v>42</v>
      </c>
      <c r="F32" s="148" t="s">
        <v>37</v>
      </c>
    </row>
    <row r="33" spans="2:6" ht="12" customHeight="1" x14ac:dyDescent="0.3">
      <c r="B33" s="276"/>
      <c r="C33" s="276"/>
      <c r="D33" s="276"/>
      <c r="E33" s="276"/>
      <c r="F33" s="276"/>
    </row>
    <row r="34" spans="2:6" ht="6" customHeight="1" x14ac:dyDescent="0.3"/>
    <row r="35" spans="2:6" ht="7.5" customHeight="1" x14ac:dyDescent="0.3"/>
  </sheetData>
  <mergeCells count="9">
    <mergeCell ref="B23:F23"/>
    <mergeCell ref="B24:F24"/>
    <mergeCell ref="B26:F26"/>
    <mergeCell ref="B33:F33"/>
    <mergeCell ref="B2:F2"/>
    <mergeCell ref="B3:F3"/>
    <mergeCell ref="B15:F15"/>
    <mergeCell ref="B20:F20"/>
    <mergeCell ref="B22:F22"/>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109"/>
  <sheetViews>
    <sheetView showGridLines="0" topLeftCell="B1" zoomScaleNormal="94" workbookViewId="0">
      <selection activeCell="F4" sqref="F4"/>
    </sheetView>
  </sheetViews>
  <sheetFormatPr defaultColWidth="8.6328125" defaultRowHeight="14.5" x14ac:dyDescent="0.35"/>
  <cols>
    <col min="1" max="1" width="2.6328125" customWidth="1"/>
  </cols>
  <sheetData>
    <row r="1" spans="2:15" ht="22.5" customHeight="1" x14ac:dyDescent="0.35">
      <c r="B1" s="284" t="s">
        <v>43</v>
      </c>
      <c r="C1" s="285"/>
      <c r="D1" s="285"/>
      <c r="E1" s="285"/>
      <c r="F1" s="285"/>
      <c r="G1" s="285"/>
      <c r="H1" s="285"/>
      <c r="I1" s="285"/>
      <c r="J1" s="285"/>
      <c r="K1" s="285"/>
      <c r="L1" s="285"/>
      <c r="M1" s="285"/>
      <c r="N1" s="285"/>
      <c r="O1" s="285"/>
    </row>
    <row r="2" spans="2:15" ht="15" customHeight="1" x14ac:dyDescent="0.35"/>
    <row r="3" spans="2:15" ht="15" customHeight="1" x14ac:dyDescent="0.35">
      <c r="B3" s="281" t="s">
        <v>44</v>
      </c>
      <c r="C3" s="281"/>
      <c r="D3" s="281"/>
      <c r="E3" s="281"/>
      <c r="F3" s="146"/>
      <c r="G3" s="146"/>
      <c r="H3" s="146"/>
      <c r="I3" s="146"/>
      <c r="J3" s="146"/>
      <c r="K3" s="146"/>
      <c r="L3" s="146"/>
      <c r="M3" s="146"/>
      <c r="N3" s="146"/>
      <c r="O3" s="146"/>
    </row>
    <row r="4" spans="2:15" ht="27.75" customHeight="1" x14ac:dyDescent="0.35">
      <c r="B4" s="152" t="s">
        <v>45</v>
      </c>
      <c r="C4" s="152" t="s">
        <v>46</v>
      </c>
      <c r="D4" s="153"/>
      <c r="E4" s="153"/>
      <c r="F4" s="146"/>
      <c r="G4" s="146"/>
      <c r="H4" s="146"/>
      <c r="I4" s="146"/>
      <c r="J4" s="146"/>
      <c r="K4" s="146"/>
      <c r="L4" s="146"/>
      <c r="M4" s="146"/>
      <c r="N4" s="146"/>
      <c r="O4" s="146"/>
    </row>
    <row r="5" spans="2:15" ht="36" customHeight="1" x14ac:dyDescent="0.35">
      <c r="B5" s="281" t="s">
        <v>47</v>
      </c>
      <c r="C5" s="281"/>
      <c r="D5" s="153"/>
      <c r="E5" s="153"/>
      <c r="F5" s="146"/>
      <c r="G5" s="146"/>
      <c r="H5" s="146"/>
      <c r="I5" s="146"/>
      <c r="J5" s="146"/>
      <c r="K5" s="146"/>
      <c r="L5" s="146"/>
      <c r="M5" s="146"/>
      <c r="N5" s="146"/>
      <c r="O5" s="146"/>
    </row>
    <row r="6" spans="2:15" ht="105" customHeight="1" x14ac:dyDescent="0.35">
      <c r="B6" s="282" t="s">
        <v>48</v>
      </c>
      <c r="C6" s="282" t="s">
        <v>49</v>
      </c>
      <c r="D6" s="283" t="s">
        <v>50</v>
      </c>
      <c r="E6" s="283" t="s">
        <v>51</v>
      </c>
      <c r="F6" s="283" t="s">
        <v>52</v>
      </c>
      <c r="G6" s="283" t="s">
        <v>53</v>
      </c>
      <c r="H6" s="286" t="s">
        <v>54</v>
      </c>
      <c r="I6" s="286"/>
      <c r="J6" s="283" t="s">
        <v>55</v>
      </c>
      <c r="K6" s="283" t="s">
        <v>56</v>
      </c>
      <c r="L6" s="283" t="s">
        <v>57</v>
      </c>
      <c r="M6" s="286" t="s">
        <v>58</v>
      </c>
      <c r="N6" s="286"/>
      <c r="O6" s="283" t="s">
        <v>59</v>
      </c>
    </row>
    <row r="7" spans="2:15" ht="14.25" customHeight="1" x14ac:dyDescent="0.35">
      <c r="B7" s="282"/>
      <c r="C7" s="282"/>
      <c r="D7" s="282"/>
      <c r="E7" s="282"/>
      <c r="F7" s="282"/>
      <c r="G7" s="282"/>
      <c r="H7" s="287" t="s">
        <v>60</v>
      </c>
      <c r="I7" s="287" t="s">
        <v>61</v>
      </c>
      <c r="J7" s="283"/>
      <c r="K7" s="283"/>
      <c r="L7" s="283"/>
      <c r="M7" s="287" t="s">
        <v>62</v>
      </c>
      <c r="N7" s="287" t="s">
        <v>63</v>
      </c>
      <c r="O7" s="283"/>
    </row>
    <row r="8" spans="2:15" ht="15" customHeight="1" x14ac:dyDescent="0.35">
      <c r="B8" s="282"/>
      <c r="C8" s="282"/>
      <c r="D8" s="282"/>
      <c r="E8" s="282"/>
      <c r="F8" s="282"/>
      <c r="G8" s="282"/>
      <c r="H8" s="282"/>
      <c r="I8" s="282"/>
      <c r="J8" s="282"/>
      <c r="K8" s="282"/>
      <c r="L8" s="282"/>
      <c r="M8" s="282"/>
      <c r="N8" s="282"/>
      <c r="O8" s="282"/>
    </row>
    <row r="9" spans="2:15" ht="15" customHeight="1" x14ac:dyDescent="0.35">
      <c r="B9" s="155" t="s">
        <v>64</v>
      </c>
      <c r="C9" s="155"/>
      <c r="D9" s="156" t="s">
        <v>65</v>
      </c>
      <c r="E9" s="156" t="s">
        <v>65</v>
      </c>
      <c r="F9" s="156" t="s">
        <v>65</v>
      </c>
      <c r="G9" s="156">
        <v>0</v>
      </c>
      <c r="H9" s="156" t="s">
        <v>65</v>
      </c>
      <c r="I9" s="156">
        <v>0</v>
      </c>
      <c r="J9" s="156" t="s">
        <v>65</v>
      </c>
      <c r="K9" s="156" t="s">
        <v>65</v>
      </c>
      <c r="L9" s="156">
        <v>0</v>
      </c>
      <c r="M9" s="156" t="s">
        <v>65</v>
      </c>
      <c r="N9" s="156">
        <v>0</v>
      </c>
      <c r="O9" s="156" t="s">
        <v>65</v>
      </c>
    </row>
    <row r="10" spans="2:15" ht="36.75" customHeight="1" x14ac:dyDescent="0.35">
      <c r="B10" s="155" t="s">
        <v>66</v>
      </c>
      <c r="C10" s="155"/>
      <c r="D10" s="156">
        <v>23</v>
      </c>
      <c r="E10" s="157">
        <v>36420130</v>
      </c>
      <c r="F10" s="157">
        <v>36420130</v>
      </c>
      <c r="G10" s="156">
        <v>2.2799999999999998</v>
      </c>
      <c r="H10" s="157">
        <v>36420130</v>
      </c>
      <c r="I10" s="156">
        <v>2.2799999999999998</v>
      </c>
      <c r="J10" s="156" t="s">
        <v>65</v>
      </c>
      <c r="K10" s="157">
        <v>36420130</v>
      </c>
      <c r="L10" s="156">
        <v>2.2599999999999998</v>
      </c>
      <c r="M10" s="157">
        <v>100360</v>
      </c>
      <c r="N10" s="156">
        <v>0.28000000000000003</v>
      </c>
      <c r="O10" s="157">
        <v>36420130</v>
      </c>
    </row>
    <row r="11" spans="2:15" ht="18.75" customHeight="1" x14ac:dyDescent="0.35">
      <c r="B11" s="155" t="s">
        <v>67</v>
      </c>
      <c r="C11" s="155" t="s">
        <v>68</v>
      </c>
      <c r="D11" s="156">
        <v>1</v>
      </c>
      <c r="E11" s="157">
        <v>1000</v>
      </c>
      <c r="F11" s="157">
        <v>1000</v>
      </c>
      <c r="G11" s="156">
        <v>0</v>
      </c>
      <c r="H11" s="157">
        <v>1000</v>
      </c>
      <c r="I11" s="156">
        <v>0</v>
      </c>
      <c r="J11" s="156" t="s">
        <v>65</v>
      </c>
      <c r="K11" s="157">
        <v>1000</v>
      </c>
      <c r="L11" s="156">
        <v>0</v>
      </c>
      <c r="M11" s="156" t="s">
        <v>65</v>
      </c>
      <c r="N11" s="156">
        <v>0</v>
      </c>
      <c r="O11" s="157">
        <v>1000</v>
      </c>
    </row>
    <row r="12" spans="2:15" ht="18.75" customHeight="1" x14ac:dyDescent="0.35">
      <c r="B12" s="155" t="s">
        <v>69</v>
      </c>
      <c r="C12" s="155" t="s">
        <v>68</v>
      </c>
      <c r="D12" s="156">
        <v>1</v>
      </c>
      <c r="E12" s="157">
        <v>2479000</v>
      </c>
      <c r="F12" s="157">
        <v>2479000</v>
      </c>
      <c r="G12" s="156">
        <v>0.15</v>
      </c>
      <c r="H12" s="157">
        <v>2479000</v>
      </c>
      <c r="I12" s="156">
        <v>0.15</v>
      </c>
      <c r="J12" s="156" t="s">
        <v>65</v>
      </c>
      <c r="K12" s="157">
        <v>2479000</v>
      </c>
      <c r="L12" s="156">
        <v>0.15</v>
      </c>
      <c r="M12" s="156" t="s">
        <v>65</v>
      </c>
      <c r="N12" s="156">
        <v>0</v>
      </c>
      <c r="O12" s="157">
        <v>2479000</v>
      </c>
    </row>
    <row r="13" spans="2:15" ht="18.75" customHeight="1" x14ac:dyDescent="0.35">
      <c r="B13" s="155" t="s">
        <v>70</v>
      </c>
      <c r="C13" s="155" t="s">
        <v>68</v>
      </c>
      <c r="D13" s="156">
        <v>1</v>
      </c>
      <c r="E13" s="157">
        <v>3925600</v>
      </c>
      <c r="F13" s="157">
        <v>3925600</v>
      </c>
      <c r="G13" s="156">
        <v>0.25</v>
      </c>
      <c r="H13" s="157">
        <v>3925600</v>
      </c>
      <c r="I13" s="156">
        <v>0.25</v>
      </c>
      <c r="J13" s="156" t="s">
        <v>65</v>
      </c>
      <c r="K13" s="157">
        <v>3925600</v>
      </c>
      <c r="L13" s="156">
        <v>0.24</v>
      </c>
      <c r="M13" s="156" t="s">
        <v>65</v>
      </c>
      <c r="N13" s="156">
        <v>0</v>
      </c>
      <c r="O13" s="157">
        <v>3925600</v>
      </c>
    </row>
    <row r="14" spans="2:15" ht="18.75" customHeight="1" x14ac:dyDescent="0.35">
      <c r="B14" s="155" t="s">
        <v>71</v>
      </c>
      <c r="C14" s="155" t="s">
        <v>68</v>
      </c>
      <c r="D14" s="156">
        <v>1</v>
      </c>
      <c r="E14" s="157">
        <v>742000</v>
      </c>
      <c r="F14" s="157">
        <v>742000</v>
      </c>
      <c r="G14" s="156">
        <v>0.05</v>
      </c>
      <c r="H14" s="157">
        <v>742000</v>
      </c>
      <c r="I14" s="156">
        <v>0.05</v>
      </c>
      <c r="J14" s="156" t="s">
        <v>65</v>
      </c>
      <c r="K14" s="157">
        <v>742000</v>
      </c>
      <c r="L14" s="156">
        <v>0.05</v>
      </c>
      <c r="M14" s="156" t="s">
        <v>65</v>
      </c>
      <c r="N14" s="156">
        <v>0</v>
      </c>
      <c r="O14" s="157">
        <v>742000</v>
      </c>
    </row>
    <row r="15" spans="2:15" ht="18.75" customHeight="1" x14ac:dyDescent="0.35">
      <c r="B15" s="155" t="s">
        <v>72</v>
      </c>
      <c r="C15" s="155" t="s">
        <v>68</v>
      </c>
      <c r="D15" s="156">
        <v>1</v>
      </c>
      <c r="E15" s="157">
        <v>1000000</v>
      </c>
      <c r="F15" s="157">
        <v>1000000</v>
      </c>
      <c r="G15" s="156">
        <v>0.06</v>
      </c>
      <c r="H15" s="157">
        <v>1000000</v>
      </c>
      <c r="I15" s="156">
        <v>0.06</v>
      </c>
      <c r="J15" s="156" t="s">
        <v>65</v>
      </c>
      <c r="K15" s="157">
        <v>1000000</v>
      </c>
      <c r="L15" s="156">
        <v>0.06</v>
      </c>
      <c r="M15" s="156" t="s">
        <v>65</v>
      </c>
      <c r="N15" s="156">
        <v>0</v>
      </c>
      <c r="O15" s="157">
        <v>1000000</v>
      </c>
    </row>
    <row r="16" spans="2:15" ht="18.75" customHeight="1" x14ac:dyDescent="0.35">
      <c r="B16" s="155" t="s">
        <v>73</v>
      </c>
      <c r="C16" s="155" t="s">
        <v>68</v>
      </c>
      <c r="D16" s="156">
        <v>1</v>
      </c>
      <c r="E16" s="157">
        <v>642000</v>
      </c>
      <c r="F16" s="157">
        <v>642000</v>
      </c>
      <c r="G16" s="156">
        <v>0.04</v>
      </c>
      <c r="H16" s="157">
        <v>642000</v>
      </c>
      <c r="I16" s="156">
        <v>0.04</v>
      </c>
      <c r="J16" s="156" t="s">
        <v>65</v>
      </c>
      <c r="K16" s="157">
        <v>642000</v>
      </c>
      <c r="L16" s="156">
        <v>0.04</v>
      </c>
      <c r="M16" s="156" t="s">
        <v>65</v>
      </c>
      <c r="N16" s="156">
        <v>0</v>
      </c>
      <c r="O16" s="157">
        <v>642000</v>
      </c>
    </row>
    <row r="17" spans="2:15" ht="27.75" customHeight="1" x14ac:dyDescent="0.35">
      <c r="B17" s="155" t="s">
        <v>74</v>
      </c>
      <c r="C17" s="155" t="s">
        <v>68</v>
      </c>
      <c r="D17" s="156">
        <v>1</v>
      </c>
      <c r="E17" s="157">
        <v>500000</v>
      </c>
      <c r="F17" s="157">
        <v>500000</v>
      </c>
      <c r="G17" s="156">
        <v>0.03</v>
      </c>
      <c r="H17" s="157">
        <v>500000</v>
      </c>
      <c r="I17" s="156">
        <v>0.03</v>
      </c>
      <c r="J17" s="156" t="s">
        <v>65</v>
      </c>
      <c r="K17" s="157">
        <v>500000</v>
      </c>
      <c r="L17" s="156">
        <v>0.03</v>
      </c>
      <c r="M17" s="156" t="s">
        <v>65</v>
      </c>
      <c r="N17" s="156">
        <v>0</v>
      </c>
      <c r="O17" s="157">
        <v>500000</v>
      </c>
    </row>
    <row r="18" spans="2:15" ht="18.75" customHeight="1" x14ac:dyDescent="0.35">
      <c r="B18" s="155" t="s">
        <v>75</v>
      </c>
      <c r="C18" s="155" t="s">
        <v>68</v>
      </c>
      <c r="D18" s="156">
        <v>1</v>
      </c>
      <c r="E18" s="157">
        <v>514000</v>
      </c>
      <c r="F18" s="157">
        <v>514000</v>
      </c>
      <c r="G18" s="156">
        <v>0.03</v>
      </c>
      <c r="H18" s="157">
        <v>514000</v>
      </c>
      <c r="I18" s="156">
        <v>0.03</v>
      </c>
      <c r="J18" s="156" t="s">
        <v>65</v>
      </c>
      <c r="K18" s="157">
        <v>514000</v>
      </c>
      <c r="L18" s="156">
        <v>0.03</v>
      </c>
      <c r="M18" s="156" t="s">
        <v>65</v>
      </c>
      <c r="N18" s="156">
        <v>0</v>
      </c>
      <c r="O18" s="157">
        <v>514000</v>
      </c>
    </row>
    <row r="19" spans="2:15" ht="15" customHeight="1" x14ac:dyDescent="0.35">
      <c r="B19" s="155" t="s">
        <v>76</v>
      </c>
      <c r="C19" s="155" t="s">
        <v>77</v>
      </c>
      <c r="D19" s="156">
        <v>1</v>
      </c>
      <c r="E19" s="157">
        <v>2953150</v>
      </c>
      <c r="F19" s="157">
        <v>2953150</v>
      </c>
      <c r="G19" s="156">
        <v>0.18</v>
      </c>
      <c r="H19" s="157">
        <v>2953150</v>
      </c>
      <c r="I19" s="156">
        <v>0.18</v>
      </c>
      <c r="J19" s="156" t="s">
        <v>65</v>
      </c>
      <c r="K19" s="157">
        <v>2953150</v>
      </c>
      <c r="L19" s="156">
        <v>0.18</v>
      </c>
      <c r="M19" s="156" t="s">
        <v>65</v>
      </c>
      <c r="N19" s="156">
        <v>0</v>
      </c>
      <c r="O19" s="157">
        <v>2953150</v>
      </c>
    </row>
    <row r="20" spans="2:15" ht="18.75" customHeight="1" x14ac:dyDescent="0.35">
      <c r="B20" s="155" t="s">
        <v>78</v>
      </c>
      <c r="C20" s="155" t="s">
        <v>68</v>
      </c>
      <c r="D20" s="156">
        <v>1</v>
      </c>
      <c r="E20" s="157">
        <v>2058660</v>
      </c>
      <c r="F20" s="157">
        <v>2058660</v>
      </c>
      <c r="G20" s="156">
        <v>0.13</v>
      </c>
      <c r="H20" s="157">
        <v>2058660</v>
      </c>
      <c r="I20" s="156">
        <v>0.13</v>
      </c>
      <c r="J20" s="156" t="s">
        <v>65</v>
      </c>
      <c r="K20" s="157">
        <v>2058660</v>
      </c>
      <c r="L20" s="156">
        <v>0.13</v>
      </c>
      <c r="M20" s="156" t="s">
        <v>65</v>
      </c>
      <c r="N20" s="156">
        <v>0</v>
      </c>
      <c r="O20" s="157">
        <v>2058660</v>
      </c>
    </row>
    <row r="21" spans="2:15" ht="18.75" customHeight="1" x14ac:dyDescent="0.35">
      <c r="B21" s="155" t="s">
        <v>79</v>
      </c>
      <c r="C21" s="155" t="s">
        <v>77</v>
      </c>
      <c r="D21" s="156">
        <v>1</v>
      </c>
      <c r="E21" s="157">
        <v>1000</v>
      </c>
      <c r="F21" s="157">
        <v>1000</v>
      </c>
      <c r="G21" s="156">
        <v>0</v>
      </c>
      <c r="H21" s="157">
        <v>1000</v>
      </c>
      <c r="I21" s="156">
        <v>0</v>
      </c>
      <c r="J21" s="156" t="s">
        <v>65</v>
      </c>
      <c r="K21" s="157">
        <v>1000</v>
      </c>
      <c r="L21" s="156">
        <v>0</v>
      </c>
      <c r="M21" s="156" t="s">
        <v>65</v>
      </c>
      <c r="N21" s="156">
        <v>0</v>
      </c>
      <c r="O21" s="157">
        <v>1000</v>
      </c>
    </row>
    <row r="22" spans="2:15" ht="18.75" customHeight="1" x14ac:dyDescent="0.35">
      <c r="B22" s="155" t="s">
        <v>80</v>
      </c>
      <c r="C22" s="155" t="s">
        <v>68</v>
      </c>
      <c r="D22" s="156">
        <v>1</v>
      </c>
      <c r="E22" s="157">
        <v>112320</v>
      </c>
      <c r="F22" s="157">
        <v>112320</v>
      </c>
      <c r="G22" s="156">
        <v>0.01</v>
      </c>
      <c r="H22" s="157">
        <v>112320</v>
      </c>
      <c r="I22" s="156">
        <v>0.01</v>
      </c>
      <c r="J22" s="156" t="s">
        <v>65</v>
      </c>
      <c r="K22" s="157">
        <v>112320</v>
      </c>
      <c r="L22" s="156">
        <v>0.01</v>
      </c>
      <c r="M22" s="156" t="s">
        <v>65</v>
      </c>
      <c r="N22" s="156">
        <v>0</v>
      </c>
      <c r="O22" s="157">
        <v>112320</v>
      </c>
    </row>
    <row r="23" spans="2:15" ht="18.75" customHeight="1" x14ac:dyDescent="0.35">
      <c r="B23" s="155" t="s">
        <v>81</v>
      </c>
      <c r="C23" s="155" t="s">
        <v>77</v>
      </c>
      <c r="D23" s="156">
        <v>1</v>
      </c>
      <c r="E23" s="157">
        <v>3618050</v>
      </c>
      <c r="F23" s="157">
        <v>3618050</v>
      </c>
      <c r="G23" s="156">
        <v>0.23</v>
      </c>
      <c r="H23" s="157">
        <v>3618050</v>
      </c>
      <c r="I23" s="156">
        <v>0.23</v>
      </c>
      <c r="J23" s="156" t="s">
        <v>65</v>
      </c>
      <c r="K23" s="157">
        <v>3618050</v>
      </c>
      <c r="L23" s="156">
        <v>0.22</v>
      </c>
      <c r="M23" s="156" t="s">
        <v>65</v>
      </c>
      <c r="N23" s="156">
        <v>0</v>
      </c>
      <c r="O23" s="157">
        <v>3618050</v>
      </c>
    </row>
    <row r="24" spans="2:15" ht="18.75" customHeight="1" x14ac:dyDescent="0.35">
      <c r="B24" s="155" t="s">
        <v>82</v>
      </c>
      <c r="C24" s="155" t="s">
        <v>68</v>
      </c>
      <c r="D24" s="156">
        <v>1</v>
      </c>
      <c r="E24" s="157">
        <v>525990</v>
      </c>
      <c r="F24" s="157">
        <v>525990</v>
      </c>
      <c r="G24" s="156">
        <v>0.03</v>
      </c>
      <c r="H24" s="157">
        <v>525990</v>
      </c>
      <c r="I24" s="156">
        <v>0.03</v>
      </c>
      <c r="J24" s="156" t="s">
        <v>65</v>
      </c>
      <c r="K24" s="157">
        <v>525990</v>
      </c>
      <c r="L24" s="156">
        <v>0.03</v>
      </c>
      <c r="M24" s="156" t="s">
        <v>65</v>
      </c>
      <c r="N24" s="156">
        <v>0</v>
      </c>
      <c r="O24" s="157">
        <v>525990</v>
      </c>
    </row>
    <row r="25" spans="2:15" ht="18.75" customHeight="1" x14ac:dyDescent="0.35">
      <c r="B25" s="155" t="s">
        <v>83</v>
      </c>
      <c r="C25" s="155" t="s">
        <v>77</v>
      </c>
      <c r="D25" s="156">
        <v>1</v>
      </c>
      <c r="E25" s="157">
        <v>1630260</v>
      </c>
      <c r="F25" s="157">
        <v>1630260</v>
      </c>
      <c r="G25" s="156">
        <v>0.1</v>
      </c>
      <c r="H25" s="157">
        <v>1630260</v>
      </c>
      <c r="I25" s="156">
        <v>0.1</v>
      </c>
      <c r="J25" s="156" t="s">
        <v>65</v>
      </c>
      <c r="K25" s="157">
        <v>1630260</v>
      </c>
      <c r="L25" s="156">
        <v>0.1</v>
      </c>
      <c r="M25" s="156" t="s">
        <v>65</v>
      </c>
      <c r="N25" s="156">
        <v>0</v>
      </c>
      <c r="O25" s="157">
        <v>1630260</v>
      </c>
    </row>
    <row r="26" spans="2:15" ht="18.75" customHeight="1" x14ac:dyDescent="0.35">
      <c r="B26" s="155" t="s">
        <v>84</v>
      </c>
      <c r="C26" s="155" t="s">
        <v>68</v>
      </c>
      <c r="D26" s="156">
        <v>1</v>
      </c>
      <c r="E26" s="157">
        <v>5783290</v>
      </c>
      <c r="F26" s="157">
        <v>5783290</v>
      </c>
      <c r="G26" s="156">
        <v>0.36</v>
      </c>
      <c r="H26" s="157">
        <v>5783290</v>
      </c>
      <c r="I26" s="156">
        <v>0.36</v>
      </c>
      <c r="J26" s="156" t="s">
        <v>65</v>
      </c>
      <c r="K26" s="157">
        <v>5783290</v>
      </c>
      <c r="L26" s="156">
        <v>0.36</v>
      </c>
      <c r="M26" s="156" t="s">
        <v>65</v>
      </c>
      <c r="N26" s="156">
        <v>0</v>
      </c>
      <c r="O26" s="157">
        <v>5783290</v>
      </c>
    </row>
    <row r="27" spans="2:15" ht="18.75" customHeight="1" x14ac:dyDescent="0.35">
      <c r="B27" s="155" t="s">
        <v>85</v>
      </c>
      <c r="C27" s="155" t="s">
        <v>68</v>
      </c>
      <c r="D27" s="156">
        <v>1</v>
      </c>
      <c r="E27" s="157">
        <v>6739380</v>
      </c>
      <c r="F27" s="157">
        <v>6739380</v>
      </c>
      <c r="G27" s="156">
        <v>0.42</v>
      </c>
      <c r="H27" s="157">
        <v>6739380</v>
      </c>
      <c r="I27" s="156">
        <v>0.42</v>
      </c>
      <c r="J27" s="156" t="s">
        <v>65</v>
      </c>
      <c r="K27" s="157">
        <v>6739380</v>
      </c>
      <c r="L27" s="156">
        <v>0.42</v>
      </c>
      <c r="M27" s="156" t="s">
        <v>65</v>
      </c>
      <c r="N27" s="156">
        <v>0</v>
      </c>
      <c r="O27" s="157">
        <v>6739380</v>
      </c>
    </row>
    <row r="28" spans="2:15" ht="18.75" customHeight="1" x14ac:dyDescent="0.35">
      <c r="B28" s="155" t="s">
        <v>86</v>
      </c>
      <c r="C28" s="155" t="s">
        <v>68</v>
      </c>
      <c r="D28" s="156">
        <v>1</v>
      </c>
      <c r="E28" s="157">
        <v>111330</v>
      </c>
      <c r="F28" s="157">
        <v>111330</v>
      </c>
      <c r="G28" s="156">
        <v>0.01</v>
      </c>
      <c r="H28" s="157">
        <v>111330</v>
      </c>
      <c r="I28" s="156">
        <v>0.01</v>
      </c>
      <c r="J28" s="156" t="s">
        <v>65</v>
      </c>
      <c r="K28" s="157">
        <v>111330</v>
      </c>
      <c r="L28" s="156">
        <v>0.01</v>
      </c>
      <c r="M28" s="156" t="s">
        <v>65</v>
      </c>
      <c r="N28" s="156">
        <v>0</v>
      </c>
      <c r="O28" s="157">
        <v>111330</v>
      </c>
    </row>
    <row r="29" spans="2:15" ht="18.75" customHeight="1" x14ac:dyDescent="0.35">
      <c r="B29" s="155" t="s">
        <v>87</v>
      </c>
      <c r="C29" s="155" t="s">
        <v>68</v>
      </c>
      <c r="D29" s="156">
        <v>1</v>
      </c>
      <c r="E29" s="157">
        <v>744360</v>
      </c>
      <c r="F29" s="157">
        <v>744360</v>
      </c>
      <c r="G29" s="156">
        <v>0.05</v>
      </c>
      <c r="H29" s="157">
        <v>744360</v>
      </c>
      <c r="I29" s="156">
        <v>0.05</v>
      </c>
      <c r="J29" s="156" t="s">
        <v>65</v>
      </c>
      <c r="K29" s="157">
        <v>744360</v>
      </c>
      <c r="L29" s="156">
        <v>0.05</v>
      </c>
      <c r="M29" s="156" t="s">
        <v>65</v>
      </c>
      <c r="N29" s="156">
        <v>0</v>
      </c>
      <c r="O29" s="157">
        <v>744360</v>
      </c>
    </row>
    <row r="30" spans="2:15" ht="18.75" customHeight="1" x14ac:dyDescent="0.35">
      <c r="B30" s="155" t="s">
        <v>88</v>
      </c>
      <c r="C30" s="155" t="s">
        <v>68</v>
      </c>
      <c r="D30" s="156" t="s">
        <v>65</v>
      </c>
      <c r="E30" s="156" t="s">
        <v>65</v>
      </c>
      <c r="F30" s="156" t="s">
        <v>65</v>
      </c>
      <c r="G30" s="156">
        <v>0</v>
      </c>
      <c r="H30" s="156" t="s">
        <v>65</v>
      </c>
      <c r="I30" s="156">
        <v>0</v>
      </c>
      <c r="J30" s="156" t="s">
        <v>65</v>
      </c>
      <c r="K30" s="156" t="s">
        <v>65</v>
      </c>
      <c r="L30" s="156">
        <v>0</v>
      </c>
      <c r="M30" s="156" t="s">
        <v>65</v>
      </c>
      <c r="N30" s="156">
        <v>0</v>
      </c>
      <c r="O30" s="156" t="s">
        <v>65</v>
      </c>
    </row>
    <row r="31" spans="2:15" ht="18.75" customHeight="1" x14ac:dyDescent="0.35">
      <c r="B31" s="155" t="s">
        <v>89</v>
      </c>
      <c r="C31" s="155" t="s">
        <v>68</v>
      </c>
      <c r="D31" s="156" t="s">
        <v>65</v>
      </c>
      <c r="E31" s="156" t="s">
        <v>65</v>
      </c>
      <c r="F31" s="156" t="s">
        <v>65</v>
      </c>
      <c r="G31" s="156">
        <v>0</v>
      </c>
      <c r="H31" s="156" t="s">
        <v>65</v>
      </c>
      <c r="I31" s="156">
        <v>0</v>
      </c>
      <c r="J31" s="156" t="s">
        <v>65</v>
      </c>
      <c r="K31" s="156" t="s">
        <v>65</v>
      </c>
      <c r="L31" s="156">
        <v>0</v>
      </c>
      <c r="M31" s="156" t="s">
        <v>65</v>
      </c>
      <c r="N31" s="156">
        <v>0</v>
      </c>
      <c r="O31" s="156" t="s">
        <v>65</v>
      </c>
    </row>
    <row r="32" spans="2:15" ht="18.75" customHeight="1" x14ac:dyDescent="0.35">
      <c r="B32" s="155" t="s">
        <v>90</v>
      </c>
      <c r="C32" s="155" t="s">
        <v>68</v>
      </c>
      <c r="D32" s="156">
        <v>1</v>
      </c>
      <c r="E32" s="157">
        <v>332360</v>
      </c>
      <c r="F32" s="157">
        <v>332360</v>
      </c>
      <c r="G32" s="156">
        <v>0.02</v>
      </c>
      <c r="H32" s="157">
        <v>332360</v>
      </c>
      <c r="I32" s="156">
        <v>0.02</v>
      </c>
      <c r="J32" s="156" t="s">
        <v>65</v>
      </c>
      <c r="K32" s="157">
        <v>332360</v>
      </c>
      <c r="L32" s="156">
        <v>0.02</v>
      </c>
      <c r="M32" s="157">
        <v>100360</v>
      </c>
      <c r="N32" s="156">
        <v>30.2</v>
      </c>
      <c r="O32" s="157">
        <v>332360</v>
      </c>
    </row>
    <row r="33" spans="2:15" ht="18.75" customHeight="1" x14ac:dyDescent="0.35">
      <c r="B33" s="155" t="s">
        <v>91</v>
      </c>
      <c r="C33" s="155" t="s">
        <v>68</v>
      </c>
      <c r="D33" s="156">
        <v>1</v>
      </c>
      <c r="E33" s="157">
        <v>199000</v>
      </c>
      <c r="F33" s="157">
        <v>199000</v>
      </c>
      <c r="G33" s="156">
        <v>0.01</v>
      </c>
      <c r="H33" s="157">
        <v>199000</v>
      </c>
      <c r="I33" s="156">
        <v>0.01</v>
      </c>
      <c r="J33" s="156" t="s">
        <v>65</v>
      </c>
      <c r="K33" s="157">
        <v>199000</v>
      </c>
      <c r="L33" s="156">
        <v>0.01</v>
      </c>
      <c r="M33" s="156" t="s">
        <v>65</v>
      </c>
      <c r="N33" s="156">
        <v>0</v>
      </c>
      <c r="O33" s="157">
        <v>199000</v>
      </c>
    </row>
    <row r="34" spans="2:15" ht="18.75" customHeight="1" x14ac:dyDescent="0.35">
      <c r="B34" s="155" t="s">
        <v>92</v>
      </c>
      <c r="C34" s="155" t="s">
        <v>68</v>
      </c>
      <c r="D34" s="156" t="s">
        <v>65</v>
      </c>
      <c r="E34" s="156" t="s">
        <v>65</v>
      </c>
      <c r="F34" s="156" t="s">
        <v>65</v>
      </c>
      <c r="G34" s="156">
        <v>0</v>
      </c>
      <c r="H34" s="156" t="s">
        <v>65</v>
      </c>
      <c r="I34" s="156">
        <v>0</v>
      </c>
      <c r="J34" s="156" t="s">
        <v>65</v>
      </c>
      <c r="K34" s="156" t="s">
        <v>65</v>
      </c>
      <c r="L34" s="156">
        <v>0</v>
      </c>
      <c r="M34" s="156" t="s">
        <v>65</v>
      </c>
      <c r="N34" s="156">
        <v>0</v>
      </c>
      <c r="O34" s="156" t="s">
        <v>65</v>
      </c>
    </row>
    <row r="35" spans="2:15" ht="27.75" customHeight="1" x14ac:dyDescent="0.35">
      <c r="B35" s="155" t="s">
        <v>93</v>
      </c>
      <c r="C35" s="155" t="s">
        <v>68</v>
      </c>
      <c r="D35" s="156" t="s">
        <v>65</v>
      </c>
      <c r="E35" s="156" t="s">
        <v>65</v>
      </c>
      <c r="F35" s="156" t="s">
        <v>65</v>
      </c>
      <c r="G35" s="156">
        <v>0</v>
      </c>
      <c r="H35" s="156" t="s">
        <v>65</v>
      </c>
      <c r="I35" s="156">
        <v>0</v>
      </c>
      <c r="J35" s="156" t="s">
        <v>65</v>
      </c>
      <c r="K35" s="156" t="s">
        <v>65</v>
      </c>
      <c r="L35" s="156">
        <v>0</v>
      </c>
      <c r="M35" s="156" t="s">
        <v>65</v>
      </c>
      <c r="N35" s="156">
        <v>0</v>
      </c>
      <c r="O35" s="156" t="s">
        <v>65</v>
      </c>
    </row>
    <row r="36" spans="2:15" ht="18.75" customHeight="1" x14ac:dyDescent="0.35">
      <c r="B36" s="155" t="s">
        <v>94</v>
      </c>
      <c r="C36" s="155" t="s">
        <v>68</v>
      </c>
      <c r="D36" s="156">
        <v>1</v>
      </c>
      <c r="E36" s="157">
        <v>903690</v>
      </c>
      <c r="F36" s="157">
        <v>903690</v>
      </c>
      <c r="G36" s="156">
        <v>0.06</v>
      </c>
      <c r="H36" s="157">
        <v>903690</v>
      </c>
      <c r="I36" s="156">
        <v>0.06</v>
      </c>
      <c r="J36" s="156" t="s">
        <v>65</v>
      </c>
      <c r="K36" s="157">
        <v>903690</v>
      </c>
      <c r="L36" s="156">
        <v>0.06</v>
      </c>
      <c r="M36" s="156" t="s">
        <v>65</v>
      </c>
      <c r="N36" s="156">
        <v>0</v>
      </c>
      <c r="O36" s="157">
        <v>903690</v>
      </c>
    </row>
    <row r="37" spans="2:15" ht="18.75" customHeight="1" x14ac:dyDescent="0.35">
      <c r="B37" s="155" t="s">
        <v>95</v>
      </c>
      <c r="C37" s="155" t="s">
        <v>68</v>
      </c>
      <c r="D37" s="156">
        <v>1</v>
      </c>
      <c r="E37" s="157">
        <v>903690</v>
      </c>
      <c r="F37" s="157">
        <v>903690</v>
      </c>
      <c r="G37" s="156">
        <v>0.06</v>
      </c>
      <c r="H37" s="157">
        <v>903690</v>
      </c>
      <c r="I37" s="156">
        <v>0.06</v>
      </c>
      <c r="J37" s="156" t="s">
        <v>65</v>
      </c>
      <c r="K37" s="157">
        <v>903690</v>
      </c>
      <c r="L37" s="156">
        <v>0.06</v>
      </c>
      <c r="M37" s="156" t="s">
        <v>65</v>
      </c>
      <c r="N37" s="156">
        <v>0</v>
      </c>
      <c r="O37" s="157">
        <v>903690</v>
      </c>
    </row>
    <row r="38" spans="2:15" ht="18.75" customHeight="1" x14ac:dyDescent="0.35">
      <c r="B38" s="155" t="s">
        <v>96</v>
      </c>
      <c r="C38" s="155"/>
      <c r="D38" s="156">
        <v>41</v>
      </c>
      <c r="E38" s="157">
        <v>903118240</v>
      </c>
      <c r="F38" s="157">
        <v>903118240</v>
      </c>
      <c r="G38" s="156">
        <v>56.43</v>
      </c>
      <c r="H38" s="157">
        <v>903118240</v>
      </c>
      <c r="I38" s="156">
        <v>56.43</v>
      </c>
      <c r="J38" s="156" t="s">
        <v>65</v>
      </c>
      <c r="K38" s="157">
        <v>903118240</v>
      </c>
      <c r="L38" s="156">
        <v>55.96</v>
      </c>
      <c r="M38" s="156" t="s">
        <v>65</v>
      </c>
      <c r="N38" s="156">
        <v>0</v>
      </c>
      <c r="O38" s="157">
        <v>903118240</v>
      </c>
    </row>
    <row r="39" spans="2:15" ht="45.75" customHeight="1" x14ac:dyDescent="0.35">
      <c r="B39" s="155" t="s">
        <v>97</v>
      </c>
      <c r="C39" s="155" t="s">
        <v>68</v>
      </c>
      <c r="D39" s="156">
        <v>1</v>
      </c>
      <c r="E39" s="157">
        <v>23314745</v>
      </c>
      <c r="F39" s="157">
        <v>23314745</v>
      </c>
      <c r="G39" s="156">
        <v>1.46</v>
      </c>
      <c r="H39" s="157">
        <v>23314745</v>
      </c>
      <c r="I39" s="156">
        <v>1.46</v>
      </c>
      <c r="J39" s="156" t="s">
        <v>65</v>
      </c>
      <c r="K39" s="157">
        <v>23314745</v>
      </c>
      <c r="L39" s="156">
        <v>1.44</v>
      </c>
      <c r="M39" s="156" t="s">
        <v>65</v>
      </c>
      <c r="N39" s="156">
        <v>0</v>
      </c>
      <c r="O39" s="157">
        <v>23314745</v>
      </c>
    </row>
    <row r="40" spans="2:15" ht="36.75" customHeight="1" x14ac:dyDescent="0.35">
      <c r="B40" s="155" t="s">
        <v>98</v>
      </c>
      <c r="C40" s="155" t="s">
        <v>68</v>
      </c>
      <c r="D40" s="156">
        <v>1</v>
      </c>
      <c r="E40" s="157">
        <v>10787870</v>
      </c>
      <c r="F40" s="157">
        <v>10787870</v>
      </c>
      <c r="G40" s="156">
        <v>0.67</v>
      </c>
      <c r="H40" s="157">
        <v>10787870</v>
      </c>
      <c r="I40" s="156">
        <v>0.67</v>
      </c>
      <c r="J40" s="156" t="s">
        <v>65</v>
      </c>
      <c r="K40" s="157">
        <v>10787870</v>
      </c>
      <c r="L40" s="156">
        <v>0.67</v>
      </c>
      <c r="M40" s="156" t="s">
        <v>65</v>
      </c>
      <c r="N40" s="156">
        <v>0</v>
      </c>
      <c r="O40" s="157">
        <v>10787870</v>
      </c>
    </row>
    <row r="41" spans="2:15" ht="27.75" customHeight="1" x14ac:dyDescent="0.35">
      <c r="B41" s="155" t="s">
        <v>99</v>
      </c>
      <c r="C41" s="155" t="s">
        <v>68</v>
      </c>
      <c r="D41" s="156">
        <v>1</v>
      </c>
      <c r="E41" s="157">
        <v>2090050</v>
      </c>
      <c r="F41" s="157">
        <v>2090050</v>
      </c>
      <c r="G41" s="156">
        <v>0.13</v>
      </c>
      <c r="H41" s="157">
        <v>2090050</v>
      </c>
      <c r="I41" s="156">
        <v>0.13</v>
      </c>
      <c r="J41" s="156" t="s">
        <v>65</v>
      </c>
      <c r="K41" s="157">
        <v>2090050</v>
      </c>
      <c r="L41" s="156">
        <v>0.13</v>
      </c>
      <c r="M41" s="156" t="s">
        <v>65</v>
      </c>
      <c r="N41" s="156">
        <v>0</v>
      </c>
      <c r="O41" s="157">
        <v>2090050</v>
      </c>
    </row>
    <row r="42" spans="2:15" ht="45.75" customHeight="1" x14ac:dyDescent="0.35">
      <c r="B42" s="155" t="s">
        <v>100</v>
      </c>
      <c r="C42" s="155" t="s">
        <v>77</v>
      </c>
      <c r="D42" s="156">
        <v>1</v>
      </c>
      <c r="E42" s="157">
        <v>612742140</v>
      </c>
      <c r="F42" s="157">
        <v>612742140</v>
      </c>
      <c r="G42" s="156">
        <v>38.28</v>
      </c>
      <c r="H42" s="157">
        <v>612742140</v>
      </c>
      <c r="I42" s="156">
        <v>38.28</v>
      </c>
      <c r="J42" s="156" t="s">
        <v>65</v>
      </c>
      <c r="K42" s="157">
        <v>612742140</v>
      </c>
      <c r="L42" s="156">
        <v>37.97</v>
      </c>
      <c r="M42" s="156" t="s">
        <v>65</v>
      </c>
      <c r="N42" s="156">
        <v>0</v>
      </c>
      <c r="O42" s="157">
        <v>612742140</v>
      </c>
    </row>
    <row r="43" spans="2:15" ht="36.75" customHeight="1" x14ac:dyDescent="0.35">
      <c r="B43" s="155" t="s">
        <v>101</v>
      </c>
      <c r="C43" s="155" t="s">
        <v>68</v>
      </c>
      <c r="D43" s="156">
        <v>1</v>
      </c>
      <c r="E43" s="157">
        <v>26685025</v>
      </c>
      <c r="F43" s="157">
        <v>26685025</v>
      </c>
      <c r="G43" s="156">
        <v>1.67</v>
      </c>
      <c r="H43" s="157">
        <v>26685025</v>
      </c>
      <c r="I43" s="156">
        <v>1.67</v>
      </c>
      <c r="J43" s="156" t="s">
        <v>65</v>
      </c>
      <c r="K43" s="157">
        <v>26685025</v>
      </c>
      <c r="L43" s="156">
        <v>1.65</v>
      </c>
      <c r="M43" s="156" t="s">
        <v>65</v>
      </c>
      <c r="N43" s="156">
        <v>0</v>
      </c>
      <c r="O43" s="157">
        <v>26685025</v>
      </c>
    </row>
    <row r="44" spans="2:15" ht="36.75" customHeight="1" x14ac:dyDescent="0.35">
      <c r="B44" s="155" t="s">
        <v>102</v>
      </c>
      <c r="C44" s="155" t="s">
        <v>68</v>
      </c>
      <c r="D44" s="156">
        <v>1</v>
      </c>
      <c r="E44" s="157">
        <v>9190010</v>
      </c>
      <c r="F44" s="157">
        <v>9190010</v>
      </c>
      <c r="G44" s="156">
        <v>0.56999999999999995</v>
      </c>
      <c r="H44" s="157">
        <v>9190010</v>
      </c>
      <c r="I44" s="156">
        <v>0.56999999999999995</v>
      </c>
      <c r="J44" s="156" t="s">
        <v>65</v>
      </c>
      <c r="K44" s="157">
        <v>9190010</v>
      </c>
      <c r="L44" s="156">
        <v>0.56999999999999995</v>
      </c>
      <c r="M44" s="156" t="s">
        <v>65</v>
      </c>
      <c r="N44" s="156">
        <v>0</v>
      </c>
      <c r="O44" s="157">
        <v>9190010</v>
      </c>
    </row>
    <row r="45" spans="2:15" ht="63.75" customHeight="1" x14ac:dyDescent="0.35">
      <c r="B45" s="155" t="s">
        <v>103</v>
      </c>
      <c r="C45" s="155" t="s">
        <v>68</v>
      </c>
      <c r="D45" s="156">
        <v>1</v>
      </c>
      <c r="E45" s="157">
        <v>1105630</v>
      </c>
      <c r="F45" s="157">
        <v>1105630</v>
      </c>
      <c r="G45" s="156">
        <v>7.0000000000000007E-2</v>
      </c>
      <c r="H45" s="157">
        <v>1105630</v>
      </c>
      <c r="I45" s="156">
        <v>7.0000000000000007E-2</v>
      </c>
      <c r="J45" s="156" t="s">
        <v>65</v>
      </c>
      <c r="K45" s="157">
        <v>1105630</v>
      </c>
      <c r="L45" s="156">
        <v>7.0000000000000007E-2</v>
      </c>
      <c r="M45" s="156" t="s">
        <v>65</v>
      </c>
      <c r="N45" s="156">
        <v>0</v>
      </c>
      <c r="O45" s="157">
        <v>1105630</v>
      </c>
    </row>
    <row r="46" spans="2:15" ht="36.75" customHeight="1" x14ac:dyDescent="0.35">
      <c r="B46" s="155" t="s">
        <v>104</v>
      </c>
      <c r="C46" s="155" t="s">
        <v>68</v>
      </c>
      <c r="D46" s="156">
        <v>1</v>
      </c>
      <c r="E46" s="157">
        <v>136700840</v>
      </c>
      <c r="F46" s="157">
        <v>136700840</v>
      </c>
      <c r="G46" s="156">
        <v>8.5399999999999991</v>
      </c>
      <c r="H46" s="157">
        <v>136700840</v>
      </c>
      <c r="I46" s="156">
        <v>8.5399999999999991</v>
      </c>
      <c r="J46" s="156" t="s">
        <v>65</v>
      </c>
      <c r="K46" s="157">
        <v>136700840</v>
      </c>
      <c r="L46" s="156">
        <v>8.4700000000000006</v>
      </c>
      <c r="M46" s="156" t="s">
        <v>65</v>
      </c>
      <c r="N46" s="156">
        <v>0</v>
      </c>
      <c r="O46" s="157">
        <v>136700840</v>
      </c>
    </row>
    <row r="47" spans="2:15" ht="54.75" customHeight="1" x14ac:dyDescent="0.35">
      <c r="B47" s="155" t="s">
        <v>105</v>
      </c>
      <c r="C47" s="155" t="s">
        <v>68</v>
      </c>
      <c r="D47" s="156">
        <v>1</v>
      </c>
      <c r="E47" s="157">
        <v>900000</v>
      </c>
      <c r="F47" s="157">
        <v>900000</v>
      </c>
      <c r="G47" s="156">
        <v>0.06</v>
      </c>
      <c r="H47" s="157">
        <v>900000</v>
      </c>
      <c r="I47" s="156">
        <v>0.06</v>
      </c>
      <c r="J47" s="156" t="s">
        <v>65</v>
      </c>
      <c r="K47" s="157">
        <v>900000</v>
      </c>
      <c r="L47" s="156">
        <v>0.06</v>
      </c>
      <c r="M47" s="156" t="s">
        <v>65</v>
      </c>
      <c r="N47" s="156">
        <v>0</v>
      </c>
      <c r="O47" s="157">
        <v>900000</v>
      </c>
    </row>
    <row r="48" spans="2:15" ht="27.75" customHeight="1" x14ac:dyDescent="0.35">
      <c r="B48" s="155" t="s">
        <v>106</v>
      </c>
      <c r="C48" s="155" t="s">
        <v>68</v>
      </c>
      <c r="D48" s="156">
        <v>1</v>
      </c>
      <c r="E48" s="157">
        <v>941000</v>
      </c>
      <c r="F48" s="157">
        <v>941000</v>
      </c>
      <c r="G48" s="156">
        <v>0.06</v>
      </c>
      <c r="H48" s="157">
        <v>941000</v>
      </c>
      <c r="I48" s="156">
        <v>0.06</v>
      </c>
      <c r="J48" s="156" t="s">
        <v>65</v>
      </c>
      <c r="K48" s="157">
        <v>941000</v>
      </c>
      <c r="L48" s="156">
        <v>0.06</v>
      </c>
      <c r="M48" s="156" t="s">
        <v>65</v>
      </c>
      <c r="N48" s="156">
        <v>0</v>
      </c>
      <c r="O48" s="157">
        <v>941000</v>
      </c>
    </row>
    <row r="49" spans="2:15" ht="36.75" customHeight="1" x14ac:dyDescent="0.35">
      <c r="B49" s="155" t="s">
        <v>107</v>
      </c>
      <c r="C49" s="155" t="s">
        <v>68</v>
      </c>
      <c r="D49" s="156">
        <v>1</v>
      </c>
      <c r="E49" s="157">
        <v>37932400</v>
      </c>
      <c r="F49" s="157">
        <v>37932400</v>
      </c>
      <c r="G49" s="156">
        <v>2.37</v>
      </c>
      <c r="H49" s="157">
        <v>37932400</v>
      </c>
      <c r="I49" s="156">
        <v>2.37</v>
      </c>
      <c r="J49" s="156" t="s">
        <v>65</v>
      </c>
      <c r="K49" s="157">
        <v>37932400</v>
      </c>
      <c r="L49" s="156">
        <v>2.35</v>
      </c>
      <c r="M49" s="156" t="s">
        <v>65</v>
      </c>
      <c r="N49" s="156">
        <v>0</v>
      </c>
      <c r="O49" s="157">
        <v>37932400</v>
      </c>
    </row>
    <row r="50" spans="2:15" ht="27.75" customHeight="1" x14ac:dyDescent="0.35">
      <c r="B50" s="155" t="s">
        <v>108</v>
      </c>
      <c r="C50" s="155" t="s">
        <v>68</v>
      </c>
      <c r="D50" s="156">
        <v>1</v>
      </c>
      <c r="E50" s="157">
        <v>244000</v>
      </c>
      <c r="F50" s="157">
        <v>244000</v>
      </c>
      <c r="G50" s="156">
        <v>0.02</v>
      </c>
      <c r="H50" s="157">
        <v>244000</v>
      </c>
      <c r="I50" s="156">
        <v>0.02</v>
      </c>
      <c r="J50" s="156" t="s">
        <v>65</v>
      </c>
      <c r="K50" s="157">
        <v>244000</v>
      </c>
      <c r="L50" s="156">
        <v>0.02</v>
      </c>
      <c r="M50" s="156" t="s">
        <v>65</v>
      </c>
      <c r="N50" s="156">
        <v>0</v>
      </c>
      <c r="O50" s="157">
        <v>244000</v>
      </c>
    </row>
    <row r="51" spans="2:15" ht="27.75" customHeight="1" x14ac:dyDescent="0.35">
      <c r="B51" s="155" t="s">
        <v>109</v>
      </c>
      <c r="C51" s="155" t="s">
        <v>68</v>
      </c>
      <c r="D51" s="156">
        <v>1</v>
      </c>
      <c r="E51" s="157">
        <v>2074000</v>
      </c>
      <c r="F51" s="157">
        <v>2074000</v>
      </c>
      <c r="G51" s="156">
        <v>0.13</v>
      </c>
      <c r="H51" s="157">
        <v>2074000</v>
      </c>
      <c r="I51" s="156">
        <v>0.13</v>
      </c>
      <c r="J51" s="156" t="s">
        <v>65</v>
      </c>
      <c r="K51" s="157">
        <v>2074000</v>
      </c>
      <c r="L51" s="156">
        <v>0.13</v>
      </c>
      <c r="M51" s="156" t="s">
        <v>65</v>
      </c>
      <c r="N51" s="156">
        <v>0</v>
      </c>
      <c r="O51" s="157">
        <v>2074000</v>
      </c>
    </row>
    <row r="52" spans="2:15" ht="27.75" customHeight="1" x14ac:dyDescent="0.35">
      <c r="B52" s="155" t="s">
        <v>110</v>
      </c>
      <c r="C52" s="155" t="s">
        <v>68</v>
      </c>
      <c r="D52" s="156">
        <v>1</v>
      </c>
      <c r="E52" s="157">
        <v>2011000</v>
      </c>
      <c r="F52" s="157">
        <v>2011000</v>
      </c>
      <c r="G52" s="156">
        <v>0.13</v>
      </c>
      <c r="H52" s="157">
        <v>2011000</v>
      </c>
      <c r="I52" s="156">
        <v>0.13</v>
      </c>
      <c r="J52" s="156" t="s">
        <v>65</v>
      </c>
      <c r="K52" s="157">
        <v>2011000</v>
      </c>
      <c r="L52" s="156">
        <v>0.12</v>
      </c>
      <c r="M52" s="156" t="s">
        <v>65</v>
      </c>
      <c r="N52" s="156">
        <v>0</v>
      </c>
      <c r="O52" s="157">
        <v>2011000</v>
      </c>
    </row>
    <row r="53" spans="2:15" ht="27.75" customHeight="1" x14ac:dyDescent="0.35">
      <c r="B53" s="155" t="s">
        <v>111</v>
      </c>
      <c r="C53" s="155" t="s">
        <v>68</v>
      </c>
      <c r="D53" s="156">
        <v>1</v>
      </c>
      <c r="E53" s="157">
        <v>834000</v>
      </c>
      <c r="F53" s="157">
        <v>834000</v>
      </c>
      <c r="G53" s="156">
        <v>0.05</v>
      </c>
      <c r="H53" s="157">
        <v>834000</v>
      </c>
      <c r="I53" s="156">
        <v>0.05</v>
      </c>
      <c r="J53" s="156" t="s">
        <v>65</v>
      </c>
      <c r="K53" s="157">
        <v>834000</v>
      </c>
      <c r="L53" s="156">
        <v>0.05</v>
      </c>
      <c r="M53" s="156" t="s">
        <v>65</v>
      </c>
      <c r="N53" s="156">
        <v>0</v>
      </c>
      <c r="O53" s="157">
        <v>834000</v>
      </c>
    </row>
    <row r="54" spans="2:15" ht="36.75" customHeight="1" x14ac:dyDescent="0.35">
      <c r="B54" s="155" t="s">
        <v>112</v>
      </c>
      <c r="C54" s="155" t="s">
        <v>68</v>
      </c>
      <c r="D54" s="156">
        <v>1</v>
      </c>
      <c r="E54" s="157">
        <v>80000</v>
      </c>
      <c r="F54" s="157">
        <v>80000</v>
      </c>
      <c r="G54" s="156">
        <v>0</v>
      </c>
      <c r="H54" s="157">
        <v>80000</v>
      </c>
      <c r="I54" s="156">
        <v>0</v>
      </c>
      <c r="J54" s="156" t="s">
        <v>65</v>
      </c>
      <c r="K54" s="157">
        <v>80000</v>
      </c>
      <c r="L54" s="156">
        <v>0</v>
      </c>
      <c r="M54" s="156" t="s">
        <v>65</v>
      </c>
      <c r="N54" s="156">
        <v>0</v>
      </c>
      <c r="O54" s="157">
        <v>80000</v>
      </c>
    </row>
    <row r="55" spans="2:15" ht="27.75" customHeight="1" x14ac:dyDescent="0.35">
      <c r="B55" s="155" t="s">
        <v>113</v>
      </c>
      <c r="C55" s="155" t="s">
        <v>68</v>
      </c>
      <c r="D55" s="156" t="s">
        <v>65</v>
      </c>
      <c r="E55" s="156" t="s">
        <v>65</v>
      </c>
      <c r="F55" s="156" t="s">
        <v>65</v>
      </c>
      <c r="G55" s="156">
        <v>0</v>
      </c>
      <c r="H55" s="156" t="s">
        <v>65</v>
      </c>
      <c r="I55" s="156">
        <v>0</v>
      </c>
      <c r="J55" s="156" t="s">
        <v>65</v>
      </c>
      <c r="K55" s="156" t="s">
        <v>65</v>
      </c>
      <c r="L55" s="156">
        <v>0</v>
      </c>
      <c r="M55" s="156" t="s">
        <v>65</v>
      </c>
      <c r="N55" s="156">
        <v>0</v>
      </c>
      <c r="O55" s="156" t="s">
        <v>65</v>
      </c>
    </row>
    <row r="56" spans="2:15" ht="27.75" customHeight="1" x14ac:dyDescent="0.35">
      <c r="B56" s="155" t="s">
        <v>114</v>
      </c>
      <c r="C56" s="155" t="s">
        <v>68</v>
      </c>
      <c r="D56" s="156" t="s">
        <v>65</v>
      </c>
      <c r="E56" s="156" t="s">
        <v>65</v>
      </c>
      <c r="F56" s="156" t="s">
        <v>65</v>
      </c>
      <c r="G56" s="156">
        <v>0</v>
      </c>
      <c r="H56" s="156" t="s">
        <v>65</v>
      </c>
      <c r="I56" s="156">
        <v>0</v>
      </c>
      <c r="J56" s="156" t="s">
        <v>65</v>
      </c>
      <c r="K56" s="156" t="s">
        <v>65</v>
      </c>
      <c r="L56" s="156">
        <v>0</v>
      </c>
      <c r="M56" s="156" t="s">
        <v>65</v>
      </c>
      <c r="N56" s="156">
        <v>0</v>
      </c>
      <c r="O56" s="156" t="s">
        <v>65</v>
      </c>
    </row>
    <row r="57" spans="2:15" ht="27.75" customHeight="1" x14ac:dyDescent="0.35">
      <c r="B57" s="155" t="s">
        <v>115</v>
      </c>
      <c r="C57" s="155" t="s">
        <v>68</v>
      </c>
      <c r="D57" s="156" t="s">
        <v>65</v>
      </c>
      <c r="E57" s="156" t="s">
        <v>65</v>
      </c>
      <c r="F57" s="156" t="s">
        <v>65</v>
      </c>
      <c r="G57" s="156">
        <v>0</v>
      </c>
      <c r="H57" s="156" t="s">
        <v>65</v>
      </c>
      <c r="I57" s="156">
        <v>0</v>
      </c>
      <c r="J57" s="156" t="s">
        <v>65</v>
      </c>
      <c r="K57" s="156" t="s">
        <v>65</v>
      </c>
      <c r="L57" s="156">
        <v>0</v>
      </c>
      <c r="M57" s="156" t="s">
        <v>65</v>
      </c>
      <c r="N57" s="156">
        <v>0</v>
      </c>
      <c r="O57" s="156" t="s">
        <v>65</v>
      </c>
    </row>
    <row r="58" spans="2:15" ht="27.75" customHeight="1" x14ac:dyDescent="0.35">
      <c r="B58" s="155" t="s">
        <v>116</v>
      </c>
      <c r="C58" s="155" t="s">
        <v>68</v>
      </c>
      <c r="D58" s="156" t="s">
        <v>65</v>
      </c>
      <c r="E58" s="156" t="s">
        <v>65</v>
      </c>
      <c r="F58" s="156" t="s">
        <v>65</v>
      </c>
      <c r="G58" s="156">
        <v>0</v>
      </c>
      <c r="H58" s="156" t="s">
        <v>65</v>
      </c>
      <c r="I58" s="156">
        <v>0</v>
      </c>
      <c r="J58" s="156" t="s">
        <v>65</v>
      </c>
      <c r="K58" s="156" t="s">
        <v>65</v>
      </c>
      <c r="L58" s="156">
        <v>0</v>
      </c>
      <c r="M58" s="156" t="s">
        <v>65</v>
      </c>
      <c r="N58" s="156">
        <v>0</v>
      </c>
      <c r="O58" s="156" t="s">
        <v>65</v>
      </c>
    </row>
    <row r="59" spans="2:15" ht="27.75" customHeight="1" x14ac:dyDescent="0.35">
      <c r="B59" s="155" t="s">
        <v>117</v>
      </c>
      <c r="C59" s="155" t="s">
        <v>68</v>
      </c>
      <c r="D59" s="156" t="s">
        <v>65</v>
      </c>
      <c r="E59" s="156" t="s">
        <v>65</v>
      </c>
      <c r="F59" s="156" t="s">
        <v>65</v>
      </c>
      <c r="G59" s="156">
        <v>0</v>
      </c>
      <c r="H59" s="156" t="s">
        <v>65</v>
      </c>
      <c r="I59" s="156">
        <v>0</v>
      </c>
      <c r="J59" s="156" t="s">
        <v>65</v>
      </c>
      <c r="K59" s="156" t="s">
        <v>65</v>
      </c>
      <c r="L59" s="156">
        <v>0</v>
      </c>
      <c r="M59" s="156" t="s">
        <v>65</v>
      </c>
      <c r="N59" s="156">
        <v>0</v>
      </c>
      <c r="O59" s="156" t="s">
        <v>65</v>
      </c>
    </row>
    <row r="60" spans="2:15" ht="18.75" customHeight="1" x14ac:dyDescent="0.35">
      <c r="B60" s="155" t="s">
        <v>118</v>
      </c>
      <c r="C60" s="155" t="s">
        <v>68</v>
      </c>
      <c r="D60" s="156" t="s">
        <v>65</v>
      </c>
      <c r="E60" s="156" t="s">
        <v>65</v>
      </c>
      <c r="F60" s="156" t="s">
        <v>65</v>
      </c>
      <c r="G60" s="156">
        <v>0</v>
      </c>
      <c r="H60" s="156" t="s">
        <v>65</v>
      </c>
      <c r="I60" s="156">
        <v>0</v>
      </c>
      <c r="J60" s="156" t="s">
        <v>65</v>
      </c>
      <c r="K60" s="156" t="s">
        <v>65</v>
      </c>
      <c r="L60" s="156">
        <v>0</v>
      </c>
      <c r="M60" s="156" t="s">
        <v>65</v>
      </c>
      <c r="N60" s="156">
        <v>0</v>
      </c>
      <c r="O60" s="156" t="s">
        <v>65</v>
      </c>
    </row>
    <row r="61" spans="2:15" ht="90.75" customHeight="1" x14ac:dyDescent="0.35">
      <c r="B61" s="155" t="s">
        <v>119</v>
      </c>
      <c r="C61" s="155" t="s">
        <v>68</v>
      </c>
      <c r="D61" s="156" t="s">
        <v>65</v>
      </c>
      <c r="E61" s="156" t="s">
        <v>65</v>
      </c>
      <c r="F61" s="156" t="s">
        <v>65</v>
      </c>
      <c r="G61" s="156">
        <v>0</v>
      </c>
      <c r="H61" s="156" t="s">
        <v>65</v>
      </c>
      <c r="I61" s="156">
        <v>0</v>
      </c>
      <c r="J61" s="156" t="s">
        <v>65</v>
      </c>
      <c r="K61" s="156" t="s">
        <v>65</v>
      </c>
      <c r="L61" s="156">
        <v>0</v>
      </c>
      <c r="M61" s="156" t="s">
        <v>65</v>
      </c>
      <c r="N61" s="156">
        <v>0</v>
      </c>
      <c r="O61" s="156" t="s">
        <v>65</v>
      </c>
    </row>
    <row r="62" spans="2:15" ht="27.75" customHeight="1" x14ac:dyDescent="0.35">
      <c r="B62" s="155" t="s">
        <v>120</v>
      </c>
      <c r="C62" s="155" t="s">
        <v>68</v>
      </c>
      <c r="D62" s="156" t="s">
        <v>65</v>
      </c>
      <c r="E62" s="156" t="s">
        <v>65</v>
      </c>
      <c r="F62" s="156" t="s">
        <v>65</v>
      </c>
      <c r="G62" s="156">
        <v>0</v>
      </c>
      <c r="H62" s="156" t="s">
        <v>65</v>
      </c>
      <c r="I62" s="156">
        <v>0</v>
      </c>
      <c r="J62" s="156" t="s">
        <v>65</v>
      </c>
      <c r="K62" s="156" t="s">
        <v>65</v>
      </c>
      <c r="L62" s="156">
        <v>0</v>
      </c>
      <c r="M62" s="156" t="s">
        <v>65</v>
      </c>
      <c r="N62" s="156">
        <v>0</v>
      </c>
      <c r="O62" s="156" t="s">
        <v>65</v>
      </c>
    </row>
    <row r="63" spans="2:15" ht="36.75" customHeight="1" x14ac:dyDescent="0.35">
      <c r="B63" s="155" t="s">
        <v>121</v>
      </c>
      <c r="C63" s="155" t="s">
        <v>68</v>
      </c>
      <c r="D63" s="156">
        <v>1</v>
      </c>
      <c r="E63" s="157">
        <v>5500000</v>
      </c>
      <c r="F63" s="157">
        <v>5500000</v>
      </c>
      <c r="G63" s="156">
        <v>0.34</v>
      </c>
      <c r="H63" s="157">
        <v>5500000</v>
      </c>
      <c r="I63" s="156">
        <v>0.34</v>
      </c>
      <c r="J63" s="156" t="s">
        <v>65</v>
      </c>
      <c r="K63" s="157">
        <v>5500000</v>
      </c>
      <c r="L63" s="156">
        <v>0.34</v>
      </c>
      <c r="M63" s="156" t="s">
        <v>65</v>
      </c>
      <c r="N63" s="156">
        <v>0</v>
      </c>
      <c r="O63" s="157">
        <v>5500000</v>
      </c>
    </row>
    <row r="64" spans="2:15" ht="45.75" customHeight="1" x14ac:dyDescent="0.35">
      <c r="B64" s="155" t="s">
        <v>122</v>
      </c>
      <c r="C64" s="155" t="s">
        <v>68</v>
      </c>
      <c r="D64" s="156">
        <v>1</v>
      </c>
      <c r="E64" s="157">
        <v>5245000</v>
      </c>
      <c r="F64" s="157">
        <v>5245000</v>
      </c>
      <c r="G64" s="156">
        <v>0.33</v>
      </c>
      <c r="H64" s="157">
        <v>5245000</v>
      </c>
      <c r="I64" s="156">
        <v>0.33</v>
      </c>
      <c r="J64" s="156" t="s">
        <v>65</v>
      </c>
      <c r="K64" s="157">
        <v>5245000</v>
      </c>
      <c r="L64" s="156">
        <v>0.33</v>
      </c>
      <c r="M64" s="156" t="s">
        <v>65</v>
      </c>
      <c r="N64" s="156">
        <v>0</v>
      </c>
      <c r="O64" s="157">
        <v>5245000</v>
      </c>
    </row>
    <row r="65" spans="2:15" ht="36.75" customHeight="1" x14ac:dyDescent="0.35">
      <c r="B65" s="155" t="s">
        <v>123</v>
      </c>
      <c r="C65" s="155" t="s">
        <v>68</v>
      </c>
      <c r="D65" s="156">
        <v>1</v>
      </c>
      <c r="E65" s="157">
        <v>4355000</v>
      </c>
      <c r="F65" s="157">
        <v>4355000</v>
      </c>
      <c r="G65" s="156">
        <v>0.27</v>
      </c>
      <c r="H65" s="157">
        <v>4355000</v>
      </c>
      <c r="I65" s="156">
        <v>0.27</v>
      </c>
      <c r="J65" s="156" t="s">
        <v>65</v>
      </c>
      <c r="K65" s="157">
        <v>4355000</v>
      </c>
      <c r="L65" s="156">
        <v>0.27</v>
      </c>
      <c r="M65" s="156" t="s">
        <v>65</v>
      </c>
      <c r="N65" s="156">
        <v>0</v>
      </c>
      <c r="O65" s="157">
        <v>4355000</v>
      </c>
    </row>
    <row r="66" spans="2:15" ht="36.75" customHeight="1" x14ac:dyDescent="0.35">
      <c r="B66" s="155" t="s">
        <v>124</v>
      </c>
      <c r="C66" s="155" t="s">
        <v>68</v>
      </c>
      <c r="D66" s="156">
        <v>1</v>
      </c>
      <c r="E66" s="157">
        <v>3379240</v>
      </c>
      <c r="F66" s="157">
        <v>3379240</v>
      </c>
      <c r="G66" s="156">
        <v>0.21</v>
      </c>
      <c r="H66" s="157">
        <v>3379240</v>
      </c>
      <c r="I66" s="156">
        <v>0.21</v>
      </c>
      <c r="J66" s="156" t="s">
        <v>65</v>
      </c>
      <c r="K66" s="157">
        <v>3379240</v>
      </c>
      <c r="L66" s="156">
        <v>0.21</v>
      </c>
      <c r="M66" s="156" t="s">
        <v>65</v>
      </c>
      <c r="N66" s="156">
        <v>0</v>
      </c>
      <c r="O66" s="157">
        <v>3379240</v>
      </c>
    </row>
    <row r="67" spans="2:15" ht="36.75" customHeight="1" x14ac:dyDescent="0.35">
      <c r="B67" s="155" t="s">
        <v>125</v>
      </c>
      <c r="C67" s="155" t="s">
        <v>68</v>
      </c>
      <c r="D67" s="156">
        <v>1</v>
      </c>
      <c r="E67" s="157">
        <v>3553700</v>
      </c>
      <c r="F67" s="157">
        <v>3553700</v>
      </c>
      <c r="G67" s="156">
        <v>0.22</v>
      </c>
      <c r="H67" s="157">
        <v>3553700</v>
      </c>
      <c r="I67" s="156">
        <v>0.22</v>
      </c>
      <c r="J67" s="156" t="s">
        <v>65</v>
      </c>
      <c r="K67" s="157">
        <v>3553700</v>
      </c>
      <c r="L67" s="156">
        <v>0.22</v>
      </c>
      <c r="M67" s="156" t="s">
        <v>65</v>
      </c>
      <c r="N67" s="156">
        <v>0</v>
      </c>
      <c r="O67" s="157">
        <v>3553700</v>
      </c>
    </row>
    <row r="68" spans="2:15" ht="45.75" customHeight="1" x14ac:dyDescent="0.35">
      <c r="B68" s="155" t="s">
        <v>126</v>
      </c>
      <c r="C68" s="155" t="s">
        <v>68</v>
      </c>
      <c r="D68" s="156">
        <v>1</v>
      </c>
      <c r="E68" s="157">
        <v>2382730</v>
      </c>
      <c r="F68" s="157">
        <v>2382730</v>
      </c>
      <c r="G68" s="156">
        <v>0.15</v>
      </c>
      <c r="H68" s="157">
        <v>2382730</v>
      </c>
      <c r="I68" s="156">
        <v>0.15</v>
      </c>
      <c r="J68" s="156" t="s">
        <v>65</v>
      </c>
      <c r="K68" s="157">
        <v>2382730</v>
      </c>
      <c r="L68" s="156">
        <v>0.15</v>
      </c>
      <c r="M68" s="156" t="s">
        <v>65</v>
      </c>
      <c r="N68" s="156">
        <v>0</v>
      </c>
      <c r="O68" s="157">
        <v>2382730</v>
      </c>
    </row>
    <row r="69" spans="2:15" ht="45.75" customHeight="1" x14ac:dyDescent="0.35">
      <c r="B69" s="155" t="s">
        <v>127</v>
      </c>
      <c r="C69" s="155" t="s">
        <v>68</v>
      </c>
      <c r="D69" s="156">
        <v>1</v>
      </c>
      <c r="E69" s="157">
        <v>2320190</v>
      </c>
      <c r="F69" s="157">
        <v>2320190</v>
      </c>
      <c r="G69" s="156">
        <v>0.14000000000000001</v>
      </c>
      <c r="H69" s="157">
        <v>2320190</v>
      </c>
      <c r="I69" s="156">
        <v>0.14000000000000001</v>
      </c>
      <c r="J69" s="156" t="s">
        <v>65</v>
      </c>
      <c r="K69" s="157">
        <v>2320190</v>
      </c>
      <c r="L69" s="156">
        <v>0.14000000000000001</v>
      </c>
      <c r="M69" s="156" t="s">
        <v>65</v>
      </c>
      <c r="N69" s="156">
        <v>0</v>
      </c>
      <c r="O69" s="157">
        <v>2320190</v>
      </c>
    </row>
    <row r="70" spans="2:15" ht="36.75" customHeight="1" x14ac:dyDescent="0.35">
      <c r="B70" s="155" t="s">
        <v>128</v>
      </c>
      <c r="C70" s="155" t="s">
        <v>68</v>
      </c>
      <c r="D70" s="156">
        <v>1</v>
      </c>
      <c r="E70" s="157">
        <v>1000</v>
      </c>
      <c r="F70" s="157">
        <v>1000</v>
      </c>
      <c r="G70" s="156">
        <v>0</v>
      </c>
      <c r="H70" s="157">
        <v>1000</v>
      </c>
      <c r="I70" s="156">
        <v>0</v>
      </c>
      <c r="J70" s="156" t="s">
        <v>65</v>
      </c>
      <c r="K70" s="157">
        <v>1000</v>
      </c>
      <c r="L70" s="156">
        <v>0</v>
      </c>
      <c r="M70" s="156" t="s">
        <v>65</v>
      </c>
      <c r="N70" s="156">
        <v>0</v>
      </c>
      <c r="O70" s="157">
        <v>1000</v>
      </c>
    </row>
    <row r="71" spans="2:15" ht="45.75" customHeight="1" x14ac:dyDescent="0.35">
      <c r="B71" s="155" t="s">
        <v>129</v>
      </c>
      <c r="C71" s="155" t="s">
        <v>68</v>
      </c>
      <c r="D71" s="156">
        <v>1</v>
      </c>
      <c r="E71" s="157">
        <v>1362620</v>
      </c>
      <c r="F71" s="157">
        <v>1362620</v>
      </c>
      <c r="G71" s="156">
        <v>0.09</v>
      </c>
      <c r="H71" s="157">
        <v>1362620</v>
      </c>
      <c r="I71" s="156">
        <v>0.09</v>
      </c>
      <c r="J71" s="156" t="s">
        <v>65</v>
      </c>
      <c r="K71" s="157">
        <v>1362620</v>
      </c>
      <c r="L71" s="156">
        <v>0.08</v>
      </c>
      <c r="M71" s="156" t="s">
        <v>65</v>
      </c>
      <c r="N71" s="156">
        <v>0</v>
      </c>
      <c r="O71" s="157">
        <v>1362620</v>
      </c>
    </row>
    <row r="72" spans="2:15" ht="45.75" customHeight="1" x14ac:dyDescent="0.35">
      <c r="B72" s="155" t="s">
        <v>130</v>
      </c>
      <c r="C72" s="155" t="s">
        <v>68</v>
      </c>
      <c r="D72" s="156">
        <v>1</v>
      </c>
      <c r="E72" s="157">
        <v>862610</v>
      </c>
      <c r="F72" s="157">
        <v>862610</v>
      </c>
      <c r="G72" s="156">
        <v>0.05</v>
      </c>
      <c r="H72" s="157">
        <v>862610</v>
      </c>
      <c r="I72" s="156">
        <v>0.05</v>
      </c>
      <c r="J72" s="156" t="s">
        <v>65</v>
      </c>
      <c r="K72" s="157">
        <v>862610</v>
      </c>
      <c r="L72" s="156">
        <v>0.05</v>
      </c>
      <c r="M72" s="156" t="s">
        <v>65</v>
      </c>
      <c r="N72" s="156">
        <v>0</v>
      </c>
      <c r="O72" s="157">
        <v>862610</v>
      </c>
    </row>
    <row r="73" spans="2:15" ht="45.75" customHeight="1" x14ac:dyDescent="0.35">
      <c r="B73" s="155" t="s">
        <v>131</v>
      </c>
      <c r="C73" s="155" t="s">
        <v>68</v>
      </c>
      <c r="D73" s="156">
        <v>1</v>
      </c>
      <c r="E73" s="157">
        <v>862610</v>
      </c>
      <c r="F73" s="157">
        <v>862610</v>
      </c>
      <c r="G73" s="156">
        <v>0.05</v>
      </c>
      <c r="H73" s="157">
        <v>862610</v>
      </c>
      <c r="I73" s="156">
        <v>0.05</v>
      </c>
      <c r="J73" s="156" t="s">
        <v>65</v>
      </c>
      <c r="K73" s="157">
        <v>862610</v>
      </c>
      <c r="L73" s="156">
        <v>0.05</v>
      </c>
      <c r="M73" s="156" t="s">
        <v>65</v>
      </c>
      <c r="N73" s="156">
        <v>0</v>
      </c>
      <c r="O73" s="157">
        <v>862610</v>
      </c>
    </row>
    <row r="74" spans="2:15" ht="45.75" customHeight="1" x14ac:dyDescent="0.35">
      <c r="B74" s="155" t="s">
        <v>132</v>
      </c>
      <c r="C74" s="155" t="s">
        <v>68</v>
      </c>
      <c r="D74" s="156">
        <v>1</v>
      </c>
      <c r="E74" s="157">
        <v>1362610</v>
      </c>
      <c r="F74" s="157">
        <v>1362610</v>
      </c>
      <c r="G74" s="156">
        <v>0.09</v>
      </c>
      <c r="H74" s="157">
        <v>1362610</v>
      </c>
      <c r="I74" s="156">
        <v>0.09</v>
      </c>
      <c r="J74" s="156" t="s">
        <v>65</v>
      </c>
      <c r="K74" s="157">
        <v>1362610</v>
      </c>
      <c r="L74" s="156">
        <v>0.08</v>
      </c>
      <c r="M74" s="156" t="s">
        <v>65</v>
      </c>
      <c r="N74" s="156">
        <v>0</v>
      </c>
      <c r="O74" s="157">
        <v>1362610</v>
      </c>
    </row>
    <row r="75" spans="2:15" ht="36.75" customHeight="1" x14ac:dyDescent="0.35">
      <c r="B75" s="155" t="s">
        <v>133</v>
      </c>
      <c r="C75" s="155" t="s">
        <v>68</v>
      </c>
      <c r="D75" s="156">
        <v>1</v>
      </c>
      <c r="E75" s="157">
        <v>944000</v>
      </c>
      <c r="F75" s="157">
        <v>944000</v>
      </c>
      <c r="G75" s="156">
        <v>0.06</v>
      </c>
      <c r="H75" s="157">
        <v>944000</v>
      </c>
      <c r="I75" s="156">
        <v>0.06</v>
      </c>
      <c r="J75" s="156" t="s">
        <v>65</v>
      </c>
      <c r="K75" s="157">
        <v>944000</v>
      </c>
      <c r="L75" s="156">
        <v>0.06</v>
      </c>
      <c r="M75" s="156" t="s">
        <v>65</v>
      </c>
      <c r="N75" s="156">
        <v>0</v>
      </c>
      <c r="O75" s="157">
        <v>944000</v>
      </c>
    </row>
    <row r="76" spans="2:15" ht="45.75" customHeight="1" x14ac:dyDescent="0.35">
      <c r="B76" s="155" t="s">
        <v>134</v>
      </c>
      <c r="C76" s="155" t="s">
        <v>68</v>
      </c>
      <c r="D76" s="156">
        <v>1</v>
      </c>
      <c r="E76" s="157">
        <v>944000</v>
      </c>
      <c r="F76" s="157">
        <v>944000</v>
      </c>
      <c r="G76" s="156">
        <v>0.06</v>
      </c>
      <c r="H76" s="157">
        <v>944000</v>
      </c>
      <c r="I76" s="156">
        <v>0.06</v>
      </c>
      <c r="J76" s="156" t="s">
        <v>65</v>
      </c>
      <c r="K76" s="157">
        <v>944000</v>
      </c>
      <c r="L76" s="156">
        <v>0.06</v>
      </c>
      <c r="M76" s="156" t="s">
        <v>65</v>
      </c>
      <c r="N76" s="156">
        <v>0</v>
      </c>
      <c r="O76" s="157">
        <v>944000</v>
      </c>
    </row>
    <row r="77" spans="2:15" ht="27.75" customHeight="1" x14ac:dyDescent="0.35">
      <c r="B77" s="155" t="s">
        <v>135</v>
      </c>
      <c r="C77" s="155" t="s">
        <v>68</v>
      </c>
      <c r="D77" s="156">
        <v>1</v>
      </c>
      <c r="E77" s="157">
        <v>1000000</v>
      </c>
      <c r="F77" s="157">
        <v>1000000</v>
      </c>
      <c r="G77" s="156">
        <v>0.06</v>
      </c>
      <c r="H77" s="157">
        <v>1000000</v>
      </c>
      <c r="I77" s="156">
        <v>0.06</v>
      </c>
      <c r="J77" s="156" t="s">
        <v>65</v>
      </c>
      <c r="K77" s="157">
        <v>1000000</v>
      </c>
      <c r="L77" s="156">
        <v>0.06</v>
      </c>
      <c r="M77" s="156" t="s">
        <v>65</v>
      </c>
      <c r="N77" s="156">
        <v>0</v>
      </c>
      <c r="O77" s="157">
        <v>1000000</v>
      </c>
    </row>
    <row r="78" spans="2:15" ht="45.75" customHeight="1" x14ac:dyDescent="0.35">
      <c r="B78" s="155" t="s">
        <v>136</v>
      </c>
      <c r="C78" s="155" t="s">
        <v>68</v>
      </c>
      <c r="D78" s="156">
        <v>1</v>
      </c>
      <c r="E78" s="157">
        <v>444000</v>
      </c>
      <c r="F78" s="157">
        <v>444000</v>
      </c>
      <c r="G78" s="156">
        <v>0.03</v>
      </c>
      <c r="H78" s="157">
        <v>444000</v>
      </c>
      <c r="I78" s="156">
        <v>0.03</v>
      </c>
      <c r="J78" s="156" t="s">
        <v>65</v>
      </c>
      <c r="K78" s="157">
        <v>444000</v>
      </c>
      <c r="L78" s="156">
        <v>0.03</v>
      </c>
      <c r="M78" s="156" t="s">
        <v>65</v>
      </c>
      <c r="N78" s="156">
        <v>0</v>
      </c>
      <c r="O78" s="157">
        <v>444000</v>
      </c>
    </row>
    <row r="79" spans="2:15" ht="45.75" customHeight="1" x14ac:dyDescent="0.35">
      <c r="B79" s="155" t="s">
        <v>137</v>
      </c>
      <c r="C79" s="155" t="s">
        <v>68</v>
      </c>
      <c r="D79" s="156">
        <v>1</v>
      </c>
      <c r="E79" s="157">
        <v>433000</v>
      </c>
      <c r="F79" s="157">
        <v>433000</v>
      </c>
      <c r="G79" s="156">
        <v>0.03</v>
      </c>
      <c r="H79" s="157">
        <v>433000</v>
      </c>
      <c r="I79" s="156">
        <v>0.03</v>
      </c>
      <c r="J79" s="156" t="s">
        <v>65</v>
      </c>
      <c r="K79" s="157">
        <v>433000</v>
      </c>
      <c r="L79" s="156">
        <v>0.03</v>
      </c>
      <c r="M79" s="156" t="s">
        <v>65</v>
      </c>
      <c r="N79" s="156">
        <v>0</v>
      </c>
      <c r="O79" s="157">
        <v>433000</v>
      </c>
    </row>
    <row r="80" spans="2:15" ht="36.75" customHeight="1" x14ac:dyDescent="0.35">
      <c r="B80" s="155" t="s">
        <v>138</v>
      </c>
      <c r="C80" s="155" t="s">
        <v>68</v>
      </c>
      <c r="D80" s="156">
        <v>1</v>
      </c>
      <c r="E80" s="157">
        <v>405000</v>
      </c>
      <c r="F80" s="157">
        <v>405000</v>
      </c>
      <c r="G80" s="156">
        <v>0.03</v>
      </c>
      <c r="H80" s="157">
        <v>405000</v>
      </c>
      <c r="I80" s="156">
        <v>0.03</v>
      </c>
      <c r="J80" s="156" t="s">
        <v>65</v>
      </c>
      <c r="K80" s="157">
        <v>405000</v>
      </c>
      <c r="L80" s="156">
        <v>0.03</v>
      </c>
      <c r="M80" s="156" t="s">
        <v>65</v>
      </c>
      <c r="N80" s="156">
        <v>0</v>
      </c>
      <c r="O80" s="157">
        <v>405000</v>
      </c>
    </row>
    <row r="81" spans="2:15" ht="36.75" customHeight="1" x14ac:dyDescent="0.35">
      <c r="B81" s="155" t="s">
        <v>139</v>
      </c>
      <c r="C81" s="155" t="s">
        <v>68</v>
      </c>
      <c r="D81" s="156">
        <v>1</v>
      </c>
      <c r="E81" s="157">
        <v>22000</v>
      </c>
      <c r="F81" s="157">
        <v>22000</v>
      </c>
      <c r="G81" s="156">
        <v>0</v>
      </c>
      <c r="H81" s="157">
        <v>22000</v>
      </c>
      <c r="I81" s="156">
        <v>0</v>
      </c>
      <c r="J81" s="156" t="s">
        <v>65</v>
      </c>
      <c r="K81" s="157">
        <v>22000</v>
      </c>
      <c r="L81" s="156">
        <v>0</v>
      </c>
      <c r="M81" s="156" t="s">
        <v>65</v>
      </c>
      <c r="N81" s="156">
        <v>0</v>
      </c>
      <c r="O81" s="157">
        <v>22000</v>
      </c>
    </row>
    <row r="82" spans="2:15" ht="18.75" customHeight="1" x14ac:dyDescent="0.35">
      <c r="B82" s="155" t="s">
        <v>140</v>
      </c>
      <c r="C82" s="155" t="s">
        <v>68</v>
      </c>
      <c r="D82" s="156">
        <v>1</v>
      </c>
      <c r="E82" s="157">
        <v>71000</v>
      </c>
      <c r="F82" s="157">
        <v>71000</v>
      </c>
      <c r="G82" s="156">
        <v>0</v>
      </c>
      <c r="H82" s="157">
        <v>71000</v>
      </c>
      <c r="I82" s="156">
        <v>0</v>
      </c>
      <c r="J82" s="156" t="s">
        <v>65</v>
      </c>
      <c r="K82" s="157">
        <v>71000</v>
      </c>
      <c r="L82" s="156">
        <v>0</v>
      </c>
      <c r="M82" s="156" t="s">
        <v>65</v>
      </c>
      <c r="N82" s="156">
        <v>0</v>
      </c>
      <c r="O82" s="157">
        <v>71000</v>
      </c>
    </row>
    <row r="83" spans="2:15" ht="36.75" customHeight="1" x14ac:dyDescent="0.35">
      <c r="B83" s="155" t="s">
        <v>141</v>
      </c>
      <c r="C83" s="155" t="s">
        <v>68</v>
      </c>
      <c r="D83" s="156" t="s">
        <v>65</v>
      </c>
      <c r="E83" s="156" t="s">
        <v>65</v>
      </c>
      <c r="F83" s="156" t="s">
        <v>65</v>
      </c>
      <c r="G83" s="156">
        <v>0</v>
      </c>
      <c r="H83" s="156" t="s">
        <v>65</v>
      </c>
      <c r="I83" s="156">
        <v>0</v>
      </c>
      <c r="J83" s="156" t="s">
        <v>65</v>
      </c>
      <c r="K83" s="156" t="s">
        <v>65</v>
      </c>
      <c r="L83" s="156">
        <v>0</v>
      </c>
      <c r="M83" s="156" t="s">
        <v>65</v>
      </c>
      <c r="N83" s="156">
        <v>0</v>
      </c>
      <c r="O83" s="156" t="s">
        <v>65</v>
      </c>
    </row>
    <row r="84" spans="2:15" ht="36.75" customHeight="1" x14ac:dyDescent="0.35">
      <c r="B84" s="155" t="s">
        <v>142</v>
      </c>
      <c r="C84" s="155" t="s">
        <v>68</v>
      </c>
      <c r="D84" s="156">
        <v>1</v>
      </c>
      <c r="E84" s="157">
        <v>11000</v>
      </c>
      <c r="F84" s="157">
        <v>11000</v>
      </c>
      <c r="G84" s="156">
        <v>0</v>
      </c>
      <c r="H84" s="157">
        <v>11000</v>
      </c>
      <c r="I84" s="156">
        <v>0</v>
      </c>
      <c r="J84" s="156" t="s">
        <v>65</v>
      </c>
      <c r="K84" s="157">
        <v>11000</v>
      </c>
      <c r="L84" s="156">
        <v>0</v>
      </c>
      <c r="M84" s="156" t="s">
        <v>65</v>
      </c>
      <c r="N84" s="156">
        <v>0</v>
      </c>
      <c r="O84" s="157">
        <v>11000</v>
      </c>
    </row>
    <row r="85" spans="2:15" ht="36.75" customHeight="1" x14ac:dyDescent="0.35">
      <c r="B85" s="155" t="s">
        <v>143</v>
      </c>
      <c r="C85" s="155" t="s">
        <v>68</v>
      </c>
      <c r="D85" s="156">
        <v>1</v>
      </c>
      <c r="E85" s="157">
        <v>11000</v>
      </c>
      <c r="F85" s="157">
        <v>11000</v>
      </c>
      <c r="G85" s="156">
        <v>0</v>
      </c>
      <c r="H85" s="157">
        <v>11000</v>
      </c>
      <c r="I85" s="156">
        <v>0</v>
      </c>
      <c r="J85" s="156" t="s">
        <v>65</v>
      </c>
      <c r="K85" s="157">
        <v>11000</v>
      </c>
      <c r="L85" s="156">
        <v>0</v>
      </c>
      <c r="M85" s="156" t="s">
        <v>65</v>
      </c>
      <c r="N85" s="156">
        <v>0</v>
      </c>
      <c r="O85" s="157">
        <v>11000</v>
      </c>
    </row>
    <row r="86" spans="2:15" ht="36.75" customHeight="1" x14ac:dyDescent="0.35">
      <c r="B86" s="155" t="s">
        <v>144</v>
      </c>
      <c r="C86" s="155" t="s">
        <v>68</v>
      </c>
      <c r="D86" s="156">
        <v>1</v>
      </c>
      <c r="E86" s="157">
        <v>11000</v>
      </c>
      <c r="F86" s="157">
        <v>11000</v>
      </c>
      <c r="G86" s="156">
        <v>0</v>
      </c>
      <c r="H86" s="157">
        <v>11000</v>
      </c>
      <c r="I86" s="156">
        <v>0</v>
      </c>
      <c r="J86" s="156" t="s">
        <v>65</v>
      </c>
      <c r="K86" s="157">
        <v>11000</v>
      </c>
      <c r="L86" s="156">
        <v>0</v>
      </c>
      <c r="M86" s="156" t="s">
        <v>65</v>
      </c>
      <c r="N86" s="156">
        <v>0</v>
      </c>
      <c r="O86" s="157">
        <v>11000</v>
      </c>
    </row>
    <row r="87" spans="2:15" ht="27.75" customHeight="1" x14ac:dyDescent="0.35">
      <c r="B87" s="155" t="s">
        <v>145</v>
      </c>
      <c r="C87" s="155" t="s">
        <v>68</v>
      </c>
      <c r="D87" s="156">
        <v>1</v>
      </c>
      <c r="E87" s="157">
        <v>1220</v>
      </c>
      <c r="F87" s="157">
        <v>1220</v>
      </c>
      <c r="G87" s="156">
        <v>0</v>
      </c>
      <c r="H87" s="157">
        <v>1220</v>
      </c>
      <c r="I87" s="156">
        <v>0</v>
      </c>
      <c r="J87" s="156" t="s">
        <v>65</v>
      </c>
      <c r="K87" s="157">
        <v>1220</v>
      </c>
      <c r="L87" s="156">
        <v>0</v>
      </c>
      <c r="M87" s="156" t="s">
        <v>65</v>
      </c>
      <c r="N87" s="156">
        <v>0</v>
      </c>
      <c r="O87" s="157">
        <v>1220</v>
      </c>
    </row>
    <row r="88" spans="2:15" ht="36.75" customHeight="1" x14ac:dyDescent="0.35">
      <c r="B88" s="155" t="s">
        <v>146</v>
      </c>
      <c r="C88" s="155" t="s">
        <v>68</v>
      </c>
      <c r="D88" s="156">
        <v>1</v>
      </c>
      <c r="E88" s="157">
        <v>1000</v>
      </c>
      <c r="F88" s="157">
        <v>1000</v>
      </c>
      <c r="G88" s="156">
        <v>0</v>
      </c>
      <c r="H88" s="157">
        <v>1000</v>
      </c>
      <c r="I88" s="156">
        <v>0</v>
      </c>
      <c r="J88" s="156" t="s">
        <v>65</v>
      </c>
      <c r="K88" s="157">
        <v>1000</v>
      </c>
      <c r="L88" s="156">
        <v>0</v>
      </c>
      <c r="M88" s="156" t="s">
        <v>65</v>
      </c>
      <c r="N88" s="156">
        <v>0</v>
      </c>
      <c r="O88" s="157">
        <v>1000</v>
      </c>
    </row>
    <row r="89" spans="2:15" ht="27.75" customHeight="1" x14ac:dyDescent="0.35">
      <c r="B89" s="155" t="s">
        <v>147</v>
      </c>
      <c r="C89" s="155" t="s">
        <v>68</v>
      </c>
      <c r="D89" s="156" t="s">
        <v>65</v>
      </c>
      <c r="E89" s="156" t="s">
        <v>65</v>
      </c>
      <c r="F89" s="156" t="s">
        <v>65</v>
      </c>
      <c r="G89" s="156">
        <v>0</v>
      </c>
      <c r="H89" s="156" t="s">
        <v>65</v>
      </c>
      <c r="I89" s="156">
        <v>0</v>
      </c>
      <c r="J89" s="156" t="s">
        <v>65</v>
      </c>
      <c r="K89" s="156" t="s">
        <v>65</v>
      </c>
      <c r="L89" s="156">
        <v>0</v>
      </c>
      <c r="M89" s="156" t="s">
        <v>65</v>
      </c>
      <c r="N89" s="156">
        <v>0</v>
      </c>
      <c r="O89" s="156" t="s">
        <v>65</v>
      </c>
    </row>
    <row r="90" spans="2:15" ht="36.75" customHeight="1" x14ac:dyDescent="0.35">
      <c r="B90" s="155" t="s">
        <v>148</v>
      </c>
      <c r="C90" s="155" t="s">
        <v>68</v>
      </c>
      <c r="D90" s="156" t="s">
        <v>65</v>
      </c>
      <c r="E90" s="156" t="s">
        <v>65</v>
      </c>
      <c r="F90" s="156" t="s">
        <v>65</v>
      </c>
      <c r="G90" s="156">
        <v>0</v>
      </c>
      <c r="H90" s="156" t="s">
        <v>65</v>
      </c>
      <c r="I90" s="156">
        <v>0</v>
      </c>
      <c r="J90" s="156" t="s">
        <v>65</v>
      </c>
      <c r="K90" s="156" t="s">
        <v>65</v>
      </c>
      <c r="L90" s="156">
        <v>0</v>
      </c>
      <c r="M90" s="156" t="s">
        <v>65</v>
      </c>
      <c r="N90" s="156">
        <v>0</v>
      </c>
      <c r="O90" s="156" t="s">
        <v>65</v>
      </c>
    </row>
    <row r="91" spans="2:15" ht="27.75" customHeight="1" x14ac:dyDescent="0.35">
      <c r="B91" s="155" t="s">
        <v>149</v>
      </c>
      <c r="C91" s="155" t="s">
        <v>68</v>
      </c>
      <c r="D91" s="156" t="s">
        <v>65</v>
      </c>
      <c r="E91" s="156" t="s">
        <v>65</v>
      </c>
      <c r="F91" s="156" t="s">
        <v>65</v>
      </c>
      <c r="G91" s="156">
        <v>0</v>
      </c>
      <c r="H91" s="156" t="s">
        <v>65</v>
      </c>
      <c r="I91" s="156">
        <v>0</v>
      </c>
      <c r="J91" s="156" t="s">
        <v>65</v>
      </c>
      <c r="K91" s="156" t="s">
        <v>65</v>
      </c>
      <c r="L91" s="156">
        <v>0</v>
      </c>
      <c r="M91" s="156" t="s">
        <v>65</v>
      </c>
      <c r="N91" s="156">
        <v>0</v>
      </c>
      <c r="O91" s="156" t="s">
        <v>65</v>
      </c>
    </row>
    <row r="92" spans="2:15" ht="27.75" customHeight="1" x14ac:dyDescent="0.35">
      <c r="B92" s="155" t="s">
        <v>150</v>
      </c>
      <c r="C92" s="155" t="s">
        <v>68</v>
      </c>
      <c r="D92" s="156" t="s">
        <v>65</v>
      </c>
      <c r="E92" s="156" t="s">
        <v>65</v>
      </c>
      <c r="F92" s="156" t="s">
        <v>65</v>
      </c>
      <c r="G92" s="156">
        <v>0</v>
      </c>
      <c r="H92" s="156" t="s">
        <v>65</v>
      </c>
      <c r="I92" s="156">
        <v>0</v>
      </c>
      <c r="J92" s="156" t="s">
        <v>65</v>
      </c>
      <c r="K92" s="156" t="s">
        <v>65</v>
      </c>
      <c r="L92" s="156">
        <v>0</v>
      </c>
      <c r="M92" s="156" t="s">
        <v>65</v>
      </c>
      <c r="N92" s="156">
        <v>0</v>
      </c>
      <c r="O92" s="156" t="s">
        <v>65</v>
      </c>
    </row>
    <row r="93" spans="2:15" ht="36.75" customHeight="1" x14ac:dyDescent="0.35">
      <c r="B93" s="155" t="s">
        <v>151</v>
      </c>
      <c r="C93" s="155" t="s">
        <v>68</v>
      </c>
      <c r="D93" s="156" t="s">
        <v>65</v>
      </c>
      <c r="E93" s="156" t="s">
        <v>65</v>
      </c>
      <c r="F93" s="156" t="s">
        <v>65</v>
      </c>
      <c r="G93" s="156">
        <v>0</v>
      </c>
      <c r="H93" s="156" t="s">
        <v>65</v>
      </c>
      <c r="I93" s="156">
        <v>0</v>
      </c>
      <c r="J93" s="156" t="s">
        <v>65</v>
      </c>
      <c r="K93" s="156" t="s">
        <v>65</v>
      </c>
      <c r="L93" s="156">
        <v>0</v>
      </c>
      <c r="M93" s="156" t="s">
        <v>65</v>
      </c>
      <c r="N93" s="156">
        <v>0</v>
      </c>
      <c r="O93" s="156" t="s">
        <v>65</v>
      </c>
    </row>
    <row r="94" spans="2:15" ht="36.75" customHeight="1" x14ac:dyDescent="0.35">
      <c r="B94" s="155" t="s">
        <v>152</v>
      </c>
      <c r="C94" s="155" t="s">
        <v>68</v>
      </c>
      <c r="D94" s="156" t="s">
        <v>65</v>
      </c>
      <c r="E94" s="156" t="s">
        <v>65</v>
      </c>
      <c r="F94" s="156" t="s">
        <v>65</v>
      </c>
      <c r="G94" s="156">
        <v>0</v>
      </c>
      <c r="H94" s="156" t="s">
        <v>65</v>
      </c>
      <c r="I94" s="156">
        <v>0</v>
      </c>
      <c r="J94" s="156" t="s">
        <v>65</v>
      </c>
      <c r="K94" s="156" t="s">
        <v>65</v>
      </c>
      <c r="L94" s="156">
        <v>0</v>
      </c>
      <c r="M94" s="156" t="s">
        <v>65</v>
      </c>
      <c r="N94" s="156">
        <v>0</v>
      </c>
      <c r="O94" s="156" t="s">
        <v>65</v>
      </c>
    </row>
    <row r="95" spans="2:15" ht="18.75" customHeight="1" x14ac:dyDescent="0.35">
      <c r="B95" s="155" t="s">
        <v>153</v>
      </c>
      <c r="C95" s="155" t="s">
        <v>68</v>
      </c>
      <c r="D95" s="156" t="s">
        <v>65</v>
      </c>
      <c r="E95" s="156" t="s">
        <v>65</v>
      </c>
      <c r="F95" s="156" t="s">
        <v>65</v>
      </c>
      <c r="G95" s="156">
        <v>0</v>
      </c>
      <c r="H95" s="156" t="s">
        <v>65</v>
      </c>
      <c r="I95" s="156">
        <v>0</v>
      </c>
      <c r="J95" s="156" t="s">
        <v>65</v>
      </c>
      <c r="K95" s="156" t="s">
        <v>65</v>
      </c>
      <c r="L95" s="156">
        <v>0</v>
      </c>
      <c r="M95" s="156" t="s">
        <v>65</v>
      </c>
      <c r="N95" s="156">
        <v>0</v>
      </c>
      <c r="O95" s="156" t="s">
        <v>65</v>
      </c>
    </row>
    <row r="96" spans="2:15" ht="18.75" customHeight="1" x14ac:dyDescent="0.35">
      <c r="B96" s="155" t="s">
        <v>154</v>
      </c>
      <c r="C96" s="155" t="s">
        <v>68</v>
      </c>
      <c r="D96" s="156" t="s">
        <v>65</v>
      </c>
      <c r="E96" s="156" t="s">
        <v>65</v>
      </c>
      <c r="F96" s="156" t="s">
        <v>65</v>
      </c>
      <c r="G96" s="156">
        <v>0</v>
      </c>
      <c r="H96" s="156" t="s">
        <v>65</v>
      </c>
      <c r="I96" s="156">
        <v>0</v>
      </c>
      <c r="J96" s="156" t="s">
        <v>65</v>
      </c>
      <c r="K96" s="156" t="s">
        <v>65</v>
      </c>
      <c r="L96" s="156">
        <v>0</v>
      </c>
      <c r="M96" s="156" t="s">
        <v>65</v>
      </c>
      <c r="N96" s="156">
        <v>0</v>
      </c>
      <c r="O96" s="156" t="s">
        <v>65</v>
      </c>
    </row>
    <row r="97" spans="2:15" ht="18.75" customHeight="1" x14ac:dyDescent="0.35">
      <c r="B97" s="155" t="s">
        <v>155</v>
      </c>
      <c r="C97" s="155" t="s">
        <v>68</v>
      </c>
      <c r="D97" s="156" t="s">
        <v>65</v>
      </c>
      <c r="E97" s="156" t="s">
        <v>65</v>
      </c>
      <c r="F97" s="156" t="s">
        <v>65</v>
      </c>
      <c r="G97" s="156">
        <v>0</v>
      </c>
      <c r="H97" s="156" t="s">
        <v>65</v>
      </c>
      <c r="I97" s="156">
        <v>0</v>
      </c>
      <c r="J97" s="156" t="s">
        <v>65</v>
      </c>
      <c r="K97" s="156" t="s">
        <v>65</v>
      </c>
      <c r="L97" s="156">
        <v>0</v>
      </c>
      <c r="M97" s="156" t="s">
        <v>65</v>
      </c>
      <c r="N97" s="156">
        <v>0</v>
      </c>
      <c r="O97" s="156" t="s">
        <v>65</v>
      </c>
    </row>
    <row r="98" spans="2:15" ht="18.75" customHeight="1" x14ac:dyDescent="0.35">
      <c r="B98" s="155" t="s">
        <v>156</v>
      </c>
      <c r="C98" s="155" t="s">
        <v>68</v>
      </c>
      <c r="D98" s="156" t="s">
        <v>65</v>
      </c>
      <c r="E98" s="156" t="s">
        <v>65</v>
      </c>
      <c r="F98" s="156" t="s">
        <v>65</v>
      </c>
      <c r="G98" s="156">
        <v>0</v>
      </c>
      <c r="H98" s="156" t="s">
        <v>65</v>
      </c>
      <c r="I98" s="156">
        <v>0</v>
      </c>
      <c r="J98" s="156" t="s">
        <v>65</v>
      </c>
      <c r="K98" s="156" t="s">
        <v>65</v>
      </c>
      <c r="L98" s="156">
        <v>0</v>
      </c>
      <c r="M98" s="156" t="s">
        <v>65</v>
      </c>
      <c r="N98" s="156">
        <v>0</v>
      </c>
      <c r="O98" s="156" t="s">
        <v>65</v>
      </c>
    </row>
    <row r="99" spans="2:15" ht="18.75" customHeight="1" x14ac:dyDescent="0.35">
      <c r="B99" s="155" t="s">
        <v>157</v>
      </c>
      <c r="C99" s="155" t="s">
        <v>68</v>
      </c>
      <c r="D99" s="156" t="s">
        <v>65</v>
      </c>
      <c r="E99" s="156" t="s">
        <v>65</v>
      </c>
      <c r="F99" s="156" t="s">
        <v>65</v>
      </c>
      <c r="G99" s="156">
        <v>0</v>
      </c>
      <c r="H99" s="156" t="s">
        <v>65</v>
      </c>
      <c r="I99" s="156">
        <v>0</v>
      </c>
      <c r="J99" s="156" t="s">
        <v>65</v>
      </c>
      <c r="K99" s="156" t="s">
        <v>65</v>
      </c>
      <c r="L99" s="156">
        <v>0</v>
      </c>
      <c r="M99" s="156" t="s">
        <v>65</v>
      </c>
      <c r="N99" s="156">
        <v>0</v>
      </c>
      <c r="O99" s="156" t="s">
        <v>65</v>
      </c>
    </row>
    <row r="100" spans="2:15" ht="18.75" customHeight="1" x14ac:dyDescent="0.35">
      <c r="B100" s="155" t="s">
        <v>158</v>
      </c>
      <c r="C100" s="155" t="s">
        <v>68</v>
      </c>
      <c r="D100" s="156" t="s">
        <v>65</v>
      </c>
      <c r="E100" s="156" t="s">
        <v>65</v>
      </c>
      <c r="F100" s="156" t="s">
        <v>65</v>
      </c>
      <c r="G100" s="156">
        <v>0</v>
      </c>
      <c r="H100" s="156" t="s">
        <v>65</v>
      </c>
      <c r="I100" s="156">
        <v>0</v>
      </c>
      <c r="J100" s="156" t="s">
        <v>65</v>
      </c>
      <c r="K100" s="156" t="s">
        <v>65</v>
      </c>
      <c r="L100" s="156">
        <v>0</v>
      </c>
      <c r="M100" s="156" t="s">
        <v>65</v>
      </c>
      <c r="N100" s="156">
        <v>0</v>
      </c>
      <c r="O100" s="156" t="s">
        <v>65</v>
      </c>
    </row>
    <row r="101" spans="2:15" ht="18.75" customHeight="1" x14ac:dyDescent="0.35">
      <c r="B101" s="155" t="s">
        <v>159</v>
      </c>
      <c r="C101" s="155" t="s">
        <v>68</v>
      </c>
      <c r="D101" s="156" t="s">
        <v>65</v>
      </c>
      <c r="E101" s="156" t="s">
        <v>65</v>
      </c>
      <c r="F101" s="156" t="s">
        <v>65</v>
      </c>
      <c r="G101" s="156">
        <v>0</v>
      </c>
      <c r="H101" s="156" t="s">
        <v>65</v>
      </c>
      <c r="I101" s="156">
        <v>0</v>
      </c>
      <c r="J101" s="156" t="s">
        <v>65</v>
      </c>
      <c r="K101" s="156" t="s">
        <v>65</v>
      </c>
      <c r="L101" s="156">
        <v>0</v>
      </c>
      <c r="M101" s="156" t="s">
        <v>65</v>
      </c>
      <c r="N101" s="156">
        <v>0</v>
      </c>
      <c r="O101" s="156" t="s">
        <v>65</v>
      </c>
    </row>
    <row r="102" spans="2:15" ht="18.75" customHeight="1" x14ac:dyDescent="0.35">
      <c r="B102" s="155" t="s">
        <v>160</v>
      </c>
      <c r="C102" s="155" t="s">
        <v>68</v>
      </c>
      <c r="D102" s="156" t="s">
        <v>65</v>
      </c>
      <c r="E102" s="156" t="s">
        <v>65</v>
      </c>
      <c r="F102" s="156" t="s">
        <v>65</v>
      </c>
      <c r="G102" s="156">
        <v>0</v>
      </c>
      <c r="H102" s="156" t="s">
        <v>65</v>
      </c>
      <c r="I102" s="156">
        <v>0</v>
      </c>
      <c r="J102" s="156" t="s">
        <v>65</v>
      </c>
      <c r="K102" s="156" t="s">
        <v>65</v>
      </c>
      <c r="L102" s="156">
        <v>0</v>
      </c>
      <c r="M102" s="156" t="s">
        <v>65</v>
      </c>
      <c r="N102" s="156">
        <v>0</v>
      </c>
      <c r="O102" s="156" t="s">
        <v>65</v>
      </c>
    </row>
    <row r="103" spans="2:15" ht="15" customHeight="1" x14ac:dyDescent="0.35">
      <c r="B103" s="155" t="s">
        <v>161</v>
      </c>
      <c r="C103" s="155"/>
      <c r="D103" s="156">
        <v>64</v>
      </c>
      <c r="E103" s="157">
        <v>939538370</v>
      </c>
      <c r="F103" s="157">
        <v>939538370</v>
      </c>
      <c r="G103" s="156">
        <v>58.7</v>
      </c>
      <c r="H103" s="157">
        <v>939538370</v>
      </c>
      <c r="I103" s="156">
        <v>58.7</v>
      </c>
      <c r="J103" s="156" t="s">
        <v>65</v>
      </c>
      <c r="K103" s="157">
        <v>939538370</v>
      </c>
      <c r="L103" s="156">
        <v>58.22</v>
      </c>
      <c r="M103" s="157">
        <v>100360</v>
      </c>
      <c r="N103" s="156">
        <v>0.01</v>
      </c>
      <c r="O103" s="157">
        <v>939538370</v>
      </c>
    </row>
    <row r="104" spans="2:15" ht="15" customHeight="1" x14ac:dyDescent="0.35">
      <c r="B104" s="155" t="s">
        <v>162</v>
      </c>
      <c r="C104" s="155"/>
      <c r="D104" s="156" t="s">
        <v>65</v>
      </c>
      <c r="E104" s="156" t="s">
        <v>65</v>
      </c>
      <c r="F104" s="156" t="s">
        <v>65</v>
      </c>
      <c r="G104" s="156">
        <v>0</v>
      </c>
      <c r="H104" s="156" t="s">
        <v>65</v>
      </c>
      <c r="I104" s="156">
        <v>0</v>
      </c>
      <c r="J104" s="156" t="s">
        <v>65</v>
      </c>
      <c r="K104" s="156" t="s">
        <v>65</v>
      </c>
      <c r="L104" s="156">
        <v>0</v>
      </c>
      <c r="M104" s="156" t="s">
        <v>65</v>
      </c>
      <c r="N104" s="156">
        <v>0</v>
      </c>
      <c r="O104" s="156" t="s">
        <v>65</v>
      </c>
    </row>
    <row r="105" spans="2:15" ht="45.75" customHeight="1" x14ac:dyDescent="0.35">
      <c r="B105" s="155" t="s">
        <v>163</v>
      </c>
      <c r="C105" s="155"/>
      <c r="D105" s="156">
        <v>1</v>
      </c>
      <c r="E105" s="157">
        <v>111330</v>
      </c>
      <c r="F105" s="157">
        <v>111330</v>
      </c>
      <c r="G105" s="156">
        <v>0.01</v>
      </c>
      <c r="H105" s="157">
        <v>111330</v>
      </c>
      <c r="I105" s="156">
        <v>0.01</v>
      </c>
      <c r="J105" s="156" t="s">
        <v>65</v>
      </c>
      <c r="K105" s="157">
        <v>111330</v>
      </c>
      <c r="L105" s="156">
        <v>0.01</v>
      </c>
      <c r="M105" s="156" t="s">
        <v>65</v>
      </c>
      <c r="N105" s="156">
        <v>0</v>
      </c>
      <c r="O105" s="157">
        <v>111330</v>
      </c>
    </row>
    <row r="106" spans="2:15" ht="18.75" customHeight="1" x14ac:dyDescent="0.35">
      <c r="B106" s="155" t="s">
        <v>164</v>
      </c>
      <c r="C106" s="155" t="s">
        <v>68</v>
      </c>
      <c r="D106" s="156">
        <v>1</v>
      </c>
      <c r="E106" s="157">
        <v>111330</v>
      </c>
      <c r="F106" s="157">
        <v>111330</v>
      </c>
      <c r="G106" s="156">
        <v>0.01</v>
      </c>
      <c r="H106" s="157">
        <v>111330</v>
      </c>
      <c r="I106" s="156">
        <v>0.01</v>
      </c>
      <c r="J106" s="156" t="s">
        <v>65</v>
      </c>
      <c r="K106" s="157">
        <v>111330</v>
      </c>
      <c r="L106" s="156">
        <v>0.01</v>
      </c>
      <c r="M106" s="156" t="s">
        <v>65</v>
      </c>
      <c r="N106" s="156">
        <v>0</v>
      </c>
      <c r="O106" s="157">
        <v>111330</v>
      </c>
    </row>
    <row r="107" spans="2:15" ht="15" customHeight="1" x14ac:dyDescent="0.35">
      <c r="B107" s="155" t="s">
        <v>165</v>
      </c>
      <c r="C107" s="155"/>
      <c r="D107" s="156">
        <v>1</v>
      </c>
      <c r="E107" s="157">
        <v>111330</v>
      </c>
      <c r="F107" s="157">
        <v>111330</v>
      </c>
      <c r="G107" s="156">
        <v>0.01</v>
      </c>
      <c r="H107" s="157">
        <v>111330</v>
      </c>
      <c r="I107" s="156">
        <v>0.01</v>
      </c>
      <c r="J107" s="156" t="s">
        <v>65</v>
      </c>
      <c r="K107" s="157">
        <v>111330</v>
      </c>
      <c r="L107" s="156">
        <v>0.01</v>
      </c>
      <c r="M107" s="156" t="s">
        <v>65</v>
      </c>
      <c r="N107" s="156">
        <v>0</v>
      </c>
      <c r="O107" s="157">
        <v>111330</v>
      </c>
    </row>
    <row r="108" spans="2:15" ht="15" customHeight="1" x14ac:dyDescent="0.35">
      <c r="B108" s="155" t="s">
        <v>166</v>
      </c>
      <c r="C108" s="155"/>
      <c r="D108" s="156">
        <v>65</v>
      </c>
      <c r="E108" s="157">
        <v>939649700</v>
      </c>
      <c r="F108" s="157">
        <v>939649700</v>
      </c>
      <c r="G108" s="156">
        <v>58.71</v>
      </c>
      <c r="H108" s="157">
        <v>939649700</v>
      </c>
      <c r="I108" s="156">
        <v>58.71</v>
      </c>
      <c r="J108" s="156" t="s">
        <v>65</v>
      </c>
      <c r="K108" s="157">
        <v>939649700</v>
      </c>
      <c r="L108" s="156">
        <v>58.23</v>
      </c>
      <c r="M108" s="157">
        <v>100360</v>
      </c>
      <c r="N108" s="156">
        <v>0.01</v>
      </c>
      <c r="O108" s="157">
        <v>939649700</v>
      </c>
    </row>
    <row r="109" spans="2:15" ht="15" customHeight="1" x14ac:dyDescent="0.35"/>
  </sheetData>
  <mergeCells count="19">
    <mergeCell ref="B1:O1"/>
    <mergeCell ref="F6:F8"/>
    <mergeCell ref="G6:G8"/>
    <mergeCell ref="H6:I6"/>
    <mergeCell ref="J6:J8"/>
    <mergeCell ref="K6:K8"/>
    <mergeCell ref="L6:L8"/>
    <mergeCell ref="M6:N6"/>
    <mergeCell ref="O6:O8"/>
    <mergeCell ref="H7:H8"/>
    <mergeCell ref="I7:I8"/>
    <mergeCell ref="M7:M8"/>
    <mergeCell ref="N7:N8"/>
    <mergeCell ref="B3:E3"/>
    <mergeCell ref="B5:C5"/>
    <mergeCell ref="B6:B8"/>
    <mergeCell ref="C6:C8"/>
    <mergeCell ref="D6:D8"/>
    <mergeCell ref="E6:E8"/>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66"/>
  <sheetViews>
    <sheetView showGridLines="0" zoomScale="82" zoomScaleNormal="91" workbookViewId="0">
      <selection activeCell="G4" sqref="G4"/>
    </sheetView>
  </sheetViews>
  <sheetFormatPr defaultColWidth="8.6328125" defaultRowHeight="14" x14ac:dyDescent="0.3"/>
  <cols>
    <col min="1" max="1" width="2.7265625" style="146" customWidth="1"/>
    <col min="2" max="2" width="8.6328125" style="146"/>
    <col min="3" max="3" width="8.7265625" style="146" bestFit="1" customWidth="1"/>
    <col min="4" max="5" width="12.54296875" style="146" bestFit="1" customWidth="1"/>
    <col min="6" max="6" width="8.7265625" style="146" bestFit="1" customWidth="1"/>
    <col min="7" max="7" width="12.54296875" style="146" bestFit="1" customWidth="1"/>
    <col min="8" max="8" width="8.7265625" style="146" bestFit="1" customWidth="1"/>
    <col min="9" max="9" width="12.54296875" style="146" bestFit="1" customWidth="1"/>
    <col min="10" max="10" width="8.7265625" style="146" bestFit="1" customWidth="1"/>
    <col min="11" max="11" width="12.54296875" style="146" bestFit="1" customWidth="1"/>
    <col min="12" max="16384" width="8.6328125" style="146"/>
  </cols>
  <sheetData>
    <row r="1" spans="2:14" ht="25" customHeight="1" thickBot="1" x14ac:dyDescent="0.35">
      <c r="B1" s="288" t="s">
        <v>167</v>
      </c>
      <c r="C1" s="289"/>
      <c r="D1" s="289"/>
      <c r="E1" s="289"/>
      <c r="F1" s="289"/>
      <c r="G1" s="289"/>
      <c r="H1" s="289"/>
      <c r="I1" s="289"/>
      <c r="J1" s="289"/>
      <c r="K1" s="289"/>
      <c r="L1" s="289"/>
      <c r="M1" s="289"/>
      <c r="N1" s="290"/>
    </row>
    <row r="2" spans="2:14" ht="14.25" customHeight="1" x14ac:dyDescent="0.3">
      <c r="B2" s="291"/>
      <c r="C2" s="291"/>
      <c r="D2" s="291"/>
      <c r="E2" s="291"/>
      <c r="F2" s="291"/>
      <c r="G2" s="291"/>
      <c r="H2" s="291"/>
      <c r="I2" s="291"/>
      <c r="J2" s="291"/>
      <c r="K2" s="291"/>
      <c r="L2" s="291"/>
      <c r="M2" s="291"/>
      <c r="N2" s="291"/>
    </row>
    <row r="3" spans="2:14" ht="14.25" customHeight="1" x14ac:dyDescent="0.3">
      <c r="B3" s="292" t="s">
        <v>44</v>
      </c>
      <c r="C3" s="292"/>
      <c r="D3" s="292"/>
      <c r="E3" s="292"/>
      <c r="F3" s="153"/>
      <c r="G3" s="153"/>
      <c r="H3" s="153"/>
      <c r="I3" s="153"/>
      <c r="J3" s="153"/>
      <c r="K3" s="153"/>
      <c r="L3" s="153"/>
      <c r="M3" s="153"/>
      <c r="N3" s="153"/>
    </row>
    <row r="4" spans="2:14" ht="43.5" customHeight="1" x14ac:dyDescent="0.3">
      <c r="B4" s="293" t="s">
        <v>45</v>
      </c>
      <c r="C4" s="293"/>
      <c r="D4" s="293"/>
      <c r="E4" s="159" t="s">
        <v>46</v>
      </c>
      <c r="F4" s="163"/>
      <c r="G4" s="153"/>
      <c r="H4" s="153"/>
      <c r="I4" s="153"/>
      <c r="J4" s="153"/>
      <c r="K4" s="153"/>
      <c r="L4" s="153"/>
      <c r="M4" s="153"/>
      <c r="N4" s="153"/>
    </row>
    <row r="5" spans="2:14" ht="14.25" customHeight="1" x14ac:dyDescent="0.3">
      <c r="B5" s="294"/>
      <c r="C5" s="294"/>
      <c r="D5" s="294"/>
      <c r="E5" s="294"/>
      <c r="F5" s="294"/>
      <c r="G5" s="294"/>
      <c r="H5" s="294"/>
      <c r="I5" s="294"/>
      <c r="J5" s="294"/>
      <c r="K5" s="294"/>
      <c r="L5" s="294"/>
      <c r="M5" s="294"/>
      <c r="N5" s="294"/>
    </row>
    <row r="6" spans="2:14" ht="14.25" customHeight="1" x14ac:dyDescent="0.3">
      <c r="B6" s="295" t="s">
        <v>168</v>
      </c>
      <c r="C6" s="295"/>
      <c r="D6" s="295"/>
      <c r="E6" s="295"/>
      <c r="F6" s="295"/>
      <c r="G6" s="295"/>
      <c r="H6" s="295"/>
      <c r="I6" s="295"/>
      <c r="J6" s="295"/>
      <c r="K6" s="295"/>
      <c r="L6" s="295"/>
      <c r="M6" s="295"/>
      <c r="N6" s="295"/>
    </row>
    <row r="7" spans="2:14" ht="14.25" customHeight="1" x14ac:dyDescent="0.3">
      <c r="B7" s="295"/>
      <c r="C7" s="295"/>
      <c r="D7" s="295"/>
      <c r="E7" s="295"/>
      <c r="F7" s="295"/>
      <c r="G7" s="295"/>
      <c r="H7" s="295"/>
      <c r="I7" s="295"/>
      <c r="J7" s="295"/>
      <c r="K7" s="295"/>
      <c r="L7" s="295"/>
      <c r="M7" s="295"/>
      <c r="N7" s="295"/>
    </row>
    <row r="8" spans="2:14" ht="79.5" customHeight="1" x14ac:dyDescent="0.3">
      <c r="B8" s="296" t="s">
        <v>169</v>
      </c>
      <c r="C8" s="286" t="s">
        <v>170</v>
      </c>
      <c r="D8" s="286" t="s">
        <v>51</v>
      </c>
      <c r="E8" s="286" t="s">
        <v>171</v>
      </c>
      <c r="F8" s="286" t="s">
        <v>172</v>
      </c>
      <c r="G8" s="286" t="s">
        <v>173</v>
      </c>
      <c r="H8" s="286" t="s">
        <v>174</v>
      </c>
      <c r="I8" s="286" t="s">
        <v>56</v>
      </c>
      <c r="J8" s="286" t="s">
        <v>57</v>
      </c>
      <c r="K8" s="286" t="s">
        <v>175</v>
      </c>
      <c r="L8" s="297" t="s">
        <v>176</v>
      </c>
      <c r="M8" s="297"/>
      <c r="N8" s="297"/>
    </row>
    <row r="9" spans="2:14" ht="15" customHeight="1" x14ac:dyDescent="0.3">
      <c r="B9" s="296"/>
      <c r="C9" s="286"/>
      <c r="D9" s="286"/>
      <c r="E9" s="286"/>
      <c r="F9" s="286"/>
      <c r="G9" s="286"/>
      <c r="H9" s="286"/>
      <c r="I9" s="286"/>
      <c r="J9" s="286"/>
      <c r="K9" s="286"/>
      <c r="L9" s="298" t="s">
        <v>177</v>
      </c>
      <c r="M9" s="298"/>
      <c r="N9" s="298"/>
    </row>
    <row r="10" spans="2:14" ht="19.5" customHeight="1" x14ac:dyDescent="0.3">
      <c r="B10" s="296"/>
      <c r="C10" s="286"/>
      <c r="D10" s="286"/>
      <c r="E10" s="286"/>
      <c r="F10" s="286"/>
      <c r="G10" s="286"/>
      <c r="H10" s="286"/>
      <c r="I10" s="286"/>
      <c r="J10" s="286"/>
      <c r="K10" s="286"/>
      <c r="L10" s="154" t="s">
        <v>178</v>
      </c>
      <c r="M10" s="154" t="s">
        <v>179</v>
      </c>
      <c r="N10" s="160" t="s">
        <v>180</v>
      </c>
    </row>
    <row r="11" spans="2:14" ht="28.5" customHeight="1" x14ac:dyDescent="0.3">
      <c r="B11" s="158" t="s">
        <v>181</v>
      </c>
      <c r="C11" s="159">
        <v>0</v>
      </c>
      <c r="D11" s="159">
        <v>0</v>
      </c>
      <c r="E11" s="159" t="s">
        <v>65</v>
      </c>
      <c r="F11" s="159">
        <v>0</v>
      </c>
      <c r="G11" s="159" t="s">
        <v>65</v>
      </c>
      <c r="H11" s="159">
        <v>0</v>
      </c>
      <c r="I11" s="159" t="s">
        <v>65</v>
      </c>
      <c r="J11" s="159">
        <v>0</v>
      </c>
      <c r="K11" s="159" t="s">
        <v>65</v>
      </c>
      <c r="L11" s="159" t="s">
        <v>65</v>
      </c>
      <c r="M11" s="159" t="s">
        <v>65</v>
      </c>
      <c r="N11" s="161" t="s">
        <v>65</v>
      </c>
    </row>
    <row r="12" spans="2:14" ht="72" customHeight="1" x14ac:dyDescent="0.3">
      <c r="B12" s="158" t="s">
        <v>182</v>
      </c>
      <c r="C12" s="159">
        <v>0</v>
      </c>
      <c r="D12" s="159">
        <v>0</v>
      </c>
      <c r="E12" s="159" t="s">
        <v>65</v>
      </c>
      <c r="F12" s="159">
        <v>0</v>
      </c>
      <c r="G12" s="159" t="s">
        <v>65</v>
      </c>
      <c r="H12" s="159">
        <v>0</v>
      </c>
      <c r="I12" s="159" t="s">
        <v>65</v>
      </c>
      <c r="J12" s="159">
        <v>0</v>
      </c>
      <c r="K12" s="159" t="s">
        <v>65</v>
      </c>
      <c r="L12" s="159" t="s">
        <v>65</v>
      </c>
      <c r="M12" s="159" t="s">
        <v>65</v>
      </c>
      <c r="N12" s="161" t="s">
        <v>65</v>
      </c>
    </row>
    <row r="13" spans="2:14" ht="28.5" customHeight="1" x14ac:dyDescent="0.3">
      <c r="B13" s="158" t="s">
        <v>183</v>
      </c>
      <c r="C13" s="159">
        <v>45</v>
      </c>
      <c r="D13" s="162">
        <v>133618938</v>
      </c>
      <c r="E13" s="162">
        <v>133618938</v>
      </c>
      <c r="F13" s="159">
        <v>8.35</v>
      </c>
      <c r="G13" s="162">
        <v>133618938</v>
      </c>
      <c r="H13" s="159">
        <v>8.35</v>
      </c>
      <c r="I13" s="162">
        <v>133618938</v>
      </c>
      <c r="J13" s="159">
        <v>8.2799999999999994</v>
      </c>
      <c r="K13" s="162">
        <v>133614688</v>
      </c>
      <c r="L13" s="159" t="s">
        <v>65</v>
      </c>
      <c r="M13" s="159" t="s">
        <v>65</v>
      </c>
      <c r="N13" s="161" t="s">
        <v>65</v>
      </c>
    </row>
    <row r="14" spans="2:14" ht="87" customHeight="1" x14ac:dyDescent="0.3">
      <c r="B14" s="158" t="s">
        <v>184</v>
      </c>
      <c r="C14" s="159">
        <v>1</v>
      </c>
      <c r="D14" s="162">
        <v>43986119</v>
      </c>
      <c r="E14" s="162">
        <v>43986119</v>
      </c>
      <c r="F14" s="159">
        <v>2.75</v>
      </c>
      <c r="G14" s="162">
        <v>43986119</v>
      </c>
      <c r="H14" s="159">
        <v>2.75</v>
      </c>
      <c r="I14" s="162">
        <v>43986119</v>
      </c>
      <c r="J14" s="159">
        <v>2.73</v>
      </c>
      <c r="K14" s="162">
        <v>43986119</v>
      </c>
      <c r="L14" s="159" t="s">
        <v>65</v>
      </c>
      <c r="M14" s="159" t="s">
        <v>65</v>
      </c>
      <c r="N14" s="161" t="s">
        <v>65</v>
      </c>
    </row>
    <row r="15" spans="2:14" ht="72" customHeight="1" x14ac:dyDescent="0.3">
      <c r="B15" s="158" t="s">
        <v>185</v>
      </c>
      <c r="C15" s="159">
        <v>1</v>
      </c>
      <c r="D15" s="162">
        <v>37482550</v>
      </c>
      <c r="E15" s="162">
        <v>37482550</v>
      </c>
      <c r="F15" s="159">
        <v>2.34</v>
      </c>
      <c r="G15" s="162">
        <v>37482550</v>
      </c>
      <c r="H15" s="159">
        <v>2.34</v>
      </c>
      <c r="I15" s="162">
        <v>37482550</v>
      </c>
      <c r="J15" s="159">
        <v>2.3199999999999998</v>
      </c>
      <c r="K15" s="162">
        <v>37482550</v>
      </c>
      <c r="L15" s="159" t="s">
        <v>65</v>
      </c>
      <c r="M15" s="159" t="s">
        <v>65</v>
      </c>
      <c r="N15" s="161" t="s">
        <v>65</v>
      </c>
    </row>
    <row r="16" spans="2:14" ht="43.5" customHeight="1" x14ac:dyDescent="0.3">
      <c r="B16" s="158" t="s">
        <v>186</v>
      </c>
      <c r="C16" s="159">
        <v>0</v>
      </c>
      <c r="D16" s="159">
        <v>0</v>
      </c>
      <c r="E16" s="159" t="s">
        <v>65</v>
      </c>
      <c r="F16" s="159">
        <v>0</v>
      </c>
      <c r="G16" s="159" t="s">
        <v>65</v>
      </c>
      <c r="H16" s="159">
        <v>0</v>
      </c>
      <c r="I16" s="159" t="s">
        <v>65</v>
      </c>
      <c r="J16" s="159">
        <v>0</v>
      </c>
      <c r="K16" s="159" t="s">
        <v>65</v>
      </c>
      <c r="L16" s="159" t="s">
        <v>65</v>
      </c>
      <c r="M16" s="159" t="s">
        <v>65</v>
      </c>
      <c r="N16" s="161" t="s">
        <v>65</v>
      </c>
    </row>
    <row r="17" spans="2:14" ht="43.5" customHeight="1" x14ac:dyDescent="0.3">
      <c r="B17" s="158" t="s">
        <v>187</v>
      </c>
      <c r="C17" s="159">
        <v>38</v>
      </c>
      <c r="D17" s="162">
        <v>4161839</v>
      </c>
      <c r="E17" s="162">
        <v>4161839</v>
      </c>
      <c r="F17" s="159">
        <v>0.26</v>
      </c>
      <c r="G17" s="162">
        <v>4161839</v>
      </c>
      <c r="H17" s="159">
        <v>0.26</v>
      </c>
      <c r="I17" s="162">
        <v>4161839</v>
      </c>
      <c r="J17" s="159">
        <v>0.26</v>
      </c>
      <c r="K17" s="162">
        <v>4161839</v>
      </c>
      <c r="L17" s="159" t="s">
        <v>65</v>
      </c>
      <c r="M17" s="159" t="s">
        <v>65</v>
      </c>
      <c r="N17" s="161" t="s">
        <v>65</v>
      </c>
    </row>
    <row r="18" spans="2:14" ht="14.25" customHeight="1" x14ac:dyDescent="0.3">
      <c r="B18" s="158" t="s">
        <v>188</v>
      </c>
      <c r="C18" s="159">
        <v>12</v>
      </c>
      <c r="D18" s="162">
        <v>717833</v>
      </c>
      <c r="E18" s="162">
        <v>717833</v>
      </c>
      <c r="F18" s="159">
        <v>0.04</v>
      </c>
      <c r="G18" s="162">
        <v>717833</v>
      </c>
      <c r="H18" s="159">
        <v>0.04</v>
      </c>
      <c r="I18" s="162">
        <v>717833</v>
      </c>
      <c r="J18" s="159">
        <v>0.04</v>
      </c>
      <c r="K18" s="162">
        <v>714433</v>
      </c>
      <c r="L18" s="159" t="s">
        <v>65</v>
      </c>
      <c r="M18" s="159" t="s">
        <v>65</v>
      </c>
      <c r="N18" s="161" t="s">
        <v>65</v>
      </c>
    </row>
    <row r="19" spans="2:14" ht="57.75" customHeight="1" x14ac:dyDescent="0.3">
      <c r="B19" s="158" t="s">
        <v>189</v>
      </c>
      <c r="C19" s="159">
        <v>24</v>
      </c>
      <c r="D19" s="162">
        <v>43707947</v>
      </c>
      <c r="E19" s="162">
        <v>43707947</v>
      </c>
      <c r="F19" s="159">
        <v>2.73</v>
      </c>
      <c r="G19" s="162">
        <v>43707947</v>
      </c>
      <c r="H19" s="159">
        <v>2.73</v>
      </c>
      <c r="I19" s="162">
        <v>43707947</v>
      </c>
      <c r="J19" s="159">
        <v>2.71</v>
      </c>
      <c r="K19" s="162">
        <v>43707947</v>
      </c>
      <c r="L19" s="159" t="s">
        <v>65</v>
      </c>
      <c r="M19" s="159" t="s">
        <v>65</v>
      </c>
      <c r="N19" s="161" t="s">
        <v>65</v>
      </c>
    </row>
    <row r="20" spans="2:14" ht="28.5" customHeight="1" x14ac:dyDescent="0.3">
      <c r="B20" s="158" t="s">
        <v>190</v>
      </c>
      <c r="C20" s="159">
        <v>1</v>
      </c>
      <c r="D20" s="162">
        <v>32557234</v>
      </c>
      <c r="E20" s="162">
        <v>32557234</v>
      </c>
      <c r="F20" s="159">
        <v>2.0299999999999998</v>
      </c>
      <c r="G20" s="162">
        <v>32557234</v>
      </c>
      <c r="H20" s="159">
        <v>2.0299999999999998</v>
      </c>
      <c r="I20" s="162">
        <v>32557234</v>
      </c>
      <c r="J20" s="159">
        <v>2.02</v>
      </c>
      <c r="K20" s="162">
        <v>32557234</v>
      </c>
      <c r="L20" s="159" t="s">
        <v>65</v>
      </c>
      <c r="M20" s="159" t="s">
        <v>65</v>
      </c>
      <c r="N20" s="161" t="s">
        <v>65</v>
      </c>
    </row>
    <row r="21" spans="2:14" ht="57.75" customHeight="1" x14ac:dyDescent="0.3">
      <c r="B21" s="158" t="s">
        <v>191</v>
      </c>
      <c r="C21" s="159">
        <v>1</v>
      </c>
      <c r="D21" s="162">
        <v>6079022</v>
      </c>
      <c r="E21" s="162">
        <v>6079022</v>
      </c>
      <c r="F21" s="159">
        <v>0.38</v>
      </c>
      <c r="G21" s="162">
        <v>6079022</v>
      </c>
      <c r="H21" s="159">
        <v>0.38</v>
      </c>
      <c r="I21" s="162">
        <v>6079022</v>
      </c>
      <c r="J21" s="159">
        <v>0.38</v>
      </c>
      <c r="K21" s="162">
        <v>6079022</v>
      </c>
      <c r="L21" s="159" t="s">
        <v>65</v>
      </c>
      <c r="M21" s="159" t="s">
        <v>65</v>
      </c>
      <c r="N21" s="161" t="s">
        <v>65</v>
      </c>
    </row>
    <row r="22" spans="2:14" ht="72" customHeight="1" x14ac:dyDescent="0.3">
      <c r="B22" s="158" t="s">
        <v>192</v>
      </c>
      <c r="C22" s="159">
        <v>0</v>
      </c>
      <c r="D22" s="159">
        <v>0</v>
      </c>
      <c r="E22" s="159" t="s">
        <v>65</v>
      </c>
      <c r="F22" s="159">
        <v>0</v>
      </c>
      <c r="G22" s="159" t="s">
        <v>65</v>
      </c>
      <c r="H22" s="159">
        <v>0</v>
      </c>
      <c r="I22" s="159" t="s">
        <v>65</v>
      </c>
      <c r="J22" s="159">
        <v>0</v>
      </c>
      <c r="K22" s="159" t="s">
        <v>65</v>
      </c>
      <c r="L22" s="159" t="s">
        <v>65</v>
      </c>
      <c r="M22" s="159" t="s">
        <v>65</v>
      </c>
      <c r="N22" s="161" t="s">
        <v>65</v>
      </c>
    </row>
    <row r="23" spans="2:14" ht="43.5" customHeight="1" x14ac:dyDescent="0.3">
      <c r="B23" s="158" t="s">
        <v>193</v>
      </c>
      <c r="C23" s="159">
        <v>0</v>
      </c>
      <c r="D23" s="159">
        <v>0</v>
      </c>
      <c r="E23" s="159" t="s">
        <v>65</v>
      </c>
      <c r="F23" s="159">
        <v>0</v>
      </c>
      <c r="G23" s="159" t="s">
        <v>65</v>
      </c>
      <c r="H23" s="159">
        <v>0</v>
      </c>
      <c r="I23" s="159" t="s">
        <v>65</v>
      </c>
      <c r="J23" s="159">
        <v>0</v>
      </c>
      <c r="K23" s="159" t="s">
        <v>65</v>
      </c>
      <c r="L23" s="159" t="s">
        <v>65</v>
      </c>
      <c r="M23" s="159" t="s">
        <v>65</v>
      </c>
      <c r="N23" s="161" t="s">
        <v>65</v>
      </c>
    </row>
    <row r="24" spans="2:14" ht="57.75" customHeight="1" x14ac:dyDescent="0.3">
      <c r="B24" s="158" t="s">
        <v>194</v>
      </c>
      <c r="C24" s="159">
        <v>6</v>
      </c>
      <c r="D24" s="162">
        <v>4821</v>
      </c>
      <c r="E24" s="162">
        <v>4821</v>
      </c>
      <c r="F24" s="159">
        <v>0</v>
      </c>
      <c r="G24" s="162">
        <v>4821</v>
      </c>
      <c r="H24" s="159">
        <v>0</v>
      </c>
      <c r="I24" s="162">
        <v>4821</v>
      </c>
      <c r="J24" s="159">
        <v>0</v>
      </c>
      <c r="K24" s="162">
        <v>4821</v>
      </c>
      <c r="L24" s="159" t="s">
        <v>65</v>
      </c>
      <c r="M24" s="159" t="s">
        <v>65</v>
      </c>
      <c r="N24" s="161" t="s">
        <v>65</v>
      </c>
    </row>
    <row r="25" spans="2:14" ht="57.75" customHeight="1" x14ac:dyDescent="0.3">
      <c r="B25" s="158" t="s">
        <v>195</v>
      </c>
      <c r="C25" s="159">
        <v>0</v>
      </c>
      <c r="D25" s="159">
        <v>0</v>
      </c>
      <c r="E25" s="159" t="s">
        <v>65</v>
      </c>
      <c r="F25" s="159">
        <v>0</v>
      </c>
      <c r="G25" s="159" t="s">
        <v>65</v>
      </c>
      <c r="H25" s="159">
        <v>0</v>
      </c>
      <c r="I25" s="159" t="s">
        <v>65</v>
      </c>
      <c r="J25" s="159">
        <v>0</v>
      </c>
      <c r="K25" s="159" t="s">
        <v>65</v>
      </c>
      <c r="L25" s="159" t="s">
        <v>65</v>
      </c>
      <c r="M25" s="159" t="s">
        <v>65</v>
      </c>
      <c r="N25" s="161" t="s">
        <v>65</v>
      </c>
    </row>
    <row r="26" spans="2:14" ht="72" customHeight="1" x14ac:dyDescent="0.3">
      <c r="B26" s="158" t="s">
        <v>196</v>
      </c>
      <c r="C26" s="159">
        <v>0</v>
      </c>
      <c r="D26" s="159">
        <v>0</v>
      </c>
      <c r="E26" s="159" t="s">
        <v>65</v>
      </c>
      <c r="F26" s="159">
        <v>0</v>
      </c>
      <c r="G26" s="159" t="s">
        <v>65</v>
      </c>
      <c r="H26" s="159">
        <v>0</v>
      </c>
      <c r="I26" s="159" t="s">
        <v>65</v>
      </c>
      <c r="J26" s="159">
        <v>0</v>
      </c>
      <c r="K26" s="159" t="s">
        <v>65</v>
      </c>
      <c r="L26" s="159" t="s">
        <v>65</v>
      </c>
      <c r="M26" s="159" t="s">
        <v>65</v>
      </c>
      <c r="N26" s="161" t="s">
        <v>65</v>
      </c>
    </row>
    <row r="27" spans="2:14" ht="28.5" customHeight="1" x14ac:dyDescent="0.3">
      <c r="B27" s="158" t="s">
        <v>197</v>
      </c>
      <c r="C27" s="159">
        <v>126</v>
      </c>
      <c r="D27" s="162">
        <v>188290400</v>
      </c>
      <c r="E27" s="162">
        <v>188290400</v>
      </c>
      <c r="F27" s="159">
        <v>11.76</v>
      </c>
      <c r="G27" s="162">
        <v>188290400</v>
      </c>
      <c r="H27" s="159">
        <v>11.76</v>
      </c>
      <c r="I27" s="162">
        <v>188290400</v>
      </c>
      <c r="J27" s="159">
        <v>11.67</v>
      </c>
      <c r="K27" s="162">
        <v>188282750</v>
      </c>
      <c r="L27" s="159" t="s">
        <v>65</v>
      </c>
      <c r="M27" s="159" t="s">
        <v>65</v>
      </c>
      <c r="N27" s="161" t="s">
        <v>65</v>
      </c>
    </row>
    <row r="28" spans="2:14" ht="57.75" customHeight="1" x14ac:dyDescent="0.3">
      <c r="B28" s="158" t="s">
        <v>198</v>
      </c>
      <c r="C28" s="159">
        <v>0</v>
      </c>
      <c r="D28" s="159">
        <v>0</v>
      </c>
      <c r="E28" s="159" t="s">
        <v>65</v>
      </c>
      <c r="F28" s="159">
        <v>0</v>
      </c>
      <c r="G28" s="159" t="s">
        <v>65</v>
      </c>
      <c r="H28" s="159">
        <v>0</v>
      </c>
      <c r="I28" s="159" t="s">
        <v>65</v>
      </c>
      <c r="J28" s="159">
        <v>0</v>
      </c>
      <c r="K28" s="159" t="s">
        <v>65</v>
      </c>
      <c r="L28" s="159" t="s">
        <v>65</v>
      </c>
      <c r="M28" s="159" t="s">
        <v>65</v>
      </c>
      <c r="N28" s="161" t="s">
        <v>65</v>
      </c>
    </row>
    <row r="29" spans="2:14" ht="57.75" customHeight="1" x14ac:dyDescent="0.3">
      <c r="B29" s="158" t="s">
        <v>199</v>
      </c>
      <c r="C29" s="159">
        <v>0</v>
      </c>
      <c r="D29" s="159">
        <v>0</v>
      </c>
      <c r="E29" s="159" t="s">
        <v>65</v>
      </c>
      <c r="F29" s="159">
        <v>0</v>
      </c>
      <c r="G29" s="159" t="s">
        <v>65</v>
      </c>
      <c r="H29" s="159">
        <v>0</v>
      </c>
      <c r="I29" s="159" t="s">
        <v>65</v>
      </c>
      <c r="J29" s="159">
        <v>0</v>
      </c>
      <c r="K29" s="159" t="s">
        <v>65</v>
      </c>
      <c r="L29" s="159" t="s">
        <v>65</v>
      </c>
      <c r="M29" s="159" t="s">
        <v>65</v>
      </c>
      <c r="N29" s="161" t="s">
        <v>65</v>
      </c>
    </row>
    <row r="30" spans="2:14" ht="57.75" customHeight="1" x14ac:dyDescent="0.3">
      <c r="B30" s="158" t="s">
        <v>200</v>
      </c>
      <c r="C30" s="159">
        <v>0</v>
      </c>
      <c r="D30" s="159">
        <v>0</v>
      </c>
      <c r="E30" s="159" t="s">
        <v>65</v>
      </c>
      <c r="F30" s="159">
        <v>0</v>
      </c>
      <c r="G30" s="159" t="s">
        <v>65</v>
      </c>
      <c r="H30" s="159">
        <v>0</v>
      </c>
      <c r="I30" s="159" t="s">
        <v>65</v>
      </c>
      <c r="J30" s="159">
        <v>0</v>
      </c>
      <c r="K30" s="159" t="s">
        <v>65</v>
      </c>
      <c r="L30" s="159" t="s">
        <v>65</v>
      </c>
      <c r="M30" s="159" t="s">
        <v>65</v>
      </c>
      <c r="N30" s="161" t="s">
        <v>65</v>
      </c>
    </row>
    <row r="31" spans="2:14" ht="43.5" customHeight="1" x14ac:dyDescent="0.3">
      <c r="B31" s="158" t="s">
        <v>193</v>
      </c>
      <c r="C31" s="159">
        <v>1</v>
      </c>
      <c r="D31" s="162">
        <v>1441972</v>
      </c>
      <c r="E31" s="162">
        <v>1441972</v>
      </c>
      <c r="F31" s="159">
        <v>0.09</v>
      </c>
      <c r="G31" s="162">
        <v>1441972</v>
      </c>
      <c r="H31" s="159">
        <v>0.09</v>
      </c>
      <c r="I31" s="162">
        <v>1441972</v>
      </c>
      <c r="J31" s="159">
        <v>0.09</v>
      </c>
      <c r="K31" s="162">
        <v>1441972</v>
      </c>
      <c r="L31" s="159" t="s">
        <v>65</v>
      </c>
      <c r="M31" s="159" t="s">
        <v>65</v>
      </c>
      <c r="N31" s="161" t="s">
        <v>65</v>
      </c>
    </row>
    <row r="32" spans="2:14" ht="72" customHeight="1" x14ac:dyDescent="0.3">
      <c r="B32" s="158" t="s">
        <v>201</v>
      </c>
      <c r="C32" s="159">
        <v>671</v>
      </c>
      <c r="D32" s="162">
        <v>110024008</v>
      </c>
      <c r="E32" s="162">
        <v>110024008</v>
      </c>
      <c r="F32" s="159">
        <v>6.87</v>
      </c>
      <c r="G32" s="162">
        <v>110024008</v>
      </c>
      <c r="H32" s="159">
        <v>6.87</v>
      </c>
      <c r="I32" s="162">
        <v>110024008</v>
      </c>
      <c r="J32" s="159">
        <v>6.82</v>
      </c>
      <c r="K32" s="162">
        <v>110024008</v>
      </c>
      <c r="L32" s="159" t="s">
        <v>65</v>
      </c>
      <c r="M32" s="159" t="s">
        <v>65</v>
      </c>
      <c r="N32" s="161" t="s">
        <v>65</v>
      </c>
    </row>
    <row r="33" spans="2:14" ht="72" customHeight="1" x14ac:dyDescent="0.3">
      <c r="B33" s="158" t="s">
        <v>202</v>
      </c>
      <c r="C33" s="159">
        <v>30</v>
      </c>
      <c r="D33" s="162">
        <v>4400044</v>
      </c>
      <c r="E33" s="162">
        <v>4400044</v>
      </c>
      <c r="F33" s="159">
        <v>0.27</v>
      </c>
      <c r="G33" s="162">
        <v>4400044</v>
      </c>
      <c r="H33" s="159">
        <v>0.27</v>
      </c>
      <c r="I33" s="162">
        <v>4400044</v>
      </c>
      <c r="J33" s="159">
        <v>0.27</v>
      </c>
      <c r="K33" s="162">
        <v>4400044</v>
      </c>
      <c r="L33" s="159" t="s">
        <v>65</v>
      </c>
      <c r="M33" s="159" t="s">
        <v>65</v>
      </c>
      <c r="N33" s="161" t="s">
        <v>65</v>
      </c>
    </row>
    <row r="34" spans="2:14" ht="101.25" customHeight="1" x14ac:dyDescent="0.3">
      <c r="B34" s="158" t="s">
        <v>203</v>
      </c>
      <c r="C34" s="159">
        <v>0</v>
      </c>
      <c r="D34" s="159">
        <v>0</v>
      </c>
      <c r="E34" s="159" t="s">
        <v>65</v>
      </c>
      <c r="F34" s="159">
        <v>0</v>
      </c>
      <c r="G34" s="159" t="s">
        <v>65</v>
      </c>
      <c r="H34" s="159">
        <v>0</v>
      </c>
      <c r="I34" s="159" t="s">
        <v>65</v>
      </c>
      <c r="J34" s="159">
        <v>0</v>
      </c>
      <c r="K34" s="159" t="s">
        <v>65</v>
      </c>
      <c r="L34" s="159" t="s">
        <v>65</v>
      </c>
      <c r="M34" s="159" t="s">
        <v>65</v>
      </c>
      <c r="N34" s="161" t="s">
        <v>65</v>
      </c>
    </row>
    <row r="35" spans="2:14" ht="72" customHeight="1" x14ac:dyDescent="0.3">
      <c r="B35" s="158" t="s">
        <v>204</v>
      </c>
      <c r="C35" s="159">
        <v>10</v>
      </c>
      <c r="D35" s="162">
        <v>27050</v>
      </c>
      <c r="E35" s="162">
        <v>27050</v>
      </c>
      <c r="F35" s="159">
        <v>0</v>
      </c>
      <c r="G35" s="162">
        <v>27050</v>
      </c>
      <c r="H35" s="159">
        <v>0</v>
      </c>
      <c r="I35" s="162">
        <v>27050</v>
      </c>
      <c r="J35" s="159">
        <v>0</v>
      </c>
      <c r="K35" s="162">
        <v>14000</v>
      </c>
      <c r="L35" s="159" t="s">
        <v>65</v>
      </c>
      <c r="M35" s="159" t="s">
        <v>65</v>
      </c>
      <c r="N35" s="161" t="s">
        <v>65</v>
      </c>
    </row>
    <row r="36" spans="2:14" ht="72" customHeight="1" x14ac:dyDescent="0.3">
      <c r="B36" s="158" t="s">
        <v>205</v>
      </c>
      <c r="C36" s="159">
        <v>5</v>
      </c>
      <c r="D36" s="162">
        <v>11500</v>
      </c>
      <c r="E36" s="162">
        <v>11500</v>
      </c>
      <c r="F36" s="159">
        <v>0</v>
      </c>
      <c r="G36" s="162">
        <v>11500</v>
      </c>
      <c r="H36" s="159">
        <v>0</v>
      </c>
      <c r="I36" s="162">
        <v>11500</v>
      </c>
      <c r="J36" s="159">
        <v>0</v>
      </c>
      <c r="K36" s="159" t="s">
        <v>65</v>
      </c>
      <c r="L36" s="159" t="s">
        <v>65</v>
      </c>
      <c r="M36" s="159" t="s">
        <v>65</v>
      </c>
      <c r="N36" s="161" t="s">
        <v>65</v>
      </c>
    </row>
    <row r="37" spans="2:14" ht="28.5" customHeight="1" x14ac:dyDescent="0.3">
      <c r="B37" s="158" t="s">
        <v>206</v>
      </c>
      <c r="C37" s="159">
        <v>5</v>
      </c>
      <c r="D37" s="162">
        <v>15550</v>
      </c>
      <c r="E37" s="162">
        <v>15550</v>
      </c>
      <c r="F37" s="159">
        <v>0</v>
      </c>
      <c r="G37" s="162">
        <v>15550</v>
      </c>
      <c r="H37" s="159">
        <v>0</v>
      </c>
      <c r="I37" s="162">
        <v>15550</v>
      </c>
      <c r="J37" s="159">
        <v>0</v>
      </c>
      <c r="K37" s="162">
        <v>14000</v>
      </c>
      <c r="L37" s="159" t="s">
        <v>65</v>
      </c>
      <c r="M37" s="159" t="s">
        <v>65</v>
      </c>
      <c r="N37" s="161" t="s">
        <v>65</v>
      </c>
    </row>
    <row r="38" spans="2:14" ht="28.5" customHeight="1" x14ac:dyDescent="0.3">
      <c r="B38" s="158" t="s">
        <v>207</v>
      </c>
      <c r="C38" s="159">
        <v>712</v>
      </c>
      <c r="D38" s="162">
        <v>115893074</v>
      </c>
      <c r="E38" s="162">
        <v>115893074</v>
      </c>
      <c r="F38" s="159">
        <v>7.24</v>
      </c>
      <c r="G38" s="162">
        <v>115893074</v>
      </c>
      <c r="H38" s="159">
        <v>7.24</v>
      </c>
      <c r="I38" s="162">
        <v>115893074</v>
      </c>
      <c r="J38" s="159">
        <v>7.18</v>
      </c>
      <c r="K38" s="162">
        <v>115880024</v>
      </c>
      <c r="L38" s="159" t="s">
        <v>65</v>
      </c>
      <c r="M38" s="159" t="s">
        <v>65</v>
      </c>
      <c r="N38" s="161" t="s">
        <v>65</v>
      </c>
    </row>
    <row r="39" spans="2:14" ht="130.5" customHeight="1" x14ac:dyDescent="0.3">
      <c r="B39" s="158" t="s">
        <v>208</v>
      </c>
      <c r="C39" s="159">
        <v>0</v>
      </c>
      <c r="D39" s="159">
        <v>0</v>
      </c>
      <c r="E39" s="159" t="s">
        <v>65</v>
      </c>
      <c r="F39" s="159">
        <v>0</v>
      </c>
      <c r="G39" s="159" t="s">
        <v>65</v>
      </c>
      <c r="H39" s="159">
        <v>0</v>
      </c>
      <c r="I39" s="159" t="s">
        <v>65</v>
      </c>
      <c r="J39" s="159">
        <v>0</v>
      </c>
      <c r="K39" s="159" t="s">
        <v>65</v>
      </c>
      <c r="L39" s="159" t="s">
        <v>65</v>
      </c>
      <c r="M39" s="159" t="s">
        <v>65</v>
      </c>
      <c r="N39" s="161" t="s">
        <v>65</v>
      </c>
    </row>
    <row r="40" spans="2:14" ht="72" customHeight="1" x14ac:dyDescent="0.3">
      <c r="B40" s="158" t="s">
        <v>209</v>
      </c>
      <c r="C40" s="159">
        <v>0</v>
      </c>
      <c r="D40" s="159">
        <v>0</v>
      </c>
      <c r="E40" s="159" t="s">
        <v>65</v>
      </c>
      <c r="F40" s="159">
        <v>0</v>
      </c>
      <c r="G40" s="159" t="s">
        <v>65</v>
      </c>
      <c r="H40" s="159">
        <v>0</v>
      </c>
      <c r="I40" s="159" t="s">
        <v>65</v>
      </c>
      <c r="J40" s="159">
        <v>0</v>
      </c>
      <c r="K40" s="159" t="s">
        <v>65</v>
      </c>
      <c r="L40" s="159" t="s">
        <v>65</v>
      </c>
      <c r="M40" s="159" t="s">
        <v>65</v>
      </c>
      <c r="N40" s="161" t="s">
        <v>65</v>
      </c>
    </row>
    <row r="41" spans="2:14" ht="72" customHeight="1" x14ac:dyDescent="0.3">
      <c r="B41" s="158" t="s">
        <v>210</v>
      </c>
      <c r="C41" s="159">
        <v>0</v>
      </c>
      <c r="D41" s="159">
        <v>0</v>
      </c>
      <c r="E41" s="159" t="s">
        <v>65</v>
      </c>
      <c r="F41" s="159">
        <v>0</v>
      </c>
      <c r="G41" s="159" t="s">
        <v>65</v>
      </c>
      <c r="H41" s="159">
        <v>0</v>
      </c>
      <c r="I41" s="159" t="s">
        <v>65</v>
      </c>
      <c r="J41" s="159">
        <v>0</v>
      </c>
      <c r="K41" s="159" t="s">
        <v>65</v>
      </c>
      <c r="L41" s="159" t="s">
        <v>65</v>
      </c>
      <c r="M41" s="159" t="s">
        <v>65</v>
      </c>
      <c r="N41" s="161" t="s">
        <v>65</v>
      </c>
    </row>
    <row r="42" spans="2:14" ht="188.25" customHeight="1" x14ac:dyDescent="0.3">
      <c r="B42" s="158" t="s">
        <v>211</v>
      </c>
      <c r="C42" s="159">
        <v>2</v>
      </c>
      <c r="D42" s="162">
        <v>4400</v>
      </c>
      <c r="E42" s="162">
        <v>4400</v>
      </c>
      <c r="F42" s="159">
        <v>0</v>
      </c>
      <c r="G42" s="162">
        <v>4400</v>
      </c>
      <c r="H42" s="159">
        <v>0</v>
      </c>
      <c r="I42" s="162">
        <v>4400</v>
      </c>
      <c r="J42" s="159">
        <v>0</v>
      </c>
      <c r="K42" s="162">
        <v>4400</v>
      </c>
      <c r="L42" s="159" t="s">
        <v>65</v>
      </c>
      <c r="M42" s="159" t="s">
        <v>65</v>
      </c>
      <c r="N42" s="161" t="s">
        <v>65</v>
      </c>
    </row>
    <row r="43" spans="2:14" ht="28.5" customHeight="1" x14ac:dyDescent="0.3">
      <c r="B43" s="158" t="s">
        <v>212</v>
      </c>
      <c r="C43" s="159">
        <v>2</v>
      </c>
      <c r="D43" s="162">
        <v>4400</v>
      </c>
      <c r="E43" s="162">
        <v>4400</v>
      </c>
      <c r="F43" s="159">
        <v>0</v>
      </c>
      <c r="G43" s="162">
        <v>4400</v>
      </c>
      <c r="H43" s="159">
        <v>0</v>
      </c>
      <c r="I43" s="162">
        <v>4400</v>
      </c>
      <c r="J43" s="159">
        <v>0</v>
      </c>
      <c r="K43" s="162">
        <v>4400</v>
      </c>
      <c r="L43" s="159" t="s">
        <v>65</v>
      </c>
      <c r="M43" s="159" t="s">
        <v>65</v>
      </c>
      <c r="N43" s="161" t="s">
        <v>65</v>
      </c>
    </row>
    <row r="44" spans="2:14" ht="43.5" customHeight="1" x14ac:dyDescent="0.3">
      <c r="B44" s="158" t="s">
        <v>213</v>
      </c>
      <c r="C44" s="159">
        <v>0</v>
      </c>
      <c r="D44" s="159">
        <v>0</v>
      </c>
      <c r="E44" s="159" t="s">
        <v>65</v>
      </c>
      <c r="F44" s="159">
        <v>0</v>
      </c>
      <c r="G44" s="159" t="s">
        <v>65</v>
      </c>
      <c r="H44" s="159">
        <v>0</v>
      </c>
      <c r="I44" s="159" t="s">
        <v>65</v>
      </c>
      <c r="J44" s="159">
        <v>0</v>
      </c>
      <c r="K44" s="159" t="s">
        <v>65</v>
      </c>
      <c r="L44" s="159" t="s">
        <v>65</v>
      </c>
      <c r="M44" s="159" t="s">
        <v>65</v>
      </c>
      <c r="N44" s="161" t="s">
        <v>65</v>
      </c>
    </row>
    <row r="45" spans="2:14" ht="72" customHeight="1" x14ac:dyDescent="0.3">
      <c r="B45" s="158" t="s">
        <v>214</v>
      </c>
      <c r="C45" s="159">
        <v>0</v>
      </c>
      <c r="D45" s="159">
        <v>0</v>
      </c>
      <c r="E45" s="159" t="s">
        <v>65</v>
      </c>
      <c r="F45" s="159">
        <v>0</v>
      </c>
      <c r="G45" s="159" t="s">
        <v>65</v>
      </c>
      <c r="H45" s="159">
        <v>0</v>
      </c>
      <c r="I45" s="159" t="s">
        <v>65</v>
      </c>
      <c r="J45" s="159">
        <v>0</v>
      </c>
      <c r="K45" s="159" t="s">
        <v>65</v>
      </c>
      <c r="L45" s="159" t="s">
        <v>65</v>
      </c>
      <c r="M45" s="159" t="s">
        <v>65</v>
      </c>
      <c r="N45" s="161" t="s">
        <v>65</v>
      </c>
    </row>
    <row r="46" spans="2:14" ht="174" customHeight="1" x14ac:dyDescent="0.3">
      <c r="B46" s="158" t="s">
        <v>215</v>
      </c>
      <c r="C46" s="159">
        <v>0</v>
      </c>
      <c r="D46" s="159">
        <v>0</v>
      </c>
      <c r="E46" s="159" t="s">
        <v>65</v>
      </c>
      <c r="F46" s="159">
        <v>0</v>
      </c>
      <c r="G46" s="159" t="s">
        <v>65</v>
      </c>
      <c r="H46" s="159">
        <v>0</v>
      </c>
      <c r="I46" s="162">
        <v>94680</v>
      </c>
      <c r="J46" s="159">
        <v>0.01</v>
      </c>
      <c r="K46" s="159" t="s">
        <v>65</v>
      </c>
      <c r="L46" s="159" t="s">
        <v>65</v>
      </c>
      <c r="M46" s="159" t="s">
        <v>65</v>
      </c>
      <c r="N46" s="161" t="s">
        <v>65</v>
      </c>
    </row>
    <row r="47" spans="2:14" ht="72" customHeight="1" x14ac:dyDescent="0.3">
      <c r="B47" s="158" t="s">
        <v>216</v>
      </c>
      <c r="C47" s="159">
        <v>1</v>
      </c>
      <c r="D47" s="162">
        <v>12420</v>
      </c>
      <c r="E47" s="162">
        <v>12420</v>
      </c>
      <c r="F47" s="159">
        <v>0</v>
      </c>
      <c r="G47" s="162">
        <v>12420</v>
      </c>
      <c r="H47" s="159">
        <v>0</v>
      </c>
      <c r="I47" s="162">
        <v>345326</v>
      </c>
      <c r="J47" s="159">
        <v>0.02</v>
      </c>
      <c r="K47" s="162">
        <v>12420</v>
      </c>
      <c r="L47" s="159" t="s">
        <v>65</v>
      </c>
      <c r="M47" s="159" t="s">
        <v>65</v>
      </c>
      <c r="N47" s="161" t="s">
        <v>65</v>
      </c>
    </row>
    <row r="48" spans="2:14" ht="261" customHeight="1" x14ac:dyDescent="0.3">
      <c r="B48" s="158" t="s">
        <v>217</v>
      </c>
      <c r="C48" s="159">
        <v>0</v>
      </c>
      <c r="D48" s="159">
        <v>0</v>
      </c>
      <c r="E48" s="159" t="s">
        <v>65</v>
      </c>
      <c r="F48" s="159">
        <v>0</v>
      </c>
      <c r="G48" s="159" t="s">
        <v>65</v>
      </c>
      <c r="H48" s="159">
        <v>0</v>
      </c>
      <c r="I48" s="159" t="s">
        <v>65</v>
      </c>
      <c r="J48" s="159">
        <v>0</v>
      </c>
      <c r="K48" s="159" t="s">
        <v>65</v>
      </c>
      <c r="L48" s="159" t="s">
        <v>65</v>
      </c>
      <c r="M48" s="159" t="s">
        <v>65</v>
      </c>
      <c r="N48" s="161" t="s">
        <v>65</v>
      </c>
    </row>
    <row r="49" spans="2:14" ht="261" customHeight="1" x14ac:dyDescent="0.3">
      <c r="B49" s="158" t="s">
        <v>218</v>
      </c>
      <c r="C49" s="159">
        <v>26</v>
      </c>
      <c r="D49" s="162">
        <v>78987400</v>
      </c>
      <c r="E49" s="162">
        <v>78987400</v>
      </c>
      <c r="F49" s="159">
        <v>4.9400000000000004</v>
      </c>
      <c r="G49" s="162">
        <v>78987400</v>
      </c>
      <c r="H49" s="159">
        <v>4.9400000000000004</v>
      </c>
      <c r="I49" s="162">
        <v>78987400</v>
      </c>
      <c r="J49" s="159">
        <v>4.8899999999999997</v>
      </c>
      <c r="K49" s="162">
        <v>78987400</v>
      </c>
      <c r="L49" s="159" t="s">
        <v>65</v>
      </c>
      <c r="M49" s="159" t="s">
        <v>65</v>
      </c>
      <c r="N49" s="161" t="s">
        <v>65</v>
      </c>
    </row>
    <row r="50" spans="2:14" ht="57.75" customHeight="1" x14ac:dyDescent="0.3">
      <c r="B50" s="158" t="s">
        <v>219</v>
      </c>
      <c r="C50" s="159">
        <v>1</v>
      </c>
      <c r="D50" s="162">
        <v>18299580</v>
      </c>
      <c r="E50" s="162">
        <v>18299580</v>
      </c>
      <c r="F50" s="159">
        <v>1.1399999999999999</v>
      </c>
      <c r="G50" s="162">
        <v>18299580</v>
      </c>
      <c r="H50" s="159">
        <v>1.1399999999999999</v>
      </c>
      <c r="I50" s="162">
        <v>18299580</v>
      </c>
      <c r="J50" s="159">
        <v>1.1299999999999999</v>
      </c>
      <c r="K50" s="162">
        <v>18299580</v>
      </c>
      <c r="L50" s="159" t="s">
        <v>65</v>
      </c>
      <c r="M50" s="159" t="s">
        <v>65</v>
      </c>
      <c r="N50" s="161" t="s">
        <v>65</v>
      </c>
    </row>
    <row r="51" spans="2:14" ht="87" customHeight="1" x14ac:dyDescent="0.3">
      <c r="B51" s="158" t="s">
        <v>220</v>
      </c>
      <c r="C51" s="159">
        <v>1</v>
      </c>
      <c r="D51" s="162">
        <v>1110617</v>
      </c>
      <c r="E51" s="162">
        <v>1110617</v>
      </c>
      <c r="F51" s="159">
        <v>7.0000000000000007E-2</v>
      </c>
      <c r="G51" s="162">
        <v>1110617</v>
      </c>
      <c r="H51" s="159">
        <v>7.0000000000000007E-2</v>
      </c>
      <c r="I51" s="162">
        <v>1110617</v>
      </c>
      <c r="J51" s="159">
        <v>7.0000000000000007E-2</v>
      </c>
      <c r="K51" s="162">
        <v>1110617</v>
      </c>
      <c r="L51" s="159" t="s">
        <v>65</v>
      </c>
      <c r="M51" s="159" t="s">
        <v>65</v>
      </c>
      <c r="N51" s="161" t="s">
        <v>65</v>
      </c>
    </row>
    <row r="52" spans="2:14" ht="130.5" customHeight="1" x14ac:dyDescent="0.3">
      <c r="B52" s="158" t="s">
        <v>221</v>
      </c>
      <c r="C52" s="162">
        <v>569551</v>
      </c>
      <c r="D52" s="162">
        <v>101515990</v>
      </c>
      <c r="E52" s="162">
        <v>101515990</v>
      </c>
      <c r="F52" s="159">
        <v>6.34</v>
      </c>
      <c r="G52" s="162">
        <v>101515990</v>
      </c>
      <c r="H52" s="159">
        <v>6.34</v>
      </c>
      <c r="I52" s="162">
        <v>101515990</v>
      </c>
      <c r="J52" s="159">
        <v>6.29</v>
      </c>
      <c r="K52" s="162">
        <v>98698960</v>
      </c>
      <c r="L52" s="159" t="s">
        <v>65</v>
      </c>
      <c r="M52" s="159" t="s">
        <v>65</v>
      </c>
      <c r="N52" s="161" t="s">
        <v>65</v>
      </c>
    </row>
    <row r="53" spans="2:14" ht="144.75" customHeight="1" x14ac:dyDescent="0.3">
      <c r="B53" s="158" t="s">
        <v>222</v>
      </c>
      <c r="C53" s="159">
        <v>86</v>
      </c>
      <c r="D53" s="162">
        <v>49379435</v>
      </c>
      <c r="E53" s="162">
        <v>49379435</v>
      </c>
      <c r="F53" s="159">
        <v>3.09</v>
      </c>
      <c r="G53" s="162">
        <v>49379435</v>
      </c>
      <c r="H53" s="159">
        <v>3.09</v>
      </c>
      <c r="I53" s="162">
        <v>49379435</v>
      </c>
      <c r="J53" s="159">
        <v>3.06</v>
      </c>
      <c r="K53" s="162">
        <v>48554655</v>
      </c>
      <c r="L53" s="159" t="s">
        <v>65</v>
      </c>
      <c r="M53" s="159" t="s">
        <v>65</v>
      </c>
      <c r="N53" s="161" t="s">
        <v>65</v>
      </c>
    </row>
    <row r="54" spans="2:14" ht="57.75" customHeight="1" x14ac:dyDescent="0.3">
      <c r="B54" s="158" t="s">
        <v>223</v>
      </c>
      <c r="C54" s="162">
        <v>11806</v>
      </c>
      <c r="D54" s="162">
        <v>14482500</v>
      </c>
      <c r="E54" s="162">
        <v>14482500</v>
      </c>
      <c r="F54" s="159">
        <v>0.9</v>
      </c>
      <c r="G54" s="162">
        <v>14482500</v>
      </c>
      <c r="H54" s="159">
        <v>0.9</v>
      </c>
      <c r="I54" s="162">
        <v>14482500</v>
      </c>
      <c r="J54" s="159">
        <v>0.9</v>
      </c>
      <c r="K54" s="162">
        <v>14384800</v>
      </c>
      <c r="L54" s="159" t="s">
        <v>65</v>
      </c>
      <c r="M54" s="159" t="s">
        <v>65</v>
      </c>
      <c r="N54" s="161" t="s">
        <v>65</v>
      </c>
    </row>
    <row r="55" spans="2:14" ht="28.5" customHeight="1" x14ac:dyDescent="0.3">
      <c r="B55" s="158" t="s">
        <v>224</v>
      </c>
      <c r="C55" s="159">
        <v>1</v>
      </c>
      <c r="D55" s="162">
        <v>102182</v>
      </c>
      <c r="E55" s="162">
        <v>102182</v>
      </c>
      <c r="F55" s="159">
        <v>0.01</v>
      </c>
      <c r="G55" s="162">
        <v>102182</v>
      </c>
      <c r="H55" s="159">
        <v>0.01</v>
      </c>
      <c r="I55" s="162">
        <v>102182</v>
      </c>
      <c r="J55" s="159">
        <v>0.01</v>
      </c>
      <c r="K55" s="162">
        <v>102182</v>
      </c>
      <c r="L55" s="159" t="s">
        <v>65</v>
      </c>
      <c r="M55" s="159" t="s">
        <v>65</v>
      </c>
      <c r="N55" s="161" t="s">
        <v>65</v>
      </c>
    </row>
    <row r="56" spans="2:14" ht="43.5" customHeight="1" x14ac:dyDescent="0.3">
      <c r="B56" s="158" t="s">
        <v>225</v>
      </c>
      <c r="C56" s="159">
        <v>1</v>
      </c>
      <c r="D56" s="159">
        <v>74</v>
      </c>
      <c r="E56" s="159">
        <v>74</v>
      </c>
      <c r="F56" s="159">
        <v>0</v>
      </c>
      <c r="G56" s="159">
        <v>74</v>
      </c>
      <c r="H56" s="159">
        <v>0</v>
      </c>
      <c r="I56" s="159">
        <v>74</v>
      </c>
      <c r="J56" s="159">
        <v>0</v>
      </c>
      <c r="K56" s="159">
        <v>74</v>
      </c>
      <c r="L56" s="159" t="s">
        <v>65</v>
      </c>
      <c r="M56" s="159" t="s">
        <v>65</v>
      </c>
      <c r="N56" s="161" t="s">
        <v>65</v>
      </c>
    </row>
    <row r="57" spans="2:14" ht="43.5" customHeight="1" x14ac:dyDescent="0.3">
      <c r="B57" s="158" t="s">
        <v>226</v>
      </c>
      <c r="C57" s="162">
        <v>2270</v>
      </c>
      <c r="D57" s="162">
        <v>82466473</v>
      </c>
      <c r="E57" s="162">
        <v>82466473</v>
      </c>
      <c r="F57" s="159">
        <v>5.15</v>
      </c>
      <c r="G57" s="162">
        <v>82466473</v>
      </c>
      <c r="H57" s="159">
        <v>5.15</v>
      </c>
      <c r="I57" s="162">
        <v>82466473</v>
      </c>
      <c r="J57" s="159">
        <v>5.1100000000000003</v>
      </c>
      <c r="K57" s="162">
        <v>82442973</v>
      </c>
      <c r="L57" s="159" t="s">
        <v>65</v>
      </c>
      <c r="M57" s="159" t="s">
        <v>65</v>
      </c>
      <c r="N57" s="161" t="s">
        <v>65</v>
      </c>
    </row>
    <row r="58" spans="2:14" ht="87" customHeight="1" x14ac:dyDescent="0.3">
      <c r="B58" s="158" t="s">
        <v>227</v>
      </c>
      <c r="C58" s="159">
        <v>1</v>
      </c>
      <c r="D58" s="162">
        <v>62742450</v>
      </c>
      <c r="E58" s="162">
        <v>62742450</v>
      </c>
      <c r="F58" s="159">
        <v>3.92</v>
      </c>
      <c r="G58" s="162">
        <v>62742450</v>
      </c>
      <c r="H58" s="159">
        <v>3.92</v>
      </c>
      <c r="I58" s="162">
        <v>62742450</v>
      </c>
      <c r="J58" s="159">
        <v>3.89</v>
      </c>
      <c r="K58" s="162">
        <v>62742450</v>
      </c>
      <c r="L58" s="159" t="s">
        <v>65</v>
      </c>
      <c r="M58" s="159" t="s">
        <v>65</v>
      </c>
      <c r="N58" s="161" t="s">
        <v>65</v>
      </c>
    </row>
    <row r="59" spans="2:14" ht="43.5" customHeight="1" x14ac:dyDescent="0.3">
      <c r="B59" s="158" t="s">
        <v>96</v>
      </c>
      <c r="C59" s="162">
        <v>16808</v>
      </c>
      <c r="D59" s="162">
        <v>26613648</v>
      </c>
      <c r="E59" s="162">
        <v>26613648</v>
      </c>
      <c r="F59" s="159">
        <v>1.66</v>
      </c>
      <c r="G59" s="162">
        <v>26613648</v>
      </c>
      <c r="H59" s="159">
        <v>1.66</v>
      </c>
      <c r="I59" s="162">
        <v>39404306</v>
      </c>
      <c r="J59" s="159">
        <v>2.44</v>
      </c>
      <c r="K59" s="162">
        <v>26613598</v>
      </c>
      <c r="L59" s="159" t="s">
        <v>65</v>
      </c>
      <c r="M59" s="159" t="s">
        <v>65</v>
      </c>
      <c r="N59" s="161" t="s">
        <v>65</v>
      </c>
    </row>
    <row r="60" spans="2:14" ht="28.5" customHeight="1" x14ac:dyDescent="0.3">
      <c r="B60" s="158" t="s">
        <v>228</v>
      </c>
      <c r="C60" s="159">
        <v>30</v>
      </c>
      <c r="D60" s="162">
        <v>3751155</v>
      </c>
      <c r="E60" s="162">
        <v>3751155</v>
      </c>
      <c r="F60" s="159">
        <v>0.23</v>
      </c>
      <c r="G60" s="162">
        <v>3751155</v>
      </c>
      <c r="H60" s="159">
        <v>0.23</v>
      </c>
      <c r="I60" s="162">
        <v>13500332</v>
      </c>
      <c r="J60" s="159">
        <v>0.84</v>
      </c>
      <c r="K60" s="162">
        <v>3751155</v>
      </c>
      <c r="L60" s="159" t="s">
        <v>65</v>
      </c>
      <c r="M60" s="159" t="s">
        <v>65</v>
      </c>
      <c r="N60" s="161" t="s">
        <v>65</v>
      </c>
    </row>
    <row r="61" spans="2:14" ht="43.5" customHeight="1" x14ac:dyDescent="0.3">
      <c r="B61" s="158" t="s">
        <v>229</v>
      </c>
      <c r="C61" s="159">
        <v>0</v>
      </c>
      <c r="D61" s="159">
        <v>0</v>
      </c>
      <c r="E61" s="159" t="s">
        <v>65</v>
      </c>
      <c r="F61" s="159">
        <v>0</v>
      </c>
      <c r="G61" s="159" t="s">
        <v>65</v>
      </c>
      <c r="H61" s="159">
        <v>0</v>
      </c>
      <c r="I61" s="162">
        <v>3041481</v>
      </c>
      <c r="J61" s="159">
        <v>0.19</v>
      </c>
      <c r="K61" s="159" t="s">
        <v>65</v>
      </c>
      <c r="L61" s="159" t="s">
        <v>65</v>
      </c>
      <c r="M61" s="159" t="s">
        <v>65</v>
      </c>
      <c r="N61" s="161" t="s">
        <v>65</v>
      </c>
    </row>
    <row r="62" spans="2:14" ht="14.25" customHeight="1" x14ac:dyDescent="0.3">
      <c r="B62" s="158" t="s">
        <v>230</v>
      </c>
      <c r="C62" s="159">
        <v>49</v>
      </c>
      <c r="D62" s="162">
        <v>17607621</v>
      </c>
      <c r="E62" s="162">
        <v>17607621</v>
      </c>
      <c r="F62" s="159">
        <v>1.1000000000000001</v>
      </c>
      <c r="G62" s="162">
        <v>17607621</v>
      </c>
      <c r="H62" s="159">
        <v>1.1000000000000001</v>
      </c>
      <c r="I62" s="162">
        <v>17607621</v>
      </c>
      <c r="J62" s="159">
        <v>1.0900000000000001</v>
      </c>
      <c r="K62" s="162">
        <v>17607621</v>
      </c>
      <c r="L62" s="159" t="s">
        <v>65</v>
      </c>
      <c r="M62" s="159" t="s">
        <v>65</v>
      </c>
      <c r="N62" s="161" t="s">
        <v>65</v>
      </c>
    </row>
    <row r="63" spans="2:14" ht="14.25" customHeight="1" x14ac:dyDescent="0.3">
      <c r="B63" s="158" t="s">
        <v>231</v>
      </c>
      <c r="C63" s="162">
        <v>16723</v>
      </c>
      <c r="D63" s="162">
        <v>5185240</v>
      </c>
      <c r="E63" s="162">
        <v>5185240</v>
      </c>
      <c r="F63" s="159">
        <v>0.32</v>
      </c>
      <c r="G63" s="162">
        <v>5185240</v>
      </c>
      <c r="H63" s="159">
        <v>0.32</v>
      </c>
      <c r="I63" s="162">
        <v>5185240</v>
      </c>
      <c r="J63" s="159">
        <v>0.32</v>
      </c>
      <c r="K63" s="162">
        <v>5185190</v>
      </c>
      <c r="L63" s="159" t="s">
        <v>65</v>
      </c>
      <c r="M63" s="159" t="s">
        <v>65</v>
      </c>
      <c r="N63" s="161" t="s">
        <v>65</v>
      </c>
    </row>
    <row r="64" spans="2:14" ht="43.5" customHeight="1" x14ac:dyDescent="0.3">
      <c r="B64" s="158" t="s">
        <v>232</v>
      </c>
      <c r="C64" s="159">
        <v>6</v>
      </c>
      <c r="D64" s="162">
        <v>69632</v>
      </c>
      <c r="E64" s="162">
        <v>69632</v>
      </c>
      <c r="F64" s="159">
        <v>0</v>
      </c>
      <c r="G64" s="162">
        <v>69632</v>
      </c>
      <c r="H64" s="159">
        <v>0</v>
      </c>
      <c r="I64" s="162">
        <v>69632</v>
      </c>
      <c r="J64" s="159">
        <v>0</v>
      </c>
      <c r="K64" s="162">
        <v>69632</v>
      </c>
      <c r="L64" s="159" t="s">
        <v>65</v>
      </c>
      <c r="M64" s="159" t="s">
        <v>65</v>
      </c>
      <c r="N64" s="161" t="s">
        <v>65</v>
      </c>
    </row>
    <row r="65" spans="2:14" ht="28.5" customHeight="1" x14ac:dyDescent="0.3">
      <c r="B65" s="158" t="s">
        <v>233</v>
      </c>
      <c r="C65" s="162">
        <v>600551</v>
      </c>
      <c r="D65" s="162">
        <v>354670739</v>
      </c>
      <c r="E65" s="162">
        <v>354670739</v>
      </c>
      <c r="F65" s="159">
        <v>22.16</v>
      </c>
      <c r="G65" s="162">
        <v>354670739</v>
      </c>
      <c r="H65" s="159">
        <v>22.16</v>
      </c>
      <c r="I65" s="162">
        <v>367888983</v>
      </c>
      <c r="J65" s="159">
        <v>22.8</v>
      </c>
      <c r="K65" s="162">
        <v>350907679</v>
      </c>
      <c r="L65" s="159" t="s">
        <v>65</v>
      </c>
      <c r="M65" s="159" t="s">
        <v>65</v>
      </c>
      <c r="N65" s="161" t="s">
        <v>65</v>
      </c>
    </row>
    <row r="66" spans="2:14" ht="28.5" customHeight="1" x14ac:dyDescent="0.3">
      <c r="B66" s="158" t="s">
        <v>234</v>
      </c>
      <c r="C66" s="162">
        <v>601391</v>
      </c>
      <c r="D66" s="162">
        <v>658858613</v>
      </c>
      <c r="E66" s="162">
        <v>658858613</v>
      </c>
      <c r="F66" s="159">
        <v>41.16</v>
      </c>
      <c r="G66" s="162">
        <v>658858613</v>
      </c>
      <c r="H66" s="159">
        <v>41.16</v>
      </c>
      <c r="I66" s="162">
        <v>672076857</v>
      </c>
      <c r="J66" s="159">
        <v>41.65</v>
      </c>
      <c r="K66" s="162">
        <v>655074853</v>
      </c>
      <c r="L66" s="159" t="s">
        <v>65</v>
      </c>
      <c r="M66" s="159" t="s">
        <v>65</v>
      </c>
      <c r="N66" s="161" t="s">
        <v>65</v>
      </c>
    </row>
  </sheetData>
  <mergeCells count="19">
    <mergeCell ref="B6:N6"/>
    <mergeCell ref="B7:N7"/>
    <mergeCell ref="B8:B10"/>
    <mergeCell ref="C8:C10"/>
    <mergeCell ref="D8:D10"/>
    <mergeCell ref="E8:E10"/>
    <mergeCell ref="F8:F10"/>
    <mergeCell ref="G8:G10"/>
    <mergeCell ref="H8:H10"/>
    <mergeCell ref="I8:I10"/>
    <mergeCell ref="J8:J10"/>
    <mergeCell ref="K8:K10"/>
    <mergeCell ref="L8:N8"/>
    <mergeCell ref="L9:N9"/>
    <mergeCell ref="B1:N1"/>
    <mergeCell ref="B2:N2"/>
    <mergeCell ref="B3:E3"/>
    <mergeCell ref="B4:D4"/>
    <mergeCell ref="B5:N5"/>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B1:M43"/>
  <sheetViews>
    <sheetView showGridLines="0" zoomScale="81" zoomScaleNormal="100" workbookViewId="0">
      <selection activeCell="I7" sqref="I7"/>
    </sheetView>
  </sheetViews>
  <sheetFormatPr defaultColWidth="8.6328125" defaultRowHeight="14" x14ac:dyDescent="0.3"/>
  <cols>
    <col min="1" max="1" width="4" style="146" customWidth="1"/>
    <col min="2" max="2" width="14.36328125" style="145" bestFit="1" customWidth="1"/>
    <col min="3" max="3" width="21" style="165" customWidth="1"/>
    <col min="4" max="4" width="12.54296875" style="165" customWidth="1"/>
    <col min="5" max="5" width="24.26953125" style="165" bestFit="1" customWidth="1"/>
    <col min="6" max="6" width="16.90625" style="165" bestFit="1" customWidth="1"/>
    <col min="7" max="8" width="10.453125" style="165" bestFit="1" customWidth="1"/>
    <col min="9" max="9" width="18.90625" style="146" bestFit="1" customWidth="1"/>
    <col min="10" max="11" width="8.90625" style="146" bestFit="1" customWidth="1"/>
    <col min="12" max="14" width="10.453125" style="146" bestFit="1" customWidth="1"/>
    <col min="15" max="15" width="12.90625" style="146" customWidth="1"/>
    <col min="16" max="16384" width="8.6328125" style="146"/>
  </cols>
  <sheetData>
    <row r="1" spans="2:13" ht="24.5" customHeight="1" x14ac:dyDescent="0.3">
      <c r="B1" s="301" t="s">
        <v>235</v>
      </c>
      <c r="C1" s="301"/>
      <c r="D1" s="301"/>
      <c r="E1" s="301"/>
      <c r="F1" s="301"/>
      <c r="G1" s="301"/>
      <c r="H1" s="137"/>
    </row>
    <row r="7" spans="2:13" ht="14.5" x14ac:dyDescent="0.35">
      <c r="I7"/>
    </row>
    <row r="16" spans="2:13" x14ac:dyDescent="0.3">
      <c r="B16" s="164"/>
      <c r="I16" s="1"/>
      <c r="J16" s="2"/>
      <c r="K16" s="2"/>
      <c r="L16" s="3"/>
      <c r="M16" s="3"/>
    </row>
    <row r="17" spans="2:7" ht="15.5" x14ac:dyDescent="0.3">
      <c r="B17" s="299" t="s">
        <v>247</v>
      </c>
      <c r="C17" s="299"/>
      <c r="D17" s="299"/>
      <c r="E17" s="299"/>
      <c r="F17" s="299"/>
      <c r="G17" s="299"/>
    </row>
    <row r="18" spans="2:7" x14ac:dyDescent="0.3">
      <c r="B18" s="300" t="s">
        <v>676</v>
      </c>
      <c r="C18" s="300"/>
      <c r="D18" s="300"/>
      <c r="E18" s="300"/>
      <c r="F18" s="300"/>
      <c r="G18" s="300"/>
    </row>
    <row r="19" spans="2:7" x14ac:dyDescent="0.3">
      <c r="B19" s="300"/>
      <c r="C19" s="300"/>
      <c r="D19" s="300"/>
      <c r="E19" s="300"/>
      <c r="F19" s="300"/>
      <c r="G19" s="300"/>
    </row>
    <row r="20" spans="2:7" x14ac:dyDescent="0.3">
      <c r="B20" s="300"/>
      <c r="C20" s="300"/>
      <c r="D20" s="300"/>
      <c r="E20" s="300"/>
      <c r="F20" s="300"/>
      <c r="G20" s="300"/>
    </row>
    <row r="21" spans="2:7" x14ac:dyDescent="0.3">
      <c r="B21" s="300"/>
      <c r="C21" s="300"/>
      <c r="D21" s="300"/>
      <c r="E21" s="300"/>
      <c r="F21" s="300"/>
      <c r="G21" s="300"/>
    </row>
    <row r="22" spans="2:7" x14ac:dyDescent="0.3">
      <c r="B22" s="300"/>
      <c r="C22" s="300"/>
      <c r="D22" s="300"/>
      <c r="E22" s="300"/>
      <c r="F22" s="300"/>
      <c r="G22" s="300"/>
    </row>
    <row r="23" spans="2:7" x14ac:dyDescent="0.3">
      <c r="B23" s="300"/>
      <c r="C23" s="300"/>
      <c r="D23" s="300"/>
      <c r="E23" s="300"/>
      <c r="F23" s="300"/>
      <c r="G23" s="300"/>
    </row>
    <row r="24" spans="2:7" x14ac:dyDescent="0.3">
      <c r="B24" s="300"/>
      <c r="C24" s="300"/>
      <c r="D24" s="300"/>
      <c r="E24" s="300"/>
      <c r="F24" s="300"/>
      <c r="G24" s="300"/>
    </row>
    <row r="25" spans="2:7" x14ac:dyDescent="0.3">
      <c r="B25" s="300"/>
      <c r="C25" s="300"/>
      <c r="D25" s="300"/>
      <c r="E25" s="300"/>
      <c r="F25" s="300"/>
      <c r="G25" s="300"/>
    </row>
    <row r="26" spans="2:7" ht="6.5" customHeight="1" x14ac:dyDescent="0.3">
      <c r="B26" s="300"/>
      <c r="C26" s="300"/>
      <c r="D26" s="300"/>
      <c r="E26" s="300"/>
      <c r="F26" s="300"/>
      <c r="G26" s="300"/>
    </row>
    <row r="27" spans="2:7" ht="16" customHeight="1" x14ac:dyDescent="0.3"/>
    <row r="28" spans="2:7" x14ac:dyDescent="0.3">
      <c r="B28" s="138" t="s">
        <v>244</v>
      </c>
      <c r="C28" s="139" t="s">
        <v>243</v>
      </c>
      <c r="D28" s="139" t="s">
        <v>245</v>
      </c>
      <c r="E28" s="139" t="s">
        <v>675</v>
      </c>
      <c r="F28" s="139" t="s">
        <v>246</v>
      </c>
    </row>
    <row r="29" spans="2:7" x14ac:dyDescent="0.3">
      <c r="B29" s="134" t="s">
        <v>248</v>
      </c>
      <c r="C29" s="135">
        <f>'Historical FS'!G6</f>
        <v>150530.38</v>
      </c>
      <c r="D29" s="135">
        <f>'Historical FS'!G38</f>
        <v>20059.110000000015</v>
      </c>
      <c r="E29" s="136">
        <f t="shared" ref="E29:F32" si="0">(C29-C30)/C30</f>
        <v>0.12485424681659511</v>
      </c>
      <c r="F29" s="136">
        <f t="shared" si="0"/>
        <v>0.14357392398943747</v>
      </c>
    </row>
    <row r="30" spans="2:7" x14ac:dyDescent="0.3">
      <c r="B30" s="134" t="s">
        <v>249</v>
      </c>
      <c r="C30" s="135">
        <f>'Historical FS'!F6</f>
        <v>133822.12</v>
      </c>
      <c r="D30" s="135">
        <f>'Historical FS'!F38</f>
        <v>17540.720000000008</v>
      </c>
      <c r="E30" s="136">
        <f t="shared" si="0"/>
        <v>0.21234356739715352</v>
      </c>
      <c r="F30" s="136">
        <f t="shared" si="0"/>
        <v>0.12524473389118584</v>
      </c>
    </row>
    <row r="31" spans="2:7" x14ac:dyDescent="0.3">
      <c r="B31" s="134" t="s">
        <v>250</v>
      </c>
      <c r="C31" s="135">
        <f>'Historical FS'!E6</f>
        <v>110383</v>
      </c>
      <c r="D31" s="135">
        <f>'Historical FS'!E38</f>
        <v>15588.360000000002</v>
      </c>
      <c r="E31" s="136">
        <f t="shared" si="0"/>
        <v>0.3449530479392427</v>
      </c>
      <c r="F31" s="136">
        <f t="shared" si="0"/>
        <v>0.27677998086676259</v>
      </c>
    </row>
    <row r="32" spans="2:7" x14ac:dyDescent="0.3">
      <c r="B32" s="134" t="s">
        <v>251</v>
      </c>
      <c r="C32" s="135">
        <f>'Historical FS'!D6</f>
        <v>82072.009999999995</v>
      </c>
      <c r="D32" s="135">
        <f>'Historical FS'!D38</f>
        <v>12209.119999999995</v>
      </c>
      <c r="E32" s="136">
        <f t="shared" si="0"/>
        <v>0.19919978351518389</v>
      </c>
      <c r="F32" s="136">
        <f t="shared" si="0"/>
        <v>0.46273237975317449</v>
      </c>
    </row>
    <row r="33" spans="2:8" x14ac:dyDescent="0.3">
      <c r="B33" s="134" t="s">
        <v>252</v>
      </c>
      <c r="C33" s="135">
        <f>'Historical FS'!C6</f>
        <v>68438.98</v>
      </c>
      <c r="D33" s="135">
        <f>'Historical FS'!C38</f>
        <v>8346.7899999999972</v>
      </c>
      <c r="E33" s="136" t="s">
        <v>253</v>
      </c>
      <c r="F33" s="136" t="s">
        <v>253</v>
      </c>
    </row>
    <row r="35" spans="2:8" x14ac:dyDescent="0.3">
      <c r="B35" s="140" t="s">
        <v>254</v>
      </c>
      <c r="C35" s="141">
        <v>2022</v>
      </c>
      <c r="D35" s="141">
        <v>2023</v>
      </c>
      <c r="E35" s="141">
        <v>2024</v>
      </c>
      <c r="F35" s="141">
        <v>2025</v>
      </c>
      <c r="G35" s="141">
        <v>2026</v>
      </c>
      <c r="H35" s="141" t="s">
        <v>242</v>
      </c>
    </row>
    <row r="36" spans="2:8" x14ac:dyDescent="0.3">
      <c r="B36" s="142"/>
      <c r="C36" s="166"/>
      <c r="D36" s="166"/>
      <c r="E36" s="166"/>
      <c r="F36" s="166"/>
      <c r="G36" s="166"/>
      <c r="H36" s="143"/>
    </row>
    <row r="37" spans="2:8" x14ac:dyDescent="0.3">
      <c r="B37" s="142"/>
      <c r="C37" s="166"/>
      <c r="D37" s="166"/>
      <c r="E37" s="166"/>
      <c r="F37" s="166"/>
      <c r="G37" s="166"/>
      <c r="H37" s="143"/>
    </row>
    <row r="38" spans="2:8" x14ac:dyDescent="0.3">
      <c r="B38" s="142"/>
      <c r="C38" s="167"/>
      <c r="D38" s="167"/>
      <c r="E38" s="167"/>
      <c r="F38" s="167"/>
      <c r="G38" s="167"/>
      <c r="H38" s="144"/>
    </row>
    <row r="39" spans="2:8" x14ac:dyDescent="0.3">
      <c r="B39" s="142"/>
      <c r="C39" s="167"/>
      <c r="D39" s="167"/>
      <c r="E39" s="167"/>
      <c r="F39" s="167"/>
      <c r="G39" s="167"/>
      <c r="H39" s="144"/>
    </row>
    <row r="40" spans="2:8" x14ac:dyDescent="0.3">
      <c r="B40" s="142"/>
      <c r="C40" s="166"/>
      <c r="D40" s="166"/>
      <c r="E40" s="166"/>
      <c r="F40" s="166"/>
      <c r="G40" s="166"/>
      <c r="H40" s="143"/>
    </row>
    <row r="41" spans="2:8" x14ac:dyDescent="0.3">
      <c r="B41" s="142"/>
      <c r="C41" s="166"/>
      <c r="D41" s="166"/>
      <c r="E41" s="166"/>
      <c r="F41" s="166"/>
      <c r="G41" s="166"/>
      <c r="H41" s="143"/>
    </row>
    <row r="42" spans="2:8" x14ac:dyDescent="0.3">
      <c r="B42" s="142"/>
      <c r="C42" s="167"/>
      <c r="D42" s="167"/>
      <c r="E42" s="167"/>
      <c r="F42" s="167"/>
      <c r="G42" s="167"/>
      <c r="H42" s="144"/>
    </row>
    <row r="43" spans="2:8" x14ac:dyDescent="0.3">
      <c r="B43" s="142"/>
      <c r="C43" s="167"/>
      <c r="D43" s="167"/>
      <c r="E43" s="167"/>
      <c r="F43" s="167"/>
      <c r="G43" s="167"/>
      <c r="H43" s="144"/>
    </row>
  </sheetData>
  <mergeCells count="3">
    <mergeCell ref="B17:G17"/>
    <mergeCell ref="B18:G26"/>
    <mergeCell ref="B1:G1"/>
  </mergeCells>
  <pageMargins left="0.7" right="0.7" top="0.75" bottom="0.75" header="0.511811023622047" footer="0.511811023622047"/>
  <pageSetup paperSize="9" orientation="portrait" horizontalDpi="300" verticalDpi="300"/>
  <ignoredErrors>
    <ignoredError sqref="E33:F33" numberStoredAsText="1"/>
  </ignoredError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03864"/>
  </sheetPr>
  <dimension ref="A1:W115"/>
  <sheetViews>
    <sheetView showGridLines="0" zoomScale="80" zoomScaleNormal="74" workbookViewId="0">
      <selection activeCell="A17" sqref="A17:F17"/>
    </sheetView>
  </sheetViews>
  <sheetFormatPr defaultColWidth="8.6328125" defaultRowHeight="14" x14ac:dyDescent="0.3"/>
  <cols>
    <col min="1" max="1" width="43.81640625" style="146" bestFit="1" customWidth="1"/>
    <col min="2" max="6" width="12.08984375" style="146" bestFit="1" customWidth="1"/>
    <col min="7" max="7" width="8.6328125" style="146"/>
    <col min="8" max="8" width="16.7265625" style="146" customWidth="1"/>
    <col min="9" max="13" width="10.7265625" style="146" customWidth="1"/>
    <col min="14" max="14" width="8.6328125" style="146"/>
    <col min="15" max="17" width="2.1796875" style="146" bestFit="1" customWidth="1"/>
    <col min="18" max="18" width="5.08984375" style="146" bestFit="1" customWidth="1"/>
    <col min="19" max="23" width="2.1796875" style="146" bestFit="1" customWidth="1"/>
    <col min="24" max="16384" width="8.6328125" style="146"/>
  </cols>
  <sheetData>
    <row r="1" spans="1:13" ht="21.5" customHeight="1" x14ac:dyDescent="0.3">
      <c r="A1" s="302" t="s">
        <v>677</v>
      </c>
      <c r="B1" s="302"/>
      <c r="C1" s="302"/>
      <c r="D1" s="302"/>
      <c r="E1" s="302"/>
      <c r="F1" s="302"/>
    </row>
    <row r="2" spans="1:13" x14ac:dyDescent="0.3">
      <c r="A2" s="168" t="s">
        <v>254</v>
      </c>
      <c r="B2" s="169" t="s">
        <v>255</v>
      </c>
      <c r="C2" s="169" t="s">
        <v>256</v>
      </c>
      <c r="D2" s="169" t="s">
        <v>257</v>
      </c>
      <c r="E2" s="169" t="s">
        <v>258</v>
      </c>
      <c r="F2" s="169" t="s">
        <v>259</v>
      </c>
      <c r="H2" s="170"/>
      <c r="I2" s="171"/>
      <c r="J2" s="171"/>
      <c r="K2" s="171"/>
      <c r="L2" s="171"/>
      <c r="M2" s="171"/>
    </row>
    <row r="3" spans="1:13" x14ac:dyDescent="0.3">
      <c r="A3" s="303" t="s">
        <v>260</v>
      </c>
      <c r="B3" s="303"/>
      <c r="C3" s="303"/>
      <c r="D3" s="303"/>
      <c r="E3" s="303"/>
      <c r="F3" s="303"/>
      <c r="H3" s="172"/>
      <c r="I3" s="173"/>
      <c r="J3" s="173"/>
      <c r="K3" s="173"/>
      <c r="L3" s="173"/>
      <c r="M3" s="173"/>
    </row>
    <row r="4" spans="1:13" x14ac:dyDescent="0.3">
      <c r="A4" s="174" t="s">
        <v>261</v>
      </c>
      <c r="B4" s="175">
        <v>68406.080000000002</v>
      </c>
      <c r="C4" s="175">
        <v>82071.240000000005</v>
      </c>
      <c r="D4" s="175">
        <v>110381.91</v>
      </c>
      <c r="E4" s="175">
        <v>133821.04999999999</v>
      </c>
      <c r="F4" s="175">
        <v>150503.76999999999</v>
      </c>
      <c r="H4" s="176"/>
      <c r="I4" s="177"/>
      <c r="J4" s="177"/>
      <c r="K4" s="177"/>
      <c r="L4" s="177"/>
      <c r="M4" s="177"/>
    </row>
    <row r="5" spans="1:13" x14ac:dyDescent="0.3">
      <c r="A5" s="174" t="s">
        <v>262</v>
      </c>
      <c r="B5" s="178">
        <v>0</v>
      </c>
      <c r="C5" s="178">
        <v>0</v>
      </c>
      <c r="D5" s="178">
        <v>0</v>
      </c>
      <c r="E5" s="178">
        <v>0</v>
      </c>
      <c r="F5" s="178">
        <v>0</v>
      </c>
      <c r="H5" s="176"/>
      <c r="I5" s="173"/>
      <c r="J5" s="173"/>
      <c r="K5" s="173"/>
      <c r="L5" s="173"/>
      <c r="M5" s="173"/>
    </row>
    <row r="6" spans="1:13" x14ac:dyDescent="0.3">
      <c r="A6" s="179" t="s">
        <v>263</v>
      </c>
      <c r="B6" s="180">
        <v>68438.98</v>
      </c>
      <c r="C6" s="180">
        <v>82072.009999999995</v>
      </c>
      <c r="D6" s="180">
        <v>110383</v>
      </c>
      <c r="E6" s="180">
        <v>133822.12</v>
      </c>
      <c r="F6" s="180">
        <v>150530.38</v>
      </c>
      <c r="H6" s="176"/>
      <c r="I6" s="177"/>
      <c r="J6" s="177"/>
      <c r="K6" s="177"/>
      <c r="L6" s="177"/>
      <c r="M6" s="177"/>
    </row>
    <row r="7" spans="1:13" x14ac:dyDescent="0.3">
      <c r="A7" s="174" t="s">
        <v>264</v>
      </c>
      <c r="B7" s="178">
        <v>32.9</v>
      </c>
      <c r="C7" s="178">
        <v>0.77</v>
      </c>
      <c r="D7" s="178">
        <v>1.0900000000000001</v>
      </c>
      <c r="E7" s="178">
        <v>1.07</v>
      </c>
      <c r="F7" s="178">
        <v>26.61</v>
      </c>
      <c r="H7" s="176"/>
      <c r="I7" s="173"/>
      <c r="J7" s="173"/>
      <c r="K7" s="173"/>
      <c r="L7" s="173"/>
      <c r="M7" s="173"/>
    </row>
    <row r="8" spans="1:13" x14ac:dyDescent="0.3">
      <c r="A8" s="179" t="s">
        <v>265</v>
      </c>
      <c r="B8" s="180">
        <v>68438.98</v>
      </c>
      <c r="C8" s="180">
        <v>82072.009999999995</v>
      </c>
      <c r="D8" s="180">
        <v>110383</v>
      </c>
      <c r="E8" s="180">
        <v>133822.12</v>
      </c>
      <c r="F8" s="180">
        <v>150530.38</v>
      </c>
      <c r="H8" s="172"/>
      <c r="I8" s="181"/>
      <c r="J8" s="181"/>
      <c r="K8" s="181"/>
      <c r="L8" s="181"/>
      <c r="M8" s="181"/>
    </row>
    <row r="9" spans="1:13" x14ac:dyDescent="0.3">
      <c r="A9" s="303" t="s">
        <v>266</v>
      </c>
      <c r="B9" s="303"/>
      <c r="C9" s="303"/>
      <c r="D9" s="303"/>
      <c r="E9" s="303"/>
      <c r="F9" s="303"/>
      <c r="H9" s="170"/>
      <c r="I9" s="171"/>
      <c r="J9" s="171"/>
      <c r="K9" s="171"/>
      <c r="L9" s="171"/>
      <c r="M9" s="171"/>
    </row>
    <row r="10" spans="1:13" x14ac:dyDescent="0.3">
      <c r="A10" s="174" t="s">
        <v>267</v>
      </c>
      <c r="B10" s="175">
        <v>31550.7</v>
      </c>
      <c r="C10" s="175">
        <v>34485.440000000002</v>
      </c>
      <c r="D10" s="175">
        <v>48619.49</v>
      </c>
      <c r="E10" s="175">
        <v>57663.42</v>
      </c>
      <c r="F10" s="178">
        <v>0</v>
      </c>
      <c r="H10" s="172"/>
      <c r="I10" s="173"/>
      <c r="J10" s="173"/>
      <c r="K10" s="173"/>
      <c r="L10" s="173"/>
      <c r="M10" s="173"/>
    </row>
    <row r="11" spans="1:13" x14ac:dyDescent="0.3">
      <c r="A11" s="174" t="s">
        <v>268</v>
      </c>
      <c r="B11" s="175">
        <v>6559.58</v>
      </c>
      <c r="C11" s="175">
        <v>8767.15</v>
      </c>
      <c r="D11" s="175">
        <v>10360.950000000001</v>
      </c>
      <c r="E11" s="175">
        <v>12069.62</v>
      </c>
      <c r="F11" s="175">
        <v>14122.17</v>
      </c>
      <c r="H11" s="176"/>
      <c r="I11" s="177"/>
      <c r="J11" s="177"/>
      <c r="K11" s="177"/>
      <c r="L11" s="177"/>
      <c r="M11" s="173"/>
    </row>
    <row r="12" spans="1:13" x14ac:dyDescent="0.3">
      <c r="A12" s="174" t="s">
        <v>269</v>
      </c>
      <c r="B12" s="175">
        <v>9498.26</v>
      </c>
      <c r="C12" s="175">
        <v>12201.42</v>
      </c>
      <c r="D12" s="175">
        <v>18399.509999999998</v>
      </c>
      <c r="E12" s="175">
        <v>24309.7</v>
      </c>
      <c r="F12" s="175">
        <v>28231.78</v>
      </c>
      <c r="H12" s="176"/>
      <c r="I12" s="177"/>
      <c r="J12" s="177"/>
      <c r="K12" s="177"/>
      <c r="L12" s="177"/>
      <c r="M12" s="177"/>
    </row>
    <row r="13" spans="1:13" x14ac:dyDescent="0.3">
      <c r="A13" s="174" t="s">
        <v>270</v>
      </c>
      <c r="B13" s="175">
        <v>4889.8500000000004</v>
      </c>
      <c r="C13" s="175">
        <v>3230.98</v>
      </c>
      <c r="D13" s="175">
        <v>4633.58</v>
      </c>
      <c r="E13" s="175">
        <v>7947.58</v>
      </c>
      <c r="F13" s="175">
        <v>9479.99</v>
      </c>
      <c r="H13" s="176"/>
      <c r="I13" s="177"/>
      <c r="J13" s="177"/>
      <c r="K13" s="177"/>
      <c r="L13" s="177"/>
      <c r="M13" s="177"/>
    </row>
    <row r="14" spans="1:13" x14ac:dyDescent="0.3">
      <c r="A14" s="174" t="s">
        <v>271</v>
      </c>
      <c r="B14" s="178">
        <v>562.73</v>
      </c>
      <c r="C14" s="178">
        <v>677.8</v>
      </c>
      <c r="D14" s="178">
        <v>900.13</v>
      </c>
      <c r="E14" s="175">
        <v>1170.32</v>
      </c>
      <c r="F14" s="175">
        <v>1291.3599999999999</v>
      </c>
      <c r="H14" s="176"/>
      <c r="I14" s="177"/>
      <c r="J14" s="177"/>
      <c r="K14" s="177"/>
      <c r="L14" s="177"/>
      <c r="M14" s="177"/>
    </row>
    <row r="15" spans="1:13" x14ac:dyDescent="0.3">
      <c r="A15" s="174" t="s">
        <v>272</v>
      </c>
      <c r="B15" s="175">
        <v>4106.92</v>
      </c>
      <c r="C15" s="175">
        <v>5899.28</v>
      </c>
      <c r="D15" s="175">
        <v>6102.4</v>
      </c>
      <c r="E15" s="175">
        <v>6931.26</v>
      </c>
      <c r="F15" s="175">
        <v>70158.899999999994</v>
      </c>
      <c r="H15" s="176"/>
      <c r="I15" s="173"/>
      <c r="J15" s="173"/>
      <c r="K15" s="173"/>
      <c r="L15" s="177"/>
      <c r="M15" s="177"/>
    </row>
    <row r="16" spans="1:13" x14ac:dyDescent="0.3">
      <c r="A16" s="179" t="s">
        <v>273</v>
      </c>
      <c r="B16" s="180">
        <v>57168.04</v>
      </c>
      <c r="C16" s="180">
        <v>65262.07</v>
      </c>
      <c r="D16" s="180">
        <v>89016.06</v>
      </c>
      <c r="E16" s="180">
        <v>110091.9</v>
      </c>
      <c r="F16" s="180">
        <v>123284.2</v>
      </c>
      <c r="H16" s="176"/>
      <c r="I16" s="177"/>
      <c r="J16" s="177"/>
      <c r="K16" s="177"/>
      <c r="L16" s="177"/>
      <c r="M16" s="177"/>
    </row>
    <row r="17" spans="1:13" x14ac:dyDescent="0.3">
      <c r="A17" s="303" t="s">
        <v>274</v>
      </c>
      <c r="B17" s="303"/>
      <c r="C17" s="303"/>
      <c r="D17" s="303"/>
      <c r="E17" s="303"/>
      <c r="F17" s="303"/>
      <c r="H17" s="172"/>
      <c r="I17" s="181"/>
      <c r="J17" s="181"/>
      <c r="K17" s="181"/>
      <c r="L17" s="181"/>
      <c r="M17" s="181"/>
    </row>
    <row r="18" spans="1:13" x14ac:dyDescent="0.3">
      <c r="A18" s="179" t="s">
        <v>275</v>
      </c>
      <c r="B18" s="175">
        <v>11270.94</v>
      </c>
      <c r="C18" s="175">
        <v>16809.939999999999</v>
      </c>
      <c r="D18" s="175">
        <v>21366.94</v>
      </c>
      <c r="E18" s="175">
        <v>23730.22</v>
      </c>
      <c r="F18" s="175">
        <v>26866.69</v>
      </c>
      <c r="H18" s="170"/>
      <c r="I18" s="171"/>
      <c r="J18" s="171"/>
      <c r="K18" s="171"/>
      <c r="L18" s="171"/>
      <c r="M18" s="171"/>
    </row>
    <row r="19" spans="1:13" x14ac:dyDescent="0.3">
      <c r="A19" s="174" t="s">
        <v>276</v>
      </c>
      <c r="B19" s="182">
        <v>0</v>
      </c>
      <c r="C19" s="182">
        <v>0</v>
      </c>
      <c r="D19" s="182">
        <v>0</v>
      </c>
      <c r="E19" s="182">
        <v>0</v>
      </c>
      <c r="F19" s="182">
        <v>0</v>
      </c>
      <c r="H19" s="172"/>
      <c r="I19" s="173"/>
      <c r="J19" s="173"/>
      <c r="K19" s="173"/>
      <c r="L19" s="173"/>
      <c r="M19" s="173"/>
    </row>
    <row r="20" spans="1:13" x14ac:dyDescent="0.3">
      <c r="A20" s="174" t="s">
        <v>277</v>
      </c>
      <c r="B20" s="175">
        <v>11270.94</v>
      </c>
      <c r="C20" s="175">
        <v>16809.939999999999</v>
      </c>
      <c r="D20" s="175">
        <v>21366.94</v>
      </c>
      <c r="E20" s="175">
        <v>23730.22</v>
      </c>
      <c r="F20" s="175">
        <v>26866.69</v>
      </c>
      <c r="H20" s="176"/>
      <c r="I20" s="177"/>
      <c r="J20" s="177"/>
      <c r="K20" s="177"/>
      <c r="L20" s="177"/>
      <c r="M20" s="177"/>
    </row>
    <row r="21" spans="1:13" x14ac:dyDescent="0.3">
      <c r="A21" s="174" t="s">
        <v>278</v>
      </c>
      <c r="B21" s="175">
        <v>2957.05</v>
      </c>
      <c r="C21" s="175">
        <v>4601.59</v>
      </c>
      <c r="D21" s="175">
        <v>5779.67</v>
      </c>
      <c r="E21" s="175">
        <v>6190.57</v>
      </c>
      <c r="F21" s="175">
        <v>7213.68</v>
      </c>
      <c r="H21" s="176"/>
      <c r="I21" s="173"/>
      <c r="J21" s="173"/>
      <c r="K21" s="173"/>
      <c r="L21" s="173"/>
      <c r="M21" s="173"/>
    </row>
    <row r="22" spans="1:13" x14ac:dyDescent="0.3">
      <c r="A22" s="174" t="s">
        <v>279</v>
      </c>
      <c r="B22" s="178">
        <v>0</v>
      </c>
      <c r="C22" s="178">
        <v>0</v>
      </c>
      <c r="D22" s="178">
        <v>0</v>
      </c>
      <c r="E22" s="178">
        <v>0</v>
      </c>
      <c r="F22" s="178">
        <v>0</v>
      </c>
      <c r="H22" s="176"/>
      <c r="I22" s="177"/>
      <c r="J22" s="177"/>
      <c r="K22" s="177"/>
      <c r="L22" s="177"/>
      <c r="M22" s="177"/>
    </row>
    <row r="23" spans="1:13" x14ac:dyDescent="0.3">
      <c r="A23" s="174" t="s">
        <v>280</v>
      </c>
      <c r="B23" s="178">
        <v>0</v>
      </c>
      <c r="C23" s="178">
        <v>0</v>
      </c>
      <c r="D23" s="178">
        <v>0</v>
      </c>
      <c r="E23" s="178">
        <v>0</v>
      </c>
      <c r="F23" s="178">
        <v>0</v>
      </c>
      <c r="H23" s="176"/>
      <c r="I23" s="177"/>
      <c r="J23" s="177"/>
      <c r="K23" s="177"/>
      <c r="L23" s="177"/>
      <c r="M23" s="177"/>
    </row>
    <row r="24" spans="1:13" x14ac:dyDescent="0.3">
      <c r="A24" s="174" t="s">
        <v>281</v>
      </c>
      <c r="B24" s="180">
        <v>2957.05</v>
      </c>
      <c r="C24" s="180">
        <v>4601.59</v>
      </c>
      <c r="D24" s="180">
        <v>5779.67</v>
      </c>
      <c r="E24" s="180">
        <v>6190.57</v>
      </c>
      <c r="F24" s="180">
        <v>7213.68</v>
      </c>
      <c r="H24" s="176"/>
      <c r="I24" s="173"/>
      <c r="J24" s="173"/>
      <c r="K24" s="173"/>
      <c r="L24" s="173"/>
      <c r="M24" s="173"/>
    </row>
    <row r="25" spans="1:13" x14ac:dyDescent="0.3">
      <c r="A25" s="179" t="s">
        <v>282</v>
      </c>
      <c r="B25" s="175">
        <v>8313.89</v>
      </c>
      <c r="C25" s="175">
        <v>12208.35</v>
      </c>
      <c r="D25" s="175">
        <v>15587.27</v>
      </c>
      <c r="E25" s="175">
        <v>17539.650000000001</v>
      </c>
      <c r="F25" s="175">
        <v>19653.009999999998</v>
      </c>
      <c r="H25" s="176"/>
      <c r="I25" s="173"/>
      <c r="J25" s="173"/>
      <c r="K25" s="173"/>
      <c r="L25" s="173"/>
      <c r="M25" s="173"/>
    </row>
    <row r="26" spans="1:13" x14ac:dyDescent="0.3">
      <c r="A26" s="179" t="s">
        <v>283</v>
      </c>
      <c r="B26" s="180">
        <v>4556.7700000000004</v>
      </c>
      <c r="C26" s="180">
        <v>6417.28</v>
      </c>
      <c r="D26" s="180">
        <v>8147.79</v>
      </c>
      <c r="E26" s="180">
        <v>8872.31</v>
      </c>
      <c r="F26" s="180">
        <v>9800.9699999999993</v>
      </c>
      <c r="H26" s="172"/>
      <c r="I26" s="181"/>
      <c r="J26" s="181"/>
      <c r="K26" s="181"/>
      <c r="L26" s="181"/>
      <c r="M26" s="181"/>
    </row>
    <row r="27" spans="1:13" x14ac:dyDescent="0.3">
      <c r="A27" s="303" t="s">
        <v>284</v>
      </c>
      <c r="B27" s="303"/>
      <c r="C27" s="303"/>
      <c r="D27" s="303"/>
      <c r="E27" s="303"/>
      <c r="F27" s="303"/>
      <c r="H27" s="176"/>
      <c r="I27" s="177"/>
      <c r="J27" s="177"/>
      <c r="K27" s="177"/>
      <c r="L27" s="177"/>
      <c r="M27" s="177"/>
    </row>
    <row r="28" spans="1:13" x14ac:dyDescent="0.3">
      <c r="A28" s="179" t="s">
        <v>285</v>
      </c>
      <c r="B28" s="178">
        <v>209</v>
      </c>
      <c r="C28" s="178">
        <v>153</v>
      </c>
      <c r="D28" s="178">
        <v>196</v>
      </c>
      <c r="E28" s="178">
        <v>220</v>
      </c>
      <c r="F28" s="178">
        <v>246</v>
      </c>
      <c r="H28" s="170"/>
      <c r="I28" s="171"/>
      <c r="J28" s="171"/>
      <c r="K28" s="171"/>
      <c r="L28" s="171"/>
      <c r="M28" s="171"/>
    </row>
    <row r="29" spans="1:13" x14ac:dyDescent="0.3">
      <c r="A29" s="179" t="s">
        <v>286</v>
      </c>
      <c r="B29" s="178">
        <v>209</v>
      </c>
      <c r="C29" s="178">
        <v>153</v>
      </c>
      <c r="D29" s="178">
        <v>196</v>
      </c>
      <c r="E29" s="178">
        <v>220</v>
      </c>
      <c r="F29" s="178">
        <v>246</v>
      </c>
      <c r="H29" s="176"/>
      <c r="I29" s="177"/>
      <c r="J29" s="177"/>
      <c r="K29" s="177"/>
      <c r="L29" s="177"/>
      <c r="M29" s="177"/>
    </row>
    <row r="30" spans="1:13" x14ac:dyDescent="0.3">
      <c r="A30" s="303" t="s">
        <v>287</v>
      </c>
      <c r="B30" s="303"/>
      <c r="C30" s="303"/>
      <c r="D30" s="303"/>
      <c r="E30" s="303"/>
      <c r="F30" s="303"/>
      <c r="H30" s="183"/>
      <c r="I30" s="184"/>
      <c r="J30" s="184"/>
      <c r="K30" s="184"/>
      <c r="L30" s="184"/>
      <c r="M30" s="184"/>
    </row>
    <row r="31" spans="1:13" x14ac:dyDescent="0.3">
      <c r="A31" s="179" t="s">
        <v>288</v>
      </c>
      <c r="B31" s="178">
        <v>47.74</v>
      </c>
      <c r="C31" s="178">
        <v>63.65</v>
      </c>
      <c r="D31" s="178">
        <v>127.43</v>
      </c>
      <c r="E31" s="178">
        <v>159.66999999999999</v>
      </c>
      <c r="F31" s="178">
        <v>0</v>
      </c>
      <c r="H31" s="183"/>
      <c r="I31" s="185"/>
      <c r="J31" s="185"/>
      <c r="K31" s="185"/>
      <c r="L31" s="185"/>
      <c r="M31" s="185"/>
    </row>
    <row r="32" spans="1:13" x14ac:dyDescent="0.3">
      <c r="A32" s="186"/>
      <c r="B32" s="186"/>
      <c r="C32" s="186"/>
      <c r="D32" s="186"/>
      <c r="E32" s="186"/>
      <c r="F32" s="186"/>
      <c r="H32" s="172"/>
      <c r="I32" s="181"/>
      <c r="J32" s="181"/>
      <c r="K32" s="181"/>
      <c r="L32" s="181"/>
      <c r="M32" s="181"/>
    </row>
    <row r="33" spans="1:13" x14ac:dyDescent="0.3">
      <c r="H33" s="170"/>
      <c r="I33" s="171"/>
      <c r="J33" s="171"/>
      <c r="K33" s="171"/>
      <c r="L33" s="171"/>
      <c r="M33" s="171"/>
    </row>
    <row r="34" spans="1:13" ht="21.5" customHeight="1" x14ac:dyDescent="0.3">
      <c r="A34" s="304" t="s">
        <v>678</v>
      </c>
      <c r="B34" s="304"/>
      <c r="C34" s="304"/>
      <c r="D34" s="304"/>
      <c r="E34" s="304"/>
      <c r="F34" s="304"/>
      <c r="H34" s="176"/>
      <c r="I34" s="173"/>
      <c r="J34" s="173"/>
      <c r="K34" s="173"/>
      <c r="L34" s="173"/>
      <c r="M34" s="173"/>
    </row>
    <row r="35" spans="1:13" x14ac:dyDescent="0.3">
      <c r="A35" s="192" t="s">
        <v>254</v>
      </c>
      <c r="B35" s="193" t="s">
        <v>255</v>
      </c>
      <c r="C35" s="193" t="s">
        <v>256</v>
      </c>
      <c r="D35" s="193" t="s">
        <v>257</v>
      </c>
      <c r="E35" s="193" t="s">
        <v>258</v>
      </c>
      <c r="F35" s="193" t="s">
        <v>259</v>
      </c>
      <c r="H35" s="176"/>
      <c r="I35" s="173"/>
      <c r="J35" s="173"/>
      <c r="K35" s="173"/>
      <c r="L35" s="173"/>
      <c r="M35" s="173"/>
    </row>
    <row r="36" spans="1:13" x14ac:dyDescent="0.3">
      <c r="A36" s="305" t="s">
        <v>679</v>
      </c>
      <c r="B36" s="305"/>
      <c r="C36" s="305"/>
      <c r="D36" s="305"/>
      <c r="E36" s="305"/>
      <c r="F36" s="305"/>
      <c r="H36" s="170"/>
      <c r="I36" s="171"/>
      <c r="J36" s="171"/>
      <c r="K36" s="171"/>
      <c r="L36" s="171"/>
      <c r="M36" s="171"/>
    </row>
    <row r="37" spans="1:13" x14ac:dyDescent="0.3">
      <c r="A37" s="305" t="s">
        <v>680</v>
      </c>
      <c r="B37" s="305"/>
      <c r="C37" s="305"/>
      <c r="D37" s="305"/>
      <c r="E37" s="305"/>
      <c r="F37" s="305"/>
      <c r="H37" s="176"/>
      <c r="I37" s="173"/>
      <c r="J37" s="173"/>
      <c r="K37" s="173"/>
      <c r="L37" s="173"/>
      <c r="M37" s="173"/>
    </row>
    <row r="38" spans="1:13" x14ac:dyDescent="0.3">
      <c r="A38" s="188" t="s">
        <v>289</v>
      </c>
      <c r="B38" s="178">
        <v>79.569999999999993</v>
      </c>
      <c r="C38" s="178">
        <v>159.26</v>
      </c>
      <c r="D38" s="178">
        <v>159.41</v>
      </c>
      <c r="E38" s="178">
        <v>159.6</v>
      </c>
      <c r="F38" s="178">
        <v>159.87</v>
      </c>
    </row>
    <row r="39" spans="1:13" x14ac:dyDescent="0.3">
      <c r="A39" s="189" t="s">
        <v>290</v>
      </c>
      <c r="B39" s="178">
        <v>79.569999999999993</v>
      </c>
      <c r="C39" s="178">
        <v>159.26</v>
      </c>
      <c r="D39" s="178">
        <v>159.41</v>
      </c>
      <c r="E39" s="178">
        <v>159.6</v>
      </c>
      <c r="F39" s="178">
        <v>159.87</v>
      </c>
      <c r="H39" s="170"/>
      <c r="I39" s="171"/>
      <c r="J39" s="171"/>
      <c r="K39" s="171"/>
      <c r="L39" s="171"/>
      <c r="M39" s="171"/>
    </row>
    <row r="40" spans="1:13" x14ac:dyDescent="0.3">
      <c r="A40" s="188" t="s">
        <v>291</v>
      </c>
      <c r="B40" s="175">
        <v>40167.230000000003</v>
      </c>
      <c r="C40" s="175">
        <v>46248.08</v>
      </c>
      <c r="D40" s="175">
        <v>60169.21</v>
      </c>
      <c r="E40" s="175">
        <v>72235.710000000006</v>
      </c>
      <c r="F40" s="175">
        <v>77754.66</v>
      </c>
      <c r="H40" s="172"/>
      <c r="I40" s="173"/>
      <c r="J40" s="173"/>
      <c r="K40" s="173"/>
      <c r="L40" s="173"/>
      <c r="M40" s="173"/>
    </row>
    <row r="41" spans="1:13" x14ac:dyDescent="0.3">
      <c r="A41" s="189" t="s">
        <v>292</v>
      </c>
      <c r="B41" s="175">
        <v>40167.230000000003</v>
      </c>
      <c r="C41" s="175">
        <v>46248.08</v>
      </c>
      <c r="D41" s="175">
        <v>60169.21</v>
      </c>
      <c r="E41" s="175">
        <v>72235.710000000006</v>
      </c>
      <c r="F41" s="175">
        <v>77754.66</v>
      </c>
      <c r="H41" s="172"/>
      <c r="I41" s="173"/>
      <c r="J41" s="173"/>
      <c r="K41" s="173"/>
      <c r="L41" s="173"/>
      <c r="M41" s="173"/>
    </row>
    <row r="42" spans="1:13" x14ac:dyDescent="0.3">
      <c r="A42" s="189" t="s">
        <v>293</v>
      </c>
      <c r="B42" s="180">
        <v>40246.800000000003</v>
      </c>
      <c r="C42" s="180">
        <v>46407.34</v>
      </c>
      <c r="D42" s="180">
        <v>60328.62</v>
      </c>
      <c r="E42" s="180">
        <v>72395.31</v>
      </c>
      <c r="F42" s="180">
        <v>77914.53</v>
      </c>
      <c r="H42" s="176"/>
      <c r="I42" s="173"/>
      <c r="J42" s="173"/>
      <c r="K42" s="173"/>
      <c r="L42" s="173"/>
      <c r="M42" s="173"/>
    </row>
    <row r="43" spans="1:13" x14ac:dyDescent="0.3">
      <c r="A43" s="190" t="s">
        <v>294</v>
      </c>
      <c r="B43" s="175">
        <v>26073.119999999999</v>
      </c>
      <c r="C43" s="175">
        <v>31190.74</v>
      </c>
      <c r="D43" s="175">
        <v>43447.21</v>
      </c>
      <c r="E43" s="175">
        <v>56038.92</v>
      </c>
      <c r="F43" s="175">
        <v>63050.75</v>
      </c>
      <c r="H43" s="176"/>
      <c r="I43" s="173"/>
      <c r="J43" s="173"/>
      <c r="K43" s="173"/>
      <c r="L43" s="173"/>
      <c r="M43" s="173"/>
    </row>
    <row r="44" spans="1:13" x14ac:dyDescent="0.3">
      <c r="A44" s="305" t="s">
        <v>681</v>
      </c>
      <c r="B44" s="305"/>
      <c r="C44" s="305"/>
      <c r="D44" s="305"/>
      <c r="E44" s="305"/>
      <c r="F44" s="305"/>
      <c r="H44" s="176"/>
      <c r="I44" s="177"/>
      <c r="J44" s="177"/>
      <c r="K44" s="177"/>
      <c r="L44" s="177"/>
      <c r="M44" s="177"/>
    </row>
    <row r="45" spans="1:13" x14ac:dyDescent="0.3">
      <c r="A45" s="190" t="s">
        <v>295</v>
      </c>
      <c r="B45" s="175">
        <v>106150.84</v>
      </c>
      <c r="C45" s="175">
        <v>129891.88</v>
      </c>
      <c r="D45" s="175">
        <v>175981.36</v>
      </c>
      <c r="E45" s="178">
        <v>0</v>
      </c>
      <c r="F45" s="178">
        <v>0</v>
      </c>
      <c r="H45" s="176"/>
      <c r="I45" s="177"/>
      <c r="J45" s="177"/>
      <c r="K45" s="177"/>
      <c r="L45" s="177"/>
      <c r="M45" s="177"/>
    </row>
    <row r="46" spans="1:13" x14ac:dyDescent="0.3">
      <c r="A46" s="188" t="s">
        <v>296</v>
      </c>
      <c r="B46" s="175">
        <v>3228.61</v>
      </c>
      <c r="C46" s="175">
        <v>3685.59</v>
      </c>
      <c r="D46" s="175">
        <v>4537.4399999999996</v>
      </c>
      <c r="E46" s="175">
        <v>5662.6</v>
      </c>
      <c r="F46" s="175">
        <v>8190.24</v>
      </c>
      <c r="H46" s="172"/>
      <c r="I46" s="181"/>
      <c r="J46" s="181"/>
      <c r="K46" s="181"/>
      <c r="L46" s="181"/>
      <c r="M46" s="181"/>
    </row>
    <row r="47" spans="1:13" x14ac:dyDescent="0.3">
      <c r="A47" s="190" t="s">
        <v>297</v>
      </c>
      <c r="B47" s="191">
        <v>539.34</v>
      </c>
      <c r="C47" s="191">
        <v>449.83</v>
      </c>
      <c r="D47" s="191">
        <v>1047.53</v>
      </c>
      <c r="E47" s="191">
        <v>1389.17</v>
      </c>
      <c r="F47" s="191">
        <v>1021.1</v>
      </c>
      <c r="H47" s="176"/>
      <c r="I47" s="177"/>
      <c r="J47" s="177"/>
      <c r="K47" s="177"/>
      <c r="L47" s="177"/>
      <c r="M47" s="177"/>
    </row>
    <row r="48" spans="1:13" x14ac:dyDescent="0.3">
      <c r="A48" s="189" t="s">
        <v>298</v>
      </c>
      <c r="B48" s="180">
        <v>109918.79</v>
      </c>
      <c r="C48" s="180">
        <v>134027.29999999999</v>
      </c>
      <c r="D48" s="180">
        <v>181566.33</v>
      </c>
      <c r="E48" s="180">
        <v>7051.77</v>
      </c>
      <c r="F48" s="180">
        <v>9211.34</v>
      </c>
      <c r="H48" s="172"/>
      <c r="I48" s="173"/>
      <c r="J48" s="173"/>
      <c r="K48" s="173"/>
      <c r="L48" s="173"/>
      <c r="M48" s="173"/>
    </row>
    <row r="49" spans="1:23" x14ac:dyDescent="0.3">
      <c r="A49" s="305" t="s">
        <v>682</v>
      </c>
      <c r="B49" s="305"/>
      <c r="C49" s="305"/>
      <c r="D49" s="305"/>
      <c r="E49" s="305"/>
      <c r="F49" s="305"/>
      <c r="H49" s="176"/>
      <c r="I49" s="177"/>
      <c r="J49" s="177"/>
      <c r="K49" s="177"/>
      <c r="L49" s="173"/>
      <c r="M49" s="173"/>
    </row>
    <row r="50" spans="1:23" x14ac:dyDescent="0.3">
      <c r="A50" s="188" t="s">
        <v>299</v>
      </c>
      <c r="B50" s="175">
        <v>54363.56</v>
      </c>
      <c r="C50" s="175">
        <v>81549.399999999994</v>
      </c>
      <c r="D50" s="175">
        <v>111617.47</v>
      </c>
      <c r="E50" s="175">
        <v>354349.84</v>
      </c>
      <c r="F50" s="175">
        <v>428247.53</v>
      </c>
      <c r="H50" s="176"/>
      <c r="I50" s="173"/>
      <c r="J50" s="173"/>
      <c r="K50" s="173"/>
      <c r="L50" s="173"/>
      <c r="M50" s="173"/>
      <c r="O50" s="146">
        <f t="shared" ref="O50:W50" si="0">J52+J50</f>
        <v>0</v>
      </c>
      <c r="P50" s="146">
        <f t="shared" si="0"/>
        <v>0</v>
      </c>
      <c r="Q50" s="146">
        <f t="shared" si="0"/>
        <v>0</v>
      </c>
      <c r="R50" s="187">
        <f t="shared" si="0"/>
        <v>0</v>
      </c>
      <c r="S50" s="146">
        <f t="shared" si="0"/>
        <v>0</v>
      </c>
      <c r="T50" s="146">
        <f t="shared" si="0"/>
        <v>0</v>
      </c>
      <c r="U50" s="146">
        <f t="shared" si="0"/>
        <v>0</v>
      </c>
      <c r="V50" s="146">
        <f t="shared" si="0"/>
        <v>0</v>
      </c>
      <c r="W50" s="146">
        <f t="shared" si="0"/>
        <v>0</v>
      </c>
    </row>
    <row r="51" spans="1:23" x14ac:dyDescent="0.3">
      <c r="A51" s="190" t="s">
        <v>300</v>
      </c>
      <c r="B51" s="175">
        <v>4821.8900000000003</v>
      </c>
      <c r="C51" s="175">
        <v>6330.8</v>
      </c>
      <c r="D51" s="175">
        <v>8142.11</v>
      </c>
      <c r="E51" s="175">
        <v>10560.4</v>
      </c>
      <c r="F51" s="175">
        <v>11493.31</v>
      </c>
      <c r="H51" s="176"/>
      <c r="I51" s="177"/>
      <c r="J51" s="177"/>
      <c r="K51" s="177"/>
      <c r="L51" s="177"/>
      <c r="M51" s="177"/>
    </row>
    <row r="52" spans="1:23" x14ac:dyDescent="0.3">
      <c r="A52" s="188" t="s">
        <v>301</v>
      </c>
      <c r="B52" s="175">
        <v>98294.8</v>
      </c>
      <c r="C52" s="175">
        <v>106003.61</v>
      </c>
      <c r="D52" s="175">
        <v>132827.89000000001</v>
      </c>
      <c r="E52" s="175">
        <v>151835.37</v>
      </c>
      <c r="F52" s="175">
        <v>168580.08</v>
      </c>
      <c r="H52" s="176"/>
      <c r="I52" s="173"/>
      <c r="J52" s="173"/>
      <c r="K52" s="173"/>
      <c r="L52" s="173"/>
      <c r="M52" s="177"/>
    </row>
    <row r="53" spans="1:23" x14ac:dyDescent="0.3">
      <c r="A53" s="189" t="s">
        <v>302</v>
      </c>
      <c r="B53" s="180">
        <v>157480.25</v>
      </c>
      <c r="C53" s="180">
        <v>193883.81</v>
      </c>
      <c r="D53" s="180">
        <v>252587.47</v>
      </c>
      <c r="E53" s="180">
        <v>516745.61</v>
      </c>
      <c r="F53" s="180">
        <v>608320.92000000004</v>
      </c>
      <c r="H53" s="172"/>
      <c r="I53" s="181"/>
      <c r="J53" s="181"/>
      <c r="K53" s="181"/>
      <c r="L53" s="181"/>
      <c r="M53" s="181"/>
    </row>
    <row r="54" spans="1:23" x14ac:dyDescent="0.3">
      <c r="A54" s="189" t="s">
        <v>303</v>
      </c>
      <c r="B54" s="180">
        <v>333718.96000000002</v>
      </c>
      <c r="C54" s="180">
        <v>405509.19</v>
      </c>
      <c r="D54" s="180">
        <v>537929.63</v>
      </c>
      <c r="E54" s="180">
        <v>652231.61</v>
      </c>
      <c r="F54" s="180">
        <v>758497.54</v>
      </c>
      <c r="H54" s="172"/>
      <c r="I54" s="173"/>
      <c r="J54" s="173"/>
      <c r="K54" s="173"/>
      <c r="L54" s="173"/>
      <c r="M54" s="173"/>
    </row>
    <row r="55" spans="1:23" x14ac:dyDescent="0.3">
      <c r="A55" s="305" t="s">
        <v>683</v>
      </c>
      <c r="B55" s="305"/>
      <c r="C55" s="305"/>
      <c r="D55" s="305"/>
      <c r="E55" s="305"/>
      <c r="F55" s="305"/>
      <c r="H55" s="176"/>
      <c r="I55" s="177"/>
      <c r="J55" s="177"/>
      <c r="K55" s="177"/>
      <c r="L55" s="177"/>
      <c r="M55" s="177"/>
    </row>
    <row r="56" spans="1:23" x14ac:dyDescent="0.3">
      <c r="A56" s="305" t="s">
        <v>684</v>
      </c>
      <c r="B56" s="305"/>
      <c r="C56" s="305"/>
      <c r="D56" s="305"/>
      <c r="E56" s="305"/>
      <c r="F56" s="305"/>
      <c r="H56" s="176"/>
      <c r="I56" s="177"/>
      <c r="J56" s="177"/>
      <c r="K56" s="177"/>
      <c r="L56" s="177"/>
      <c r="M56" s="177"/>
    </row>
    <row r="57" spans="1:23" x14ac:dyDescent="0.3">
      <c r="A57" s="190" t="s">
        <v>304</v>
      </c>
      <c r="B57" s="175">
        <v>2347.25</v>
      </c>
      <c r="C57" s="175">
        <v>2910.22</v>
      </c>
      <c r="D57" s="175">
        <v>3775.25</v>
      </c>
      <c r="E57" s="175">
        <v>4185.95</v>
      </c>
      <c r="F57" s="175">
        <v>4463.03</v>
      </c>
      <c r="H57" s="176"/>
      <c r="I57" s="177"/>
      <c r="J57" s="177"/>
      <c r="K57" s="177"/>
      <c r="L57" s="177"/>
      <c r="M57" s="177"/>
    </row>
    <row r="58" spans="1:23" x14ac:dyDescent="0.3">
      <c r="A58" s="188" t="s">
        <v>305</v>
      </c>
      <c r="B58" s="178">
        <v>608.16</v>
      </c>
      <c r="C58" s="178">
        <v>865.88</v>
      </c>
      <c r="D58" s="178">
        <v>1128.71</v>
      </c>
      <c r="E58" s="175">
        <v>1499.42</v>
      </c>
      <c r="F58" s="175">
        <v>1534.2</v>
      </c>
      <c r="H58" s="172"/>
      <c r="I58" s="181"/>
      <c r="J58" s="181"/>
      <c r="K58" s="181"/>
      <c r="L58" s="181"/>
      <c r="M58" s="181"/>
    </row>
    <row r="59" spans="1:23" x14ac:dyDescent="0.3">
      <c r="A59" s="190" t="s">
        <v>306</v>
      </c>
      <c r="B59" s="178">
        <v>53.64</v>
      </c>
      <c r="C59" s="178">
        <v>61.84</v>
      </c>
      <c r="D59" s="178">
        <v>82.12</v>
      </c>
      <c r="E59" s="178">
        <v>122.95</v>
      </c>
      <c r="F59" s="178">
        <v>250.31</v>
      </c>
      <c r="H59" s="172"/>
      <c r="I59" s="181"/>
      <c r="J59" s="181"/>
      <c r="K59" s="181"/>
      <c r="L59" s="181"/>
      <c r="M59" s="181"/>
    </row>
    <row r="60" spans="1:23" x14ac:dyDescent="0.3">
      <c r="A60" s="189" t="s">
        <v>307</v>
      </c>
      <c r="B60" s="180">
        <v>3009.05</v>
      </c>
      <c r="C60" s="180">
        <v>3837.94</v>
      </c>
      <c r="D60" s="180">
        <v>4986.08</v>
      </c>
      <c r="E60" s="180">
        <v>5808.32</v>
      </c>
      <c r="F60" s="180">
        <v>6247.54</v>
      </c>
      <c r="H60" s="170"/>
      <c r="I60" s="171"/>
      <c r="J60" s="171"/>
      <c r="K60" s="171"/>
      <c r="L60" s="171"/>
      <c r="M60" s="171"/>
    </row>
    <row r="61" spans="1:23" x14ac:dyDescent="0.3">
      <c r="A61" s="190" t="s">
        <v>308</v>
      </c>
      <c r="B61" s="178">
        <v>951.17</v>
      </c>
      <c r="C61" s="175">
        <v>1023.56</v>
      </c>
      <c r="D61" s="175">
        <v>1028.17</v>
      </c>
      <c r="E61" s="175">
        <v>1201.54</v>
      </c>
      <c r="F61" s="175">
        <v>2051.08</v>
      </c>
      <c r="H61" s="172"/>
      <c r="I61" s="173"/>
      <c r="J61" s="173"/>
      <c r="K61" s="173"/>
      <c r="L61" s="173"/>
      <c r="M61" s="173"/>
    </row>
    <row r="62" spans="1:23" x14ac:dyDescent="0.3">
      <c r="A62" s="188" t="s">
        <v>309</v>
      </c>
      <c r="B62" s="175">
        <v>7711.26</v>
      </c>
      <c r="C62" s="175">
        <v>1361.44</v>
      </c>
      <c r="D62" s="175">
        <v>1878.93</v>
      </c>
      <c r="E62" s="175">
        <v>2779.36</v>
      </c>
      <c r="F62" s="175">
        <v>2504.54</v>
      </c>
      <c r="H62" s="176"/>
      <c r="I62" s="177"/>
      <c r="J62" s="177"/>
      <c r="K62" s="177"/>
      <c r="L62" s="177"/>
      <c r="M62" s="177"/>
    </row>
    <row r="63" spans="1:23" x14ac:dyDescent="0.3">
      <c r="A63" s="189" t="s">
        <v>310</v>
      </c>
      <c r="B63" s="180">
        <v>12360.82</v>
      </c>
      <c r="C63" s="180">
        <v>6912.28</v>
      </c>
      <c r="D63" s="180">
        <v>8582.52</v>
      </c>
      <c r="E63" s="180">
        <v>10592.06</v>
      </c>
      <c r="F63" s="180">
        <v>11606</v>
      </c>
      <c r="H63" s="176"/>
      <c r="I63" s="173"/>
      <c r="J63" s="173"/>
      <c r="K63" s="173"/>
      <c r="L63" s="177"/>
      <c r="M63" s="177"/>
    </row>
    <row r="64" spans="1:23" x14ac:dyDescent="0.3">
      <c r="A64" s="305" t="s">
        <v>685</v>
      </c>
      <c r="B64" s="305"/>
      <c r="C64" s="305"/>
      <c r="D64" s="305"/>
      <c r="E64" s="305"/>
      <c r="F64" s="305"/>
      <c r="H64" s="176"/>
      <c r="I64" s="173"/>
      <c r="J64" s="173"/>
      <c r="K64" s="173"/>
      <c r="L64" s="173"/>
      <c r="M64" s="173"/>
    </row>
    <row r="65" spans="1:13" x14ac:dyDescent="0.3">
      <c r="A65" s="190" t="s">
        <v>311</v>
      </c>
      <c r="B65" s="175">
        <v>119222.08</v>
      </c>
      <c r="C65" s="175">
        <v>136175.73000000001</v>
      </c>
      <c r="D65" s="175">
        <v>168384.6</v>
      </c>
      <c r="E65" s="175">
        <v>190129.78</v>
      </c>
      <c r="F65" s="175">
        <v>194413.54</v>
      </c>
      <c r="H65" s="176"/>
      <c r="I65" s="173"/>
      <c r="J65" s="173"/>
      <c r="K65" s="173"/>
      <c r="L65" s="173"/>
      <c r="M65" s="173"/>
    </row>
    <row r="66" spans="1:13" x14ac:dyDescent="0.3">
      <c r="A66" s="188" t="s">
        <v>312</v>
      </c>
      <c r="B66" s="175">
        <v>3004.81</v>
      </c>
      <c r="C66" s="175">
        <v>3458.64</v>
      </c>
      <c r="D66" s="175">
        <v>5973.86</v>
      </c>
      <c r="E66" s="175">
        <v>8319.35</v>
      </c>
      <c r="F66" s="175">
        <v>9332.08</v>
      </c>
      <c r="H66" s="172"/>
      <c r="I66" s="181"/>
      <c r="J66" s="181"/>
      <c r="K66" s="181"/>
      <c r="L66" s="181"/>
      <c r="M66" s="181"/>
    </row>
    <row r="67" spans="1:13" x14ac:dyDescent="0.3">
      <c r="A67" s="190" t="s">
        <v>313</v>
      </c>
      <c r="B67" s="175">
        <v>4403.03</v>
      </c>
      <c r="C67" s="175">
        <v>5377.22</v>
      </c>
      <c r="D67" s="175">
        <v>12386.66</v>
      </c>
      <c r="E67" s="175">
        <v>15736.8</v>
      </c>
      <c r="F67" s="175">
        <v>17618.04</v>
      </c>
      <c r="H67" s="176"/>
      <c r="I67" s="173"/>
      <c r="J67" s="177"/>
      <c r="K67" s="177"/>
      <c r="L67" s="177"/>
      <c r="M67" s="177"/>
    </row>
    <row r="68" spans="1:13" x14ac:dyDescent="0.3">
      <c r="A68" s="188" t="s">
        <v>314</v>
      </c>
      <c r="B68" s="175">
        <v>191853.14</v>
      </c>
      <c r="C68" s="175">
        <v>242749.57</v>
      </c>
      <c r="D68" s="175">
        <v>326742.15999999997</v>
      </c>
      <c r="E68" s="175">
        <v>408490.77</v>
      </c>
      <c r="F68" s="175">
        <v>500015.97</v>
      </c>
      <c r="H68" s="176"/>
      <c r="I68" s="177"/>
      <c r="J68" s="177"/>
      <c r="K68" s="177"/>
      <c r="L68" s="177"/>
      <c r="M68" s="177"/>
    </row>
    <row r="69" spans="1:13" x14ac:dyDescent="0.3">
      <c r="A69" s="190" t="s">
        <v>315</v>
      </c>
      <c r="B69" s="175">
        <v>2875.08</v>
      </c>
      <c r="C69" s="175">
        <v>10835.75</v>
      </c>
      <c r="D69" s="175">
        <v>15859.83</v>
      </c>
      <c r="E69" s="175">
        <v>18962.849999999999</v>
      </c>
      <c r="F69" s="175">
        <v>25511.91</v>
      </c>
      <c r="H69" s="172"/>
      <c r="I69" s="181"/>
      <c r="J69" s="181"/>
      <c r="K69" s="181"/>
      <c r="L69" s="181"/>
      <c r="M69" s="181"/>
    </row>
    <row r="70" spans="1:13" x14ac:dyDescent="0.3">
      <c r="A70" s="189" t="s">
        <v>316</v>
      </c>
      <c r="B70" s="180">
        <v>321358.14</v>
      </c>
      <c r="C70" s="180">
        <v>398596.91</v>
      </c>
      <c r="D70" s="180">
        <v>529347.11</v>
      </c>
      <c r="E70" s="180">
        <v>641639.55000000005</v>
      </c>
      <c r="F70" s="180">
        <v>746891.54</v>
      </c>
    </row>
    <row r="71" spans="1:13" x14ac:dyDescent="0.3">
      <c r="A71" s="189" t="s">
        <v>317</v>
      </c>
      <c r="B71" s="180">
        <v>333718.96000000002</v>
      </c>
      <c r="C71" s="180">
        <v>405509.19</v>
      </c>
      <c r="D71" s="180">
        <v>537929.63</v>
      </c>
      <c r="E71" s="180">
        <v>652231.61</v>
      </c>
      <c r="F71" s="180">
        <v>758497.54</v>
      </c>
      <c r="H71" s="170"/>
      <c r="I71" s="171"/>
      <c r="J71" s="171"/>
      <c r="K71" s="171"/>
      <c r="L71" s="171"/>
      <c r="M71" s="171"/>
    </row>
    <row r="72" spans="1:13" x14ac:dyDescent="0.3">
      <c r="A72" s="305" t="s">
        <v>686</v>
      </c>
      <c r="B72" s="305"/>
      <c r="C72" s="305"/>
      <c r="D72" s="305"/>
      <c r="E72" s="305"/>
      <c r="F72" s="305"/>
      <c r="H72" s="176"/>
      <c r="I72" s="177"/>
      <c r="J72" s="177"/>
      <c r="K72" s="177"/>
      <c r="L72" s="177"/>
      <c r="M72" s="177"/>
    </row>
    <row r="73" spans="1:13" x14ac:dyDescent="0.3">
      <c r="A73" s="190" t="s">
        <v>318</v>
      </c>
      <c r="B73" s="175">
        <v>7880.33</v>
      </c>
      <c r="C73" s="175">
        <v>9993.7099999999991</v>
      </c>
      <c r="D73" s="175">
        <v>10146.86</v>
      </c>
      <c r="E73" s="175">
        <v>9388.84</v>
      </c>
      <c r="F73" s="178">
        <v>0</v>
      </c>
      <c r="H73" s="176"/>
      <c r="I73" s="177"/>
      <c r="J73" s="177"/>
      <c r="K73" s="177"/>
      <c r="L73" s="177"/>
      <c r="M73" s="177"/>
    </row>
    <row r="74" spans="1:13" x14ac:dyDescent="0.3">
      <c r="H74" s="176"/>
      <c r="I74" s="177"/>
      <c r="J74" s="177"/>
      <c r="K74" s="177"/>
      <c r="L74" s="177"/>
      <c r="M74" s="177"/>
    </row>
    <row r="75" spans="1:13" x14ac:dyDescent="0.3">
      <c r="H75" s="176"/>
      <c r="I75" s="177"/>
      <c r="J75" s="177"/>
      <c r="K75" s="177"/>
      <c r="L75" s="177"/>
      <c r="M75" s="177"/>
    </row>
    <row r="76" spans="1:13" ht="21.5" customHeight="1" x14ac:dyDescent="0.3">
      <c r="A76" s="306" t="s">
        <v>693</v>
      </c>
      <c r="B76" s="306"/>
      <c r="C76" s="306"/>
      <c r="D76" s="306"/>
      <c r="E76" s="306"/>
      <c r="F76" s="306"/>
      <c r="H76" s="176"/>
      <c r="I76" s="177"/>
      <c r="J76" s="177"/>
      <c r="K76" s="177"/>
      <c r="L76" s="177"/>
      <c r="M76" s="177"/>
    </row>
    <row r="77" spans="1:13" x14ac:dyDescent="0.3">
      <c r="A77" s="194" t="s">
        <v>254</v>
      </c>
      <c r="B77" s="195" t="s">
        <v>319</v>
      </c>
      <c r="C77" s="195" t="s">
        <v>255</v>
      </c>
      <c r="D77" s="195" t="s">
        <v>256</v>
      </c>
      <c r="E77" s="195" t="s">
        <v>257</v>
      </c>
      <c r="F77" s="195" t="s">
        <v>258</v>
      </c>
      <c r="H77" s="172"/>
      <c r="I77" s="181"/>
      <c r="J77" s="181"/>
      <c r="K77" s="181"/>
      <c r="L77" s="181"/>
      <c r="M77" s="181"/>
    </row>
    <row r="78" spans="1:13" x14ac:dyDescent="0.3">
      <c r="A78" s="196" t="s">
        <v>320</v>
      </c>
      <c r="B78" s="175">
        <v>1536.92</v>
      </c>
      <c r="C78" s="175">
        <v>1536.92</v>
      </c>
      <c r="D78" s="175">
        <v>1536.92</v>
      </c>
      <c r="E78" s="175">
        <v>2049.4</v>
      </c>
      <c r="F78" s="175">
        <v>1781.07</v>
      </c>
      <c r="H78" s="172"/>
      <c r="I78" s="181"/>
      <c r="J78" s="181"/>
      <c r="K78" s="181"/>
      <c r="L78" s="181"/>
      <c r="M78" s="181"/>
    </row>
    <row r="79" spans="1:13" x14ac:dyDescent="0.3">
      <c r="A79" s="197" t="s">
        <v>321</v>
      </c>
      <c r="B79" s="198">
        <v>-33670</v>
      </c>
      <c r="C79" s="198">
        <v>-39480</v>
      </c>
      <c r="D79" s="198">
        <v>-65502</v>
      </c>
      <c r="E79" s="198">
        <v>-62113</v>
      </c>
      <c r="F79" s="198">
        <v>-55301</v>
      </c>
      <c r="H79" s="176"/>
      <c r="I79" s="177"/>
      <c r="J79" s="177"/>
      <c r="K79" s="177"/>
      <c r="L79" s="177"/>
      <c r="M79" s="173"/>
    </row>
    <row r="80" spans="1:13" x14ac:dyDescent="0.3">
      <c r="A80" s="197" t="s">
        <v>322</v>
      </c>
      <c r="B80" s="198">
        <v>1445</v>
      </c>
      <c r="C80" s="198">
        <v>-13945</v>
      </c>
      <c r="D80" s="198">
        <v>-14132</v>
      </c>
      <c r="E80" s="198">
        <v>-7987</v>
      </c>
      <c r="F80" s="198">
        <v>-12635</v>
      </c>
      <c r="H80" s="176"/>
      <c r="I80" s="173"/>
      <c r="J80" s="173"/>
      <c r="K80" s="173"/>
      <c r="L80" s="173"/>
      <c r="M80" s="173"/>
    </row>
    <row r="81" spans="1:13" x14ac:dyDescent="0.3">
      <c r="A81" s="197" t="s">
        <v>323</v>
      </c>
      <c r="B81" s="198">
        <v>32326</v>
      </c>
      <c r="C81" s="198">
        <v>51016</v>
      </c>
      <c r="D81" s="198">
        <v>82709</v>
      </c>
      <c r="E81" s="198">
        <v>70191</v>
      </c>
      <c r="F81" s="198">
        <v>66610</v>
      </c>
      <c r="H81" s="176"/>
      <c r="I81" s="177"/>
      <c r="J81" s="177"/>
      <c r="K81" s="177"/>
      <c r="L81" s="177"/>
      <c r="M81" s="173"/>
    </row>
    <row r="82" spans="1:13" x14ac:dyDescent="0.3">
      <c r="A82" s="197" t="s">
        <v>324</v>
      </c>
      <c r="B82" s="178">
        <v>101</v>
      </c>
      <c r="C82" s="198">
        <v>-2409</v>
      </c>
      <c r="D82" s="198">
        <v>3075</v>
      </c>
      <c r="E82" s="178">
        <v>92</v>
      </c>
      <c r="F82" s="198">
        <v>-1326</v>
      </c>
    </row>
    <row r="83" spans="1:13" x14ac:dyDescent="0.3">
      <c r="A83" s="197" t="s">
        <v>325</v>
      </c>
      <c r="B83" s="198">
        <v>-34420</v>
      </c>
      <c r="C83" s="198">
        <v>-40603</v>
      </c>
      <c r="D83" s="198">
        <v>-66811</v>
      </c>
      <c r="E83" s="198">
        <v>-63829</v>
      </c>
      <c r="F83" s="198">
        <v>-56619</v>
      </c>
      <c r="H83" s="170"/>
      <c r="I83" s="171"/>
      <c r="J83" s="171"/>
      <c r="K83" s="171"/>
      <c r="L83" s="171"/>
      <c r="M83" s="171"/>
    </row>
    <row r="84" spans="1:13" x14ac:dyDescent="0.3">
      <c r="H84" s="176"/>
      <c r="I84" s="177"/>
      <c r="J84" s="177"/>
      <c r="K84" s="177"/>
      <c r="L84" s="177"/>
      <c r="M84" s="177"/>
    </row>
    <row r="85" spans="1:13" x14ac:dyDescent="0.3">
      <c r="H85" s="176"/>
      <c r="I85" s="177"/>
      <c r="J85" s="177"/>
      <c r="K85" s="177"/>
      <c r="L85" s="177"/>
      <c r="M85" s="177"/>
    </row>
    <row r="86" spans="1:13" ht="22" customHeight="1" x14ac:dyDescent="0.3">
      <c r="A86" s="307" t="s">
        <v>694</v>
      </c>
      <c r="B86" s="307"/>
      <c r="C86" s="307"/>
      <c r="D86" s="307"/>
      <c r="E86" s="307"/>
      <c r="F86" s="307"/>
      <c r="H86" s="176"/>
      <c r="I86" s="177"/>
      <c r="J86" s="177"/>
      <c r="K86" s="177"/>
      <c r="L86" s="177"/>
      <c r="M86" s="177"/>
    </row>
    <row r="87" spans="1:13" x14ac:dyDescent="0.3">
      <c r="A87" s="168" t="s">
        <v>326</v>
      </c>
      <c r="B87" s="169" t="s">
        <v>255</v>
      </c>
      <c r="C87" s="169" t="s">
        <v>256</v>
      </c>
      <c r="D87" s="169" t="s">
        <v>257</v>
      </c>
      <c r="E87" s="169" t="s">
        <v>258</v>
      </c>
      <c r="F87" s="169" t="s">
        <v>259</v>
      </c>
      <c r="H87" s="176"/>
      <c r="I87" s="173"/>
      <c r="J87" s="173"/>
      <c r="K87" s="173"/>
      <c r="L87" s="173"/>
      <c r="M87" s="173"/>
    </row>
    <row r="88" spans="1:13" x14ac:dyDescent="0.3">
      <c r="A88" s="305" t="s">
        <v>687</v>
      </c>
      <c r="B88" s="305"/>
      <c r="C88" s="305"/>
      <c r="D88" s="305"/>
      <c r="E88" s="305"/>
      <c r="F88" s="305"/>
      <c r="H88" s="176"/>
      <c r="I88" s="173"/>
      <c r="J88" s="173"/>
      <c r="K88" s="173"/>
      <c r="L88" s="173"/>
      <c r="M88" s="173"/>
    </row>
    <row r="89" spans="1:13" x14ac:dyDescent="0.3">
      <c r="A89" s="190" t="s">
        <v>327</v>
      </c>
      <c r="B89" s="191">
        <v>2</v>
      </c>
      <c r="C89" s="191">
        <v>2</v>
      </c>
      <c r="D89" s="191">
        <v>2</v>
      </c>
      <c r="E89" s="191">
        <v>2</v>
      </c>
      <c r="F89" s="191">
        <v>2</v>
      </c>
      <c r="H89" s="176"/>
      <c r="I89" s="173"/>
      <c r="J89" s="173"/>
      <c r="K89" s="173"/>
      <c r="L89" s="173"/>
      <c r="M89" s="173"/>
    </row>
    <row r="90" spans="1:13" x14ac:dyDescent="0.3">
      <c r="A90" s="188" t="s">
        <v>285</v>
      </c>
      <c r="B90" s="178">
        <v>286</v>
      </c>
      <c r="C90" s="178">
        <v>40</v>
      </c>
      <c r="D90" s="178">
        <v>51</v>
      </c>
      <c r="E90" s="178">
        <v>56</v>
      </c>
      <c r="F90" s="178">
        <v>61</v>
      </c>
      <c r="H90" s="176"/>
      <c r="I90" s="173"/>
      <c r="J90" s="173"/>
      <c r="K90" s="173"/>
      <c r="L90" s="173"/>
      <c r="M90" s="173"/>
    </row>
    <row r="91" spans="1:13" x14ac:dyDescent="0.3">
      <c r="A91" s="190" t="s">
        <v>286</v>
      </c>
      <c r="B91" s="178">
        <v>286</v>
      </c>
      <c r="C91" s="178">
        <v>40</v>
      </c>
      <c r="D91" s="178">
        <v>51</v>
      </c>
      <c r="E91" s="178">
        <v>55</v>
      </c>
      <c r="F91" s="178">
        <v>61</v>
      </c>
    </row>
    <row r="92" spans="1:13" x14ac:dyDescent="0.3">
      <c r="A92" s="188" t="s">
        <v>328</v>
      </c>
      <c r="B92" s="178">
        <v>406.15</v>
      </c>
      <c r="C92" s="178">
        <v>251.68</v>
      </c>
      <c r="D92" s="178">
        <v>326.18</v>
      </c>
      <c r="E92" s="178">
        <v>396.96</v>
      </c>
      <c r="F92" s="178">
        <v>459.43</v>
      </c>
      <c r="H92" s="170"/>
      <c r="I92" s="171"/>
      <c r="J92" s="171"/>
      <c r="K92" s="171"/>
      <c r="L92" s="171"/>
      <c r="M92" s="171"/>
    </row>
    <row r="93" spans="1:13" x14ac:dyDescent="0.3">
      <c r="A93" s="190" t="s">
        <v>329</v>
      </c>
      <c r="B93" s="178">
        <v>223.91</v>
      </c>
      <c r="C93" s="178">
        <v>161.84</v>
      </c>
      <c r="D93" s="178">
        <v>206.85</v>
      </c>
      <c r="E93" s="178">
        <v>234.47</v>
      </c>
      <c r="F93" s="178">
        <v>267.08999999999997</v>
      </c>
      <c r="H93" s="172"/>
      <c r="I93" s="173"/>
      <c r="J93" s="173"/>
      <c r="K93" s="173"/>
      <c r="L93" s="173"/>
      <c r="M93" s="173"/>
    </row>
    <row r="94" spans="1:13" x14ac:dyDescent="0.3">
      <c r="A94" s="305" t="s">
        <v>688</v>
      </c>
      <c r="B94" s="305"/>
      <c r="C94" s="305"/>
      <c r="D94" s="305"/>
      <c r="E94" s="305"/>
      <c r="F94" s="305"/>
      <c r="H94" s="176"/>
      <c r="I94" s="173"/>
      <c r="J94" s="173"/>
      <c r="K94" s="173"/>
      <c r="L94" s="173"/>
      <c r="M94" s="173"/>
    </row>
    <row r="95" spans="1:13" x14ac:dyDescent="0.3">
      <c r="A95" s="190" t="s">
        <v>330</v>
      </c>
      <c r="B95" s="199">
        <f>'Historical FS'!C24/'Historical FS'!C6</f>
        <v>0.23613429072145725</v>
      </c>
      <c r="C95" s="199">
        <f>'Historical FS'!D24/'Historical FS'!D6</f>
        <v>0.24418702551576349</v>
      </c>
      <c r="D95" s="199">
        <f>'Historical FS'!E24/'Historical FS'!E6</f>
        <v>0.2355482275350371</v>
      </c>
      <c r="E95" s="199">
        <f>'Historical FS'!F24/'Historical FS'!F6</f>
        <v>0.23671572382801895</v>
      </c>
      <c r="F95" s="199">
        <f>'Historical FS'!G24/'Historical FS'!G6</f>
        <v>0.24397845803617854</v>
      </c>
      <c r="H95" s="176"/>
      <c r="I95" s="173"/>
      <c r="J95" s="173"/>
      <c r="K95" s="173"/>
      <c r="L95" s="173"/>
      <c r="M95" s="173"/>
    </row>
    <row r="96" spans="1:13" x14ac:dyDescent="0.3">
      <c r="A96" s="186" t="s">
        <v>331</v>
      </c>
      <c r="B96" s="200">
        <f>'Historical FS'!C12/'Historical FS'!C6</f>
        <v>0.86121564056039401</v>
      </c>
      <c r="C96" s="200">
        <f>'Historical FS'!D12/'Historical FS'!D6</f>
        <v>0.85133275034935785</v>
      </c>
      <c r="D96" s="200">
        <f>'Historical FS'!E12/'Historical FS'!E6</f>
        <v>0.83331210421894686</v>
      </c>
      <c r="E96" s="200">
        <f>'Historical FS'!F12/'Historical FS'!F6</f>
        <v>0.81834318571548559</v>
      </c>
      <c r="F96" s="200">
        <f>'Historical FS'!G12/'Historical FS'!G6</f>
        <v>0.81245128059864058</v>
      </c>
      <c r="H96" s="172"/>
      <c r="I96" s="173"/>
      <c r="J96" s="173"/>
      <c r="K96" s="173"/>
      <c r="L96" s="173"/>
      <c r="M96" s="173"/>
    </row>
    <row r="97" spans="1:13" x14ac:dyDescent="0.3">
      <c r="A97" s="190" t="s">
        <v>332</v>
      </c>
      <c r="B97" s="199">
        <f>'Historical FS'!C39</f>
        <v>0.12195959086473816</v>
      </c>
      <c r="C97" s="199">
        <f>'Historical FS'!D39</f>
        <v>0.14876106969964542</v>
      </c>
      <c r="D97" s="199">
        <f>'Historical FS'!E39</f>
        <v>0.14122065897828473</v>
      </c>
      <c r="E97" s="199">
        <f>'Historical FS'!F39</f>
        <v>0.1310748925513959</v>
      </c>
      <c r="F97" s="199">
        <f>'Historical FS'!G39</f>
        <v>0.13325622376028023</v>
      </c>
      <c r="H97" s="170"/>
      <c r="I97" s="171"/>
      <c r="J97" s="171"/>
      <c r="K97" s="171"/>
      <c r="L97" s="171"/>
      <c r="M97" s="171"/>
    </row>
    <row r="98" spans="1:13" x14ac:dyDescent="0.3">
      <c r="A98" s="188" t="s">
        <v>333</v>
      </c>
      <c r="B98" s="200">
        <f>('Historical FS'!C38+'Historical FS'!C21)/'Historical FS'!C6</f>
        <v>0.13018195186427381</v>
      </c>
      <c r="C98" s="200">
        <f>('Historical FS'!D38+'Historical FS'!D21)/'Historical FS'!D6</f>
        <v>0.15701967089632624</v>
      </c>
      <c r="D98" s="200">
        <f>('Historical FS'!E38+'Historical FS'!E21)/'Historical FS'!E6</f>
        <v>0.14937526611887703</v>
      </c>
      <c r="E98" s="200">
        <f>('Historical FS'!F38+'Historical FS'!F21)/'Historical FS'!F6</f>
        <v>0.13982023300781671</v>
      </c>
      <c r="F98" s="200">
        <f>('Historical FS'!G38+'Historical FS'!G21)/'Historical FS'!G6</f>
        <v>0.14183495716944325</v>
      </c>
      <c r="H98" s="176"/>
      <c r="I98" s="173"/>
      <c r="J98" s="173"/>
      <c r="K98" s="173"/>
      <c r="L98" s="173"/>
      <c r="M98" s="173"/>
    </row>
    <row r="99" spans="1:13" x14ac:dyDescent="0.3">
      <c r="A99" s="188" t="s">
        <v>334</v>
      </c>
      <c r="B99" s="200">
        <f>'Historical FS'!C38/('Historical FS'!C52+'Historical FS'!C53)</f>
        <v>0.20739015275748623</v>
      </c>
      <c r="C99" s="200">
        <f>'Historical FS'!D38/('Historical FS'!D52+'Historical FS'!D53)</f>
        <v>0.2630859687282226</v>
      </c>
      <c r="D99" s="200">
        <f>'Historical FS'!E38/('Historical FS'!E52+'Historical FS'!E53)</f>
        <v>0.25839079362332507</v>
      </c>
      <c r="E99" s="200">
        <f>'Historical FS'!F38/('Historical FS'!F52+'Historical FS'!F53)</f>
        <v>0.24229083348078773</v>
      </c>
      <c r="F99" s="200">
        <f>'Historical FS'!G38/('Historical FS'!G52+'Historical FS'!G53)</f>
        <v>0.25745018291196797</v>
      </c>
      <c r="H99" s="176"/>
      <c r="I99" s="173"/>
      <c r="J99" s="173"/>
      <c r="K99" s="173"/>
      <c r="L99" s="173"/>
      <c r="M99" s="173"/>
    </row>
    <row r="100" spans="1:13" x14ac:dyDescent="0.3">
      <c r="A100" s="305" t="s">
        <v>689</v>
      </c>
      <c r="B100" s="305"/>
      <c r="C100" s="305"/>
      <c r="D100" s="305"/>
      <c r="E100" s="305"/>
      <c r="F100" s="305"/>
    </row>
    <row r="101" spans="1:13" x14ac:dyDescent="0.3">
      <c r="A101" s="188" t="s">
        <v>335</v>
      </c>
      <c r="B101" s="201">
        <f>'Historical FS'!C54/('Historical FS'!C52+'Historical FS'!C53)</f>
        <v>4.636083365634037</v>
      </c>
      <c r="C101" s="201">
        <f>'Historical FS'!D54/('Historical FS'!D52+'Historical FS'!D53)</f>
        <v>5.2283112973077097</v>
      </c>
      <c r="D101" s="201">
        <f>'Historical FS'!E54/('Historical FS'!E52+'Historical FS'!E53)</f>
        <v>5.4873796218113391</v>
      </c>
      <c r="E101" s="201">
        <f>'Historical FS'!F54/('Historical FS'!F52+'Historical FS'!F53)</f>
        <v>5.6687202527346034</v>
      </c>
      <c r="F101" s="201">
        <f>'Historical FS'!G54/('Historical FS'!G52+'Historical FS'!G53)</f>
        <v>6.3056053857990291</v>
      </c>
    </row>
    <row r="102" spans="1:13" x14ac:dyDescent="0.3">
      <c r="A102" s="305" t="s">
        <v>690</v>
      </c>
      <c r="B102" s="305"/>
      <c r="C102" s="305"/>
      <c r="D102" s="305"/>
      <c r="E102" s="305"/>
      <c r="F102" s="305"/>
    </row>
    <row r="103" spans="1:13" x14ac:dyDescent="0.3">
      <c r="A103" s="188" t="s">
        <v>336</v>
      </c>
      <c r="B103" s="201">
        <f>'Historical FS'!C24/'Historical FS'!C9</f>
        <v>1.7014474230016863</v>
      </c>
      <c r="C103" s="201">
        <f>'Historical FS'!D24/'Historical FS'!D9</f>
        <v>1.6425071835901062</v>
      </c>
      <c r="D103" s="201">
        <f>'Historical FS'!E24/'Historical FS'!E9</f>
        <v>1.4131093708473759</v>
      </c>
      <c r="E103" s="201">
        <f>'Historical FS'!F24/'Historical FS'!F9</f>
        <v>1.3030930040271993</v>
      </c>
      <c r="F103" s="201">
        <f>'Historical FS'!G24/'Historical FS'!G9</f>
        <v>1.30088042624305</v>
      </c>
    </row>
    <row r="104" spans="1:13" x14ac:dyDescent="0.3">
      <c r="A104" s="190" t="s">
        <v>337</v>
      </c>
      <c r="B104" s="202">
        <f>'Historical FS'!C54/('Historical FS'!C52+'Historical FS'!C53)</f>
        <v>4.636083365634037</v>
      </c>
      <c r="C104" s="202">
        <f>'Historical FS'!D54/('Historical FS'!D52+'Historical FS'!D53)</f>
        <v>5.2283112973077097</v>
      </c>
      <c r="D104" s="202">
        <f>'Historical FS'!E54/('Historical FS'!E52+'Historical FS'!E53)</f>
        <v>5.4873796218113391</v>
      </c>
      <c r="E104" s="202">
        <f>'Historical FS'!F54/('Historical FS'!F52+'Historical FS'!F53)</f>
        <v>5.6687202527346034</v>
      </c>
      <c r="F104" s="202">
        <f>'Historical FS'!G54/('Historical FS'!G52+'Historical FS'!G53)</f>
        <v>6.3056053857990291</v>
      </c>
    </row>
    <row r="105" spans="1:13" x14ac:dyDescent="0.3">
      <c r="A105" s="188" t="s">
        <v>338</v>
      </c>
      <c r="B105" s="201">
        <f>'Historical FS'!C18/'Historical FS'!C9</f>
        <v>1.7606930111409875</v>
      </c>
      <c r="C105" s="201">
        <f>'Historical FS'!D18/'Historical FS'!D9</f>
        <v>1.6980580948774811</v>
      </c>
      <c r="D105" s="201">
        <f>'Historical FS'!E18/'Historical FS'!E9</f>
        <v>1.4620307823414864</v>
      </c>
      <c r="E105" s="201">
        <f>'Historical FS'!F18/'Historical FS'!F9</f>
        <v>1.3512351036828925</v>
      </c>
      <c r="F105" s="201">
        <f>'Historical FS'!G18/'Historical FS'!G9</f>
        <v>1.346621785803092</v>
      </c>
    </row>
    <row r="106" spans="1:13" x14ac:dyDescent="0.3">
      <c r="A106" s="190" t="s">
        <v>339</v>
      </c>
      <c r="B106" s="202">
        <f>('Historical FS'!C38+'Historical FS'!C9)/'Historical FS'!C9</f>
        <v>1.8787704274256543</v>
      </c>
      <c r="C106" s="202">
        <f>('Historical FS'!D38+'Historical FS'!D9)/'Historical FS'!D9</f>
        <v>2.0006310740880973</v>
      </c>
      <c r="D106" s="202">
        <f>('Historical FS'!E38+'Historical FS'!E9)/'Historical FS'!E9</f>
        <v>1.8472160399923696</v>
      </c>
      <c r="E106" s="202">
        <f>('Historical FS'!F38+'Historical FS'!F9)/'Historical FS'!F9</f>
        <v>1.7215523021674481</v>
      </c>
      <c r="F106" s="202">
        <f>('Historical FS'!G38+'Historical FS'!G9)/'Historical FS'!G9</f>
        <v>1.7105152420428331</v>
      </c>
    </row>
    <row r="107" spans="1:13" x14ac:dyDescent="0.3">
      <c r="A107" s="305" t="s">
        <v>691</v>
      </c>
      <c r="B107" s="305"/>
      <c r="C107" s="305"/>
      <c r="D107" s="305"/>
      <c r="E107" s="305"/>
      <c r="F107" s="305"/>
    </row>
    <row r="108" spans="1:13" x14ac:dyDescent="0.3">
      <c r="A108" s="190" t="s">
        <v>340</v>
      </c>
      <c r="B108" s="202">
        <f>'Historical FS'!C6/'Historical FS'!C64</f>
        <v>22.776475051667159</v>
      </c>
      <c r="C108" s="202">
        <f>'Historical FS'!D6/'Historical FS'!D64</f>
        <v>23.729561330465152</v>
      </c>
      <c r="D108" s="202">
        <f>'Historical FS'!E6/'Historical FS'!E64</f>
        <v>18.477667705637561</v>
      </c>
      <c r="E108" s="202">
        <f>'Historical FS'!F6/'Historical FS'!F64</f>
        <v>16.085646114179593</v>
      </c>
      <c r="F108" s="202">
        <f>'Historical FS'!G6/'Historical FS'!G64</f>
        <v>16.130421085117145</v>
      </c>
    </row>
    <row r="109" spans="1:13" x14ac:dyDescent="0.3">
      <c r="A109" s="188" t="s">
        <v>341</v>
      </c>
      <c r="B109" s="201">
        <f>'Historical FS'!C6/'Historical FS'!C58</f>
        <v>23.157186312559002</v>
      </c>
      <c r="C109" s="201">
        <f>'Historical FS'!D6/'Historical FS'!D58</f>
        <v>21.734596541405153</v>
      </c>
      <c r="D109" s="201">
        <f>'Historical FS'!E6/'Historical FS'!E58</f>
        <v>22.508951949037105</v>
      </c>
      <c r="E109" s="201">
        <f>'Historical FS'!F6/'Historical FS'!F58</f>
        <v>23.537979058530929</v>
      </c>
      <c r="F109" s="201">
        <f>'Historical FS'!G6/'Historical FS'!G58</f>
        <v>25.099984492840864</v>
      </c>
    </row>
    <row r="110" spans="1:13" x14ac:dyDescent="0.3">
      <c r="A110" s="190" t="s">
        <v>342</v>
      </c>
      <c r="B110" s="202">
        <f>'Historical FS'!C6/'Historical FS'!C69</f>
        <v>0.20507968741122767</v>
      </c>
      <c r="C110" s="202">
        <f>'Historical FS'!D6/'Historical FS'!D69</f>
        <v>0.20239247845406413</v>
      </c>
      <c r="D110" s="202">
        <f>'Historical FS'!E6/'Historical FS'!E69</f>
        <v>0.20519970242204358</v>
      </c>
      <c r="E110" s="202">
        <f>'Historical FS'!F6/'Historical FS'!F69</f>
        <v>0.2051757657069089</v>
      </c>
      <c r="F110" s="202">
        <f>'Historical FS'!G6/'Historical FS'!G69</f>
        <v>0.19845862651050919</v>
      </c>
    </row>
    <row r="111" spans="1:13" x14ac:dyDescent="0.3">
      <c r="A111" s="188" t="s">
        <v>343</v>
      </c>
      <c r="B111" s="201">
        <f>('Data Sheet'!B70-'Data Sheet'!B53)*365/'Historical FS'!C6</f>
        <v>873.99651265989064</v>
      </c>
      <c r="C111" s="201">
        <f>('Data Sheet'!C70-'Data Sheet'!C53)*365/'Historical FS'!D6</f>
        <v>910.42343790532232</v>
      </c>
      <c r="D111" s="201">
        <f>('Data Sheet'!D70-'Data Sheet'!D53)*365/'Historical FS'!E6</f>
        <v>915.15241115026777</v>
      </c>
      <c r="E111" s="201">
        <f>('Data Sheet'!E70-'Data Sheet'!E53)*365/'Historical FS'!F6</f>
        <v>340.64837786159734</v>
      </c>
      <c r="F111" s="201">
        <f>('Data Sheet'!F70-'Data Sheet'!F53)*365/'Historical FS'!G6</f>
        <v>336.00045585482474</v>
      </c>
    </row>
    <row r="112" spans="1:13" x14ac:dyDescent="0.3">
      <c r="A112" s="305" t="s">
        <v>692</v>
      </c>
      <c r="B112" s="305"/>
      <c r="C112" s="305"/>
      <c r="D112" s="305"/>
      <c r="E112" s="305"/>
      <c r="F112" s="305"/>
    </row>
    <row r="113" spans="1:6" x14ac:dyDescent="0.3">
      <c r="A113" s="188" t="s">
        <v>344</v>
      </c>
      <c r="B113" s="200">
        <f>'Historical FS'!C47</f>
        <v>5.7195640479753319E-3</v>
      </c>
      <c r="C113" s="200">
        <f>'Historical FS'!D47</f>
        <v>5.2133159474229114E-3</v>
      </c>
      <c r="D113" s="200">
        <f>'Historical FS'!E47</f>
        <v>8.1746893194665753E-3</v>
      </c>
      <c r="E113" s="200">
        <f>'Historical FS'!F47</f>
        <v>9.1028190404954835E-3</v>
      </c>
      <c r="F113" s="200">
        <f>'Historical FS'!G47</f>
        <v>0</v>
      </c>
    </row>
    <row r="114" spans="1:6" x14ac:dyDescent="0.3">
      <c r="A114" s="190" t="s">
        <v>345</v>
      </c>
      <c r="B114" s="199">
        <f>'Historical FS'!C49</f>
        <v>0.99428043595202464</v>
      </c>
      <c r="C114" s="199">
        <f>'Historical FS'!D49</f>
        <v>0.99478668405257709</v>
      </c>
      <c r="D114" s="199">
        <f>'Historical FS'!E49</f>
        <v>0.99182531068053348</v>
      </c>
      <c r="E114" s="199">
        <f>'Historical FS'!F49</f>
        <v>0.99089718095950452</v>
      </c>
      <c r="F114" s="199">
        <f>'Historical FS'!G49</f>
        <v>1</v>
      </c>
    </row>
    <row r="115" spans="1:6" x14ac:dyDescent="0.3">
      <c r="A115" s="188" t="s">
        <v>346</v>
      </c>
      <c r="B115" s="201">
        <f>IFERROR('Historical FS'!C54/'Historical FS'!C83,"-")</f>
        <v>-5.5414903032282972</v>
      </c>
      <c r="C115" s="201">
        <f>IFERROR('Historical FS'!D54/'Historical FS'!D83,"-")</f>
        <v>-6.1456945288753797</v>
      </c>
      <c r="D115" s="201">
        <f>IFERROR('Historical FS'!E54/'Historical FS'!E83,"-")</f>
        <v>-5.0539836951543462</v>
      </c>
      <c r="E115" s="201">
        <f>IFERROR('Historical FS'!F54/'Historical FS'!F83,"-")</f>
        <v>-6.607344270741093</v>
      </c>
      <c r="F115" s="201">
        <f>IFERROR('Historical FS'!G54/'Historical FS'!G83,"-")</f>
        <v>-8.8840758756622851</v>
      </c>
    </row>
  </sheetData>
  <mergeCells count="23">
    <mergeCell ref="A102:F102"/>
    <mergeCell ref="A107:F107"/>
    <mergeCell ref="A112:F112"/>
    <mergeCell ref="A76:F76"/>
    <mergeCell ref="A86:F86"/>
    <mergeCell ref="A88:F88"/>
    <mergeCell ref="A94:F94"/>
    <mergeCell ref="A100:F100"/>
    <mergeCell ref="A49:F49"/>
    <mergeCell ref="A55:F55"/>
    <mergeCell ref="A56:F56"/>
    <mergeCell ref="A64:F64"/>
    <mergeCell ref="A72:F72"/>
    <mergeCell ref="A30:F30"/>
    <mergeCell ref="A34:F34"/>
    <mergeCell ref="A36:F36"/>
    <mergeCell ref="A37:F37"/>
    <mergeCell ref="A44:F44"/>
    <mergeCell ref="A1:F1"/>
    <mergeCell ref="A3:F3"/>
    <mergeCell ref="A9:F9"/>
    <mergeCell ref="A17:F17"/>
    <mergeCell ref="A27:F27"/>
  </mergeCells>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109"/>
  <sheetViews>
    <sheetView showGridLines="0" zoomScale="70" zoomScaleNormal="70" workbookViewId="0">
      <selection activeCell="F66" sqref="F66"/>
    </sheetView>
  </sheetViews>
  <sheetFormatPr defaultColWidth="8.6328125" defaultRowHeight="14" x14ac:dyDescent="0.3"/>
  <cols>
    <col min="1" max="1" width="3" style="146" customWidth="1"/>
    <col min="2" max="2" width="32" style="145" customWidth="1"/>
    <col min="3" max="8" width="14" style="165" customWidth="1"/>
    <col min="9" max="11" width="8.6328125" style="146"/>
    <col min="12" max="12" width="13" style="146" customWidth="1"/>
    <col min="13" max="16384" width="8.6328125" style="146"/>
  </cols>
  <sheetData>
    <row r="2" spans="1:12" ht="26" customHeight="1" x14ac:dyDescent="0.3">
      <c r="B2" s="308" t="s">
        <v>696</v>
      </c>
      <c r="C2" s="308"/>
      <c r="D2" s="308"/>
      <c r="E2" s="308"/>
      <c r="F2" s="308"/>
      <c r="G2" s="308"/>
      <c r="H2" s="308"/>
      <c r="I2" s="203"/>
    </row>
    <row r="3" spans="1:12" ht="14.25" customHeight="1" x14ac:dyDescent="0.3">
      <c r="B3" s="204" t="s">
        <v>347</v>
      </c>
      <c r="C3" s="205" t="str">
        <f>'Data Sheet'!B2</f>
        <v>Mar '22</v>
      </c>
      <c r="D3" s="205" t="str">
        <f>'Data Sheet'!C2</f>
        <v>Mar '23</v>
      </c>
      <c r="E3" s="205" t="str">
        <f>'Data Sheet'!D2</f>
        <v>Mar '24</v>
      </c>
      <c r="F3" s="205" t="str">
        <f>'Data Sheet'!E2</f>
        <v>Mar '25</v>
      </c>
      <c r="G3" s="205" t="str">
        <f>'Data Sheet'!F2</f>
        <v>Mar '26</v>
      </c>
      <c r="H3" s="205" t="s">
        <v>348</v>
      </c>
      <c r="I3" s="206"/>
    </row>
    <row r="4" spans="1:12" ht="14.25" customHeight="1" x14ac:dyDescent="0.3">
      <c r="B4" s="207"/>
      <c r="C4" s="208"/>
      <c r="D4" s="208"/>
      <c r="E4" s="208"/>
      <c r="F4" s="208"/>
      <c r="G4" s="208"/>
      <c r="H4" s="209"/>
    </row>
    <row r="5" spans="1:12" ht="14.25" customHeight="1" x14ac:dyDescent="0.35">
      <c r="A5" s="146" t="s">
        <v>349</v>
      </c>
      <c r="B5" s="210" t="s">
        <v>350</v>
      </c>
      <c r="C5" s="211"/>
      <c r="D5" s="212"/>
      <c r="E5" s="212"/>
      <c r="F5" s="212"/>
      <c r="G5" s="212"/>
      <c r="H5" s="212"/>
    </row>
    <row r="6" spans="1:12" ht="14.25" customHeight="1" x14ac:dyDescent="0.3">
      <c r="B6" s="213" t="s">
        <v>351</v>
      </c>
      <c r="C6" s="214">
        <f>IFERROR('Data Sheet'!B6,0)</f>
        <v>68438.98</v>
      </c>
      <c r="D6" s="214">
        <f>IFERROR('Data Sheet'!C6,0)</f>
        <v>82072.009999999995</v>
      </c>
      <c r="E6" s="214">
        <f>IFERROR('Data Sheet'!D6,0)</f>
        <v>110383</v>
      </c>
      <c r="F6" s="214">
        <f>IFERROR('Data Sheet'!E6,0)</f>
        <v>133822.12</v>
      </c>
      <c r="G6" s="214">
        <f>IFERROR('Data Sheet'!F6,0)</f>
        <v>150530.38</v>
      </c>
      <c r="H6" s="214">
        <f>IFERROR('Data Sheet'!F6,0)</f>
        <v>150530.38</v>
      </c>
      <c r="K6" s="215" t="s">
        <v>695</v>
      </c>
      <c r="L6" s="216"/>
    </row>
    <row r="7" spans="1:12" ht="14.25" customHeight="1" x14ac:dyDescent="0.3">
      <c r="B7" s="217" t="s">
        <v>352</v>
      </c>
      <c r="C7" s="218" t="s">
        <v>65</v>
      </c>
      <c r="D7" s="218">
        <f>D6/C6-1</f>
        <v>0.19919978351518397</v>
      </c>
      <c r="E7" s="218">
        <f>E6/D6-1</f>
        <v>0.34495304793924264</v>
      </c>
      <c r="F7" s="218">
        <f>F6/E6-1</f>
        <v>0.21234356739715343</v>
      </c>
      <c r="G7" s="218">
        <f>G6/F6-1</f>
        <v>0.12485424681659518</v>
      </c>
      <c r="H7" s="218">
        <f>H6/G6-1</f>
        <v>0</v>
      </c>
      <c r="K7" s="309">
        <f>AVERAGE(D7:G7)</f>
        <v>0.22033766141704381</v>
      </c>
      <c r="L7" s="309"/>
    </row>
    <row r="8" spans="1:12" x14ac:dyDescent="0.3">
      <c r="B8" s="219"/>
      <c r="C8" s="220"/>
      <c r="D8" s="220"/>
      <c r="E8" s="220"/>
      <c r="F8" s="220"/>
      <c r="G8" s="220"/>
      <c r="H8" s="220"/>
    </row>
    <row r="9" spans="1:12" ht="14.25" customHeight="1" x14ac:dyDescent="0.3">
      <c r="B9" s="213" t="s">
        <v>353</v>
      </c>
      <c r="C9" s="214">
        <f>IFERROR('Data Sheet'!B12,0)</f>
        <v>9498.26</v>
      </c>
      <c r="D9" s="214">
        <f>IFERROR('Data Sheet'!C12,0)</f>
        <v>12201.42</v>
      </c>
      <c r="E9" s="214">
        <f>IFERROR('Data Sheet'!D12,0)</f>
        <v>18399.509999999998</v>
      </c>
      <c r="F9" s="214">
        <f>IFERROR('Data Sheet'!E12,0)</f>
        <v>24309.7</v>
      </c>
      <c r="G9" s="214">
        <f>IFERROR('Data Sheet'!F12,0)</f>
        <v>28231.78</v>
      </c>
      <c r="H9" s="214">
        <f>IFERROR('Data Sheet'!F12,0)</f>
        <v>28231.78</v>
      </c>
    </row>
    <row r="10" spans="1:12" ht="14.25" customHeight="1" x14ac:dyDescent="0.3">
      <c r="B10" s="217" t="s">
        <v>354</v>
      </c>
      <c r="C10" s="218">
        <f t="shared" ref="C10:H10" si="0">C9/C6</f>
        <v>0.13878435943960593</v>
      </c>
      <c r="D10" s="218">
        <f t="shared" si="0"/>
        <v>0.14866724965064218</v>
      </c>
      <c r="E10" s="218">
        <f t="shared" si="0"/>
        <v>0.16668789578105322</v>
      </c>
      <c r="F10" s="218">
        <f t="shared" si="0"/>
        <v>0.18165681428451441</v>
      </c>
      <c r="G10" s="218">
        <f t="shared" si="0"/>
        <v>0.18754871940135937</v>
      </c>
      <c r="H10" s="218">
        <f t="shared" si="0"/>
        <v>0.18754871940135937</v>
      </c>
    </row>
    <row r="11" spans="1:12" x14ac:dyDescent="0.3">
      <c r="B11" s="219"/>
      <c r="C11" s="220"/>
      <c r="D11" s="220"/>
      <c r="E11" s="220"/>
      <c r="F11" s="220"/>
      <c r="G11" s="220"/>
      <c r="H11" s="220"/>
    </row>
    <row r="12" spans="1:12" ht="14.25" customHeight="1" x14ac:dyDescent="0.3">
      <c r="B12" s="217" t="s">
        <v>355</v>
      </c>
      <c r="C12" s="221">
        <f t="shared" ref="C12:H12" si="1">C6-C9</f>
        <v>58940.719999999994</v>
      </c>
      <c r="D12" s="221">
        <f t="shared" si="1"/>
        <v>69870.59</v>
      </c>
      <c r="E12" s="221">
        <f t="shared" si="1"/>
        <v>91983.49</v>
      </c>
      <c r="F12" s="221">
        <f t="shared" si="1"/>
        <v>109512.42</v>
      </c>
      <c r="G12" s="221">
        <f t="shared" si="1"/>
        <v>122298.6</v>
      </c>
      <c r="H12" s="221">
        <f t="shared" si="1"/>
        <v>122298.6</v>
      </c>
    </row>
    <row r="13" spans="1:12" ht="14.25" customHeight="1" x14ac:dyDescent="0.3">
      <c r="B13" s="219" t="s">
        <v>356</v>
      </c>
      <c r="C13" s="218">
        <f t="shared" ref="C13:H13" si="2">C12/C6</f>
        <v>0.86121564056039401</v>
      </c>
      <c r="D13" s="218">
        <f t="shared" si="2"/>
        <v>0.85133275034935785</v>
      </c>
      <c r="E13" s="218">
        <f t="shared" si="2"/>
        <v>0.83331210421894686</v>
      </c>
      <c r="F13" s="218">
        <f t="shared" si="2"/>
        <v>0.81834318571548559</v>
      </c>
      <c r="G13" s="218">
        <f t="shared" si="2"/>
        <v>0.81245128059864058</v>
      </c>
      <c r="H13" s="218">
        <f t="shared" si="2"/>
        <v>0.81245128059864058</v>
      </c>
    </row>
    <row r="14" spans="1:12" x14ac:dyDescent="0.3">
      <c r="B14" s="219"/>
      <c r="C14" s="220"/>
      <c r="D14" s="220"/>
      <c r="E14" s="220"/>
      <c r="F14" s="220"/>
      <c r="G14" s="220"/>
      <c r="H14" s="220"/>
    </row>
    <row r="15" spans="1:12" ht="14.25" customHeight="1" x14ac:dyDescent="0.3">
      <c r="B15" s="213" t="s">
        <v>357</v>
      </c>
      <c r="C15" s="214">
        <f>IFERROR(SUM('Data Sheet'!B10,'Data Sheet'!B11,'Data Sheet'!B15),0)</f>
        <v>42217.2</v>
      </c>
      <c r="D15" s="214">
        <f>IFERROR(SUM('Data Sheet'!C10,'Data Sheet'!C11,'Data Sheet'!C15),0)</f>
        <v>49151.87</v>
      </c>
      <c r="E15" s="214">
        <f>IFERROR(SUM('Data Sheet'!D10,'Data Sheet'!D11,'Data Sheet'!D15),0)</f>
        <v>65082.840000000004</v>
      </c>
      <c r="F15" s="214">
        <f>IFERROR(SUM('Data Sheet'!E10,'Data Sheet'!E11,'Data Sheet'!E15),0)</f>
        <v>76664.299999999988</v>
      </c>
      <c r="G15" s="214">
        <f>IFERROR(SUM('Data Sheet'!F10,'Data Sheet'!F11,'Data Sheet'!F15),0)</f>
        <v>84281.069999999992</v>
      </c>
      <c r="H15" s="214">
        <f>IFERROR(SUM('Data Sheet'!F10,'Data Sheet'!F11,'Data Sheet'!F15),0)</f>
        <v>84281.069999999992</v>
      </c>
    </row>
    <row r="16" spans="1:12" ht="14.25" customHeight="1" x14ac:dyDescent="0.3">
      <c r="B16" s="217" t="s">
        <v>358</v>
      </c>
      <c r="C16" s="218">
        <f t="shared" ref="C16:H16" si="3">C15/C6</f>
        <v>0.61685898883940116</v>
      </c>
      <c r="D16" s="218">
        <f t="shared" si="3"/>
        <v>0.59888712363691354</v>
      </c>
      <c r="E16" s="218">
        <f t="shared" si="3"/>
        <v>0.58960926954331738</v>
      </c>
      <c r="F16" s="218">
        <f t="shared" si="3"/>
        <v>0.57288212143104589</v>
      </c>
      <c r="G16" s="218">
        <f t="shared" si="3"/>
        <v>0.55989408915329908</v>
      </c>
      <c r="H16" s="218">
        <f t="shared" si="3"/>
        <v>0.55989408915329908</v>
      </c>
    </row>
    <row r="17" spans="2:8" x14ac:dyDescent="0.3">
      <c r="B17" s="219"/>
      <c r="C17" s="220"/>
      <c r="D17" s="220"/>
      <c r="E17" s="220"/>
      <c r="F17" s="220"/>
      <c r="G17" s="220"/>
      <c r="H17" s="220"/>
    </row>
    <row r="18" spans="2:8" ht="14.25" customHeight="1" x14ac:dyDescent="0.3">
      <c r="B18" s="217" t="s">
        <v>359</v>
      </c>
      <c r="C18" s="221">
        <f t="shared" ref="C18:H18" si="4">C12-C15</f>
        <v>16723.519999999997</v>
      </c>
      <c r="D18" s="221">
        <f t="shared" si="4"/>
        <v>20718.719999999994</v>
      </c>
      <c r="E18" s="221">
        <f t="shared" si="4"/>
        <v>26900.65</v>
      </c>
      <c r="F18" s="221">
        <f t="shared" si="4"/>
        <v>32848.12000000001</v>
      </c>
      <c r="G18" s="221">
        <f t="shared" si="4"/>
        <v>38017.530000000013</v>
      </c>
      <c r="H18" s="221">
        <f t="shared" si="4"/>
        <v>38017.530000000013</v>
      </c>
    </row>
    <row r="19" spans="2:8" ht="14.25" customHeight="1" x14ac:dyDescent="0.3">
      <c r="B19" s="217" t="s">
        <v>360</v>
      </c>
      <c r="C19" s="218">
        <f t="shared" ref="C19:H19" si="5">C18/C6</f>
        <v>0.24435665172099288</v>
      </c>
      <c r="D19" s="218">
        <f t="shared" si="5"/>
        <v>0.2524456267124443</v>
      </c>
      <c r="E19" s="218">
        <f t="shared" si="5"/>
        <v>0.24370283467562942</v>
      </c>
      <c r="F19" s="218">
        <f t="shared" si="5"/>
        <v>0.24546106428443976</v>
      </c>
      <c r="G19" s="218">
        <f t="shared" si="5"/>
        <v>0.25255719144534156</v>
      </c>
      <c r="H19" s="218">
        <f t="shared" si="5"/>
        <v>0.25255719144534156</v>
      </c>
    </row>
    <row r="20" spans="2:8" x14ac:dyDescent="0.3">
      <c r="B20" s="219"/>
      <c r="C20" s="220"/>
      <c r="D20" s="220"/>
      <c r="E20" s="220"/>
      <c r="F20" s="220"/>
      <c r="G20" s="220"/>
      <c r="H20" s="220"/>
    </row>
    <row r="21" spans="2:8" ht="14.25" customHeight="1" x14ac:dyDescent="0.3">
      <c r="B21" s="213" t="s">
        <v>361</v>
      </c>
      <c r="C21" s="214">
        <f>IFERROR(SUM('Data Sheet'!B14),0)</f>
        <v>562.73</v>
      </c>
      <c r="D21" s="214">
        <f>IFERROR(SUM('Data Sheet'!C14),0)</f>
        <v>677.8</v>
      </c>
      <c r="E21" s="214">
        <f>IFERROR(SUM('Data Sheet'!D14),0)</f>
        <v>900.13</v>
      </c>
      <c r="F21" s="214">
        <f>IFERROR(SUM('Data Sheet'!E14),0)</f>
        <v>1170.32</v>
      </c>
      <c r="G21" s="214">
        <f>IFERROR(SUM('Data Sheet'!F14),0)</f>
        <v>1291.3599999999999</v>
      </c>
      <c r="H21" s="214">
        <f>IFERROR(SUM('Data Sheet'!F14),0)</f>
        <v>1291.3599999999999</v>
      </c>
    </row>
    <row r="22" spans="2:8" ht="14.25" customHeight="1" x14ac:dyDescent="0.3">
      <c r="B22" s="217" t="s">
        <v>362</v>
      </c>
      <c r="C22" s="218">
        <f t="shared" ref="C22:H22" si="6">C21/C6</f>
        <v>8.222360999535645E-3</v>
      </c>
      <c r="D22" s="218">
        <f t="shared" si="6"/>
        <v>8.2586011966808166E-3</v>
      </c>
      <c r="E22" s="218">
        <f t="shared" si="6"/>
        <v>8.1546071405923012E-3</v>
      </c>
      <c r="F22" s="218">
        <f t="shared" si="6"/>
        <v>8.7453404564208064E-3</v>
      </c>
      <c r="G22" s="218">
        <f t="shared" si="6"/>
        <v>8.5787334091629863E-3</v>
      </c>
      <c r="H22" s="218">
        <f t="shared" si="6"/>
        <v>8.5787334091629863E-3</v>
      </c>
    </row>
    <row r="23" spans="2:8" ht="14.25" customHeight="1" x14ac:dyDescent="0.3">
      <c r="B23" s="222"/>
      <c r="C23" s="223"/>
      <c r="D23" s="223"/>
      <c r="E23" s="223"/>
      <c r="F23" s="223"/>
      <c r="G23" s="223"/>
      <c r="H23" s="223"/>
    </row>
    <row r="24" spans="2:8" ht="14.25" customHeight="1" x14ac:dyDescent="0.3">
      <c r="B24" s="217" t="s">
        <v>363</v>
      </c>
      <c r="C24" s="221">
        <f t="shared" ref="C24:H24" si="7">IFERROR(C18-C21,0)</f>
        <v>16160.789999999997</v>
      </c>
      <c r="D24" s="221">
        <f t="shared" si="7"/>
        <v>20040.919999999995</v>
      </c>
      <c r="E24" s="221">
        <f t="shared" si="7"/>
        <v>26000.52</v>
      </c>
      <c r="F24" s="221">
        <f t="shared" si="7"/>
        <v>31677.80000000001</v>
      </c>
      <c r="G24" s="221">
        <f t="shared" si="7"/>
        <v>36726.170000000013</v>
      </c>
      <c r="H24" s="221">
        <f t="shared" si="7"/>
        <v>36726.170000000013</v>
      </c>
    </row>
    <row r="25" spans="2:8" ht="14.25" customHeight="1" x14ac:dyDescent="0.3">
      <c r="B25" s="217" t="s">
        <v>364</v>
      </c>
      <c r="C25" s="218">
        <f t="shared" ref="C25:H25" si="8">C24/C6</f>
        <v>0.23613429072145725</v>
      </c>
      <c r="D25" s="218">
        <f t="shared" si="8"/>
        <v>0.24418702551576349</v>
      </c>
      <c r="E25" s="218">
        <f t="shared" si="8"/>
        <v>0.2355482275350371</v>
      </c>
      <c r="F25" s="218">
        <f t="shared" si="8"/>
        <v>0.23671572382801895</v>
      </c>
      <c r="G25" s="218">
        <f t="shared" si="8"/>
        <v>0.24397845803617854</v>
      </c>
      <c r="H25" s="218">
        <f t="shared" si="8"/>
        <v>0.24397845803617854</v>
      </c>
    </row>
    <row r="26" spans="2:8" x14ac:dyDescent="0.3">
      <c r="B26" s="219"/>
      <c r="C26" s="220"/>
      <c r="D26" s="220"/>
      <c r="E26" s="220"/>
      <c r="F26" s="220"/>
      <c r="G26" s="220"/>
      <c r="H26" s="220"/>
    </row>
    <row r="27" spans="2:8" ht="14.25" customHeight="1" x14ac:dyDescent="0.3">
      <c r="B27" s="213" t="s">
        <v>270</v>
      </c>
      <c r="C27" s="214">
        <f>IFERROR('Data Sheet'!B13,0)</f>
        <v>4889.8500000000004</v>
      </c>
      <c r="D27" s="214">
        <f>IFERROR('Data Sheet'!C13,0)</f>
        <v>3230.98</v>
      </c>
      <c r="E27" s="214">
        <f>IFERROR('Data Sheet'!D13,0)</f>
        <v>4633.58</v>
      </c>
      <c r="F27" s="214">
        <f>IFERROR('Data Sheet'!E13,0)</f>
        <v>7947.58</v>
      </c>
      <c r="G27" s="214">
        <f>IFERROR('Data Sheet'!F13,0)</f>
        <v>9479.99</v>
      </c>
      <c r="H27" s="214">
        <f>IFERROR('Data Sheet'!F13,0)</f>
        <v>9479.99</v>
      </c>
    </row>
    <row r="28" spans="2:8" ht="14.25" customHeight="1" x14ac:dyDescent="0.3">
      <c r="B28" s="217" t="s">
        <v>365</v>
      </c>
      <c r="C28" s="218">
        <f t="shared" ref="C28:H28" si="9">C27/C6</f>
        <v>7.1448317903042985E-2</v>
      </c>
      <c r="D28" s="218">
        <f t="shared" si="9"/>
        <v>3.9367623627105032E-2</v>
      </c>
      <c r="E28" s="218">
        <f t="shared" si="9"/>
        <v>4.1977297228739933E-2</v>
      </c>
      <c r="F28" s="218">
        <f t="shared" si="9"/>
        <v>5.9389135368652063E-2</v>
      </c>
      <c r="G28" s="218">
        <f t="shared" si="9"/>
        <v>6.2977254159592239E-2</v>
      </c>
      <c r="H28" s="218">
        <f t="shared" si="9"/>
        <v>6.2977254159592239E-2</v>
      </c>
    </row>
    <row r="29" spans="2:8" ht="14.25" customHeight="1" x14ac:dyDescent="0.3">
      <c r="B29" s="222"/>
      <c r="C29" s="223"/>
      <c r="D29" s="223"/>
      <c r="E29" s="223"/>
      <c r="F29" s="223"/>
      <c r="G29" s="223"/>
      <c r="H29" s="223"/>
    </row>
    <row r="30" spans="2:8" ht="14.25" customHeight="1" x14ac:dyDescent="0.3">
      <c r="B30" s="213" t="s">
        <v>264</v>
      </c>
      <c r="C30" s="214">
        <f>IFERROR('Data Sheet'!B7,0)</f>
        <v>32.9</v>
      </c>
      <c r="D30" s="214">
        <f>IFERROR('Data Sheet'!C7,0)</f>
        <v>0.77</v>
      </c>
      <c r="E30" s="214">
        <f>IFERROR('Data Sheet'!D7,0)</f>
        <v>1.0900000000000001</v>
      </c>
      <c r="F30" s="214">
        <f>IFERROR('Data Sheet'!E7,0)</f>
        <v>1.07</v>
      </c>
      <c r="G30" s="214">
        <f>IFERROR('Data Sheet'!F7,0)</f>
        <v>26.61</v>
      </c>
      <c r="H30" s="214">
        <f>IFERROR('Data Sheet'!F7,0)</f>
        <v>26.61</v>
      </c>
    </row>
    <row r="31" spans="2:8" x14ac:dyDescent="0.3">
      <c r="B31" s="219"/>
      <c r="C31" s="220"/>
      <c r="D31" s="220"/>
      <c r="E31" s="220"/>
      <c r="F31" s="220"/>
      <c r="G31" s="220"/>
      <c r="H31" s="220"/>
    </row>
    <row r="32" spans="2:8" ht="14.25" customHeight="1" x14ac:dyDescent="0.3">
      <c r="B32" s="217" t="s">
        <v>366</v>
      </c>
      <c r="C32" s="221">
        <f>IFERROR(C24-C27+C30+IFERROR('Data Sheet'!B19,0),0)</f>
        <v>11303.839999999997</v>
      </c>
      <c r="D32" s="221">
        <f>IFERROR(D24-D27+D30+IFERROR('Data Sheet'!C19,0),0)</f>
        <v>16810.709999999995</v>
      </c>
      <c r="E32" s="221">
        <f>IFERROR(E24-E27+E30+IFERROR('Data Sheet'!D19,0),0)</f>
        <v>21368.030000000002</v>
      </c>
      <c r="F32" s="221">
        <f>IFERROR(F24-F27+F30+IFERROR('Data Sheet'!E19,0),0)</f>
        <v>23731.290000000008</v>
      </c>
      <c r="G32" s="221">
        <f>IFERROR(G24-G27+G30+IFERROR('Data Sheet'!F19,0),0)</f>
        <v>27272.790000000015</v>
      </c>
      <c r="H32" s="221">
        <f>IFERROR(H24-H27+H30+IFERROR('Data Sheet'!F19,0),0)</f>
        <v>27272.790000000015</v>
      </c>
    </row>
    <row r="33" spans="2:8" ht="14.25" customHeight="1" x14ac:dyDescent="0.3">
      <c r="B33" s="217" t="s">
        <v>367</v>
      </c>
      <c r="C33" s="218">
        <f t="shared" ref="C33:H33" si="10">C32/C6</f>
        <v>0.1651666930161729</v>
      </c>
      <c r="D33" s="218">
        <f t="shared" si="10"/>
        <v>0.2048287838935588</v>
      </c>
      <c r="E33" s="218">
        <f t="shared" si="10"/>
        <v>0.19358080501526506</v>
      </c>
      <c r="F33" s="218">
        <f t="shared" si="10"/>
        <v>0.17733458414797201</v>
      </c>
      <c r="G33" s="218">
        <f t="shared" si="10"/>
        <v>0.18117797882394249</v>
      </c>
      <c r="H33" s="218">
        <f t="shared" si="10"/>
        <v>0.18117797882394249</v>
      </c>
    </row>
    <row r="34" spans="2:8" x14ac:dyDescent="0.3">
      <c r="B34" s="219"/>
      <c r="C34" s="220"/>
      <c r="D34" s="220"/>
      <c r="E34" s="220"/>
      <c r="F34" s="220"/>
      <c r="G34" s="220"/>
      <c r="H34" s="220"/>
    </row>
    <row r="35" spans="2:8" ht="14.25" customHeight="1" x14ac:dyDescent="0.3">
      <c r="B35" s="224" t="s">
        <v>368</v>
      </c>
      <c r="C35" s="214">
        <f>IFERROR('Data Sheet'!B24,0)</f>
        <v>2957.05</v>
      </c>
      <c r="D35" s="214">
        <f>IFERROR('Data Sheet'!C24,0)</f>
        <v>4601.59</v>
      </c>
      <c r="E35" s="214">
        <f>IFERROR('Data Sheet'!D24,0)</f>
        <v>5779.67</v>
      </c>
      <c r="F35" s="214">
        <f>IFERROR('Data Sheet'!E24,0)</f>
        <v>6190.57</v>
      </c>
      <c r="G35" s="214">
        <f>IFERROR('Data Sheet'!F24,0)</f>
        <v>7213.68</v>
      </c>
      <c r="H35" s="214">
        <f>IFERROR('Data Sheet'!F24,0)</f>
        <v>7213.68</v>
      </c>
    </row>
    <row r="36" spans="2:8" ht="14.25" customHeight="1" x14ac:dyDescent="0.3">
      <c r="B36" s="217" t="s">
        <v>369</v>
      </c>
      <c r="C36" s="218">
        <f t="shared" ref="C36:H36" si="11">C35/C32</f>
        <v>0.26159694404733269</v>
      </c>
      <c r="D36" s="218">
        <f t="shared" si="11"/>
        <v>0.27372966400586302</v>
      </c>
      <c r="E36" s="218">
        <f t="shared" si="11"/>
        <v>0.27048211744367634</v>
      </c>
      <c r="F36" s="218">
        <f t="shared" si="11"/>
        <v>0.26086108256230478</v>
      </c>
      <c r="G36" s="218">
        <f t="shared" si="11"/>
        <v>0.26450099164771906</v>
      </c>
      <c r="H36" s="218">
        <f t="shared" si="11"/>
        <v>0.26450099164771906</v>
      </c>
    </row>
    <row r="37" spans="2:8" x14ac:dyDescent="0.3">
      <c r="B37" s="219"/>
      <c r="C37" s="220"/>
      <c r="D37" s="220"/>
      <c r="E37" s="220"/>
      <c r="F37" s="220"/>
      <c r="G37" s="220"/>
      <c r="H37" s="220"/>
    </row>
    <row r="38" spans="2:8" ht="14.25" customHeight="1" x14ac:dyDescent="0.3">
      <c r="B38" s="217" t="s">
        <v>370</v>
      </c>
      <c r="C38" s="221">
        <f t="shared" ref="C38:H38" si="12">IFERROR(C32-C35,0)</f>
        <v>8346.7899999999972</v>
      </c>
      <c r="D38" s="221">
        <f t="shared" si="12"/>
        <v>12209.119999999995</v>
      </c>
      <c r="E38" s="221">
        <f t="shared" si="12"/>
        <v>15588.360000000002</v>
      </c>
      <c r="F38" s="221">
        <f t="shared" si="12"/>
        <v>17540.720000000008</v>
      </c>
      <c r="G38" s="221">
        <f t="shared" si="12"/>
        <v>20059.110000000015</v>
      </c>
      <c r="H38" s="221">
        <f t="shared" si="12"/>
        <v>20059.110000000015</v>
      </c>
    </row>
    <row r="39" spans="2:8" ht="14.25" customHeight="1" x14ac:dyDescent="0.3">
      <c r="B39" s="217" t="s">
        <v>371</v>
      </c>
      <c r="C39" s="218">
        <f t="shared" ref="C39:H39" si="13">C38/C6</f>
        <v>0.12195959086473816</v>
      </c>
      <c r="D39" s="218">
        <f t="shared" si="13"/>
        <v>0.14876106969964542</v>
      </c>
      <c r="E39" s="218">
        <f t="shared" si="13"/>
        <v>0.14122065897828473</v>
      </c>
      <c r="F39" s="218">
        <f t="shared" si="13"/>
        <v>0.1310748925513959</v>
      </c>
      <c r="G39" s="218">
        <f t="shared" si="13"/>
        <v>0.13325622376028023</v>
      </c>
      <c r="H39" s="218">
        <f t="shared" si="13"/>
        <v>0.13325622376028023</v>
      </c>
    </row>
    <row r="40" spans="2:8" x14ac:dyDescent="0.3">
      <c r="B40" s="219"/>
      <c r="C40" s="220"/>
      <c r="D40" s="220"/>
      <c r="E40" s="220"/>
      <c r="F40" s="220"/>
      <c r="G40" s="220"/>
      <c r="H40" s="220"/>
    </row>
    <row r="41" spans="2:8" ht="14.25" customHeight="1" x14ac:dyDescent="0.3">
      <c r="B41" s="213" t="s">
        <v>372</v>
      </c>
      <c r="C41" s="214">
        <f>IFERROR('Data Sheet'!B38/'Data Sheet'!B89,0)</f>
        <v>39.784999999999997</v>
      </c>
      <c r="D41" s="214">
        <f>IFERROR('Data Sheet'!C38/'Data Sheet'!C89,0)</f>
        <v>79.63</v>
      </c>
      <c r="E41" s="214">
        <f>IFERROR('Data Sheet'!D38/'Data Sheet'!D89,0)</f>
        <v>79.704999999999998</v>
      </c>
      <c r="F41" s="214">
        <f>IFERROR('Data Sheet'!E38/'Data Sheet'!E89,0)</f>
        <v>79.8</v>
      </c>
      <c r="G41" s="214">
        <f>IFERROR('Data Sheet'!F38/'Data Sheet'!F89,0)</f>
        <v>79.935000000000002</v>
      </c>
      <c r="H41" s="214">
        <f>IFERROR('Data Sheet'!F38/'Data Sheet'!F89,0)</f>
        <v>79.935000000000002</v>
      </c>
    </row>
    <row r="42" spans="2:8" ht="14.25" customHeight="1" x14ac:dyDescent="0.3">
      <c r="B42" s="219"/>
      <c r="C42" s="225"/>
      <c r="D42" s="225"/>
      <c r="E42" s="225"/>
      <c r="F42" s="225"/>
      <c r="G42" s="225"/>
      <c r="H42" s="220"/>
    </row>
    <row r="43" spans="2:8" ht="14.25" customHeight="1" x14ac:dyDescent="0.3">
      <c r="B43" s="213" t="s">
        <v>373</v>
      </c>
      <c r="C43" s="214">
        <f t="shared" ref="C43:H43" si="14">C38/C41</f>
        <v>209.79741108457955</v>
      </c>
      <c r="D43" s="214">
        <f t="shared" si="14"/>
        <v>153.32311942735146</v>
      </c>
      <c r="E43" s="214">
        <f t="shared" si="14"/>
        <v>195.57568533969015</v>
      </c>
      <c r="F43" s="214">
        <f t="shared" si="14"/>
        <v>219.80852130325826</v>
      </c>
      <c r="G43" s="214">
        <f t="shared" si="14"/>
        <v>250.94276599737304</v>
      </c>
      <c r="H43" s="214">
        <f t="shared" si="14"/>
        <v>250.94276599737304</v>
      </c>
    </row>
    <row r="44" spans="2:8" ht="14.25" customHeight="1" x14ac:dyDescent="0.3">
      <c r="B44" s="217" t="s">
        <v>374</v>
      </c>
      <c r="C44" s="218"/>
      <c r="D44" s="218">
        <f>IFERROR(D43/C43-1,0)</f>
        <v>-0.26918488348009484</v>
      </c>
      <c r="E44" s="218">
        <f>IFERROR(E43/D43-1,0)</f>
        <v>0.27557856943002701</v>
      </c>
      <c r="F44" s="218">
        <f>IFERROR(F43/E43-1,0)</f>
        <v>0.12390515682702952</v>
      </c>
      <c r="G44" s="218">
        <f>IFERROR(G43/F43-1,0)</f>
        <v>0.14164257377065237</v>
      </c>
      <c r="H44" s="218">
        <f>IFERROR(H43/G43-1,0)</f>
        <v>0</v>
      </c>
    </row>
    <row r="45" spans="2:8" x14ac:dyDescent="0.3">
      <c r="B45" s="219"/>
      <c r="C45" s="220"/>
      <c r="D45" s="220"/>
      <c r="E45" s="220"/>
      <c r="F45" s="220"/>
      <c r="G45" s="220"/>
      <c r="H45" s="220"/>
    </row>
    <row r="46" spans="2:8" ht="14.25" customHeight="1" x14ac:dyDescent="0.3">
      <c r="B46" s="213" t="s">
        <v>375</v>
      </c>
      <c r="C46" s="214">
        <f>IFERROR('Data Sheet'!B31/'Historical FS'!C41,0)</f>
        <v>1.1999497297976627</v>
      </c>
      <c r="D46" s="214">
        <f>IFERROR('Data Sheet'!C31/'Historical FS'!D41,0)</f>
        <v>0.79932186361923896</v>
      </c>
      <c r="E46" s="214">
        <f>IFERROR('Data Sheet'!D31/'Historical FS'!E41,0)</f>
        <v>1.5987704660937208</v>
      </c>
      <c r="F46" s="214">
        <f>IFERROR('Data Sheet'!E31/'Historical FS'!F41,0)</f>
        <v>2.0008771929824563</v>
      </c>
      <c r="G46" s="214">
        <v>0</v>
      </c>
      <c r="H46" s="214">
        <f>IFERROR('Data Sheet'!F31/'Historical FS'!H41,0)</f>
        <v>0</v>
      </c>
    </row>
    <row r="47" spans="2:8" ht="14.25" customHeight="1" x14ac:dyDescent="0.3">
      <c r="B47" s="217" t="s">
        <v>376</v>
      </c>
      <c r="C47" s="218">
        <f>IFERROR(C46/C43,0)</f>
        <v>5.7195640479753319E-3</v>
      </c>
      <c r="D47" s="218">
        <f>IFERROR(D46/D43,0)</f>
        <v>5.2133159474229114E-3</v>
      </c>
      <c r="E47" s="218">
        <f>IFERROR(E46/E43,0)</f>
        <v>8.1746893194665753E-3</v>
      </c>
      <c r="F47" s="218">
        <f>IFERROR(F46/F43,0)</f>
        <v>9.1028190404954835E-3</v>
      </c>
      <c r="G47" s="218">
        <v>0</v>
      </c>
      <c r="H47" s="218">
        <f>IFERROR(H46/H43,0)</f>
        <v>0</v>
      </c>
    </row>
    <row r="48" spans="2:8" x14ac:dyDescent="0.3">
      <c r="B48" s="219"/>
      <c r="C48" s="220"/>
      <c r="D48" s="220"/>
      <c r="E48" s="220"/>
      <c r="F48" s="220"/>
      <c r="G48" s="220"/>
      <c r="H48" s="220"/>
    </row>
    <row r="49" spans="1:8" ht="14.25" customHeight="1" x14ac:dyDescent="0.3">
      <c r="B49" s="217" t="s">
        <v>377</v>
      </c>
      <c r="C49" s="218">
        <f t="shared" ref="C49:H49" si="15">IFERROR(IF(C43&gt;C46,1-C47,0),0)</f>
        <v>0.99428043595202464</v>
      </c>
      <c r="D49" s="218">
        <f t="shared" si="15"/>
        <v>0.99478668405257709</v>
      </c>
      <c r="E49" s="218">
        <f t="shared" si="15"/>
        <v>0.99182531068053348</v>
      </c>
      <c r="F49" s="218">
        <f t="shared" si="15"/>
        <v>0.99089718095950452</v>
      </c>
      <c r="G49" s="218">
        <f t="shared" si="15"/>
        <v>1</v>
      </c>
      <c r="H49" s="218">
        <f t="shared" si="15"/>
        <v>1</v>
      </c>
    </row>
    <row r="50" spans="1:8" x14ac:dyDescent="0.3">
      <c r="B50" s="219"/>
      <c r="C50" s="220"/>
      <c r="D50" s="220"/>
      <c r="E50" s="220"/>
      <c r="F50" s="220"/>
      <c r="G50" s="220"/>
      <c r="H50" s="220"/>
    </row>
    <row r="51" spans="1:8" ht="14.25" customHeight="1" x14ac:dyDescent="0.35">
      <c r="A51" s="146" t="s">
        <v>349</v>
      </c>
      <c r="B51" s="210" t="s">
        <v>378</v>
      </c>
      <c r="C51" s="226" t="str">
        <f t="shared" ref="C51:H51" si="16">C3</f>
        <v>Mar '22</v>
      </c>
      <c r="D51" s="226" t="str">
        <f t="shared" si="16"/>
        <v>Mar '23</v>
      </c>
      <c r="E51" s="226" t="str">
        <f t="shared" si="16"/>
        <v>Mar '24</v>
      </c>
      <c r="F51" s="226" t="str">
        <f t="shared" si="16"/>
        <v>Mar '25</v>
      </c>
      <c r="G51" s="226" t="str">
        <f t="shared" si="16"/>
        <v>Mar '26</v>
      </c>
      <c r="H51" s="212" t="str">
        <f t="shared" si="16"/>
        <v>LTM</v>
      </c>
    </row>
    <row r="52" spans="1:8" ht="14.25" customHeight="1" x14ac:dyDescent="0.3">
      <c r="B52" s="227" t="s">
        <v>289</v>
      </c>
      <c r="C52" s="214">
        <f>IFERROR('Data Sheet'!B38,0)</f>
        <v>79.569999999999993</v>
      </c>
      <c r="D52" s="214">
        <f>IFERROR('Data Sheet'!C38,0)</f>
        <v>159.26</v>
      </c>
      <c r="E52" s="214">
        <f>IFERROR('Data Sheet'!D38,0)</f>
        <v>159.41</v>
      </c>
      <c r="F52" s="214">
        <f>IFERROR('Data Sheet'!E38,0)</f>
        <v>159.6</v>
      </c>
      <c r="G52" s="214">
        <f>IFERROR('Data Sheet'!F38,0)</f>
        <v>159.87</v>
      </c>
      <c r="H52" s="214">
        <f>IFERROR('Data Sheet'!F38,0)</f>
        <v>159.87</v>
      </c>
    </row>
    <row r="53" spans="1:8" ht="14.25" customHeight="1" x14ac:dyDescent="0.3">
      <c r="B53" s="227" t="s">
        <v>379</v>
      </c>
      <c r="C53" s="214">
        <f>IFERROR('Data Sheet'!B40,0)</f>
        <v>40167.230000000003</v>
      </c>
      <c r="D53" s="214">
        <f>IFERROR('Data Sheet'!C40,0)</f>
        <v>46248.08</v>
      </c>
      <c r="E53" s="214">
        <f>IFERROR('Data Sheet'!D40,0)</f>
        <v>60169.21</v>
      </c>
      <c r="F53" s="214">
        <f>IFERROR('Data Sheet'!E40,0)</f>
        <v>72235.710000000006</v>
      </c>
      <c r="G53" s="214">
        <f>IFERROR('Data Sheet'!F40,0)</f>
        <v>77754.66</v>
      </c>
      <c r="H53" s="214">
        <f>IFERROR('Data Sheet'!F40,0)</f>
        <v>77754.66</v>
      </c>
    </row>
    <row r="54" spans="1:8" ht="14.25" customHeight="1" x14ac:dyDescent="0.3">
      <c r="B54" s="227" t="s">
        <v>380</v>
      </c>
      <c r="C54" s="214">
        <f>IFERROR(SUM('Data Sheet'!B45,'Data Sheet'!B50,'Data Sheet'!B43),0)</f>
        <v>186587.51999999999</v>
      </c>
      <c r="D54" s="214">
        <f>IFERROR(SUM('Data Sheet'!C45,'Data Sheet'!C50,'Data Sheet'!C43),0)</f>
        <v>242632.02</v>
      </c>
      <c r="E54" s="214">
        <f>IFERROR(SUM('Data Sheet'!D45,'Data Sheet'!D50,'Data Sheet'!D43),0)</f>
        <v>331046.03999999998</v>
      </c>
      <c r="F54" s="214">
        <f>IFERROR(SUM('Data Sheet'!E45,'Data Sheet'!E50,'Data Sheet'!E43),0)</f>
        <v>410388.76</v>
      </c>
      <c r="G54" s="214">
        <f>IFERROR(SUM('Data Sheet'!F45,'Data Sheet'!F50,'Data Sheet'!F43),0)</f>
        <v>491298.28</v>
      </c>
      <c r="H54" s="214">
        <f>IFERROR(SUM('Data Sheet'!F45,'Data Sheet'!F50,'Data Sheet'!F43),0)</f>
        <v>491298.28</v>
      </c>
    </row>
    <row r="55" spans="1:8" ht="14.25" customHeight="1" x14ac:dyDescent="0.3">
      <c r="B55" s="227" t="s">
        <v>381</v>
      </c>
      <c r="C55" s="214">
        <f>IFERROR(SUM('Data Sheet'!B46,'Data Sheet'!B47,'Data Sheet'!B51,'Data Sheet'!B52),0)</f>
        <v>106884.64</v>
      </c>
      <c r="D55" s="214">
        <f>IFERROR(SUM('Data Sheet'!C46,'Data Sheet'!C47,'Data Sheet'!C51,'Data Sheet'!C52),0)</f>
        <v>116469.83</v>
      </c>
      <c r="E55" s="214">
        <f>IFERROR(SUM('Data Sheet'!D46,'Data Sheet'!D47,'Data Sheet'!D51,'Data Sheet'!D52),0)</f>
        <v>146554.97</v>
      </c>
      <c r="F55" s="214">
        <f>IFERROR(SUM('Data Sheet'!E46,'Data Sheet'!E47,'Data Sheet'!E51,'Data Sheet'!E52),0)</f>
        <v>169447.53999999998</v>
      </c>
      <c r="G55" s="214">
        <f>IFERROR(SUM('Data Sheet'!F46,'Data Sheet'!F47,'Data Sheet'!F51,'Data Sheet'!F52),0)</f>
        <v>189284.72999999998</v>
      </c>
      <c r="H55" s="214">
        <f>IFERROR(SUM('Data Sheet'!F46,'Data Sheet'!F47,'Data Sheet'!F51,'Data Sheet'!F52),0)</f>
        <v>189284.72999999998</v>
      </c>
    </row>
    <row r="56" spans="1:8" ht="15" customHeight="1" x14ac:dyDescent="0.3">
      <c r="B56" s="217" t="s">
        <v>382</v>
      </c>
      <c r="C56" s="221">
        <f>IFERROR('Data Sheet'!B54,0)</f>
        <v>333718.96000000002</v>
      </c>
      <c r="D56" s="221">
        <f>IFERROR('Data Sheet'!C54,0)</f>
        <v>405509.19</v>
      </c>
      <c r="E56" s="221">
        <f>IFERROR('Data Sheet'!D54,0)</f>
        <v>537929.63</v>
      </c>
      <c r="F56" s="221">
        <f>IFERROR('Data Sheet'!E54,0)</f>
        <v>652231.61</v>
      </c>
      <c r="G56" s="221">
        <f>IFERROR('Data Sheet'!F54,0)</f>
        <v>758497.54</v>
      </c>
      <c r="H56" s="221">
        <f>IFERROR('Data Sheet'!F54,0)</f>
        <v>758497.54</v>
      </c>
    </row>
    <row r="57" spans="1:8" ht="15" customHeight="1" x14ac:dyDescent="0.3">
      <c r="B57" s="228"/>
      <c r="C57" s="220"/>
      <c r="D57" s="220"/>
      <c r="E57" s="220"/>
      <c r="F57" s="220"/>
      <c r="G57" s="220"/>
      <c r="H57" s="220"/>
    </row>
    <row r="58" spans="1:8" ht="14.25" customHeight="1" x14ac:dyDescent="0.3">
      <c r="B58" s="227" t="s">
        <v>383</v>
      </c>
      <c r="C58" s="214">
        <f>IFERROR(SUM('Data Sheet'!B57,'Data Sheet'!B58),0)</f>
        <v>2955.41</v>
      </c>
      <c r="D58" s="214">
        <f>IFERROR(SUM('Data Sheet'!C57,'Data Sheet'!C58),0)</f>
        <v>3776.1</v>
      </c>
      <c r="E58" s="214">
        <f>IFERROR(SUM('Data Sheet'!D57,'Data Sheet'!D58),0)</f>
        <v>4903.96</v>
      </c>
      <c r="F58" s="214">
        <f>IFERROR(SUM('Data Sheet'!E57,'Data Sheet'!E58),0)</f>
        <v>5685.37</v>
      </c>
      <c r="G58" s="214">
        <f>IFERROR(SUM('Data Sheet'!F57,'Data Sheet'!F58),0)</f>
        <v>5997.23</v>
      </c>
      <c r="H58" s="214">
        <f>IFERROR(SUM('Data Sheet'!F57,'Data Sheet'!F58),0)</f>
        <v>5997.23</v>
      </c>
    </row>
    <row r="59" spans="1:8" ht="14.25" customHeight="1" x14ac:dyDescent="0.3">
      <c r="B59" s="227" t="s">
        <v>384</v>
      </c>
      <c r="C59" s="214">
        <f>IFERROR('Data Sheet'!B59,0)</f>
        <v>53.64</v>
      </c>
      <c r="D59" s="214">
        <f>IFERROR('Data Sheet'!C59,0)</f>
        <v>61.84</v>
      </c>
      <c r="E59" s="214">
        <f>IFERROR('Data Sheet'!D59,0)</f>
        <v>82.12</v>
      </c>
      <c r="F59" s="214">
        <f>IFERROR('Data Sheet'!E59,0)</f>
        <v>122.95</v>
      </c>
      <c r="G59" s="214">
        <f>IFERROR('Data Sheet'!F59,0)</f>
        <v>250.31</v>
      </c>
      <c r="H59" s="214">
        <f>IFERROR('Data Sheet'!F59,0)</f>
        <v>250.31</v>
      </c>
    </row>
    <row r="60" spans="1:8" ht="14.25" customHeight="1" x14ac:dyDescent="0.3">
      <c r="B60" s="227" t="s">
        <v>385</v>
      </c>
      <c r="C60" s="214">
        <f>IFERROR('Data Sheet'!B65,0)</f>
        <v>119222.08</v>
      </c>
      <c r="D60" s="214">
        <f>IFERROR('Data Sheet'!C65,0)</f>
        <v>136175.73000000001</v>
      </c>
      <c r="E60" s="214">
        <f>IFERROR('Data Sheet'!D65,0)</f>
        <v>168384.6</v>
      </c>
      <c r="F60" s="214">
        <f>IFERROR('Data Sheet'!E65,0)</f>
        <v>190129.78</v>
      </c>
      <c r="G60" s="214">
        <f>IFERROR('Data Sheet'!F65,0)</f>
        <v>194413.54</v>
      </c>
      <c r="H60" s="214">
        <f>IFERROR('Data Sheet'!F65,0)</f>
        <v>194413.54</v>
      </c>
    </row>
    <row r="61" spans="1:8" ht="14.25" customHeight="1" x14ac:dyDescent="0.3">
      <c r="B61" s="227" t="s">
        <v>386</v>
      </c>
      <c r="C61" s="214">
        <f>IFERROR(SUM('Data Sheet'!B61,'Data Sheet'!B62,'Data Sheet'!B69),0)</f>
        <v>11537.51</v>
      </c>
      <c r="D61" s="214">
        <f>IFERROR(SUM('Data Sheet'!C61,'Data Sheet'!C62,'Data Sheet'!C69),0)</f>
        <v>13220.75</v>
      </c>
      <c r="E61" s="214">
        <f>IFERROR(SUM('Data Sheet'!D61,'Data Sheet'!D62,'Data Sheet'!D69),0)</f>
        <v>18766.93</v>
      </c>
      <c r="F61" s="214">
        <f>IFERROR(SUM('Data Sheet'!E61,'Data Sheet'!E62,'Data Sheet'!E69),0)</f>
        <v>22943.75</v>
      </c>
      <c r="G61" s="214">
        <f>IFERROR(SUM('Data Sheet'!F61,'Data Sheet'!F62,'Data Sheet'!F69),0)</f>
        <v>30067.53</v>
      </c>
      <c r="H61" s="214">
        <f>G61</f>
        <v>30067.53</v>
      </c>
    </row>
    <row r="62" spans="1:8" ht="14.25" customHeight="1" x14ac:dyDescent="0.3">
      <c r="B62" s="217"/>
      <c r="C62" s="229">
        <f>IFERROR('Data Sheet'!B63,0)</f>
        <v>12360.82</v>
      </c>
      <c r="D62" s="229">
        <f>IFERROR('Data Sheet'!C63,0)</f>
        <v>6912.28</v>
      </c>
      <c r="E62" s="229">
        <f>IFERROR('Data Sheet'!D63,0)</f>
        <v>8582.52</v>
      </c>
      <c r="F62" s="229">
        <f>IFERROR('Data Sheet'!E63,0)</f>
        <v>10592.06</v>
      </c>
      <c r="G62" s="229">
        <f>IFERROR('Data Sheet'!F63,0)</f>
        <v>11606</v>
      </c>
      <c r="H62" s="229">
        <f>G62</f>
        <v>11606</v>
      </c>
    </row>
    <row r="63" spans="1:8" ht="14.25" customHeight="1" x14ac:dyDescent="0.3">
      <c r="B63" s="228"/>
      <c r="C63" s="220"/>
      <c r="D63" s="220"/>
      <c r="E63" s="220"/>
      <c r="F63" s="220"/>
      <c r="G63" s="220"/>
      <c r="H63" s="220"/>
    </row>
    <row r="64" spans="1:8" ht="14.25" customHeight="1" x14ac:dyDescent="0.3">
      <c r="B64" s="227" t="s">
        <v>387</v>
      </c>
      <c r="C64" s="214">
        <f>IFERROR('Data Sheet'!B66,0)</f>
        <v>3004.81</v>
      </c>
      <c r="D64" s="214">
        <f>IFERROR('Data Sheet'!C66,0)</f>
        <v>3458.64</v>
      </c>
      <c r="E64" s="214">
        <f>IFERROR('Data Sheet'!D66,0)</f>
        <v>5973.86</v>
      </c>
      <c r="F64" s="214">
        <f>IFERROR('Data Sheet'!E66,0)</f>
        <v>8319.35</v>
      </c>
      <c r="G64" s="214">
        <f>IFERROR('Data Sheet'!F66,0)</f>
        <v>9332.08</v>
      </c>
      <c r="H64" s="214">
        <f>IFERROR('Data Sheet'!F66,0)</f>
        <v>9332.08</v>
      </c>
    </row>
    <row r="65" spans="1:8" ht="14.25" customHeight="1" x14ac:dyDescent="0.3">
      <c r="B65" s="227" t="s">
        <v>388</v>
      </c>
      <c r="C65" s="230">
        <f>IFERROR('Data Sheet'!B68,0)</f>
        <v>191853.14</v>
      </c>
      <c r="D65" s="230">
        <f>IFERROR('Data Sheet'!C68,0)</f>
        <v>242749.57</v>
      </c>
      <c r="E65" s="230">
        <f>IFERROR('Data Sheet'!D68,0)</f>
        <v>326742.15999999997</v>
      </c>
      <c r="F65" s="230">
        <f>IFERROR('Data Sheet'!E68,0)</f>
        <v>408490.77</v>
      </c>
      <c r="G65" s="230">
        <f>IFERROR('Data Sheet'!F68,0)</f>
        <v>500015.97</v>
      </c>
      <c r="H65" s="214">
        <f>G65</f>
        <v>500015.97</v>
      </c>
    </row>
    <row r="66" spans="1:8" ht="14.25" customHeight="1" x14ac:dyDescent="0.3">
      <c r="B66" s="227" t="s">
        <v>389</v>
      </c>
      <c r="C66" s="214">
        <f>IFERROR('Data Sheet'!B67,0)</f>
        <v>4403.03</v>
      </c>
      <c r="D66" s="214">
        <f>IFERROR('Data Sheet'!C67,0)</f>
        <v>5377.22</v>
      </c>
      <c r="E66" s="214">
        <f>IFERROR('Data Sheet'!D67,0)</f>
        <v>12386.66</v>
      </c>
      <c r="F66" s="214">
        <f>IFERROR('Data Sheet'!E67,0)</f>
        <v>15736.8</v>
      </c>
      <c r="G66" s="214">
        <f>IFERROR('Data Sheet'!F67,0)</f>
        <v>17618.04</v>
      </c>
      <c r="H66" s="214">
        <f>IFERROR('Data Sheet'!F67,0)</f>
        <v>17618.04</v>
      </c>
    </row>
    <row r="67" spans="1:8" ht="14.25" customHeight="1" x14ac:dyDescent="0.3">
      <c r="B67" s="217"/>
      <c r="C67" s="229">
        <f>IFERROR('Data Sheet'!B70,0)</f>
        <v>321358.14</v>
      </c>
      <c r="D67" s="229">
        <f>IFERROR('Data Sheet'!C70,0)</f>
        <v>398596.91</v>
      </c>
      <c r="E67" s="229">
        <f>IFERROR('Data Sheet'!D70,0)</f>
        <v>529347.11</v>
      </c>
      <c r="F67" s="229">
        <f>IFERROR('Data Sheet'!E70,0)</f>
        <v>641639.55000000005</v>
      </c>
      <c r="G67" s="229">
        <f>IFERROR('Data Sheet'!F70,0)</f>
        <v>746891.54</v>
      </c>
      <c r="H67" s="229">
        <f>G67</f>
        <v>746891.54</v>
      </c>
    </row>
    <row r="68" spans="1:8" x14ac:dyDescent="0.3">
      <c r="B68" s="219"/>
      <c r="C68" s="220"/>
      <c r="D68" s="220"/>
      <c r="E68" s="220"/>
      <c r="F68" s="220"/>
      <c r="G68" s="220"/>
      <c r="H68" s="220"/>
    </row>
    <row r="69" spans="1:8" ht="15" customHeight="1" x14ac:dyDescent="0.3">
      <c r="B69" s="217" t="s">
        <v>390</v>
      </c>
      <c r="C69" s="229">
        <f>C62+C67</f>
        <v>333718.96000000002</v>
      </c>
      <c r="D69" s="229">
        <f>D62+D67</f>
        <v>405509.19</v>
      </c>
      <c r="E69" s="229">
        <f>E62+E67</f>
        <v>537929.63</v>
      </c>
      <c r="F69" s="229">
        <f>F62+F67</f>
        <v>652231.6100000001</v>
      </c>
      <c r="G69" s="229">
        <f>G62+G67</f>
        <v>758497.54</v>
      </c>
      <c r="H69" s="229">
        <f>G69</f>
        <v>758497.54</v>
      </c>
    </row>
    <row r="70" spans="1:8" ht="15" customHeight="1" x14ac:dyDescent="0.3">
      <c r="B70" s="219" t="s">
        <v>391</v>
      </c>
      <c r="C70" s="220">
        <f t="shared" ref="C70:H70" si="17">SUM(C52:C53)/C41</f>
        <v>1011.6073897197438</v>
      </c>
      <c r="D70" s="220">
        <f t="shared" si="17"/>
        <v>582.78714052492785</v>
      </c>
      <c r="E70" s="220">
        <f t="shared" si="17"/>
        <v>756.89881437801898</v>
      </c>
      <c r="F70" s="220">
        <f t="shared" si="17"/>
        <v>907.20939849624074</v>
      </c>
      <c r="G70" s="220">
        <f t="shared" si="17"/>
        <v>974.72358791518104</v>
      </c>
      <c r="H70" s="220">
        <f t="shared" si="17"/>
        <v>974.72358791518104</v>
      </c>
    </row>
    <row r="71" spans="1:8" ht="14.25" customHeight="1" x14ac:dyDescent="0.3">
      <c r="B71" s="213" t="s">
        <v>392</v>
      </c>
      <c r="C71" s="220" t="b">
        <f>ROUND(C69,0)=ROUND('Data Sheet'!B71,0)</f>
        <v>1</v>
      </c>
      <c r="D71" s="220" t="b">
        <f>ROUND(D69,0)=ROUND('Data Sheet'!C71,0)</f>
        <v>1</v>
      </c>
      <c r="E71" s="220" t="b">
        <f>ROUND(E69,0)=ROUND('Data Sheet'!D71,0)</f>
        <v>1</v>
      </c>
      <c r="F71" s="220" t="b">
        <f>ROUND(F69,0)=ROUND('Data Sheet'!E71,0)</f>
        <v>1</v>
      </c>
      <c r="G71" s="220" t="b">
        <f>ROUND(G69,0)=ROUND('Data Sheet'!F71,0)</f>
        <v>1</v>
      </c>
      <c r="H71" s="220" t="b">
        <f>G71</f>
        <v>1</v>
      </c>
    </row>
    <row r="72" spans="1:8" x14ac:dyDescent="0.3">
      <c r="B72" s="219"/>
      <c r="C72" s="220"/>
      <c r="D72" s="220"/>
      <c r="E72" s="220"/>
      <c r="F72" s="220"/>
      <c r="G72" s="220"/>
      <c r="H72" s="220"/>
    </row>
    <row r="73" spans="1:8" ht="14.25" customHeight="1" x14ac:dyDescent="0.35">
      <c r="A73" s="146" t="s">
        <v>349</v>
      </c>
      <c r="B73" s="210" t="s">
        <v>393</v>
      </c>
      <c r="C73" s="226" t="str">
        <f t="shared" ref="C73:H73" si="18">C3</f>
        <v>Mar '22</v>
      </c>
      <c r="D73" s="226" t="str">
        <f t="shared" si="18"/>
        <v>Mar '23</v>
      </c>
      <c r="E73" s="226" t="str">
        <f t="shared" si="18"/>
        <v>Mar '24</v>
      </c>
      <c r="F73" s="226" t="str">
        <f t="shared" si="18"/>
        <v>Mar '25</v>
      </c>
      <c r="G73" s="226" t="str">
        <f t="shared" si="18"/>
        <v>Mar '26</v>
      </c>
      <c r="H73" s="212" t="str">
        <f t="shared" si="18"/>
        <v>LTM</v>
      </c>
    </row>
    <row r="74" spans="1:8" ht="14.25" customHeight="1" x14ac:dyDescent="0.3">
      <c r="B74" s="217" t="s">
        <v>394</v>
      </c>
      <c r="C74" s="220"/>
      <c r="D74" s="220"/>
      <c r="E74" s="220"/>
      <c r="F74" s="220"/>
      <c r="G74" s="220"/>
      <c r="H74" s="220"/>
    </row>
    <row r="75" spans="1:8" ht="14.25" customHeight="1" x14ac:dyDescent="0.3">
      <c r="B75" s="231" t="s">
        <v>395</v>
      </c>
      <c r="C75" s="230">
        <v>12222</v>
      </c>
      <c r="D75" s="230">
        <v>14593</v>
      </c>
      <c r="E75" s="230">
        <v>18236</v>
      </c>
      <c r="F75" s="230">
        <v>25171</v>
      </c>
      <c r="G75" s="230">
        <v>34561</v>
      </c>
      <c r="H75" s="214">
        <f t="shared" ref="H75:H83" si="19">G75</f>
        <v>34561</v>
      </c>
    </row>
    <row r="76" spans="1:8" ht="14.25" customHeight="1" x14ac:dyDescent="0.3">
      <c r="B76" s="231" t="s">
        <v>387</v>
      </c>
      <c r="C76" s="230">
        <v>-425</v>
      </c>
      <c r="D76" s="230">
        <v>-511</v>
      </c>
      <c r="E76" s="230">
        <v>-2598</v>
      </c>
      <c r="F76" s="230">
        <v>-2378</v>
      </c>
      <c r="G76" s="230">
        <v>-1299</v>
      </c>
      <c r="H76" s="214">
        <f t="shared" si="19"/>
        <v>-1299</v>
      </c>
    </row>
    <row r="77" spans="1:8" ht="14.25" customHeight="1" x14ac:dyDescent="0.3">
      <c r="B77" s="231"/>
      <c r="C77" s="214">
        <f>0</f>
        <v>0</v>
      </c>
      <c r="D77" s="214">
        <f>0</f>
        <v>0</v>
      </c>
      <c r="E77" s="214">
        <f>0</f>
        <v>0</v>
      </c>
      <c r="F77" s="214">
        <f>0</f>
        <v>0</v>
      </c>
      <c r="G77" s="214">
        <f>0</f>
        <v>0</v>
      </c>
      <c r="H77" s="214">
        <f t="shared" si="19"/>
        <v>0</v>
      </c>
    </row>
    <row r="78" spans="1:8" ht="14.25" customHeight="1" x14ac:dyDescent="0.3">
      <c r="B78" s="231" t="s">
        <v>396</v>
      </c>
      <c r="C78" s="230">
        <v>65</v>
      </c>
      <c r="D78" s="230">
        <v>1706</v>
      </c>
      <c r="E78" s="230">
        <v>264</v>
      </c>
      <c r="F78" s="230">
        <v>117</v>
      </c>
      <c r="G78" s="230">
        <v>2060</v>
      </c>
      <c r="H78" s="214">
        <f t="shared" si="19"/>
        <v>2060</v>
      </c>
    </row>
    <row r="79" spans="1:8" ht="14.25" customHeight="1" x14ac:dyDescent="0.3">
      <c r="B79" s="219" t="s">
        <v>397</v>
      </c>
      <c r="C79" s="230">
        <v>-49594</v>
      </c>
      <c r="D79" s="230">
        <v>-53635</v>
      </c>
      <c r="E79" s="230">
        <v>-87355</v>
      </c>
      <c r="F79" s="230">
        <v>-89190</v>
      </c>
      <c r="G79" s="230">
        <v>-102868</v>
      </c>
      <c r="H79" s="214">
        <f t="shared" si="19"/>
        <v>-102868</v>
      </c>
    </row>
    <row r="80" spans="1:8" ht="14.25" customHeight="1" x14ac:dyDescent="0.3">
      <c r="B80" s="231" t="s">
        <v>398</v>
      </c>
      <c r="C80" s="230">
        <v>7237</v>
      </c>
      <c r="D80" s="230">
        <v>2994</v>
      </c>
      <c r="E80" s="230">
        <v>11926</v>
      </c>
      <c r="F80" s="230">
        <v>11173</v>
      </c>
      <c r="G80" s="230">
        <v>19637</v>
      </c>
      <c r="H80" s="214">
        <f t="shared" si="19"/>
        <v>19637</v>
      </c>
    </row>
    <row r="81" spans="2:8" ht="14.25" customHeight="1" x14ac:dyDescent="0.3">
      <c r="B81" s="231" t="s">
        <v>399</v>
      </c>
      <c r="C81" s="214">
        <f>SUM(C76:C80)</f>
        <v>-42717</v>
      </c>
      <c r="D81" s="214">
        <f>SUM(D76:D80)</f>
        <v>-49446</v>
      </c>
      <c r="E81" s="214">
        <f>SUM(E76:E80)</f>
        <v>-77763</v>
      </c>
      <c r="F81" s="214">
        <f>SUM(F76:F80)</f>
        <v>-80278</v>
      </c>
      <c r="G81" s="214">
        <f>SUM(G76:G80)</f>
        <v>-82470</v>
      </c>
      <c r="H81" s="214">
        <f t="shared" si="19"/>
        <v>-82470</v>
      </c>
    </row>
    <row r="82" spans="2:8" ht="14.25" customHeight="1" x14ac:dyDescent="0.3">
      <c r="B82" s="231" t="s">
        <v>400</v>
      </c>
      <c r="C82" s="230">
        <v>-3176</v>
      </c>
      <c r="D82" s="230">
        <v>-4627</v>
      </c>
      <c r="E82" s="230">
        <v>-5975</v>
      </c>
      <c r="F82" s="230">
        <v>-7004</v>
      </c>
      <c r="G82" s="230">
        <v>-7392</v>
      </c>
      <c r="H82" s="214">
        <f t="shared" si="19"/>
        <v>-7392</v>
      </c>
    </row>
    <row r="83" spans="2:8" ht="14.25" customHeight="1" x14ac:dyDescent="0.3">
      <c r="B83" s="217" t="s">
        <v>401</v>
      </c>
      <c r="C83" s="232">
        <f>C75+C81+C82</f>
        <v>-33671</v>
      </c>
      <c r="D83" s="232">
        <f>D75+D81+D82</f>
        <v>-39480</v>
      </c>
      <c r="E83" s="232">
        <f>E75+E81+E82</f>
        <v>-65502</v>
      </c>
      <c r="F83" s="232">
        <f>F75+F81+F82</f>
        <v>-62111</v>
      </c>
      <c r="G83" s="232">
        <f>G75+G81+G82</f>
        <v>-55301</v>
      </c>
      <c r="H83" s="229">
        <f t="shared" si="19"/>
        <v>-55301</v>
      </c>
    </row>
    <row r="84" spans="2:8" x14ac:dyDescent="0.3">
      <c r="B84" s="219"/>
      <c r="C84" s="220"/>
      <c r="D84" s="220"/>
      <c r="E84" s="220"/>
      <c r="F84" s="220"/>
      <c r="G84" s="220"/>
      <c r="H84" s="220"/>
    </row>
    <row r="85" spans="2:8" ht="14.25" customHeight="1" x14ac:dyDescent="0.3">
      <c r="B85" s="233" t="s">
        <v>402</v>
      </c>
      <c r="C85" s="220"/>
      <c r="D85" s="220"/>
      <c r="E85" s="220"/>
      <c r="F85" s="220"/>
      <c r="G85" s="220"/>
      <c r="H85" s="220"/>
    </row>
    <row r="86" spans="2:8" ht="14.25" customHeight="1" x14ac:dyDescent="0.3">
      <c r="B86" s="231" t="s">
        <v>403</v>
      </c>
      <c r="C86" s="230">
        <v>-910</v>
      </c>
      <c r="D86" s="230">
        <v>-1220</v>
      </c>
      <c r="E86" s="230">
        <v>-1435</v>
      </c>
      <c r="F86" s="230">
        <v>-1864</v>
      </c>
      <c r="G86" s="230">
        <v>-1448</v>
      </c>
      <c r="H86" s="214">
        <f>G86</f>
        <v>-1448</v>
      </c>
    </row>
    <row r="87" spans="2:8" ht="14.25" customHeight="1" x14ac:dyDescent="0.3">
      <c r="B87" s="231" t="s">
        <v>404</v>
      </c>
      <c r="C87" s="230">
        <v>160</v>
      </c>
      <c r="D87" s="230">
        <v>97</v>
      </c>
      <c r="E87" s="230">
        <v>126</v>
      </c>
      <c r="F87" s="230">
        <v>148</v>
      </c>
      <c r="G87" s="230">
        <v>131</v>
      </c>
      <c r="H87" s="214">
        <f>G87</f>
        <v>131</v>
      </c>
    </row>
    <row r="88" spans="2:8" ht="14.25" customHeight="1" x14ac:dyDescent="0.3">
      <c r="B88" s="231" t="s">
        <v>405</v>
      </c>
      <c r="C88" s="230">
        <v>-341682</v>
      </c>
      <c r="D88" s="230">
        <v>-397673</v>
      </c>
      <c r="E88" s="230">
        <v>-157405</v>
      </c>
      <c r="F88" s="230">
        <v>-199782</v>
      </c>
      <c r="G88" s="230">
        <v>-225505</v>
      </c>
      <c r="H88" s="214">
        <f>G88</f>
        <v>-225505</v>
      </c>
    </row>
    <row r="89" spans="2:8" ht="14.25" customHeight="1" x14ac:dyDescent="0.3">
      <c r="B89" s="231" t="s">
        <v>406</v>
      </c>
      <c r="C89" s="230">
        <v>338498</v>
      </c>
      <c r="D89" s="230">
        <v>378876</v>
      </c>
      <c r="E89" s="230">
        <v>139160</v>
      </c>
      <c r="F89" s="230">
        <v>187385</v>
      </c>
      <c r="G89" s="230">
        <v>208090</v>
      </c>
      <c r="H89" s="214">
        <f>G89</f>
        <v>208090</v>
      </c>
    </row>
    <row r="90" spans="2:8" ht="14.25" customHeight="1" x14ac:dyDescent="0.3">
      <c r="B90" s="231" t="s">
        <v>407</v>
      </c>
      <c r="C90" s="230">
        <v>401</v>
      </c>
      <c r="D90" s="230">
        <v>635</v>
      </c>
      <c r="E90" s="230">
        <v>0</v>
      </c>
      <c r="F90" s="230">
        <v>0</v>
      </c>
      <c r="G90" s="230">
        <v>7583</v>
      </c>
      <c r="H90" s="214">
        <f>G90</f>
        <v>7583</v>
      </c>
    </row>
    <row r="91" spans="2:8" ht="14.25" customHeight="1" x14ac:dyDescent="0.3">
      <c r="B91" s="231" t="s">
        <v>408</v>
      </c>
      <c r="C91" s="214">
        <f>0</f>
        <v>0</v>
      </c>
      <c r="D91" s="214">
        <f>0</f>
        <v>0</v>
      </c>
      <c r="E91" s="214">
        <f>0</f>
        <v>0</v>
      </c>
      <c r="F91" s="214">
        <f>0</f>
        <v>0</v>
      </c>
      <c r="G91" s="214">
        <f>0</f>
        <v>0</v>
      </c>
      <c r="H91" s="214">
        <f>0</f>
        <v>0</v>
      </c>
    </row>
    <row r="92" spans="2:8" ht="14.25" customHeight="1" x14ac:dyDescent="0.3">
      <c r="B92" s="231"/>
      <c r="C92" s="214">
        <f>0</f>
        <v>0</v>
      </c>
      <c r="D92" s="214">
        <f>0</f>
        <v>0</v>
      </c>
      <c r="E92" s="214">
        <f>0</f>
        <v>0</v>
      </c>
      <c r="F92" s="214">
        <f>0</f>
        <v>0</v>
      </c>
      <c r="G92" s="214">
        <f>0</f>
        <v>0</v>
      </c>
      <c r="H92" s="214">
        <f>0</f>
        <v>0</v>
      </c>
    </row>
    <row r="93" spans="2:8" ht="14.25" customHeight="1" x14ac:dyDescent="0.3">
      <c r="B93" s="231" t="s">
        <v>409</v>
      </c>
      <c r="C93" s="230">
        <v>0</v>
      </c>
      <c r="D93" s="230">
        <v>-93</v>
      </c>
      <c r="E93" s="230">
        <v>-267</v>
      </c>
      <c r="F93" s="230">
        <v>0</v>
      </c>
      <c r="G93" s="230">
        <v>0</v>
      </c>
      <c r="H93" s="214">
        <f>G93</f>
        <v>0</v>
      </c>
    </row>
    <row r="94" spans="2:8" ht="14.25" customHeight="1" x14ac:dyDescent="0.3">
      <c r="B94" s="231" t="s">
        <v>410</v>
      </c>
      <c r="C94" s="230">
        <v>4979</v>
      </c>
      <c r="D94" s="230">
        <v>5432</v>
      </c>
      <c r="E94" s="230">
        <v>5690</v>
      </c>
      <c r="F94" s="230">
        <v>6126</v>
      </c>
      <c r="G94" s="230">
        <v>-1484</v>
      </c>
      <c r="H94" s="214">
        <f>G94</f>
        <v>-1484</v>
      </c>
    </row>
    <row r="95" spans="2:8" ht="14.25" customHeight="1" x14ac:dyDescent="0.3">
      <c r="B95" s="217" t="s">
        <v>411</v>
      </c>
      <c r="C95" s="229">
        <f>IFERROR(SUM(C86:C94),0)</f>
        <v>1446</v>
      </c>
      <c r="D95" s="229">
        <f>IFERROR(SUM(D86:D94),0)</f>
        <v>-13946</v>
      </c>
      <c r="E95" s="229">
        <f>IFERROR(SUM(E86:E94),0)</f>
        <v>-14131</v>
      </c>
      <c r="F95" s="229">
        <f>IFERROR(SUM(F86:F94),0)</f>
        <v>-7987</v>
      </c>
      <c r="G95" s="229">
        <f>IFERROR(SUM(G86:G94),0)</f>
        <v>-12633</v>
      </c>
      <c r="H95" s="229">
        <f>G95</f>
        <v>-12633</v>
      </c>
    </row>
    <row r="96" spans="2:8" ht="14.25" customHeight="1" x14ac:dyDescent="0.3">
      <c r="B96" s="234"/>
      <c r="C96" s="220"/>
      <c r="D96" s="220"/>
      <c r="E96" s="220"/>
      <c r="F96" s="220"/>
      <c r="G96" s="220"/>
      <c r="H96" s="220"/>
    </row>
    <row r="97" spans="2:8" ht="14.25" customHeight="1" x14ac:dyDescent="0.3">
      <c r="B97" s="217" t="s">
        <v>412</v>
      </c>
      <c r="C97" s="220"/>
      <c r="D97" s="220"/>
      <c r="E97" s="220"/>
      <c r="F97" s="220"/>
      <c r="G97" s="220"/>
      <c r="H97" s="220"/>
    </row>
    <row r="98" spans="2:8" ht="14.25" customHeight="1" x14ac:dyDescent="0.3">
      <c r="B98" s="231" t="s">
        <v>413</v>
      </c>
      <c r="C98" s="230">
        <v>173</v>
      </c>
      <c r="D98" s="230">
        <v>227</v>
      </c>
      <c r="E98" s="230">
        <v>9169</v>
      </c>
      <c r="F98" s="230">
        <v>515</v>
      </c>
      <c r="G98" s="230">
        <v>698</v>
      </c>
      <c r="H98" s="214">
        <f t="shared" ref="H98:H105" si="20">G98</f>
        <v>698</v>
      </c>
    </row>
    <row r="99" spans="2:8" ht="14.25" customHeight="1" x14ac:dyDescent="0.3">
      <c r="B99" s="219" t="s">
        <v>414</v>
      </c>
      <c r="C99" s="230">
        <v>50653</v>
      </c>
      <c r="D99" s="230">
        <v>88315</v>
      </c>
      <c r="E99" s="230">
        <v>109450</v>
      </c>
      <c r="F99" s="230">
        <v>110741</v>
      </c>
      <c r="G99" s="230">
        <v>125221</v>
      </c>
      <c r="H99" s="214">
        <f t="shared" si="20"/>
        <v>125221</v>
      </c>
    </row>
    <row r="100" spans="2:8" ht="14.25" customHeight="1" x14ac:dyDescent="0.3">
      <c r="B100" s="231" t="s">
        <v>415</v>
      </c>
      <c r="C100" s="230">
        <v>-17890</v>
      </c>
      <c r="D100" s="230">
        <v>-36474</v>
      </c>
      <c r="E100" s="230">
        <v>-34376</v>
      </c>
      <c r="F100" s="230">
        <v>-39124</v>
      </c>
      <c r="G100" s="230">
        <v>-52124</v>
      </c>
      <c r="H100" s="214">
        <f t="shared" si="20"/>
        <v>-52124</v>
      </c>
    </row>
    <row r="101" spans="2:8" ht="14.25" customHeight="1" x14ac:dyDescent="0.3">
      <c r="B101" s="231" t="s">
        <v>416</v>
      </c>
      <c r="C101" s="214">
        <f>0</f>
        <v>0</v>
      </c>
      <c r="D101" s="214">
        <f>0</f>
        <v>0</v>
      </c>
      <c r="E101" s="214">
        <f>0</f>
        <v>0</v>
      </c>
      <c r="F101" s="214">
        <f>0</f>
        <v>0</v>
      </c>
      <c r="G101" s="214">
        <f>0</f>
        <v>0</v>
      </c>
      <c r="H101" s="214">
        <f t="shared" si="20"/>
        <v>0</v>
      </c>
    </row>
    <row r="102" spans="2:8" ht="14.25" customHeight="1" x14ac:dyDescent="0.3">
      <c r="B102" s="231" t="s">
        <v>417</v>
      </c>
      <c r="C102" s="230">
        <v>-400</v>
      </c>
      <c r="D102" s="230">
        <v>-745</v>
      </c>
      <c r="E102" s="230">
        <v>-1183</v>
      </c>
      <c r="F102" s="230">
        <v>-1542</v>
      </c>
      <c r="G102" s="230">
        <v>-1848</v>
      </c>
      <c r="H102" s="214">
        <f t="shared" si="20"/>
        <v>-1848</v>
      </c>
    </row>
    <row r="103" spans="2:8" ht="14.25" customHeight="1" x14ac:dyDescent="0.3">
      <c r="B103" s="231" t="s">
        <v>418</v>
      </c>
      <c r="C103" s="230">
        <v>-210</v>
      </c>
      <c r="D103" s="230">
        <v>-305</v>
      </c>
      <c r="E103" s="230">
        <v>-316</v>
      </c>
      <c r="F103" s="230">
        <v>-399</v>
      </c>
      <c r="G103" s="230">
        <v>-442</v>
      </c>
      <c r="H103" s="214">
        <f t="shared" si="20"/>
        <v>-442</v>
      </c>
    </row>
    <row r="104" spans="2:8" ht="14.25" customHeight="1" x14ac:dyDescent="0.3">
      <c r="B104" s="231" t="s">
        <v>419</v>
      </c>
      <c r="C104" s="230">
        <v>0</v>
      </c>
      <c r="D104" s="230">
        <v>-2</v>
      </c>
      <c r="E104" s="230">
        <v>-35</v>
      </c>
      <c r="F104" s="230">
        <v>0</v>
      </c>
      <c r="G104" s="230">
        <v>-4895</v>
      </c>
      <c r="H104" s="214">
        <f t="shared" si="20"/>
        <v>-4895</v>
      </c>
    </row>
    <row r="105" spans="2:8" ht="14.25" customHeight="1" x14ac:dyDescent="0.3">
      <c r="B105" s="217" t="s">
        <v>420</v>
      </c>
      <c r="C105" s="229">
        <f>SUM(C98:C104)</f>
        <v>32326</v>
      </c>
      <c r="D105" s="229">
        <f>SUM(D98:D104)</f>
        <v>51016</v>
      </c>
      <c r="E105" s="229">
        <f>SUM(E98:E104)</f>
        <v>82709</v>
      </c>
      <c r="F105" s="229">
        <f>SUM(F98:F104)</f>
        <v>70191</v>
      </c>
      <c r="G105" s="229">
        <f>SUM(G98:G104)</f>
        <v>66610</v>
      </c>
      <c r="H105" s="229">
        <f t="shared" si="20"/>
        <v>66610</v>
      </c>
    </row>
    <row r="106" spans="2:8" ht="14.25" customHeight="1" x14ac:dyDescent="0.3">
      <c r="B106" s="204"/>
      <c r="C106" s="225"/>
      <c r="D106" s="225"/>
      <c r="E106" s="225"/>
      <c r="F106" s="225"/>
      <c r="G106" s="225"/>
      <c r="H106" s="220"/>
    </row>
    <row r="107" spans="2:8" ht="15" customHeight="1" x14ac:dyDescent="0.3">
      <c r="B107" s="217" t="s">
        <v>324</v>
      </c>
      <c r="C107" s="221">
        <f>IFERROR(SUM(C83+C95+C105),0)</f>
        <v>101</v>
      </c>
      <c r="D107" s="221">
        <f>IFERROR(SUM(D83+D95+D105),0)</f>
        <v>-2410</v>
      </c>
      <c r="E107" s="221">
        <f>IFERROR(SUM(E83+E95+E105),0)</f>
        <v>3076</v>
      </c>
      <c r="F107" s="221">
        <f>IFERROR(SUM(F83+F95+F105),0)</f>
        <v>93</v>
      </c>
      <c r="G107" s="221">
        <f>IFERROR(SUM(G83+G95+G105),0)</f>
        <v>-1324</v>
      </c>
      <c r="H107" s="229">
        <f>G107</f>
        <v>-1324</v>
      </c>
    </row>
    <row r="108" spans="2:8" ht="15" customHeight="1" x14ac:dyDescent="0.3">
      <c r="B108" s="219"/>
      <c r="C108" s="220"/>
      <c r="D108" s="220"/>
      <c r="E108" s="220"/>
      <c r="F108" s="220"/>
      <c r="G108" s="220"/>
      <c r="H108" s="220"/>
    </row>
    <row r="109" spans="2:8" ht="14.25" customHeight="1" x14ac:dyDescent="0.3">
      <c r="B109" s="219" t="s">
        <v>421</v>
      </c>
      <c r="C109" s="178">
        <v>-4.05</v>
      </c>
      <c r="D109" s="178">
        <v>-3.23</v>
      </c>
      <c r="E109" s="178">
        <v>-4.2</v>
      </c>
      <c r="F109" s="178">
        <v>-3.54</v>
      </c>
      <c r="G109" s="178">
        <v>-2.76</v>
      </c>
      <c r="H109" s="220"/>
    </row>
  </sheetData>
  <mergeCells count="2">
    <mergeCell ref="B2:H2"/>
    <mergeCell ref="K7:L7"/>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L43"/>
  <sheetViews>
    <sheetView showGridLines="0" zoomScale="86" zoomScaleNormal="86" workbookViewId="0">
      <selection activeCell="J4" sqref="J4"/>
    </sheetView>
  </sheetViews>
  <sheetFormatPr defaultColWidth="8.6328125" defaultRowHeight="14" x14ac:dyDescent="0.3"/>
  <cols>
    <col min="1" max="1" width="4" style="146" customWidth="1"/>
    <col min="2" max="2" width="42.08984375" style="146" bestFit="1" customWidth="1"/>
    <col min="3" max="4" width="11.81640625" style="146" bestFit="1" customWidth="1"/>
    <col min="5" max="5" width="13.7265625" style="146" bestFit="1" customWidth="1"/>
    <col min="6" max="7" width="11.81640625" style="146" bestFit="1" customWidth="1"/>
    <col min="8" max="16384" width="8.6328125" style="146"/>
  </cols>
  <sheetData>
    <row r="1" spans="2:7" ht="14.5" thickBot="1" x14ac:dyDescent="0.35"/>
    <row r="2" spans="2:7" ht="18.5" thickBot="1" x14ac:dyDescent="0.45">
      <c r="B2" s="310" t="s">
        <v>422</v>
      </c>
      <c r="C2" s="311"/>
      <c r="D2" s="311"/>
      <c r="E2" s="311"/>
      <c r="F2" s="311"/>
      <c r="G2" s="312"/>
    </row>
    <row r="3" spans="2:7" x14ac:dyDescent="0.3">
      <c r="B3" s="250" t="s">
        <v>423</v>
      </c>
      <c r="C3" s="251">
        <v>44651</v>
      </c>
      <c r="D3" s="251">
        <v>45016</v>
      </c>
      <c r="E3" s="251">
        <v>45382</v>
      </c>
      <c r="F3" s="251">
        <v>45747</v>
      </c>
      <c r="G3" s="251">
        <v>46112</v>
      </c>
    </row>
    <row r="4" spans="2:7" x14ac:dyDescent="0.3">
      <c r="B4" s="237" t="s">
        <v>359</v>
      </c>
      <c r="C4" s="238">
        <f>IFERROR('Historical FS'!C19,0)</f>
        <v>0.24435665172099288</v>
      </c>
      <c r="D4" s="238">
        <f>IFERROR('Historical FS'!D19,0)</f>
        <v>0.2524456267124443</v>
      </c>
      <c r="E4" s="238">
        <f>IFERROR('Historical FS'!E19,0)</f>
        <v>0.24370283467562942</v>
      </c>
      <c r="F4" s="238">
        <f>IFERROR('Historical FS'!F19,0)</f>
        <v>0.24546106428443976</v>
      </c>
      <c r="G4" s="238">
        <f>IFERROR('Historical FS'!G19,0)</f>
        <v>0.25255719144534156</v>
      </c>
    </row>
    <row r="5" spans="2:7" x14ac:dyDescent="0.3">
      <c r="B5" s="237" t="s">
        <v>363</v>
      </c>
      <c r="C5" s="239">
        <f>IFERROR('Historical FS'!C25,0)</f>
        <v>0.23613429072145725</v>
      </c>
      <c r="D5" s="239">
        <f>IFERROR('Historical FS'!D25,0)</f>
        <v>0.24418702551576349</v>
      </c>
      <c r="E5" s="239">
        <f>IFERROR('Historical FS'!E25,0)</f>
        <v>0.2355482275350371</v>
      </c>
      <c r="F5" s="239">
        <f>IFERROR('Historical FS'!F25,0)</f>
        <v>0.23671572382801895</v>
      </c>
      <c r="G5" s="239">
        <f>IFERROR('Historical FS'!G25,0)</f>
        <v>0.24397845803617854</v>
      </c>
    </row>
    <row r="6" spans="2:7" x14ac:dyDescent="0.3">
      <c r="B6" s="237" t="s">
        <v>424</v>
      </c>
      <c r="C6" s="238">
        <f>IFERROR('Historical FS'!C33,0)</f>
        <v>0.1651666930161729</v>
      </c>
      <c r="D6" s="238">
        <f>IFERROR('Historical FS'!D33,0)</f>
        <v>0.2048287838935588</v>
      </c>
      <c r="E6" s="238">
        <f>IFERROR('Historical FS'!E33,0)</f>
        <v>0.19358080501526506</v>
      </c>
      <c r="F6" s="238">
        <f>IFERROR('Historical FS'!F33,0)</f>
        <v>0.17733458414797201</v>
      </c>
      <c r="G6" s="238">
        <f>IFERROR('Historical FS'!G33,0)</f>
        <v>0.18117797882394249</v>
      </c>
    </row>
    <row r="7" spans="2:7" x14ac:dyDescent="0.3">
      <c r="B7" s="237" t="s">
        <v>370</v>
      </c>
      <c r="C7" s="238">
        <f>IFERROR('Historical FS'!C39,0)</f>
        <v>0.12195959086473816</v>
      </c>
      <c r="D7" s="238">
        <f>IFERROR('Historical FS'!D39,0)</f>
        <v>0.14876106969964542</v>
      </c>
      <c r="E7" s="238">
        <f>IFERROR('Historical FS'!E39,0)</f>
        <v>0.14122065897828473</v>
      </c>
      <c r="F7" s="238">
        <f>IFERROR('Historical FS'!F39,0)</f>
        <v>0.1310748925513959</v>
      </c>
      <c r="G7" s="238">
        <f>IFERROR('Historical FS'!G39,0)</f>
        <v>0.13325622376028023</v>
      </c>
    </row>
    <row r="9" spans="2:7" x14ac:dyDescent="0.3">
      <c r="B9" s="240" t="s">
        <v>425</v>
      </c>
      <c r="C9" s="241">
        <v>44651</v>
      </c>
      <c r="D9" s="241">
        <v>45016</v>
      </c>
      <c r="E9" s="241">
        <v>45382</v>
      </c>
      <c r="F9" s="241">
        <v>45747</v>
      </c>
      <c r="G9" s="241">
        <v>46112</v>
      </c>
    </row>
    <row r="10" spans="2:7" x14ac:dyDescent="0.3">
      <c r="B10" s="146" t="s">
        <v>426</v>
      </c>
      <c r="C10" s="242">
        <f>IFERROR(AVERAGE('Historical FS'!D7:G7),0)</f>
        <v>0.22033766141704381</v>
      </c>
    </row>
    <row r="11" spans="2:7" x14ac:dyDescent="0.3">
      <c r="B11" s="146" t="s">
        <v>427</v>
      </c>
      <c r="C11" s="242">
        <f>IFERROR(('Historical FS'!G6/'Historical FS'!C6)^(1/4)-1,0)</f>
        <v>0.21781174274360815</v>
      </c>
      <c r="D11" s="243">
        <f>IFERROR(('Historical FS'!G6/'Historical FS'!C6)^(1/4)-1,0)</f>
        <v>0.21781174274360815</v>
      </c>
      <c r="E11" s="242" t="s">
        <v>428</v>
      </c>
      <c r="F11" s="242"/>
      <c r="G11" s="242"/>
    </row>
    <row r="12" spans="2:7" x14ac:dyDescent="0.3">
      <c r="B12" s="244"/>
    </row>
    <row r="13" spans="2:7" x14ac:dyDescent="0.3">
      <c r="B13" s="235" t="s">
        <v>429</v>
      </c>
      <c r="C13" s="236">
        <v>44651</v>
      </c>
      <c r="D13" s="236">
        <v>45016</v>
      </c>
      <c r="E13" s="236">
        <v>45382</v>
      </c>
      <c r="F13" s="236">
        <v>45747</v>
      </c>
      <c r="G13" s="236">
        <v>46112</v>
      </c>
    </row>
    <row r="14" spans="2:7" x14ac:dyDescent="0.3">
      <c r="B14" s="186" t="s">
        <v>430</v>
      </c>
      <c r="C14" s="239">
        <f>IFERROR('Historical FS'!C36,0)</f>
        <v>0.26159694404733269</v>
      </c>
      <c r="D14" s="239">
        <f>IFERROR('Historical FS'!D36,0)</f>
        <v>0.27372966400586302</v>
      </c>
      <c r="E14" s="239">
        <f>IFERROR('Historical FS'!E36,0)</f>
        <v>0.27048211744367634</v>
      </c>
      <c r="F14" s="239">
        <f>IFERROR('Historical FS'!F36,0)</f>
        <v>0.26086108256230478</v>
      </c>
      <c r="G14" s="239">
        <f>IFERROR('Historical FS'!G36,0)</f>
        <v>0.26450099164771906</v>
      </c>
    </row>
    <row r="15" spans="2:7" x14ac:dyDescent="0.3">
      <c r="B15" s="146" t="s">
        <v>431</v>
      </c>
      <c r="C15" s="242">
        <v>0.26500000000000001</v>
      </c>
      <c r="D15" s="242"/>
      <c r="E15" s="242"/>
      <c r="F15" s="242"/>
      <c r="G15" s="242"/>
    </row>
    <row r="17" spans="2:12" x14ac:dyDescent="0.3">
      <c r="B17" s="235" t="s">
        <v>432</v>
      </c>
      <c r="C17" s="236">
        <v>44651</v>
      </c>
      <c r="D17" s="236">
        <v>45016</v>
      </c>
      <c r="E17" s="236">
        <v>45382</v>
      </c>
      <c r="F17" s="236">
        <v>45747</v>
      </c>
      <c r="G17" s="236">
        <v>46112</v>
      </c>
    </row>
    <row r="18" spans="2:12" x14ac:dyDescent="0.3">
      <c r="B18" s="186" t="s">
        <v>433</v>
      </c>
      <c r="C18" s="245">
        <f>IFERROR('Historical FS'!C24*(1-Assumptions!$C$15),0)</f>
        <v>11878.180649999998</v>
      </c>
      <c r="D18" s="245">
        <f>IFERROR('Historical FS'!D24*(1-Assumptions!$C$15),0)</f>
        <v>14730.076199999996</v>
      </c>
      <c r="E18" s="245">
        <f>IFERROR('Historical FS'!E24*(1-Assumptions!$C$15),0)</f>
        <v>19110.3822</v>
      </c>
      <c r="F18" s="245">
        <f>IFERROR('Historical FS'!F24*(1-Assumptions!$C$15),0)</f>
        <v>23283.183000000008</v>
      </c>
      <c r="G18" s="245">
        <f>IFERROR('Historical FS'!G24*(1-Assumptions!$C$15),0)</f>
        <v>26993.734950000009</v>
      </c>
    </row>
    <row r="19" spans="2:12" x14ac:dyDescent="0.3">
      <c r="B19" s="186" t="s">
        <v>434</v>
      </c>
      <c r="C19" s="246">
        <f>IFERROR('Historical FS'!C52+'Historical FS'!C53,0)</f>
        <v>40246.800000000003</v>
      </c>
      <c r="D19" s="246">
        <f>IFERROR('Historical FS'!D52+'Historical FS'!D53,0)</f>
        <v>46407.340000000004</v>
      </c>
      <c r="E19" s="246">
        <f>IFERROR('Historical FS'!E52+'Historical FS'!E53,0)</f>
        <v>60328.62</v>
      </c>
      <c r="F19" s="246">
        <f>IFERROR('Historical FS'!F52+'Historical FS'!F53,0)</f>
        <v>72395.310000000012</v>
      </c>
      <c r="G19" s="246">
        <f>IFERROR('Historical FS'!G52+'Historical FS'!G53,0)</f>
        <v>77914.53</v>
      </c>
    </row>
    <row r="20" spans="2:12" x14ac:dyDescent="0.3">
      <c r="B20" s="186" t="s">
        <v>435</v>
      </c>
      <c r="C20" s="246">
        <f>IFERROR('Historical FS'!C54,0)</f>
        <v>186587.51999999999</v>
      </c>
      <c r="D20" s="246">
        <f>IFERROR('Historical FS'!D54,0)</f>
        <v>242632.02</v>
      </c>
      <c r="E20" s="246">
        <f>IFERROR('Historical FS'!E54,0)</f>
        <v>331046.03999999998</v>
      </c>
      <c r="F20" s="246">
        <f>IFERROR('Historical FS'!F54,0)</f>
        <v>410388.76</v>
      </c>
      <c r="G20" s="246">
        <f>IFERROR('Historical FS'!G54,0)</f>
        <v>491298.28</v>
      </c>
      <c r="J20" s="247"/>
    </row>
    <row r="21" spans="2:12" x14ac:dyDescent="0.3">
      <c r="B21" s="186" t="s">
        <v>436</v>
      </c>
      <c r="C21" s="246">
        <f>IFERROR('Historical FS'!C66,0)</f>
        <v>4403.03</v>
      </c>
      <c r="D21" s="246">
        <f>IFERROR('Historical FS'!D66,0)</f>
        <v>5377.22</v>
      </c>
      <c r="E21" s="246">
        <f>IFERROR('Historical FS'!E66,0)</f>
        <v>12386.66</v>
      </c>
      <c r="F21" s="246">
        <f>IFERROR('Historical FS'!F66,0)</f>
        <v>15736.8</v>
      </c>
      <c r="G21" s="246">
        <f>IFERROR('Historical FS'!G66,0)</f>
        <v>17618.04</v>
      </c>
    </row>
    <row r="22" spans="2:12" x14ac:dyDescent="0.3">
      <c r="B22" s="186" t="s">
        <v>437</v>
      </c>
      <c r="C22" s="246">
        <f>C19+C20-C21</f>
        <v>222431.29</v>
      </c>
      <c r="D22" s="246">
        <f>D19+D20-D21</f>
        <v>283662.14</v>
      </c>
      <c r="E22" s="246">
        <f>E19+E20-E21</f>
        <v>378988</v>
      </c>
      <c r="F22" s="246">
        <f>F19+F20-F21</f>
        <v>467047.27</v>
      </c>
      <c r="G22" s="246">
        <f>G19+G20-G21</f>
        <v>551594.77</v>
      </c>
    </row>
    <row r="24" spans="2:12" x14ac:dyDescent="0.3">
      <c r="B24" s="240" t="s">
        <v>438</v>
      </c>
      <c r="C24" s="241">
        <v>44651</v>
      </c>
      <c r="D24" s="241">
        <v>45016</v>
      </c>
      <c r="E24" s="241">
        <v>45382</v>
      </c>
      <c r="F24" s="241">
        <v>45747</v>
      </c>
      <c r="G24" s="241">
        <v>46112</v>
      </c>
    </row>
    <row r="25" spans="2:12" x14ac:dyDescent="0.3">
      <c r="B25" s="146" t="s">
        <v>439</v>
      </c>
      <c r="C25" s="242">
        <f>IFERROR('Historical FS'!C24/Assumptions!C22,0)</f>
        <v>7.2655200623976943E-2</v>
      </c>
      <c r="D25" s="242">
        <f>IFERROR('Historical FS'!D24/Assumptions!D22,0)</f>
        <v>7.0650669137587385E-2</v>
      </c>
      <c r="E25" s="242">
        <f>IFERROR('Historical FS'!E24/Assumptions!E22,0)</f>
        <v>6.8605127339124189E-2</v>
      </c>
      <c r="F25" s="242">
        <f>IFERROR('Historical FS'!F24/Assumptions!F22,0)</f>
        <v>6.7825682826494219E-2</v>
      </c>
      <c r="G25" s="242">
        <f>IFERROR('Historical FS'!G24/Assumptions!G22,0)</f>
        <v>6.6581795182720838E-2</v>
      </c>
    </row>
    <row r="26" spans="2:12" x14ac:dyDescent="0.3">
      <c r="B26" s="146" t="s">
        <v>440</v>
      </c>
      <c r="C26" s="242">
        <f>IFERROR(C18/C22,0)</f>
        <v>5.3401572458623058E-2</v>
      </c>
      <c r="D26" s="242">
        <f>IFERROR(D18/D22,0)</f>
        <v>5.1928241816126729E-2</v>
      </c>
      <c r="E26" s="242">
        <f>IFERROR(E18/E22,0)</f>
        <v>5.0424768594256285E-2</v>
      </c>
      <c r="F26" s="242">
        <f>IFERROR(F18/F22,0)</f>
        <v>4.985187687747325E-2</v>
      </c>
      <c r="G26" s="242">
        <f>IFERROR(G18/G22,0)</f>
        <v>4.8937619459299822E-2</v>
      </c>
    </row>
    <row r="28" spans="2:12" x14ac:dyDescent="0.3">
      <c r="B28" s="248" t="s">
        <v>441</v>
      </c>
      <c r="C28" s="249">
        <f>IFERROR(('Historical FS'!G24/'Historical FS'!C24)^(1/4)-1,0)</f>
        <v>0.22780179316571325</v>
      </c>
      <c r="E28" s="313"/>
      <c r="F28" s="313"/>
      <c r="G28" s="313"/>
      <c r="H28" s="313"/>
      <c r="I28" s="313"/>
      <c r="J28" s="313"/>
      <c r="K28" s="313"/>
      <c r="L28" s="313"/>
    </row>
    <row r="40" spans="2:6" x14ac:dyDescent="0.3">
      <c r="B40" s="314" t="s">
        <v>442</v>
      </c>
      <c r="C40" s="314"/>
      <c r="D40" s="314"/>
      <c r="E40" s="314"/>
      <c r="F40" s="314"/>
    </row>
    <row r="41" spans="2:6" x14ac:dyDescent="0.3">
      <c r="B41" s="314"/>
      <c r="C41" s="314"/>
      <c r="D41" s="314"/>
      <c r="E41" s="314"/>
      <c r="F41" s="314"/>
    </row>
    <row r="42" spans="2:6" x14ac:dyDescent="0.3">
      <c r="B42" s="314"/>
      <c r="C42" s="314"/>
      <c r="D42" s="314"/>
      <c r="E42" s="314"/>
      <c r="F42" s="314"/>
    </row>
    <row r="43" spans="2:6" x14ac:dyDescent="0.3">
      <c r="B43" s="314"/>
      <c r="C43" s="314"/>
      <c r="D43" s="314"/>
      <c r="E43" s="314"/>
      <c r="F43" s="314"/>
    </row>
  </sheetData>
  <mergeCells count="3">
    <mergeCell ref="B2:G2"/>
    <mergeCell ref="E28:L28"/>
    <mergeCell ref="B40:F43"/>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L41"/>
  <sheetViews>
    <sheetView showGridLines="0" zoomScale="74" zoomScaleNormal="74" workbookViewId="0">
      <selection activeCell="N3" sqref="N3"/>
    </sheetView>
  </sheetViews>
  <sheetFormatPr defaultColWidth="8.6328125" defaultRowHeight="14" x14ac:dyDescent="0.3"/>
  <cols>
    <col min="1" max="1" width="1.90625" style="146" customWidth="1"/>
    <col min="2" max="2" width="24.54296875" style="146" customWidth="1"/>
    <col min="3" max="4" width="9.453125" style="146" bestFit="1" customWidth="1"/>
    <col min="5" max="5" width="10.54296875" style="146" customWidth="1"/>
    <col min="6" max="8" width="9.453125" style="146" bestFit="1" customWidth="1"/>
    <col min="9" max="9" width="8.6328125" style="146"/>
    <col min="10" max="11" width="8.7265625" style="146" bestFit="1" customWidth="1"/>
    <col min="12" max="16384" width="8.6328125" style="146"/>
  </cols>
  <sheetData>
    <row r="1" spans="2:12" ht="15" customHeight="1" x14ac:dyDescent="0.3"/>
    <row r="2" spans="2:12" ht="21" customHeight="1" x14ac:dyDescent="0.3">
      <c r="B2" s="315" t="s">
        <v>443</v>
      </c>
      <c r="C2" s="315"/>
      <c r="D2" s="315"/>
      <c r="E2" s="315"/>
      <c r="F2" s="315"/>
      <c r="G2" s="315"/>
      <c r="H2" s="315"/>
      <c r="I2" s="315"/>
      <c r="J2" s="315"/>
      <c r="K2" s="315"/>
    </row>
    <row r="3" spans="2:12" ht="14.25" customHeight="1" x14ac:dyDescent="0.3">
      <c r="B3" s="240" t="s">
        <v>347</v>
      </c>
      <c r="C3" s="252"/>
      <c r="D3" s="252">
        <v>44621</v>
      </c>
      <c r="E3" s="252">
        <v>44986</v>
      </c>
      <c r="F3" s="252">
        <v>45352</v>
      </c>
      <c r="G3" s="252">
        <v>45717</v>
      </c>
      <c r="H3" s="252">
        <v>46082</v>
      </c>
      <c r="I3" s="253" t="s">
        <v>444</v>
      </c>
      <c r="J3" s="254" t="s">
        <v>445</v>
      </c>
      <c r="K3" s="254" t="s">
        <v>446</v>
      </c>
    </row>
    <row r="5" spans="2:12" ht="14.25" customHeight="1" x14ac:dyDescent="0.3">
      <c r="B5" s="255" t="s">
        <v>352</v>
      </c>
      <c r="C5" s="256"/>
      <c r="D5" s="256">
        <f>IFERROR('Historical FS'!D7,0)</f>
        <v>0.19919978351518397</v>
      </c>
      <c r="E5" s="256">
        <f>IFERROR('Historical FS'!E7,0)</f>
        <v>0.34495304793924264</v>
      </c>
      <c r="F5" s="256">
        <f>IFERROR('Historical FS'!F7,0)</f>
        <v>0.21234356739715343</v>
      </c>
      <c r="G5" s="256">
        <f>IFERROR('Historical FS'!G7,0)</f>
        <v>0.12485424681659518</v>
      </c>
      <c r="H5" s="256">
        <f>IFERROR('Historical FS'!H7,0)</f>
        <v>0</v>
      </c>
      <c r="I5" s="255"/>
      <c r="J5" s="257">
        <f>IFERROR(AVERAGE(D5:H5),0)</f>
        <v>0.17627012913363505</v>
      </c>
      <c r="K5" s="257">
        <f>IFERROR(MEDIAN(D5:H5),0)</f>
        <v>0.19919978351518397</v>
      </c>
    </row>
    <row r="6" spans="2:12" ht="14.25" customHeight="1" x14ac:dyDescent="0.3">
      <c r="B6" s="255" t="s">
        <v>447</v>
      </c>
      <c r="C6" s="256"/>
      <c r="D6" s="256">
        <f>IFERROR('Historical FS'!D18/'Historical FS'!C18-1,0)</f>
        <v>0.23889707430014728</v>
      </c>
      <c r="E6" s="256">
        <f>IFERROR('Historical FS'!E18/'Historical FS'!D18-1,0)</f>
        <v>0.29837412735921953</v>
      </c>
      <c r="F6" s="256">
        <f>IFERROR('Historical FS'!F18/'Historical FS'!E18-1,0)</f>
        <v>0.22109019670528429</v>
      </c>
      <c r="G6" s="256">
        <f>IFERROR('Historical FS'!G18/'Historical FS'!F18-1,0)</f>
        <v>0.15737308558298024</v>
      </c>
      <c r="H6" s="256">
        <f>IFERROR('Historical FS'!H18/'Historical FS'!G18-1,0)</f>
        <v>0</v>
      </c>
      <c r="I6" s="255"/>
      <c r="J6" s="257">
        <f>IFERROR(AVERAGE(D6:H6),0)</f>
        <v>0.18314689678952628</v>
      </c>
      <c r="K6" s="257">
        <f>IFERROR(MEDIAN(D6:H6),0)</f>
        <v>0.22109019670528429</v>
      </c>
    </row>
    <row r="7" spans="2:12" ht="14.25" customHeight="1" x14ac:dyDescent="0.3">
      <c r="B7" s="255" t="s">
        <v>448</v>
      </c>
      <c r="C7" s="256"/>
      <c r="D7" s="256">
        <f>IFERROR('Historical FS'!D24/'Historical FS'!C24-1,0)</f>
        <v>0.24009531712249199</v>
      </c>
      <c r="E7" s="256">
        <f>IFERROR('Historical FS'!E24/'Historical FS'!D24-1,0)</f>
        <v>0.29737157775191991</v>
      </c>
      <c r="F7" s="256">
        <f>IFERROR('Historical FS'!F24/'Historical FS'!E24-1,0)</f>
        <v>0.21835255602580284</v>
      </c>
      <c r="G7" s="256">
        <f>IFERROR('Historical FS'!G24/'Historical FS'!F24-1,0)</f>
        <v>0.15936618073224795</v>
      </c>
      <c r="H7" s="256">
        <f>IFERROR('Historical FS'!H24/'Historical FS'!G24-1,0)</f>
        <v>0</v>
      </c>
      <c r="I7" s="255"/>
      <c r="J7" s="257">
        <f>IFERROR(AVERAGE(D7:H7),0)</f>
        <v>0.18303712632649255</v>
      </c>
      <c r="K7" s="257">
        <f>IFERROR(MEDIAN(D7:H7),0)</f>
        <v>0.21835255602580284</v>
      </c>
    </row>
    <row r="8" spans="2:12" ht="14.25" customHeight="1" x14ac:dyDescent="0.3">
      <c r="B8" s="255" t="s">
        <v>449</v>
      </c>
      <c r="C8" s="256"/>
      <c r="D8" s="256">
        <f>IFERROR('Historical FS'!D38/'Historical FS'!C38-1,0)</f>
        <v>0.46273237975317461</v>
      </c>
      <c r="E8" s="256">
        <f>IFERROR('Historical FS'!E38/'Historical FS'!D38-1,0)</f>
        <v>0.27677998086676259</v>
      </c>
      <c r="F8" s="256">
        <f>IFERROR('Historical FS'!F38/'Historical FS'!E38-1,0)</f>
        <v>0.12524473389118573</v>
      </c>
      <c r="G8" s="256">
        <f>IFERROR('Historical FS'!G38/'Historical FS'!F38-1,0)</f>
        <v>0.14357392398943736</v>
      </c>
      <c r="H8" s="256">
        <f>IFERROR('Historical FS'!H38/'Historical FS'!G38-1,0)</f>
        <v>0</v>
      </c>
      <c r="I8" s="255"/>
      <c r="J8" s="257">
        <f>IFERROR(AVERAGE(D8:H8),0)</f>
        <v>0.20166620370011207</v>
      </c>
      <c r="K8" s="257">
        <f>IFERROR(MEDIAN(D8:H8),0)</f>
        <v>0.14357392398943736</v>
      </c>
    </row>
    <row r="9" spans="2:12" ht="14.25" customHeight="1" x14ac:dyDescent="0.3">
      <c r="B9" s="255" t="s">
        <v>450</v>
      </c>
      <c r="C9" s="256"/>
      <c r="D9" s="256">
        <f>IFERROR('Historical FS'!D46/'Historical FS'!C46-1,0)</f>
        <v>-0.33387054159842033</v>
      </c>
      <c r="E9" s="256">
        <f>IFERROR('Historical FS'!E46/'Historical FS'!D46-1,0)</f>
        <v>1.0001585579739669</v>
      </c>
      <c r="F9" s="256">
        <f>IFERROR('Historical FS'!F46/'Historical FS'!E46-1,0)</f>
        <v>0.2515099793350597</v>
      </c>
      <c r="G9" s="256">
        <f>IFERROR('Historical FS'!G46/'Historical FS'!F46-1,0)</f>
        <v>-1</v>
      </c>
      <c r="H9" s="256">
        <f>IFERROR('Historical FS'!H46/'Historical FS'!G46-1,0)</f>
        <v>0</v>
      </c>
      <c r="I9" s="255"/>
      <c r="J9" s="257">
        <f>IFERROR(AVERAGE(D9:H9),0)</f>
        <v>-1.6440400857878745E-2</v>
      </c>
      <c r="K9" s="257">
        <f>IFERROR(MEDIAN(D9:H9),0)</f>
        <v>0</v>
      </c>
      <c r="L9" s="258"/>
    </row>
    <row r="10" spans="2:12" ht="14.25" customHeight="1" x14ac:dyDescent="0.3">
      <c r="J10" s="259"/>
      <c r="K10" s="259"/>
    </row>
    <row r="11" spans="2:12" ht="14.25" customHeight="1" x14ac:dyDescent="0.3">
      <c r="B11" s="255" t="s">
        <v>451</v>
      </c>
      <c r="C11" s="256">
        <f>IFERROR('Historical FS'!C13,0)</f>
        <v>0.86121564056039401</v>
      </c>
      <c r="D11" s="256">
        <f>IFERROR('Historical FS'!D13,0)</f>
        <v>0.85133275034935785</v>
      </c>
      <c r="E11" s="256">
        <f>IFERROR('Historical FS'!E13,0)</f>
        <v>0.83331210421894686</v>
      </c>
      <c r="F11" s="256">
        <f>IFERROR('Historical FS'!F13,0)</f>
        <v>0.81834318571548559</v>
      </c>
      <c r="G11" s="256">
        <f>IFERROR('Historical FS'!G13,0)</f>
        <v>0.81245128059864058</v>
      </c>
      <c r="H11" s="256">
        <f>IFERROR('Historical FS'!H13,0)</f>
        <v>0.81245128059864058</v>
      </c>
      <c r="I11" s="255"/>
      <c r="J11" s="257">
        <f>IFERROR(AVERAGE(C11:H11),0)</f>
        <v>0.83151770700691097</v>
      </c>
      <c r="K11" s="257">
        <f>IFERROR(MEDIAN(C11:H11),0)</f>
        <v>0.82582764496721617</v>
      </c>
    </row>
    <row r="12" spans="2:12" ht="14.25" customHeight="1" x14ac:dyDescent="0.3">
      <c r="B12" s="255" t="s">
        <v>452</v>
      </c>
      <c r="C12" s="256">
        <f>IFERROR('Historical FS'!C19,0)</f>
        <v>0.24435665172099288</v>
      </c>
      <c r="D12" s="256">
        <f>IFERROR('Historical FS'!D19,0)</f>
        <v>0.2524456267124443</v>
      </c>
      <c r="E12" s="256">
        <f>IFERROR('Historical FS'!E19,0)</f>
        <v>0.24370283467562942</v>
      </c>
      <c r="F12" s="256">
        <f>IFERROR('Historical FS'!F19,0)</f>
        <v>0.24546106428443976</v>
      </c>
      <c r="G12" s="256">
        <f>IFERROR('Historical FS'!G19,0)</f>
        <v>0.25255719144534156</v>
      </c>
      <c r="H12" s="256">
        <f>IFERROR('Historical FS'!H19,0)</f>
        <v>0.25255719144534156</v>
      </c>
      <c r="I12" s="255"/>
      <c r="J12" s="257">
        <f>IFERROR(AVERAGE(C12:H12),0)</f>
        <v>0.24851342671403154</v>
      </c>
      <c r="K12" s="257">
        <f>IFERROR(MEDIAN(C12:H12),0)</f>
        <v>0.24895334549844203</v>
      </c>
    </row>
    <row r="13" spans="2:12" ht="14.25" customHeight="1" x14ac:dyDescent="0.3">
      <c r="B13" s="255" t="s">
        <v>364</v>
      </c>
      <c r="C13" s="256">
        <f>IFERROR('Historical FS'!C25,0)</f>
        <v>0.23613429072145725</v>
      </c>
      <c r="D13" s="256">
        <f>IFERROR('Historical FS'!D25,0)</f>
        <v>0.24418702551576349</v>
      </c>
      <c r="E13" s="256">
        <f>IFERROR('Historical FS'!E25,0)</f>
        <v>0.2355482275350371</v>
      </c>
      <c r="F13" s="256">
        <f>IFERROR('Historical FS'!F25,0)</f>
        <v>0.23671572382801895</v>
      </c>
      <c r="G13" s="256">
        <f>IFERROR('Historical FS'!G25,0)</f>
        <v>0.24397845803617854</v>
      </c>
      <c r="H13" s="256">
        <f>IFERROR('Historical FS'!H25,0)</f>
        <v>0.24397845803617854</v>
      </c>
      <c r="I13" s="255"/>
      <c r="J13" s="257">
        <f>IFERROR(AVERAGE(C13:H13),0)</f>
        <v>0.24009036394543901</v>
      </c>
      <c r="K13" s="257">
        <f>IFERROR(MEDIAN(C13:H13),0)</f>
        <v>0.24034709093209874</v>
      </c>
    </row>
    <row r="14" spans="2:12" ht="14.25" customHeight="1" x14ac:dyDescent="0.3">
      <c r="B14" s="255" t="s">
        <v>453</v>
      </c>
      <c r="C14" s="256">
        <f>IFERROR('Historical FS'!C33,0)</f>
        <v>0.1651666930161729</v>
      </c>
      <c r="D14" s="256">
        <f>IFERROR('Historical FS'!D33,0)</f>
        <v>0.2048287838935588</v>
      </c>
      <c r="E14" s="256">
        <f>IFERROR('Historical FS'!E33,0)</f>
        <v>0.19358080501526506</v>
      </c>
      <c r="F14" s="256">
        <f>IFERROR('Historical FS'!F33,0)</f>
        <v>0.17733458414797201</v>
      </c>
      <c r="G14" s="256">
        <f>IFERROR('Historical FS'!G33,0)</f>
        <v>0.18117797882394249</v>
      </c>
      <c r="H14" s="256">
        <f>IFERROR('Historical FS'!H33,0)</f>
        <v>0.18117797882394249</v>
      </c>
      <c r="I14" s="255"/>
      <c r="J14" s="257">
        <f>IFERROR(AVERAGE(C14:H14),0)</f>
        <v>0.18387780395347564</v>
      </c>
      <c r="K14" s="257">
        <f>IFERROR(MEDIAN(C14:H14),0)</f>
        <v>0.18117797882394249</v>
      </c>
    </row>
    <row r="15" spans="2:12" ht="14.25" customHeight="1" x14ac:dyDescent="0.3">
      <c r="B15" s="255" t="s">
        <v>454</v>
      </c>
      <c r="C15" s="256">
        <f>IFERROR('Historical FS'!C39,0)</f>
        <v>0.12195959086473816</v>
      </c>
      <c r="D15" s="256">
        <f>IFERROR('Historical FS'!D39,0)</f>
        <v>0.14876106969964542</v>
      </c>
      <c r="E15" s="256">
        <f>IFERROR('Historical FS'!E39,0)</f>
        <v>0.14122065897828473</v>
      </c>
      <c r="F15" s="256">
        <f>IFERROR('Historical FS'!F39,0)</f>
        <v>0.1310748925513959</v>
      </c>
      <c r="G15" s="256">
        <f>IFERROR('Historical FS'!G39,0)</f>
        <v>0.13325622376028023</v>
      </c>
      <c r="H15" s="256">
        <f>IFERROR('Historical FS'!H39,0)</f>
        <v>0.13325622376028023</v>
      </c>
      <c r="I15" s="255"/>
      <c r="J15" s="257">
        <f>IFERROR(AVERAGE(C15:H15),0)</f>
        <v>0.13492144326910413</v>
      </c>
      <c r="K15" s="257">
        <f>IFERROR(MEDIAN(C15:H15),0)</f>
        <v>0.13325622376028023</v>
      </c>
    </row>
    <row r="16" spans="2:12" ht="14.25" customHeight="1" x14ac:dyDescent="0.3">
      <c r="J16" s="259"/>
      <c r="K16" s="259"/>
    </row>
    <row r="17" spans="2:11" ht="14.25" customHeight="1" x14ac:dyDescent="0.3">
      <c r="B17" s="255" t="s">
        <v>455</v>
      </c>
      <c r="C17" s="256">
        <f>IFERROR('Historical FS'!C16,0)</f>
        <v>0.61685898883940116</v>
      </c>
      <c r="D17" s="256">
        <f>IFERROR('Historical FS'!D16,0)</f>
        <v>0.59888712363691354</v>
      </c>
      <c r="E17" s="256">
        <f>IFERROR('Historical FS'!E16,0)</f>
        <v>0.58960926954331738</v>
      </c>
      <c r="F17" s="256">
        <f>IFERROR('Historical FS'!F16,0)</f>
        <v>0.57288212143104589</v>
      </c>
      <c r="G17" s="256">
        <f>IFERROR('Historical FS'!G16,0)</f>
        <v>0.55989408915329908</v>
      </c>
      <c r="H17" s="256">
        <f>IFERROR('Historical FS'!H16,0)</f>
        <v>0.55989408915329908</v>
      </c>
      <c r="I17" s="255"/>
      <c r="J17" s="257">
        <f>IFERROR(AVERAGE(C17:H17),0)</f>
        <v>0.58300428029287932</v>
      </c>
      <c r="K17" s="257">
        <f>IFERROR(MEDIAN(C17:H17),0)</f>
        <v>0.58124569548718164</v>
      </c>
    </row>
    <row r="18" spans="2:11" ht="14.25" customHeight="1" x14ac:dyDescent="0.3">
      <c r="B18" s="255" t="s">
        <v>456</v>
      </c>
      <c r="C18" s="256">
        <f>IFERROR('Historical FS'!C22,0)</f>
        <v>8.222360999535645E-3</v>
      </c>
      <c r="D18" s="256">
        <f>IFERROR('Historical FS'!D22,0)</f>
        <v>8.2586011966808166E-3</v>
      </c>
      <c r="E18" s="256">
        <f>IFERROR('Historical FS'!E22,0)</f>
        <v>8.1546071405923012E-3</v>
      </c>
      <c r="F18" s="256">
        <f>IFERROR('Historical FS'!F22,0)</f>
        <v>8.7453404564208064E-3</v>
      </c>
      <c r="G18" s="256">
        <f>IFERROR('Historical FS'!G22,0)</f>
        <v>8.5787334091629863E-3</v>
      </c>
      <c r="H18" s="256">
        <f>IFERROR('Historical FS'!H22,0)</f>
        <v>8.5787334091629863E-3</v>
      </c>
      <c r="I18" s="255"/>
      <c r="J18" s="257">
        <f>IFERROR(AVERAGE(C18:H18),0)</f>
        <v>8.4230627685925909E-3</v>
      </c>
      <c r="K18" s="257">
        <f>IFERROR(MEDIAN(C18:H18),0)</f>
        <v>8.4186673029219006E-3</v>
      </c>
    </row>
    <row r="19" spans="2:11" ht="14.25" customHeight="1" x14ac:dyDescent="0.3">
      <c r="B19" s="255" t="s">
        <v>457</v>
      </c>
      <c r="C19" s="256">
        <f t="shared" ref="C19:H19" si="0">C13</f>
        <v>0.23613429072145725</v>
      </c>
      <c r="D19" s="256">
        <f t="shared" si="0"/>
        <v>0.24418702551576349</v>
      </c>
      <c r="E19" s="256">
        <f t="shared" si="0"/>
        <v>0.2355482275350371</v>
      </c>
      <c r="F19" s="256">
        <f t="shared" si="0"/>
        <v>0.23671572382801895</v>
      </c>
      <c r="G19" s="256">
        <f t="shared" si="0"/>
        <v>0.24397845803617854</v>
      </c>
      <c r="H19" s="256">
        <f t="shared" si="0"/>
        <v>0.24397845803617854</v>
      </c>
      <c r="I19" s="255"/>
      <c r="J19" s="257">
        <f>IFERROR(AVERAGE(C19:H19),0)</f>
        <v>0.24009036394543901</v>
      </c>
      <c r="K19" s="257">
        <f>IFERROR(MEDIAN(C19:H19),0)</f>
        <v>0.24034709093209874</v>
      </c>
    </row>
    <row r="20" spans="2:11" ht="14.25" customHeight="1" x14ac:dyDescent="0.3">
      <c r="J20" s="259"/>
      <c r="K20" s="259"/>
    </row>
    <row r="21" spans="2:11" ht="14.25" customHeight="1" x14ac:dyDescent="0.3">
      <c r="B21" s="255" t="s">
        <v>458</v>
      </c>
      <c r="C21" s="256">
        <f>IFERROR(Assumptions!C26,0)</f>
        <v>5.3401572458623058E-2</v>
      </c>
      <c r="D21" s="256">
        <f>IFERROR(Assumptions!D26,0)</f>
        <v>5.1928241816126729E-2</v>
      </c>
      <c r="E21" s="256">
        <f>IFERROR(Assumptions!E26,0)</f>
        <v>5.0424768594256285E-2</v>
      </c>
      <c r="F21" s="256">
        <f>IFERROR(Assumptions!F26,0)</f>
        <v>4.985187687747325E-2</v>
      </c>
      <c r="G21" s="256">
        <f>IFERROR(Assumptions!G26,0)</f>
        <v>4.8937619459299822E-2</v>
      </c>
      <c r="H21" s="256">
        <f>IFERROR(Assumptions!G26,0)</f>
        <v>4.8937619459299822E-2</v>
      </c>
      <c r="I21" s="255"/>
      <c r="J21" s="257">
        <f>IFERROR(AVERAGE(C21:H21),0)</f>
        <v>5.0580283110846495E-2</v>
      </c>
      <c r="K21" s="257">
        <f>IFERROR(MEDIAN(C21:H21),0)</f>
        <v>5.0138322735864771E-2</v>
      </c>
    </row>
    <row r="22" spans="2:11" ht="14.25" customHeight="1" x14ac:dyDescent="0.3">
      <c r="B22" s="255" t="s">
        <v>459</v>
      </c>
      <c r="C22" s="256">
        <f>IFERROR('Historical FS'!C49,0)</f>
        <v>0.99428043595202464</v>
      </c>
      <c r="D22" s="256">
        <f>IFERROR('Historical FS'!D49,0)</f>
        <v>0.99478668405257709</v>
      </c>
      <c r="E22" s="256">
        <f>IFERROR('Historical FS'!E49,0)</f>
        <v>0.99182531068053348</v>
      </c>
      <c r="F22" s="256">
        <f>IFERROR('Historical FS'!F49,0)</f>
        <v>0.99089718095950452</v>
      </c>
      <c r="G22" s="256">
        <f>IFERROR('Historical FS'!G49,0)</f>
        <v>1</v>
      </c>
      <c r="H22" s="256">
        <f>IFERROR('Historical FS'!H49,0)</f>
        <v>1</v>
      </c>
      <c r="I22" s="255"/>
      <c r="J22" s="257">
        <f>IFERROR(AVERAGE(C22:H22),0)</f>
        <v>0.99529826860743997</v>
      </c>
      <c r="K22" s="257">
        <f>IFERROR(MEDIAN(C22:H22),0)</f>
        <v>0.99453356000230086</v>
      </c>
    </row>
    <row r="23" spans="2:11" ht="14.25" customHeight="1" x14ac:dyDescent="0.3">
      <c r="B23" s="255" t="s">
        <v>460</v>
      </c>
      <c r="C23" s="256">
        <f>IFERROR('Historical FS'!C38/('Historical FS'!C52+'Historical FS'!C53),0)</f>
        <v>0.20739015275748623</v>
      </c>
      <c r="D23" s="256">
        <f>IFERROR('Historical FS'!D38/(('Historical FS'!D52+'Historical FS'!D53+'Historical FS'!C52+'Historical FS'!C53)/2),0)</f>
        <v>0.28178965251977561</v>
      </c>
      <c r="E23" s="256">
        <f>IFERROR('Historical FS'!E38/(('Historical FS'!E52+'Historical FS'!E53+'Historical FS'!D52+'Historical FS'!D53)/2),0)</f>
        <v>0.29209199973467237</v>
      </c>
      <c r="F23" s="256">
        <f>IFERROR('Historical FS'!F38/(('Historical FS'!F52+'Historical FS'!F53+'Historical FS'!E52+'Historical FS'!E53)/2),0)</f>
        <v>0.26431887603087106</v>
      </c>
      <c r="G23" s="256">
        <f>IFERROR('Historical FS'!G38/(('Historical FS'!G52+'Historical FS'!G53+'Historical FS'!F52+'Historical FS'!F53)/2),0)</f>
        <v>0.26690348416311283</v>
      </c>
      <c r="H23" s="256">
        <f>IFERROR('Historical FS'!H38/(('Historical FS'!H52+'Historical FS'!H53+'Historical FS'!G52+'Historical FS'!G53)/2),0)</f>
        <v>0.25745018291196797</v>
      </c>
      <c r="I23" s="255"/>
      <c r="J23" s="257">
        <f>IFERROR(AVERAGE(C23:H23),0)</f>
        <v>0.26165739135298099</v>
      </c>
      <c r="K23" s="257">
        <f>IFERROR(MEDIAN(C23:H23),0)</f>
        <v>0.26561118009699192</v>
      </c>
    </row>
    <row r="24" spans="2:11" ht="14.25" customHeight="1" x14ac:dyDescent="0.3">
      <c r="B24" s="255" t="s">
        <v>461</v>
      </c>
      <c r="C24" s="256">
        <f t="shared" ref="C24:H24" si="1">IFERROR(C22*C23,0)</f>
        <v>0.20620397149587039</v>
      </c>
      <c r="D24" s="256">
        <f t="shared" si="1"/>
        <v>0.28032059403047549</v>
      </c>
      <c r="E24" s="256">
        <f t="shared" si="1"/>
        <v>0.28970423838413972</v>
      </c>
      <c r="F24" s="256">
        <f t="shared" si="1"/>
        <v>0.26191282913337488</v>
      </c>
      <c r="G24" s="256">
        <f t="shared" si="1"/>
        <v>0.26690348416311283</v>
      </c>
      <c r="H24" s="256">
        <f t="shared" si="1"/>
        <v>0.25745018291196797</v>
      </c>
      <c r="I24" s="255"/>
      <c r="J24" s="257">
        <f>IFERROR(AVERAGE(C24:H24),0)</f>
        <v>0.26041588335315685</v>
      </c>
      <c r="K24" s="257">
        <f>IFERROR(MEDIAN(C24:H24),0)</f>
        <v>0.26440815664824385</v>
      </c>
    </row>
    <row r="25" spans="2:11" ht="14.25" customHeight="1" x14ac:dyDescent="0.3">
      <c r="B25" s="255" t="s">
        <v>462</v>
      </c>
      <c r="C25" s="260"/>
      <c r="D25" s="260"/>
      <c r="E25" s="260"/>
      <c r="F25" s="260"/>
      <c r="G25" s="260"/>
      <c r="H25" s="260"/>
      <c r="I25" s="255"/>
      <c r="J25" s="261"/>
      <c r="K25" s="261"/>
    </row>
    <row r="26" spans="2:11" ht="14.25" customHeight="1" x14ac:dyDescent="0.3">
      <c r="B26" s="146" t="s">
        <v>463</v>
      </c>
      <c r="C26" s="146">
        <f>IFERROR('Historical FS'!C12/'Historical FS'!C69,0)</f>
        <v>0.17661783435978581</v>
      </c>
      <c r="D26" s="146">
        <f>IFERROR('Historical FS'!D12/'Historical FS'!D69,0)</f>
        <v>0.17230334533232156</v>
      </c>
      <c r="E26" s="146">
        <f>IFERROR('Historical FS'!E12/'Historical FS'!E69,0)</f>
        <v>0.17099539581041484</v>
      </c>
      <c r="F26" s="146">
        <f>IFERROR('Historical FS'!F12/'Historical FS'!F69,0)</f>
        <v>0.16790418974020591</v>
      </c>
      <c r="G26" s="146">
        <f>IFERROR('Historical FS'!G12/'Historical FS'!G69,0)</f>
        <v>0.16123796525431053</v>
      </c>
      <c r="H26" s="146">
        <f>IFERROR('Historical FS'!H12/'Historical FS'!H69,0)</f>
        <v>0.16123796525431053</v>
      </c>
      <c r="J26" s="259">
        <f>IFERROR(AVERAGE(C26:H26),0)</f>
        <v>0.16838278262522485</v>
      </c>
      <c r="K26" s="259">
        <f>IFERROR(MEDIAN(C26:H26),0)</f>
        <v>0.16944979277531036</v>
      </c>
    </row>
    <row r="27" spans="2:11" ht="14.25" customHeight="1" x14ac:dyDescent="0.3">
      <c r="B27" s="255" t="s">
        <v>464</v>
      </c>
      <c r="C27" s="261">
        <f>IFERROR('Historical FS'!C9/'Historical FS'!C54,0)</f>
        <v>5.0905119484947338E-2</v>
      </c>
      <c r="D27" s="261">
        <f>IFERROR('Historical FS'!D9/'Historical FS'!D54,0)</f>
        <v>5.0287756743730691E-2</v>
      </c>
      <c r="E27" s="261">
        <f>IFERROR('Historical FS'!E9/'Historical FS'!E54,0)</f>
        <v>5.5579912691298167E-2</v>
      </c>
      <c r="F27" s="261">
        <f>IFERROR('Historical FS'!F9/'Historical FS'!F54,0)</f>
        <v>5.9235784137947639E-2</v>
      </c>
      <c r="G27" s="261">
        <f>IFERROR('Historical FS'!G9/'Historical FS'!G54,0)</f>
        <v>5.746362474543977E-2</v>
      </c>
      <c r="H27" s="261">
        <f>IFERROR('Historical FS'!H9/'Historical FS'!H54,0)</f>
        <v>5.746362474543977E-2</v>
      </c>
      <c r="I27" s="255"/>
      <c r="J27" s="261">
        <f>IFERROR(AVERAGE(C27:H27),0)</f>
        <v>5.5155970424800561E-2</v>
      </c>
      <c r="K27" s="261">
        <f>IFERROR(MEDIAN(C27:H27),0)</f>
        <v>5.6521768718368968E-2</v>
      </c>
    </row>
    <row r="28" spans="2:11" ht="14.25" customHeight="1" x14ac:dyDescent="0.3">
      <c r="B28" s="255" t="s">
        <v>465</v>
      </c>
      <c r="C28" s="261">
        <f>IFERROR('Historical FS'!C6/'Historical FS'!C65,0)</f>
        <v>0.35672587897180097</v>
      </c>
      <c r="D28" s="261">
        <f>IFERROR('Historical FS'!D6/'Historical FS'!D65,0)</f>
        <v>0.33809332803349557</v>
      </c>
      <c r="E28" s="261">
        <f>IFERROR('Historical FS'!E6/'Historical FS'!E65,0)</f>
        <v>0.33782906986964895</v>
      </c>
      <c r="F28" s="261">
        <f>IFERROR('Historical FS'!F6/'Historical FS'!F65,0)</f>
        <v>0.32760133111453166</v>
      </c>
      <c r="G28" s="261">
        <f>IFERROR('Historical FS'!G6/'Historical FS'!G65,0)</f>
        <v>0.30105114442644704</v>
      </c>
      <c r="H28" s="261">
        <f>IFERROR('Historical FS'!H6/'Historical FS'!H65,0)</f>
        <v>0.30105114442644704</v>
      </c>
      <c r="I28" s="255"/>
      <c r="J28" s="261">
        <f>IFERROR(AVERAGE(C28:H28),0)</f>
        <v>0.32705864947372848</v>
      </c>
      <c r="K28" s="261">
        <f>IFERROR(MEDIAN(C28:H28),0)</f>
        <v>0.3327152004920903</v>
      </c>
    </row>
    <row r="29" spans="2:11" ht="14.25" customHeight="1" x14ac:dyDescent="0.3">
      <c r="B29" s="255" t="s">
        <v>466</v>
      </c>
      <c r="C29" s="261"/>
      <c r="D29" s="261">
        <f>IFERROR('Historical FS'!D65/'Historical FS'!C65-1,0)</f>
        <v>0.26528849097804708</v>
      </c>
      <c r="E29" s="261">
        <f>IFERROR('Historical FS'!E65/'Historical FS'!D65-1,0)</f>
        <v>0.34600510311923505</v>
      </c>
      <c r="F29" s="261">
        <f>IFERROR('Historical FS'!F65/'Historical FS'!E65-1,0)</f>
        <v>0.2501930268196797</v>
      </c>
      <c r="G29" s="261">
        <f>IFERROR('Historical FS'!G65/'Historical FS'!F65-1,0)</f>
        <v>0.22405695972028927</v>
      </c>
      <c r="H29" s="261">
        <f>IFERROR('Historical FS'!H65/'Historical FS'!G65-1,0)</f>
        <v>0</v>
      </c>
      <c r="I29" s="255"/>
      <c r="J29" s="261">
        <f>IFERROR(AVERAGE(D29:H29),0)</f>
        <v>0.21710871612745022</v>
      </c>
      <c r="K29" s="261">
        <f>IFERROR(MEDIAN(D29:H29),0)</f>
        <v>0.2501930268196797</v>
      </c>
    </row>
    <row r="30" spans="2:11" ht="14.25" customHeight="1" x14ac:dyDescent="0.3">
      <c r="B30" s="255" t="s">
        <v>467</v>
      </c>
      <c r="C30" s="261">
        <f>IFERROR('Historical FS'!C27/'Historical FS'!C65,0)</f>
        <v>2.5487464005019674E-2</v>
      </c>
      <c r="D30" s="261">
        <f>IFERROR('Historical FS'!D27/'Historical FS'!D65,0)</f>
        <v>1.3309930888858011E-2</v>
      </c>
      <c r="E30" s="261">
        <f>IFERROR('Historical FS'!E27/'Historical FS'!E65,0)</f>
        <v>1.4181151278427003E-2</v>
      </c>
      <c r="F30" s="261">
        <f>IFERROR('Historical FS'!F27/'Historical FS'!F65,0)</f>
        <v>1.9455959800511527E-2</v>
      </c>
      <c r="G30" s="261">
        <f>IFERROR('Historical FS'!G27/'Historical FS'!G65,0)</f>
        <v>1.8959374437580466E-2</v>
      </c>
      <c r="H30" s="261">
        <f>IFERROR('Historical FS'!H27/'Historical FS'!H65,0)</f>
        <v>1.8959374437580466E-2</v>
      </c>
      <c r="I30" s="255"/>
      <c r="J30" s="261">
        <f t="shared" ref="J30:J35" si="2">IFERROR(AVERAGE(C30:H30),0)</f>
        <v>1.8392209141329524E-2</v>
      </c>
      <c r="K30" s="261">
        <f t="shared" ref="K30:K35" si="3">IFERROR(MEDIAN(C30:H30),0)</f>
        <v>1.8959374437580466E-2</v>
      </c>
    </row>
    <row r="31" spans="2:11" ht="14.25" customHeight="1" x14ac:dyDescent="0.3">
      <c r="B31" s="255" t="s">
        <v>468</v>
      </c>
      <c r="C31" s="261">
        <f>IFERROR('Historical FS'!C15/'Historical FS'!C12,0)</f>
        <v>0.71626542736498644</v>
      </c>
      <c r="D31" s="261">
        <f>IFERROR('Historical FS'!D15/'Historical FS'!D12,0)</f>
        <v>0.70347008662729205</v>
      </c>
      <c r="E31" s="261">
        <f>IFERROR('Historical FS'!E15/'Historical FS'!E12,0)</f>
        <v>0.70754914822214288</v>
      </c>
      <c r="F31" s="261">
        <f>IFERROR('Historical FS'!F15/'Historical FS'!F12,0)</f>
        <v>0.70005119054076226</v>
      </c>
      <c r="G31" s="261">
        <f>IFERROR('Historical FS'!G15/'Historical FS'!G12,0)</f>
        <v>0.68914173997085815</v>
      </c>
      <c r="H31" s="261">
        <f>IFERROR('Historical FS'!H15/'Historical FS'!H12,0)</f>
        <v>0.68914173997085815</v>
      </c>
      <c r="I31" s="255"/>
      <c r="J31" s="261">
        <f t="shared" si="2"/>
        <v>0.7009365554494833</v>
      </c>
      <c r="K31" s="261">
        <f t="shared" si="3"/>
        <v>0.70176063858402715</v>
      </c>
    </row>
    <row r="32" spans="2:11" ht="14.25" customHeight="1" x14ac:dyDescent="0.3">
      <c r="B32" s="146" t="s">
        <v>469</v>
      </c>
      <c r="C32" s="146">
        <f>IFERROR('Historical FS'!C38/'Historical FS'!C69,0)</f>
        <v>2.5011434771341719E-2</v>
      </c>
      <c r="D32" s="146">
        <f>IFERROR('Historical FS'!D38/'Historical FS'!D69,0)</f>
        <v>3.0108121593989016E-2</v>
      </c>
      <c r="E32" s="146">
        <f>IFERROR('Historical FS'!E38/'Historical FS'!E69,0)</f>
        <v>2.8978437198188919E-2</v>
      </c>
      <c r="F32" s="146">
        <f>IFERROR('Historical FS'!F38/'Historical FS'!F69,0)</f>
        <v>2.6893391444183463E-2</v>
      </c>
      <c r="G32" s="146">
        <f>IFERROR('Historical FS'!G38/'Historical FS'!G69,0)</f>
        <v>2.6445847141442297E-2</v>
      </c>
      <c r="H32" s="146">
        <f>IFERROR('Historical FS'!H38/'Historical FS'!H69,0)</f>
        <v>2.6445847141442297E-2</v>
      </c>
      <c r="J32" s="259">
        <f t="shared" si="2"/>
        <v>2.7313846548431286E-2</v>
      </c>
      <c r="K32" s="259">
        <f t="shared" si="3"/>
        <v>2.666961929281288E-2</v>
      </c>
    </row>
    <row r="33" spans="2:11" ht="14.25" customHeight="1" x14ac:dyDescent="0.3">
      <c r="B33" s="262" t="s">
        <v>470</v>
      </c>
      <c r="C33" s="146">
        <f>IFERROR('Historical FS'!C54/('Historical FS'!C52+'Historical FS'!C53),0)</f>
        <v>4.636083365634037</v>
      </c>
      <c r="D33" s="146">
        <f>IFERROR('Historical FS'!D54/('Historical FS'!D52+'Historical FS'!D53),0)</f>
        <v>5.2283112973077097</v>
      </c>
      <c r="E33" s="146">
        <f>IFERROR('Historical FS'!E54/('Historical FS'!E52+'Historical FS'!E53),0)</f>
        <v>5.4873796218113391</v>
      </c>
      <c r="F33" s="146">
        <f>IFERROR('Historical FS'!F54/('Historical FS'!F52+'Historical FS'!F53),0)</f>
        <v>5.6687202527346034</v>
      </c>
      <c r="G33" s="146">
        <f>IFERROR('Historical FS'!G54/('Historical FS'!G52+'Historical FS'!G53),0)</f>
        <v>6.3056053857990291</v>
      </c>
      <c r="H33" s="146">
        <f>IFERROR('Historical FS'!H54/('Historical FS'!H52+'Historical FS'!H53),0)</f>
        <v>6.3056053857990291</v>
      </c>
      <c r="J33" s="259">
        <f t="shared" si="2"/>
        <v>5.6052842181809579</v>
      </c>
      <c r="K33" s="259">
        <f t="shared" si="3"/>
        <v>5.5780499372729713</v>
      </c>
    </row>
    <row r="34" spans="2:11" ht="14.25" customHeight="1" x14ac:dyDescent="0.3">
      <c r="B34" s="255" t="s">
        <v>471</v>
      </c>
      <c r="C34" s="263">
        <f>IFERROR(Valuation!$C$17/'Historical FS'!C70,0)</f>
        <v>1.7398054006778176</v>
      </c>
      <c r="D34" s="263">
        <f>IFERROR(Valuation!$C$17/'Historical FS'!D70,0)</f>
        <v>3.0199705477624872</v>
      </c>
      <c r="E34" s="263">
        <f>IFERROR(Valuation!$C$17/'Historical FS'!E70,0)</f>
        <v>2.325277786894512</v>
      </c>
      <c r="F34" s="263">
        <f>IFERROR(Valuation!$C$17/'Historical FS'!F70,0)</f>
        <v>1.9400151750161714</v>
      </c>
      <c r="G34" s="263">
        <f>IFERROR(Valuation!$C$17/'Historical FS'!G70,0)</f>
        <v>1.8056401033286089</v>
      </c>
      <c r="H34" s="263">
        <f>IFERROR(Valuation!$C$17/'Historical FS'!H70,0)</f>
        <v>1.8056401033286089</v>
      </c>
      <c r="I34" s="255"/>
      <c r="J34" s="263">
        <f t="shared" si="2"/>
        <v>2.1060581861680343</v>
      </c>
      <c r="K34" s="263">
        <f t="shared" si="3"/>
        <v>1.8728276391723901</v>
      </c>
    </row>
    <row r="35" spans="2:11" ht="14.25" customHeight="1" x14ac:dyDescent="0.3">
      <c r="B35" s="255" t="s">
        <v>472</v>
      </c>
      <c r="C35" s="263">
        <f>IFERROR(Valuation!$C$17/'Historical FS'!C43,0)</f>
        <v>8.3890453695372731</v>
      </c>
      <c r="D35" s="263">
        <f>IFERROR(Valuation!$C$17/'Historical FS'!D43,0)</f>
        <v>11.479025515352461</v>
      </c>
      <c r="E35" s="263">
        <f>IFERROR(Valuation!$C$17/'Historical FS'!E43,0)</f>
        <v>8.9990736677880143</v>
      </c>
      <c r="F35" s="263">
        <f>IFERROR(Valuation!$C$17/'Historical FS'!F43,0)</f>
        <v>8.0069689271591997</v>
      </c>
      <c r="G35" s="263">
        <f>IFERROR(Valuation!$C$17/'Historical FS'!G43,0)</f>
        <v>7.0135514486933817</v>
      </c>
      <c r="H35" s="263">
        <f>IFERROR(Valuation!$C$17/'Historical FS'!H43,0)</f>
        <v>7.0135514486933817</v>
      </c>
      <c r="I35" s="255"/>
      <c r="J35" s="263">
        <f t="shared" si="2"/>
        <v>8.4835360628706198</v>
      </c>
      <c r="K35" s="263">
        <f t="shared" si="3"/>
        <v>8.1980071483482355</v>
      </c>
    </row>
    <row r="36" spans="2:11" ht="14.25" customHeight="1" x14ac:dyDescent="0.3">
      <c r="B36" s="255"/>
      <c r="C36" s="263"/>
      <c r="D36" s="263"/>
      <c r="E36" s="263"/>
      <c r="F36" s="263"/>
      <c r="G36" s="263"/>
      <c r="H36" s="263"/>
      <c r="I36" s="255"/>
      <c r="J36" s="263"/>
      <c r="K36" s="263"/>
    </row>
    <row r="37" spans="2:11" ht="14.25" customHeight="1" x14ac:dyDescent="0.3">
      <c r="B37" s="255" t="s">
        <v>421</v>
      </c>
      <c r="C37" s="263"/>
      <c r="D37" s="263"/>
      <c r="E37" s="263"/>
      <c r="F37" s="263"/>
      <c r="G37" s="263"/>
      <c r="H37" s="263"/>
      <c r="I37" s="255"/>
      <c r="J37" s="263"/>
      <c r="K37" s="263"/>
    </row>
    <row r="38" spans="2:11" ht="14.25" customHeight="1" x14ac:dyDescent="0.3">
      <c r="B38" s="146" t="s">
        <v>473</v>
      </c>
      <c r="C38" s="146">
        <f>IFERROR('Historical FS'!C83/'Historical FS'!C69,0)</f>
        <v>-0.10089627511724236</v>
      </c>
      <c r="D38" s="146">
        <f>IFERROR('Historical FS'!D83/'Historical FS'!D69,0)</f>
        <v>-9.7359075881856091E-2</v>
      </c>
      <c r="E38" s="146">
        <f>IFERROR('Historical FS'!E83/'Historical FS'!E69,0)</f>
        <v>-0.12176685638231156</v>
      </c>
      <c r="F38" s="146">
        <f>IFERROR('Historical FS'!F83/'Historical FS'!F69,0)</f>
        <v>-9.5228441933380065E-2</v>
      </c>
      <c r="G38" s="146">
        <f>IFERROR('Historical FS'!G83/'Historical FS'!G69,0)</f>
        <v>-7.2908608246771631E-2</v>
      </c>
      <c r="H38" s="146">
        <f>IFERROR('Historical FS'!H83/'Historical FS'!H69,0)</f>
        <v>-7.2908608246771631E-2</v>
      </c>
      <c r="J38" s="259">
        <f>IFERROR(AVERAGE(C38:H38),0)</f>
        <v>-9.3511310968055553E-2</v>
      </c>
      <c r="K38" s="259">
        <f>IFERROR(MEDIAN(C38:H38),0)</f>
        <v>-9.6293758907618071E-2</v>
      </c>
    </row>
    <row r="39" spans="2:11" ht="14.25" customHeight="1" x14ac:dyDescent="0.3">
      <c r="B39" s="255" t="s">
        <v>474</v>
      </c>
      <c r="C39" s="256">
        <f>IFERROR('Historical FS'!C83/'Historical FS'!C38,0)</f>
        <v>-4.0340058872932003</v>
      </c>
      <c r="D39" s="256">
        <f>IFERROR('Historical FS'!D83/'Historical FS'!D38,0)</f>
        <v>-3.2336482891477858</v>
      </c>
      <c r="E39" s="256">
        <f>IFERROR('Historical FS'!E83/'Historical FS'!E38,0)</f>
        <v>-4.2019814784877942</v>
      </c>
      <c r="F39" s="256">
        <f>IFERROR('Historical FS'!F83/'Historical FS'!F38,0)</f>
        <v>-3.5409606903251389</v>
      </c>
      <c r="G39" s="256">
        <f>IFERROR('Historical FS'!G83/'Historical FS'!G38,0)</f>
        <v>-2.7569019762093112</v>
      </c>
      <c r="H39" s="256">
        <f>IFERROR('Historical FS'!H83/'Historical FS'!H38,0)</f>
        <v>-2.7569019762093112</v>
      </c>
      <c r="I39" s="255"/>
      <c r="J39" s="257">
        <f>IFERROR(AVERAGE(C39:H39),0)</f>
        <v>-3.4207333829454232</v>
      </c>
      <c r="K39" s="257">
        <f>IFERROR(MEDIAN(C39:H39),0)</f>
        <v>-3.3873044897364624</v>
      </c>
    </row>
    <row r="40" spans="2:11" ht="14.25" customHeight="1" x14ac:dyDescent="0.3">
      <c r="B40" s="255" t="s">
        <v>475</v>
      </c>
      <c r="C40" s="256">
        <f>IFERROR('Historical FS'!C83/'Historical FS'!C54,0)</f>
        <v>-0.18045687085610013</v>
      </c>
      <c r="D40" s="256">
        <f>IFERROR('Historical FS'!D83/'Historical FS'!D54,0)</f>
        <v>-0.16271553935873756</v>
      </c>
      <c r="E40" s="256">
        <f>IFERROR('Historical FS'!E83/'Historical FS'!E54,0)</f>
        <v>-0.19786371708297734</v>
      </c>
      <c r="F40" s="256">
        <f>IFERROR('Historical FS'!F83/'Historical FS'!F54,0)</f>
        <v>-0.15134673766406273</v>
      </c>
      <c r="G40" s="256">
        <f>IFERROR('Historical FS'!G83/'Historical FS'!G54,0)</f>
        <v>-0.11256094769963371</v>
      </c>
      <c r="H40" s="256">
        <f>IFERROR('Historical FS'!H83/'Historical FS'!H54,0)</f>
        <v>-0.11256094769963371</v>
      </c>
      <c r="I40" s="255"/>
      <c r="J40" s="257">
        <f>IFERROR(AVERAGE(C40:H40),0)</f>
        <v>-0.15291746006019083</v>
      </c>
      <c r="K40" s="257">
        <f>IFERROR(MEDIAN(C40:H40),0)</f>
        <v>-0.15703113851140016</v>
      </c>
    </row>
    <row r="41" spans="2:11" ht="14.25" customHeight="1" x14ac:dyDescent="0.3">
      <c r="B41" s="255"/>
      <c r="C41" s="256"/>
      <c r="D41" s="256"/>
      <c r="E41" s="256"/>
      <c r="F41" s="256"/>
      <c r="G41" s="256"/>
      <c r="H41" s="256"/>
      <c r="I41" s="255"/>
      <c r="J41" s="257"/>
      <c r="K41" s="257"/>
    </row>
  </sheetData>
  <mergeCells count="1">
    <mergeCell ref="B2:K2"/>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G14"/>
  <sheetViews>
    <sheetView zoomScaleNormal="100" workbookViewId="0">
      <selection activeCell="F17" sqref="F17"/>
    </sheetView>
  </sheetViews>
  <sheetFormatPr defaultColWidth="8.6328125" defaultRowHeight="14.5" x14ac:dyDescent="0.35"/>
  <cols>
    <col min="1" max="1" width="3" customWidth="1"/>
    <col min="2" max="2" width="29.453125" customWidth="1"/>
    <col min="3" max="5" width="9.36328125" customWidth="1"/>
    <col min="6" max="7" width="9.54296875" customWidth="1"/>
  </cols>
  <sheetData>
    <row r="2" spans="2:7" ht="14.25" customHeight="1" x14ac:dyDescent="0.35">
      <c r="B2" s="316" t="s">
        <v>476</v>
      </c>
      <c r="C2" s="316"/>
      <c r="D2" s="316"/>
      <c r="E2" s="316"/>
      <c r="F2" s="316"/>
      <c r="G2" s="316"/>
    </row>
    <row r="3" spans="2:7" ht="14.25" customHeight="1" x14ac:dyDescent="0.35">
      <c r="B3" s="8" t="s">
        <v>254</v>
      </c>
      <c r="C3" s="13">
        <v>44621</v>
      </c>
      <c r="D3" s="13">
        <v>44986</v>
      </c>
      <c r="E3" s="13">
        <v>45352</v>
      </c>
      <c r="F3" s="13">
        <v>45717</v>
      </c>
      <c r="G3" s="13">
        <v>46082</v>
      </c>
    </row>
    <row r="4" spans="2:7" ht="14.25" customHeight="1" x14ac:dyDescent="0.35">
      <c r="B4" t="s">
        <v>477</v>
      </c>
      <c r="D4" s="15">
        <f>IFERROR(C8,0)</f>
        <v>2955.41</v>
      </c>
      <c r="E4" s="15">
        <f>IFERROR(D8,0)</f>
        <v>3776.1</v>
      </c>
      <c r="F4" s="15">
        <f>IFERROR(E8,0)</f>
        <v>4903.96</v>
      </c>
      <c r="G4" s="15">
        <f>IFERROR(F8,0)</f>
        <v>5685.37</v>
      </c>
    </row>
    <row r="5" spans="2:7" ht="14.25" customHeight="1" x14ac:dyDescent="0.35">
      <c r="B5" t="s">
        <v>478</v>
      </c>
      <c r="D5" s="5">
        <f>IFERROR(D6-D4,0)</f>
        <v>1498.4899999999998</v>
      </c>
      <c r="E5" s="5">
        <f>IFERROR(E6-E4,0)</f>
        <v>2027.9900000000002</v>
      </c>
      <c r="F5" s="5">
        <f>IFERROR(F6-F4,0)</f>
        <v>1951.7299999999996</v>
      </c>
      <c r="G5" s="5">
        <f>IFERROR(G6-G4,0)</f>
        <v>1603.2199999999993</v>
      </c>
    </row>
    <row r="6" spans="2:7" ht="14.25" customHeight="1" x14ac:dyDescent="0.35">
      <c r="B6" t="s">
        <v>479</v>
      </c>
      <c r="C6" s="15">
        <f>IFERROR(SUM(C7+C8),0)</f>
        <v>3518.14</v>
      </c>
      <c r="D6" s="15">
        <f>IFERROR(SUM(D7+D8),0)</f>
        <v>4453.8999999999996</v>
      </c>
      <c r="E6" s="15">
        <f>IFERROR(SUM(E7+E8),0)</f>
        <v>5804.09</v>
      </c>
      <c r="F6" s="15">
        <f>IFERROR(SUM(F7+F8),0)</f>
        <v>6855.69</v>
      </c>
      <c r="G6" s="15">
        <f>IFERROR(SUM(G7+G8),0)</f>
        <v>7288.5899999999992</v>
      </c>
    </row>
    <row r="7" spans="2:7" ht="14.25" customHeight="1" x14ac:dyDescent="0.35">
      <c r="B7" t="s">
        <v>480</v>
      </c>
      <c r="C7" s="15">
        <f>IFERROR('Historical FS'!C21,0)</f>
        <v>562.73</v>
      </c>
      <c r="D7" s="15">
        <f>IFERROR('Historical FS'!D21,0)</f>
        <v>677.8</v>
      </c>
      <c r="E7" s="15">
        <f>IFERROR('Historical FS'!E21,0)</f>
        <v>900.13</v>
      </c>
      <c r="F7" s="15">
        <f>IFERROR('Historical FS'!F21,0)</f>
        <v>1170.32</v>
      </c>
      <c r="G7" s="15">
        <f>IFERROR('Historical FS'!G21,0)</f>
        <v>1291.3599999999999</v>
      </c>
    </row>
    <row r="8" spans="2:7" ht="14.25" customHeight="1" x14ac:dyDescent="0.35">
      <c r="B8" s="16" t="s">
        <v>481</v>
      </c>
      <c r="C8" s="17">
        <f>IFERROR('Historical FS'!C58,0)</f>
        <v>2955.41</v>
      </c>
      <c r="D8" s="17">
        <f>IFERROR('Historical FS'!D58,0)</f>
        <v>3776.1</v>
      </c>
      <c r="E8" s="17">
        <f>IFERROR('Historical FS'!E58,0)</f>
        <v>4903.96</v>
      </c>
      <c r="F8" s="17">
        <f>IFERROR('Historical FS'!F58,0)</f>
        <v>5685.37</v>
      </c>
      <c r="G8" s="17">
        <f>IFERROR('Historical FS'!G58,0)</f>
        <v>5997.23</v>
      </c>
    </row>
    <row r="10" spans="2:7" ht="14.25" customHeight="1" x14ac:dyDescent="0.35">
      <c r="B10" t="s">
        <v>482</v>
      </c>
      <c r="D10" s="15">
        <f>IFERROR(D5-D7,0)</f>
        <v>820.68999999999983</v>
      </c>
      <c r="E10" s="15">
        <f>IFERROR(E5-E7,0)</f>
        <v>1127.8600000000001</v>
      </c>
      <c r="F10" s="15">
        <f>IFERROR(F5-F7,0)</f>
        <v>781.40999999999963</v>
      </c>
      <c r="G10" s="15">
        <f>IFERROR(G5-G7,0)</f>
        <v>311.85999999999945</v>
      </c>
    </row>
    <row r="11" spans="2:7" ht="14.25" customHeight="1" x14ac:dyDescent="0.35">
      <c r="B11" t="s">
        <v>483</v>
      </c>
      <c r="D11" s="18">
        <f>IFERROR(D10/'Historical FS'!D6,0)</f>
        <v>9.9996332488993499E-3</v>
      </c>
      <c r="E11" s="18">
        <f>IFERROR(E10/'Historical FS'!E6,0)</f>
        <v>1.0217696565594341E-2</v>
      </c>
      <c r="F11" s="18">
        <f>IFERROR(F10/'Historical FS'!F6,0)</f>
        <v>5.839169189667595E-3</v>
      </c>
      <c r="G11" s="18">
        <f>IFERROR(G10/'Historical FS'!G6,0)</f>
        <v>2.071741265783023E-3</v>
      </c>
    </row>
    <row r="12" spans="2:7" ht="14.25" customHeight="1" x14ac:dyDescent="0.35">
      <c r="E12" s="18"/>
      <c r="F12" s="18"/>
      <c r="G12" s="18"/>
    </row>
    <row r="13" spans="2:7" ht="14.25" customHeight="1" x14ac:dyDescent="0.35">
      <c r="B13" t="s">
        <v>484</v>
      </c>
      <c r="D13" s="18">
        <f>IFERROR(MEDIAN(D11:G11),0)</f>
        <v>7.9194012192834728E-3</v>
      </c>
      <c r="E13" s="18"/>
      <c r="F13" s="18"/>
      <c r="G13" s="18"/>
    </row>
    <row r="14" spans="2:7" ht="14.25" customHeight="1" x14ac:dyDescent="0.35">
      <c r="B14" t="s">
        <v>485</v>
      </c>
      <c r="D14" s="18">
        <f>IFERROR(AVERAGE(D11:G11),0)</f>
        <v>7.0320600674860772E-3</v>
      </c>
      <c r="E14" s="18"/>
      <c r="F14" s="18"/>
      <c r="G14" s="18"/>
    </row>
  </sheetData>
  <mergeCells count="1">
    <mergeCell ref="B2:G2"/>
  </mergeCells>
  <pageMargins left="0.7" right="0.7" top="0.75" bottom="0.75"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G20"/>
  <sheetViews>
    <sheetView zoomScaleNormal="100" workbookViewId="0">
      <selection activeCell="B34" sqref="B34"/>
    </sheetView>
  </sheetViews>
  <sheetFormatPr defaultColWidth="8.6328125" defaultRowHeight="14.5" x14ac:dyDescent="0.35"/>
  <cols>
    <col min="1" max="1" width="4.36328125" customWidth="1"/>
    <col min="2" max="2" width="41.6328125" customWidth="1"/>
    <col min="3" max="7" width="11.54296875" customWidth="1"/>
  </cols>
  <sheetData>
    <row r="2" spans="2:7" ht="14.25" customHeight="1" x14ac:dyDescent="0.35">
      <c r="B2" s="316" t="s">
        <v>486</v>
      </c>
      <c r="C2" s="316"/>
      <c r="D2" s="316"/>
      <c r="E2" s="316"/>
      <c r="F2" s="316"/>
      <c r="G2" s="316"/>
    </row>
    <row r="3" spans="2:7" ht="14.25" customHeight="1" x14ac:dyDescent="0.35">
      <c r="B3" s="8" t="s">
        <v>254</v>
      </c>
      <c r="C3" s="13">
        <v>44621</v>
      </c>
      <c r="D3" s="13">
        <v>44986</v>
      </c>
      <c r="E3" s="13">
        <v>45352</v>
      </c>
      <c r="F3" s="13">
        <v>45717</v>
      </c>
      <c r="G3" s="13">
        <v>46082</v>
      </c>
    </row>
    <row r="4" spans="2:7" ht="14.25" customHeight="1" x14ac:dyDescent="0.35">
      <c r="B4" t="s">
        <v>487</v>
      </c>
      <c r="C4" s="15">
        <v>0</v>
      </c>
      <c r="D4" s="15">
        <v>0</v>
      </c>
      <c r="E4" s="15">
        <v>0</v>
      </c>
      <c r="F4" s="15">
        <v>0</v>
      </c>
      <c r="G4" s="15">
        <v>0</v>
      </c>
    </row>
    <row r="5" spans="2:7" ht="14.25" customHeight="1" x14ac:dyDescent="0.35">
      <c r="B5" t="s">
        <v>387</v>
      </c>
      <c r="C5" s="15">
        <f>IFERROR('Historical FS'!C64,0)</f>
        <v>3004.81</v>
      </c>
      <c r="D5" s="15">
        <f>IFERROR('Historical FS'!D64,0)</f>
        <v>3458.64</v>
      </c>
      <c r="E5" s="15">
        <f>IFERROR('Historical FS'!E64,0)</f>
        <v>5973.86</v>
      </c>
      <c r="F5" s="15">
        <f>IFERROR('Historical FS'!F64,0)</f>
        <v>8319.35</v>
      </c>
      <c r="G5" s="15">
        <f>IFERROR('Historical FS'!G64,0)</f>
        <v>9332.08</v>
      </c>
    </row>
    <row r="6" spans="2:7" ht="14.25" customHeight="1" x14ac:dyDescent="0.35">
      <c r="B6" s="4" t="s">
        <v>396</v>
      </c>
      <c r="C6" s="15">
        <f>IFERROR('Data Sheet'!B51,0)</f>
        <v>4821.8900000000003</v>
      </c>
      <c r="D6" s="15">
        <f>IFERROR('Data Sheet'!C51,0)</f>
        <v>6330.8</v>
      </c>
      <c r="E6" s="15">
        <f>IFERROR('Data Sheet'!D51,0)</f>
        <v>8142.11</v>
      </c>
      <c r="F6" s="15">
        <f>IFERROR('Data Sheet'!E51,0)</f>
        <v>10560.4</v>
      </c>
      <c r="G6" s="15">
        <f>IFERROR('Data Sheet'!F51,0)</f>
        <v>11493.31</v>
      </c>
    </row>
    <row r="7" spans="2:7" ht="14.25" customHeight="1" x14ac:dyDescent="0.35">
      <c r="B7" s="19" t="s">
        <v>488</v>
      </c>
      <c r="C7" s="20">
        <f>IFERROR(C4+C5-C6,0)</f>
        <v>-1817.0800000000004</v>
      </c>
      <c r="D7" s="20">
        <f>IFERROR(D4+D5-D6,0)</f>
        <v>-2872.1600000000003</v>
      </c>
      <c r="E7" s="20">
        <f>IFERROR(E4+E5-E6,0)</f>
        <v>-2168.25</v>
      </c>
      <c r="F7" s="20">
        <f>IFERROR(F4+F5-F6,0)</f>
        <v>-2241.0499999999993</v>
      </c>
      <c r="G7" s="20">
        <f>IFERROR(G4+G5-G6,0)</f>
        <v>-2161.2299999999996</v>
      </c>
    </row>
    <row r="8" spans="2:7" ht="14.25" customHeight="1" x14ac:dyDescent="0.35">
      <c r="B8" s="21"/>
      <c r="C8" s="21"/>
      <c r="D8" s="21"/>
      <c r="E8" s="21"/>
      <c r="F8" s="21"/>
      <c r="G8" s="21"/>
    </row>
    <row r="9" spans="2:7" ht="14.25" customHeight="1" x14ac:dyDescent="0.35">
      <c r="B9" t="s">
        <v>489</v>
      </c>
      <c r="D9" s="15">
        <f>IFERROR(D7-C7,0)</f>
        <v>-1055.08</v>
      </c>
      <c r="E9" s="15">
        <f>IFERROR(E7-D7,0)</f>
        <v>703.91000000000031</v>
      </c>
      <c r="F9" s="15">
        <f>IFERROR(F7-E7,0)</f>
        <v>-72.799999999999272</v>
      </c>
      <c r="G9" s="15">
        <f>IFERROR(G7-F7,0)</f>
        <v>79.819999999999709</v>
      </c>
    </row>
    <row r="10" spans="2:7" ht="14.25" customHeight="1" x14ac:dyDescent="0.35">
      <c r="B10" s="4" t="s">
        <v>490</v>
      </c>
      <c r="C10" s="4"/>
      <c r="D10" s="10">
        <f>IFERROR(D9/'Historical FS'!D6,0)</f>
        <v>-1.2855539909403949E-2</v>
      </c>
      <c r="E10" s="10">
        <f>IFERROR(E9/'Historical FS'!E6,0)</f>
        <v>6.3769783390558357E-3</v>
      </c>
      <c r="F10" s="10">
        <f>IFERROR(F9/'Historical FS'!F6,0)</f>
        <v>-5.4400572939659962E-4</v>
      </c>
      <c r="G10" s="10">
        <f>IFERROR(G9/'Historical FS'!G6,0)</f>
        <v>5.3025841029564732E-4</v>
      </c>
    </row>
    <row r="11" spans="2:7" ht="14.25" customHeight="1" x14ac:dyDescent="0.35">
      <c r="B11" s="4"/>
      <c r="C11" s="4"/>
      <c r="D11" s="10"/>
      <c r="E11" s="10"/>
      <c r="F11" s="10"/>
      <c r="G11" s="10"/>
    </row>
    <row r="12" spans="2:7" ht="14.25" customHeight="1" x14ac:dyDescent="0.35">
      <c r="B12" t="s">
        <v>491</v>
      </c>
      <c r="D12" s="10">
        <f>IFERROR(MEDIAN(D10:G10),0)</f>
        <v>-6.8736595504760968E-6</v>
      </c>
      <c r="E12" s="10"/>
      <c r="F12" s="10"/>
      <c r="G12" s="10"/>
    </row>
    <row r="13" spans="2:7" ht="14.25" customHeight="1" x14ac:dyDescent="0.35">
      <c r="B13" t="s">
        <v>492</v>
      </c>
      <c r="D13" s="10">
        <f>IFERROR(AVERAGE(D10:G10),0)</f>
        <v>-1.6230772223622663E-3</v>
      </c>
      <c r="E13" s="10"/>
      <c r="F13" s="10"/>
      <c r="G13" s="10"/>
    </row>
    <row r="20" spans="5:5" ht="14.25" customHeight="1" x14ac:dyDescent="0.35">
      <c r="E20" t="s">
        <v>493</v>
      </c>
    </row>
  </sheetData>
  <mergeCells count="1">
    <mergeCell ref="B2:G2"/>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G33"/>
  <sheetViews>
    <sheetView zoomScaleNormal="100" workbookViewId="0">
      <selection activeCell="D15" sqref="D15"/>
    </sheetView>
  </sheetViews>
  <sheetFormatPr defaultColWidth="8.6328125" defaultRowHeight="14.5" x14ac:dyDescent="0.35"/>
  <cols>
    <col min="1" max="1" width="3.90625" customWidth="1"/>
    <col min="2" max="2" width="28.81640625" customWidth="1"/>
    <col min="3" max="3" width="10.453125" customWidth="1"/>
    <col min="4" max="7" width="10.54296875" customWidth="1"/>
  </cols>
  <sheetData>
    <row r="2" spans="2:7" ht="14.25" customHeight="1" x14ac:dyDescent="0.35">
      <c r="B2" s="316" t="s">
        <v>494</v>
      </c>
      <c r="C2" s="316"/>
      <c r="D2" s="316"/>
      <c r="E2" s="316"/>
      <c r="F2" s="316"/>
      <c r="G2" s="316"/>
    </row>
    <row r="3" spans="2:7" ht="14.25" customHeight="1" x14ac:dyDescent="0.35">
      <c r="B3" s="8" t="s">
        <v>254</v>
      </c>
      <c r="C3" s="13">
        <v>44621</v>
      </c>
      <c r="D3" s="13">
        <v>44986</v>
      </c>
      <c r="E3" s="13">
        <v>45352</v>
      </c>
      <c r="F3" s="13">
        <v>45717</v>
      </c>
      <c r="G3" s="13">
        <v>46082</v>
      </c>
    </row>
    <row r="4" spans="2:7" ht="14.25" customHeight="1" x14ac:dyDescent="0.35">
      <c r="B4" t="s">
        <v>363</v>
      </c>
      <c r="C4" s="5">
        <f>IFERROR('Historical FS'!C24,0)</f>
        <v>16160.789999999997</v>
      </c>
      <c r="D4" s="5">
        <f>IFERROR('Historical FS'!D24,0)</f>
        <v>20040.919999999995</v>
      </c>
      <c r="E4" s="5">
        <f>IFERROR('Historical FS'!E24,0)</f>
        <v>26000.52</v>
      </c>
      <c r="F4" s="5">
        <f>IFERROR('Historical FS'!F24,0)</f>
        <v>31677.80000000001</v>
      </c>
      <c r="G4" s="5">
        <f>IFERROR('Historical FS'!G24,0)</f>
        <v>36726.170000000013</v>
      </c>
    </row>
    <row r="5" spans="2:7" ht="14.25" customHeight="1" x14ac:dyDescent="0.35">
      <c r="B5" t="s">
        <v>495</v>
      </c>
      <c r="C5" s="5">
        <f>IFERROR(Assumptions!$C$15*C4,0)</f>
        <v>4282.6093499999997</v>
      </c>
      <c r="D5" s="5">
        <f>IFERROR(Assumptions!$C$15*D4,0)</f>
        <v>5310.8437999999987</v>
      </c>
      <c r="E5" s="5">
        <f>IFERROR(Assumptions!$C$15*E4,0)</f>
        <v>6890.1378000000004</v>
      </c>
      <c r="F5" s="5">
        <f>IFERROR(Assumptions!$C$15*F4,0)</f>
        <v>8394.6170000000038</v>
      </c>
      <c r="G5" s="5">
        <f>IFERROR(Assumptions!$C$15*G4,0)</f>
        <v>9732.4350500000037</v>
      </c>
    </row>
    <row r="6" spans="2:7" ht="14.25" customHeight="1" x14ac:dyDescent="0.35">
      <c r="B6" t="s">
        <v>496</v>
      </c>
      <c r="C6" s="5">
        <f>IFERROR(C4-C5,0)</f>
        <v>11878.180649999998</v>
      </c>
      <c r="D6" s="5">
        <f>IFERROR(D4-D5,0)</f>
        <v>14730.076199999996</v>
      </c>
      <c r="E6" s="5">
        <f>IFERROR(E4-E5,0)</f>
        <v>19110.3822</v>
      </c>
      <c r="F6" s="5">
        <f>IFERROR(F4-F5,0)</f>
        <v>23283.183000000005</v>
      </c>
      <c r="G6" s="5">
        <f>IFERROR(G4-G5,0)</f>
        <v>26993.734950000009</v>
      </c>
    </row>
    <row r="7" spans="2:7" ht="14.25" customHeight="1" x14ac:dyDescent="0.35">
      <c r="B7" t="s">
        <v>497</v>
      </c>
      <c r="D7" s="5">
        <f>IFERROR('Fixed Assets Schedule'!D10,0)</f>
        <v>820.68999999999983</v>
      </c>
      <c r="E7" s="5">
        <f>IFERROR('Fixed Assets Schedule'!E10,0)</f>
        <v>1127.8600000000001</v>
      </c>
      <c r="F7" s="5">
        <f>IFERROR('Fixed Assets Schedule'!F10,0)</f>
        <v>781.40999999999963</v>
      </c>
      <c r="G7" s="5">
        <f>IFERROR('Fixed Assets Schedule'!G10,0)</f>
        <v>311.85999999999945</v>
      </c>
    </row>
    <row r="8" spans="2:7" ht="14.25" customHeight="1" x14ac:dyDescent="0.35">
      <c r="B8" t="s">
        <v>498</v>
      </c>
      <c r="D8" s="5">
        <f>IFERROR('Changes In Working Capital'!D9,0)</f>
        <v>-1055.08</v>
      </c>
      <c r="E8" s="5">
        <f>IFERROR('Changes In Working Capital'!E9,0)</f>
        <v>703.91000000000031</v>
      </c>
      <c r="F8" s="5">
        <f>IFERROR('Changes In Working Capital'!F9,0)</f>
        <v>-72.799999999999272</v>
      </c>
      <c r="G8" s="5">
        <f>IFERROR('Changes In Working Capital'!G9,0)</f>
        <v>79.819999999999709</v>
      </c>
    </row>
    <row r="9" spans="2:7" ht="14.25" customHeight="1" x14ac:dyDescent="0.35">
      <c r="B9" t="s">
        <v>499</v>
      </c>
      <c r="D9" s="5">
        <f>IFERROR(SUM(D7+D8),0)</f>
        <v>-234.3900000000001</v>
      </c>
      <c r="E9" s="5">
        <f>IFERROR(SUM(E7+E8),0)</f>
        <v>1831.7700000000004</v>
      </c>
      <c r="F9" s="5">
        <f>IFERROR(SUM(F7+F8),0)</f>
        <v>708.61000000000035</v>
      </c>
      <c r="G9" s="5">
        <f>IFERROR(SUM(G7+G8),0)</f>
        <v>391.67999999999915</v>
      </c>
    </row>
    <row r="10" spans="2:7" ht="14.25" customHeight="1" x14ac:dyDescent="0.35">
      <c r="B10" s="22" t="s">
        <v>500</v>
      </c>
      <c r="C10" s="22"/>
      <c r="D10" s="23">
        <f>IFERROR(D6-D9,0)</f>
        <v>14964.466199999995</v>
      </c>
      <c r="E10" s="23">
        <f>IFERROR(E6-E9,0)</f>
        <v>17278.6122</v>
      </c>
      <c r="F10" s="23">
        <f>IFERROR(F6-F9,0)</f>
        <v>22574.573000000004</v>
      </c>
      <c r="G10" s="23">
        <f>IFERROR(G6-G9,0)</f>
        <v>26602.054950000009</v>
      </c>
    </row>
    <row r="11" spans="2:7" ht="14.25" customHeight="1" x14ac:dyDescent="0.35"/>
    <row r="12" spans="2:7" ht="14.25" customHeight="1" x14ac:dyDescent="0.35">
      <c r="B12" t="s">
        <v>501</v>
      </c>
      <c r="D12" s="9">
        <f>IFERROR(D9/D6,0)</f>
        <v>-1.5912341308865745E-2</v>
      </c>
      <c r="E12" s="9">
        <f>IFERROR(E9/E6,0)</f>
        <v>9.585208609799549E-2</v>
      </c>
      <c r="F12" s="9">
        <f>IFERROR(F9/F6,0)</f>
        <v>3.0434412683179968E-2</v>
      </c>
      <c r="G12" s="9">
        <f>IFERROR(G9/G6,0)</f>
        <v>1.4510033558731339E-2</v>
      </c>
    </row>
    <row r="13" spans="2:7" ht="14.25" customHeight="1" x14ac:dyDescent="0.35">
      <c r="B13" t="s">
        <v>502</v>
      </c>
      <c r="D13" s="9">
        <f>IFERROR(MEDIAN(D12:G12),0)</f>
        <v>2.2472223120955655E-2</v>
      </c>
      <c r="E13" s="9"/>
    </row>
    <row r="14" spans="2:7" ht="14.25" customHeight="1" x14ac:dyDescent="0.35">
      <c r="B14" t="s">
        <v>503</v>
      </c>
      <c r="D14" s="9">
        <f>IFERROR(AVERAGE(D12:G12),0)</f>
        <v>3.1221047757760263E-2</v>
      </c>
      <c r="E14" s="9"/>
    </row>
    <row r="30" spans="2:7" ht="60" customHeight="1" x14ac:dyDescent="0.35">
      <c r="B30" s="317" t="s">
        <v>504</v>
      </c>
      <c r="C30" s="317"/>
      <c r="D30" s="317"/>
      <c r="E30" s="317"/>
      <c r="F30" s="317"/>
      <c r="G30" s="317"/>
    </row>
    <row r="31" spans="2:7" ht="14.25" customHeight="1" x14ac:dyDescent="0.35">
      <c r="B31" s="317"/>
      <c r="C31" s="317"/>
      <c r="D31" s="317"/>
      <c r="E31" s="317"/>
      <c r="F31" s="317"/>
      <c r="G31" s="317"/>
    </row>
    <row r="32" spans="2:7" ht="14.25" customHeight="1" x14ac:dyDescent="0.35">
      <c r="B32" s="317"/>
      <c r="C32" s="317"/>
      <c r="D32" s="317"/>
      <c r="E32" s="317"/>
      <c r="F32" s="317"/>
      <c r="G32" s="317"/>
    </row>
    <row r="33" spans="2:7" ht="14.25" customHeight="1" x14ac:dyDescent="0.35">
      <c r="B33" s="317"/>
      <c r="C33" s="317"/>
      <c r="D33" s="317"/>
      <c r="E33" s="317"/>
      <c r="F33" s="317"/>
      <c r="G33" s="317"/>
    </row>
  </sheetData>
  <mergeCells count="2">
    <mergeCell ref="B2:G2"/>
    <mergeCell ref="B30:G33"/>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B1:L65"/>
  <sheetViews>
    <sheetView showGridLines="0" topLeftCell="A2" zoomScale="65" zoomScaleNormal="71" workbookViewId="0">
      <selection activeCell="K18" sqref="K18"/>
    </sheetView>
  </sheetViews>
  <sheetFormatPr defaultColWidth="8.6328125" defaultRowHeight="14" x14ac:dyDescent="0.3"/>
  <cols>
    <col min="1" max="1" width="8.90625" style="24" customWidth="1"/>
    <col min="2" max="2" width="14.54296875" style="24" customWidth="1"/>
    <col min="3" max="3" width="34.6328125" style="24" customWidth="1"/>
    <col min="4" max="7" width="8.6328125" style="24"/>
    <col min="8" max="8" width="25.81640625" style="24" customWidth="1"/>
    <col min="9" max="10" width="8.6328125" style="24"/>
    <col min="11" max="11" width="28" style="24" customWidth="1"/>
    <col min="12" max="16384" width="8.6328125" style="24"/>
  </cols>
  <sheetData>
    <row r="1" spans="2:12" ht="14.25" customHeight="1" x14ac:dyDescent="0.3"/>
    <row r="2" spans="2:12" ht="21.75" customHeight="1" x14ac:dyDescent="0.4">
      <c r="C2" s="318" t="s">
        <v>697</v>
      </c>
      <c r="D2" s="318"/>
      <c r="E2" s="318"/>
      <c r="F2" s="318"/>
      <c r="G2" s="318"/>
      <c r="H2" s="318"/>
    </row>
    <row r="3" spans="2:12" ht="14.25" customHeight="1" x14ac:dyDescent="0.3">
      <c r="K3" s="25" t="s">
        <v>505</v>
      </c>
    </row>
    <row r="4" spans="2:12" ht="14.25" customHeight="1" x14ac:dyDescent="0.3">
      <c r="B4" s="24" t="s">
        <v>506</v>
      </c>
      <c r="G4" s="24" t="s">
        <v>507</v>
      </c>
      <c r="K4" s="26" t="s">
        <v>508</v>
      </c>
      <c r="L4" s="26"/>
    </row>
    <row r="5" spans="2:12" ht="14.25" customHeight="1" x14ac:dyDescent="0.3">
      <c r="B5" s="27" t="s">
        <v>509</v>
      </c>
      <c r="C5" s="28" t="s">
        <v>510</v>
      </c>
      <c r="D5" s="29" t="s">
        <v>511</v>
      </c>
      <c r="G5" s="30" t="s">
        <v>509</v>
      </c>
      <c r="H5" s="28" t="s">
        <v>512</v>
      </c>
      <c r="I5" s="31" t="s">
        <v>511</v>
      </c>
      <c r="K5" s="26"/>
      <c r="L5" s="26"/>
    </row>
    <row r="6" spans="2:12" ht="14.25" customHeight="1" x14ac:dyDescent="0.3">
      <c r="B6" s="32">
        <v>44227</v>
      </c>
      <c r="C6" s="24">
        <v>870.31707763671898</v>
      </c>
      <c r="G6" s="24" t="s">
        <v>513</v>
      </c>
      <c r="H6" s="24">
        <v>13634.599609375</v>
      </c>
      <c r="K6" s="33"/>
      <c r="L6" s="26">
        <f>IFERROR(SLOPE(D7:D65,I7:I65),0)</f>
        <v>1.4537586288944411</v>
      </c>
    </row>
    <row r="7" spans="2:12" ht="14.25" customHeight="1" x14ac:dyDescent="0.3">
      <c r="B7" s="32">
        <v>44255</v>
      </c>
      <c r="C7" s="24">
        <v>962.69415283203102</v>
      </c>
      <c r="D7" s="24">
        <f t="shared" ref="D7:D38" si="0">C7/C6-1</f>
        <v>0.10614186205119069</v>
      </c>
      <c r="G7" s="24" t="s">
        <v>514</v>
      </c>
      <c r="H7" s="24">
        <v>14529.150390625</v>
      </c>
      <c r="I7" s="24">
        <f t="shared" ref="I7:I38" si="1">H7/H6-1</f>
        <v>6.5608877919298481E-2</v>
      </c>
      <c r="K7" s="33"/>
      <c r="L7" s="26">
        <f>IFERROR(COVAR(D7:D65,I7:I65)/VAR(I7:I65),0)</f>
        <v>1.4291186521335177</v>
      </c>
    </row>
    <row r="8" spans="2:12" ht="14.25" customHeight="1" x14ac:dyDescent="0.3">
      <c r="B8" s="32">
        <v>44286</v>
      </c>
      <c r="C8" s="24">
        <v>964.68963623046898</v>
      </c>
      <c r="D8" s="24">
        <f t="shared" si="0"/>
        <v>2.0728113831041117E-3</v>
      </c>
      <c r="G8" s="24" t="s">
        <v>515</v>
      </c>
      <c r="H8" s="24">
        <v>14690.7001953125</v>
      </c>
      <c r="I8" s="24">
        <f t="shared" si="1"/>
        <v>1.1119012491724201E-2</v>
      </c>
      <c r="K8" s="33"/>
      <c r="L8" s="26">
        <f>IFERROR(L6,0)</f>
        <v>1.4537586288944411</v>
      </c>
    </row>
    <row r="9" spans="2:12" ht="14.25" customHeight="1" x14ac:dyDescent="0.3">
      <c r="B9" s="32">
        <v>44316</v>
      </c>
      <c r="C9" s="24">
        <v>1101.6865234375</v>
      </c>
      <c r="D9" s="24">
        <f t="shared" si="0"/>
        <v>0.14201135998759895</v>
      </c>
      <c r="G9" s="24" t="s">
        <v>516</v>
      </c>
      <c r="H9" s="24">
        <v>14631.099609375</v>
      </c>
      <c r="I9" s="24">
        <f t="shared" si="1"/>
        <v>-4.0570282658493051E-3</v>
      </c>
      <c r="K9" s="34" t="s">
        <v>517</v>
      </c>
      <c r="L9" s="35">
        <f>(2/3*L6)+(1/3*1)</f>
        <v>1.302505752596294</v>
      </c>
    </row>
    <row r="10" spans="2:12" ht="14.25" customHeight="1" x14ac:dyDescent="0.3">
      <c r="B10" s="32">
        <v>44347</v>
      </c>
      <c r="C10" s="24">
        <v>1177.97985839844</v>
      </c>
      <c r="D10" s="24">
        <f t="shared" si="0"/>
        <v>6.925140077314218E-2</v>
      </c>
      <c r="G10" s="24" t="s">
        <v>518</v>
      </c>
      <c r="H10" s="24">
        <v>15582.7998046875</v>
      </c>
      <c r="I10" s="24">
        <f t="shared" si="1"/>
        <v>6.5046388905908969E-2</v>
      </c>
      <c r="K10" s="36" t="s">
        <v>519</v>
      </c>
    </row>
    <row r="11" spans="2:12" ht="14.25" customHeight="1" x14ac:dyDescent="0.3">
      <c r="B11" s="32">
        <v>44377</v>
      </c>
      <c r="C11" s="24">
        <v>1208.18701171875</v>
      </c>
      <c r="D11" s="24">
        <f t="shared" si="0"/>
        <v>2.5643183204659525E-2</v>
      </c>
      <c r="G11" s="24" t="s">
        <v>520</v>
      </c>
      <c r="H11" s="24">
        <v>15721.5</v>
      </c>
      <c r="I11" s="24">
        <f t="shared" si="1"/>
        <v>8.9008520324298512E-3</v>
      </c>
    </row>
    <row r="12" spans="2:12" ht="14.25" customHeight="1" x14ac:dyDescent="0.3">
      <c r="B12" s="32">
        <v>44408</v>
      </c>
      <c r="C12" s="24">
        <v>1419.37145996094</v>
      </c>
      <c r="D12" s="24">
        <f t="shared" si="0"/>
        <v>0.17479450299814259</v>
      </c>
      <c r="G12" s="24" t="s">
        <v>521</v>
      </c>
      <c r="H12" s="24">
        <v>15763.0498046875</v>
      </c>
      <c r="I12" s="24">
        <f t="shared" si="1"/>
        <v>2.6428651647425472E-3</v>
      </c>
    </row>
    <row r="13" spans="2:12" ht="14.25" customHeight="1" x14ac:dyDescent="0.3">
      <c r="B13" s="32">
        <v>44439</v>
      </c>
      <c r="C13" s="24">
        <v>1711.44055175781</v>
      </c>
      <c r="D13" s="24">
        <f t="shared" si="0"/>
        <v>0.20577354134266401</v>
      </c>
      <c r="G13" s="24" t="s">
        <v>522</v>
      </c>
      <c r="H13" s="24">
        <v>17132.19921875</v>
      </c>
      <c r="I13" s="24">
        <f t="shared" si="1"/>
        <v>8.6858154419797051E-2</v>
      </c>
    </row>
    <row r="14" spans="2:12" ht="14.25" customHeight="1" x14ac:dyDescent="0.3">
      <c r="B14" s="32">
        <v>44469</v>
      </c>
      <c r="C14" s="24">
        <v>1775.11279296875</v>
      </c>
      <c r="D14" s="24">
        <f t="shared" si="0"/>
        <v>3.7203887184712681E-2</v>
      </c>
      <c r="G14" s="24" t="s">
        <v>523</v>
      </c>
      <c r="H14" s="24">
        <v>17618.150390625</v>
      </c>
      <c r="I14" s="24">
        <f t="shared" si="1"/>
        <v>2.8364786427603539E-2</v>
      </c>
    </row>
    <row r="15" spans="2:12" ht="14.25" customHeight="1" x14ac:dyDescent="0.3">
      <c r="B15" s="32">
        <v>44500</v>
      </c>
      <c r="C15" s="24">
        <v>1778.5458984375</v>
      </c>
      <c r="D15" s="24">
        <f t="shared" si="0"/>
        <v>1.9340210280431869E-3</v>
      </c>
      <c r="G15" s="24" t="s">
        <v>524</v>
      </c>
      <c r="H15" s="24">
        <v>17671.650390625</v>
      </c>
      <c r="I15" s="24">
        <f t="shared" si="1"/>
        <v>3.0366411237168212E-3</v>
      </c>
    </row>
    <row r="16" spans="2:12" ht="14.25" customHeight="1" x14ac:dyDescent="0.3">
      <c r="B16" s="32">
        <v>44530</v>
      </c>
      <c r="C16" s="24">
        <v>1720.28283691406</v>
      </c>
      <c r="D16" s="24">
        <f t="shared" si="0"/>
        <v>-3.2758818074150153E-2</v>
      </c>
      <c r="G16" s="24" t="s">
        <v>525</v>
      </c>
      <c r="H16" s="24">
        <v>16983.19921875</v>
      </c>
      <c r="I16" s="24">
        <f t="shared" si="1"/>
        <v>-3.8957944315163195E-2</v>
      </c>
    </row>
    <row r="17" spans="2:9" ht="14.25" customHeight="1" x14ac:dyDescent="0.3">
      <c r="B17" s="32">
        <v>44561</v>
      </c>
      <c r="C17" s="24">
        <v>1637.33422851563</v>
      </c>
      <c r="D17" s="24">
        <f t="shared" si="0"/>
        <v>-4.8218006143238568E-2</v>
      </c>
      <c r="G17" s="24" t="s">
        <v>526</v>
      </c>
      <c r="H17" s="24">
        <v>17354.05078125</v>
      </c>
      <c r="I17" s="24">
        <f t="shared" si="1"/>
        <v>2.1836378277336976E-2</v>
      </c>
    </row>
    <row r="18" spans="2:9" ht="14.25" customHeight="1" x14ac:dyDescent="0.3">
      <c r="B18" s="32">
        <v>44592</v>
      </c>
      <c r="C18" s="24">
        <v>1565.81262207031</v>
      </c>
      <c r="D18" s="24">
        <f t="shared" si="0"/>
        <v>-4.3681739011930287E-2</v>
      </c>
      <c r="G18" s="24" t="s">
        <v>527</v>
      </c>
      <c r="H18" s="24">
        <v>17339.849609375</v>
      </c>
      <c r="I18" s="24">
        <f t="shared" si="1"/>
        <v>-8.1832029040407317E-4</v>
      </c>
    </row>
    <row r="19" spans="2:9" ht="14.25" customHeight="1" x14ac:dyDescent="0.3">
      <c r="B19" s="32">
        <v>44620</v>
      </c>
      <c r="C19" s="24">
        <v>1598.04809570313</v>
      </c>
      <c r="D19" s="24">
        <f t="shared" si="0"/>
        <v>2.0587056955894578E-2</v>
      </c>
      <c r="G19" s="24" t="s">
        <v>528</v>
      </c>
      <c r="H19" s="24">
        <v>16793.900390625</v>
      </c>
      <c r="I19" s="24">
        <f t="shared" si="1"/>
        <v>-3.1485233785120359E-2</v>
      </c>
    </row>
    <row r="20" spans="2:9" ht="14.25" customHeight="1" x14ac:dyDescent="0.3">
      <c r="B20" s="32">
        <v>44651</v>
      </c>
      <c r="C20" s="24">
        <v>1702.62817382813</v>
      </c>
      <c r="D20" s="24">
        <f t="shared" si="0"/>
        <v>6.5442384622964367E-2</v>
      </c>
      <c r="G20" s="24" t="s">
        <v>529</v>
      </c>
      <c r="H20" s="24">
        <v>17464.75</v>
      </c>
      <c r="I20" s="24">
        <f t="shared" si="1"/>
        <v>3.9946027651175831E-2</v>
      </c>
    </row>
    <row r="21" spans="2:9" ht="14.25" customHeight="1" x14ac:dyDescent="0.3">
      <c r="B21" s="32">
        <v>44681</v>
      </c>
      <c r="C21" s="24">
        <v>1488.12866210938</v>
      </c>
      <c r="D21" s="24">
        <f t="shared" si="0"/>
        <v>-0.12598141803120566</v>
      </c>
      <c r="G21" s="24" t="s">
        <v>530</v>
      </c>
      <c r="H21" s="24">
        <v>17102.55078125</v>
      </c>
      <c r="I21" s="24">
        <f t="shared" si="1"/>
        <v>-2.0738872228345695E-2</v>
      </c>
    </row>
    <row r="22" spans="2:9" ht="14.25" customHeight="1" x14ac:dyDescent="0.3">
      <c r="B22" s="32">
        <v>44712</v>
      </c>
      <c r="C22" s="24">
        <v>1290.80969238281</v>
      </c>
      <c r="D22" s="24">
        <f t="shared" si="0"/>
        <v>-0.13259536943994876</v>
      </c>
      <c r="G22" s="24" t="s">
        <v>531</v>
      </c>
      <c r="H22" s="24">
        <v>16584.55078125</v>
      </c>
      <c r="I22" s="24">
        <f t="shared" si="1"/>
        <v>-3.0287879663418282E-2</v>
      </c>
    </row>
    <row r="23" spans="2:9" ht="14.25" customHeight="1" x14ac:dyDescent="0.3">
      <c r="B23" s="32">
        <v>44742</v>
      </c>
      <c r="C23" s="24">
        <v>1091.37854003906</v>
      </c>
      <c r="D23" s="24">
        <f t="shared" si="0"/>
        <v>-0.1545008172162109</v>
      </c>
      <c r="G23" s="24" t="s">
        <v>532</v>
      </c>
      <c r="H23" s="24">
        <v>15780.25</v>
      </c>
      <c r="I23" s="24">
        <f t="shared" si="1"/>
        <v>-4.8496989267826196E-2</v>
      </c>
    </row>
    <row r="24" spans="2:9" ht="14.25" customHeight="1" x14ac:dyDescent="0.3">
      <c r="B24" s="32">
        <v>44773</v>
      </c>
      <c r="C24" s="24">
        <v>1502.28723144531</v>
      </c>
      <c r="D24" s="24">
        <f t="shared" si="0"/>
        <v>0.37650427998295055</v>
      </c>
      <c r="G24" s="24" t="s">
        <v>533</v>
      </c>
      <c r="H24" s="24">
        <v>17158.25</v>
      </c>
      <c r="I24" s="24">
        <f t="shared" si="1"/>
        <v>8.7324345305048956E-2</v>
      </c>
    </row>
    <row r="25" spans="2:9" ht="14.25" customHeight="1" x14ac:dyDescent="0.3">
      <c r="B25" s="32">
        <v>44804</v>
      </c>
      <c r="C25" s="24">
        <v>1693.42749023438</v>
      </c>
      <c r="D25" s="24">
        <f t="shared" si="0"/>
        <v>0.12723283190337642</v>
      </c>
      <c r="G25" s="24" t="s">
        <v>534</v>
      </c>
      <c r="H25" s="24">
        <v>17759.30078125</v>
      </c>
      <c r="I25" s="24">
        <f t="shared" si="1"/>
        <v>3.5029841694228736E-2</v>
      </c>
    </row>
    <row r="26" spans="2:9" ht="14.25" customHeight="1" x14ac:dyDescent="0.3">
      <c r="B26" s="32">
        <v>44834</v>
      </c>
      <c r="C26" s="24">
        <v>1675.59204101563</v>
      </c>
      <c r="D26" s="24">
        <f t="shared" si="0"/>
        <v>-1.0532159966460397E-2</v>
      </c>
      <c r="G26" s="24" t="s">
        <v>535</v>
      </c>
      <c r="H26" s="24">
        <v>17094.349609375</v>
      </c>
      <c r="I26" s="24">
        <f t="shared" si="1"/>
        <v>-3.7442418486264173E-2</v>
      </c>
    </row>
    <row r="27" spans="2:9" ht="14.25" customHeight="1" x14ac:dyDescent="0.3">
      <c r="B27" s="32">
        <v>44865</v>
      </c>
      <c r="C27" s="24">
        <v>1684.72692871094</v>
      </c>
      <c r="D27" s="24">
        <f t="shared" si="0"/>
        <v>5.4517373392231061E-3</v>
      </c>
      <c r="G27" s="24" t="s">
        <v>536</v>
      </c>
      <c r="H27" s="24">
        <v>18012.19921875</v>
      </c>
      <c r="I27" s="24">
        <f t="shared" si="1"/>
        <v>5.3693157701163896E-2</v>
      </c>
    </row>
    <row r="28" spans="2:9" ht="14.25" customHeight="1" x14ac:dyDescent="0.3">
      <c r="B28" s="32">
        <v>44895</v>
      </c>
      <c r="C28" s="24">
        <v>1623.8271484375</v>
      </c>
      <c r="D28" s="24">
        <f t="shared" si="0"/>
        <v>-3.6148161007930946E-2</v>
      </c>
      <c r="G28" s="24" t="s">
        <v>537</v>
      </c>
      <c r="H28" s="24">
        <v>18758.349609375</v>
      </c>
      <c r="I28" s="24">
        <f t="shared" si="1"/>
        <v>4.1424724519385059E-2</v>
      </c>
    </row>
    <row r="29" spans="2:9" ht="14.25" customHeight="1" x14ac:dyDescent="0.3">
      <c r="B29" s="32">
        <v>44926</v>
      </c>
      <c r="C29" s="24">
        <v>1545.30627441406</v>
      </c>
      <c r="D29" s="24">
        <f t="shared" si="0"/>
        <v>-4.8355438630888425E-2</v>
      </c>
      <c r="G29" s="24" t="s">
        <v>538</v>
      </c>
      <c r="H29" s="24">
        <v>18105.30078125</v>
      </c>
      <c r="I29" s="24">
        <f t="shared" si="1"/>
        <v>-3.4813767827347686E-2</v>
      </c>
    </row>
    <row r="30" spans="2:9" ht="14.25" customHeight="1" x14ac:dyDescent="0.3">
      <c r="B30" s="32">
        <v>44957</v>
      </c>
      <c r="C30" s="24">
        <v>1340.24389648438</v>
      </c>
      <c r="D30" s="24">
        <f t="shared" si="0"/>
        <v>-0.13270015227721399</v>
      </c>
      <c r="G30" s="24" t="s">
        <v>539</v>
      </c>
      <c r="H30" s="24">
        <v>17662.150390625</v>
      </c>
      <c r="I30" s="24">
        <f t="shared" si="1"/>
        <v>-2.4476278852209377E-2</v>
      </c>
    </row>
    <row r="31" spans="2:9" ht="14.25" customHeight="1" x14ac:dyDescent="0.3">
      <c r="B31" s="32">
        <v>44985</v>
      </c>
      <c r="C31" s="24">
        <v>1332.70642089844</v>
      </c>
      <c r="D31" s="24">
        <f t="shared" si="0"/>
        <v>-5.6239581509840431E-3</v>
      </c>
      <c r="F31" s="24" t="s">
        <v>493</v>
      </c>
      <c r="G31" s="24" t="s">
        <v>540</v>
      </c>
      <c r="H31" s="24">
        <v>17303.94921875</v>
      </c>
      <c r="I31" s="24">
        <f t="shared" si="1"/>
        <v>-2.028072255941904E-2</v>
      </c>
    </row>
    <row r="32" spans="2:9" ht="14.25" customHeight="1" x14ac:dyDescent="0.3">
      <c r="B32" s="32">
        <v>45016</v>
      </c>
      <c r="C32" s="24">
        <v>1264.41882324219</v>
      </c>
      <c r="D32" s="24">
        <f t="shared" si="0"/>
        <v>-5.1239790388504458E-2</v>
      </c>
      <c r="G32" s="24" t="s">
        <v>541</v>
      </c>
      <c r="H32" s="24">
        <v>17359.75</v>
      </c>
      <c r="I32" s="24">
        <f t="shared" si="1"/>
        <v>3.224742545449466E-3</v>
      </c>
    </row>
    <row r="33" spans="2:9" ht="14.25" customHeight="1" x14ac:dyDescent="0.3">
      <c r="B33" s="32">
        <v>45046</v>
      </c>
      <c r="C33" s="24">
        <v>1352.42395019531</v>
      </c>
      <c r="D33" s="24">
        <f t="shared" si="0"/>
        <v>6.960124709901061E-2</v>
      </c>
      <c r="G33" s="24" t="s">
        <v>542</v>
      </c>
      <c r="H33" s="24">
        <v>18065</v>
      </c>
      <c r="I33" s="24">
        <f t="shared" si="1"/>
        <v>4.0625585045867663E-2</v>
      </c>
    </row>
    <row r="34" spans="2:9" ht="14.25" customHeight="1" x14ac:dyDescent="0.3">
      <c r="B34" s="32">
        <v>45077</v>
      </c>
      <c r="C34" s="24">
        <v>1448.66552734375</v>
      </c>
      <c r="D34" s="24">
        <f t="shared" si="0"/>
        <v>7.116228393806634E-2</v>
      </c>
      <c r="G34" s="24" t="s">
        <v>543</v>
      </c>
      <c r="H34" s="24">
        <v>18534.400390625</v>
      </c>
      <c r="I34" s="24">
        <f t="shared" si="1"/>
        <v>2.5983968481871011E-2</v>
      </c>
    </row>
    <row r="35" spans="2:9" ht="14.25" customHeight="1" x14ac:dyDescent="0.3">
      <c r="B35" s="32">
        <v>45107</v>
      </c>
      <c r="C35" s="24">
        <v>1526.29296875</v>
      </c>
      <c r="D35" s="24">
        <f t="shared" si="0"/>
        <v>5.3585482598309975E-2</v>
      </c>
      <c r="G35" s="24" t="s">
        <v>544</v>
      </c>
      <c r="H35" s="24">
        <v>19189.05078125</v>
      </c>
      <c r="I35" s="24">
        <f t="shared" si="1"/>
        <v>3.5320829205574666E-2</v>
      </c>
    </row>
    <row r="36" spans="2:9" ht="14.25" customHeight="1" x14ac:dyDescent="0.3">
      <c r="B36" s="32">
        <v>45138</v>
      </c>
      <c r="C36" s="24">
        <v>1596.51452636719</v>
      </c>
      <c r="D36" s="24">
        <f t="shared" si="0"/>
        <v>4.6007915292108015E-2</v>
      </c>
      <c r="G36" s="24" t="s">
        <v>545</v>
      </c>
      <c r="H36" s="24">
        <v>19753.80078125</v>
      </c>
      <c r="I36" s="24">
        <f t="shared" si="1"/>
        <v>2.9430846081861972E-2</v>
      </c>
    </row>
    <row r="37" spans="2:9" ht="14.25" customHeight="1" x14ac:dyDescent="0.3">
      <c r="B37" s="32">
        <v>45169</v>
      </c>
      <c r="C37" s="24">
        <v>1487.23669433594</v>
      </c>
      <c r="D37" s="24">
        <f t="shared" si="0"/>
        <v>-6.8447753043567761E-2</v>
      </c>
      <c r="G37" s="24" t="s">
        <v>546</v>
      </c>
      <c r="H37" s="24">
        <v>19253.80078125</v>
      </c>
      <c r="I37" s="24">
        <f t="shared" si="1"/>
        <v>-2.5311584617912719E-2</v>
      </c>
    </row>
    <row r="38" spans="2:9" ht="14.25" customHeight="1" x14ac:dyDescent="0.3">
      <c r="B38" s="32">
        <v>45199</v>
      </c>
      <c r="C38" s="24">
        <v>1538.529296875</v>
      </c>
      <c r="D38" s="24">
        <f t="shared" si="0"/>
        <v>3.4488526765379834E-2</v>
      </c>
      <c r="G38" s="24" t="s">
        <v>547</v>
      </c>
      <c r="H38" s="24">
        <v>19638.30078125</v>
      </c>
      <c r="I38" s="24">
        <f t="shared" si="1"/>
        <v>1.9970083017293971E-2</v>
      </c>
    </row>
    <row r="39" spans="2:9" ht="14.25" customHeight="1" x14ac:dyDescent="0.3">
      <c r="B39" s="32">
        <v>45230</v>
      </c>
      <c r="C39" s="24">
        <v>1567.79663085938</v>
      </c>
      <c r="D39" s="24">
        <f t="shared" ref="D39:D65" si="2">C39/C38-1</f>
        <v>1.9022929263567967E-2</v>
      </c>
      <c r="G39" s="24" t="s">
        <v>548</v>
      </c>
      <c r="H39" s="24">
        <v>19079.599609375</v>
      </c>
      <c r="I39" s="24">
        <f t="shared" ref="I39:I65" si="3">H39/H38-1</f>
        <v>-2.844956791824016E-2</v>
      </c>
    </row>
    <row r="40" spans="2:9" ht="14.25" customHeight="1" x14ac:dyDescent="0.3">
      <c r="B40" s="32">
        <v>45260</v>
      </c>
      <c r="C40" s="24">
        <v>1671.63049316406</v>
      </c>
      <c r="D40" s="24">
        <f t="shared" si="2"/>
        <v>6.6229165352756247E-2</v>
      </c>
      <c r="G40" s="24" t="s">
        <v>549</v>
      </c>
      <c r="H40" s="24">
        <v>20133.150390625</v>
      </c>
      <c r="I40" s="24">
        <f t="shared" si="3"/>
        <v>5.5218704942441521E-2</v>
      </c>
    </row>
    <row r="41" spans="2:9" ht="14.25" customHeight="1" x14ac:dyDescent="0.3">
      <c r="B41" s="32">
        <v>45291</v>
      </c>
      <c r="C41" s="24">
        <v>1683.91674804688</v>
      </c>
      <c r="D41" s="24">
        <f t="shared" si="2"/>
        <v>7.3498628632722163E-3</v>
      </c>
      <c r="G41" s="24" t="s">
        <v>550</v>
      </c>
      <c r="H41" s="24">
        <v>21731.400390625</v>
      </c>
      <c r="I41" s="24">
        <f t="shared" si="3"/>
        <v>7.9383999473039424E-2</v>
      </c>
    </row>
    <row r="42" spans="2:9" ht="14.25" customHeight="1" x14ac:dyDescent="0.3">
      <c r="B42" s="32">
        <v>45322</v>
      </c>
      <c r="C42" s="24">
        <v>1625.48205566406</v>
      </c>
      <c r="D42" s="24">
        <f t="shared" si="2"/>
        <v>-3.4701651640793085E-2</v>
      </c>
      <c r="G42" s="24" t="s">
        <v>551</v>
      </c>
      <c r="H42" s="24">
        <v>21725.69921875</v>
      </c>
      <c r="I42" s="24">
        <f t="shared" si="3"/>
        <v>-2.6234719219753178E-4</v>
      </c>
    </row>
    <row r="43" spans="2:9" ht="14.25" customHeight="1" x14ac:dyDescent="0.3">
      <c r="B43" s="32">
        <v>45351</v>
      </c>
      <c r="C43" s="24">
        <v>1592.01953125</v>
      </c>
      <c r="D43" s="24">
        <f t="shared" si="2"/>
        <v>-2.0586215822843701E-2</v>
      </c>
      <c r="G43" s="24" t="s">
        <v>552</v>
      </c>
      <c r="H43" s="24">
        <v>21982.80078125</v>
      </c>
      <c r="I43" s="24">
        <f t="shared" si="3"/>
        <v>1.1833983335188147E-2</v>
      </c>
    </row>
    <row r="44" spans="2:9" ht="14.25" customHeight="1" x14ac:dyDescent="0.3">
      <c r="B44" s="32">
        <v>45382</v>
      </c>
      <c r="C44" s="24">
        <v>1642.01354980469</v>
      </c>
      <c r="D44" s="24">
        <f t="shared" si="2"/>
        <v>3.1402892724209375E-2</v>
      </c>
      <c r="G44" s="24" t="s">
        <v>553</v>
      </c>
      <c r="H44" s="24">
        <v>22326.900390625</v>
      </c>
      <c r="I44" s="24">
        <f t="shared" si="3"/>
        <v>1.5653128679967709E-2</v>
      </c>
    </row>
    <row r="45" spans="2:9" ht="14.25" customHeight="1" x14ac:dyDescent="0.3">
      <c r="B45" s="32">
        <v>45412</v>
      </c>
      <c r="C45" s="24">
        <v>1613.19580078125</v>
      </c>
      <c r="D45" s="24">
        <f t="shared" si="2"/>
        <v>-1.7550250439082982E-2</v>
      </c>
      <c r="G45" s="24" t="s">
        <v>554</v>
      </c>
      <c r="H45" s="24">
        <v>22604.849609375</v>
      </c>
      <c r="I45" s="24">
        <f t="shared" si="3"/>
        <v>1.2449073265302424E-2</v>
      </c>
    </row>
    <row r="46" spans="2:9" ht="14.25" customHeight="1" x14ac:dyDescent="0.3">
      <c r="B46" s="32">
        <v>45443</v>
      </c>
      <c r="C46" s="24">
        <v>1526.89233398438</v>
      </c>
      <c r="D46" s="24">
        <f t="shared" si="2"/>
        <v>-5.349844498421974E-2</v>
      </c>
      <c r="G46" s="24" t="s">
        <v>555</v>
      </c>
      <c r="H46" s="24">
        <v>22530.69921875</v>
      </c>
      <c r="I46" s="24">
        <f t="shared" si="3"/>
        <v>-3.2802868369559146E-3</v>
      </c>
    </row>
    <row r="47" spans="2:9" ht="14.25" customHeight="1" x14ac:dyDescent="0.3">
      <c r="B47" s="32">
        <v>45473</v>
      </c>
      <c r="C47" s="24">
        <v>1587.37658691406</v>
      </c>
      <c r="D47" s="24">
        <f t="shared" si="2"/>
        <v>3.9612650861798659E-2</v>
      </c>
      <c r="G47" s="24" t="s">
        <v>556</v>
      </c>
      <c r="H47" s="24">
        <v>24010.599609375</v>
      </c>
      <c r="I47" s="24">
        <f t="shared" si="3"/>
        <v>6.568373117304005E-2</v>
      </c>
    </row>
    <row r="48" spans="2:9" ht="14.25" customHeight="1" x14ac:dyDescent="0.3">
      <c r="B48" s="32">
        <v>45504</v>
      </c>
      <c r="C48" s="24">
        <v>1650.845703125</v>
      </c>
      <c r="D48" s="24">
        <f t="shared" si="2"/>
        <v>3.9983653995002699E-2</v>
      </c>
      <c r="G48" s="24" t="s">
        <v>557</v>
      </c>
      <c r="H48" s="24">
        <v>24951.150390625</v>
      </c>
      <c r="I48" s="24">
        <f t="shared" si="3"/>
        <v>3.9172315417011161E-2</v>
      </c>
    </row>
    <row r="49" spans="2:9" ht="14.25" customHeight="1" x14ac:dyDescent="0.3">
      <c r="B49" s="32">
        <v>45535</v>
      </c>
      <c r="C49" s="24">
        <v>1782.18176269531</v>
      </c>
      <c r="D49" s="24">
        <f t="shared" si="2"/>
        <v>7.9556835215850219E-2</v>
      </c>
      <c r="G49" s="24" t="s">
        <v>558</v>
      </c>
      <c r="H49" s="24">
        <v>25235.900390625</v>
      </c>
      <c r="I49" s="24">
        <f t="shared" si="3"/>
        <v>1.1412299454817587E-2</v>
      </c>
    </row>
    <row r="50" spans="2:9" ht="14.25" customHeight="1" x14ac:dyDescent="0.3">
      <c r="B50" s="32">
        <v>45565</v>
      </c>
      <c r="C50" s="24">
        <v>1972.43908691406</v>
      </c>
      <c r="D50" s="24">
        <f t="shared" si="2"/>
        <v>0.10675528624589403</v>
      </c>
      <c r="G50" s="24" t="s">
        <v>559</v>
      </c>
      <c r="H50" s="24">
        <v>25810.849609375</v>
      </c>
      <c r="I50" s="24">
        <f t="shared" si="3"/>
        <v>2.2782988118133174E-2</v>
      </c>
    </row>
    <row r="51" spans="2:9" ht="14.25" customHeight="1" x14ac:dyDescent="0.3">
      <c r="B51" s="32">
        <v>45596</v>
      </c>
      <c r="C51" s="24">
        <v>1749.8974609375</v>
      </c>
      <c r="D51" s="24">
        <f t="shared" si="2"/>
        <v>-0.11282560128370456</v>
      </c>
      <c r="G51" s="24" t="s">
        <v>560</v>
      </c>
      <c r="H51" s="24">
        <v>24205.349609375</v>
      </c>
      <c r="I51" s="24">
        <f t="shared" si="3"/>
        <v>-6.2202524298806905E-2</v>
      </c>
    </row>
    <row r="52" spans="2:9" ht="14.25" customHeight="1" x14ac:dyDescent="0.3">
      <c r="B52" s="32">
        <v>45626</v>
      </c>
      <c r="C52" s="24">
        <v>1579.18054199219</v>
      </c>
      <c r="D52" s="24">
        <f t="shared" si="2"/>
        <v>-9.7558241414813618E-2</v>
      </c>
      <c r="G52" s="24" t="s">
        <v>561</v>
      </c>
      <c r="H52" s="24">
        <v>24131.099609375</v>
      </c>
      <c r="I52" s="24">
        <f t="shared" si="3"/>
        <v>-3.067503721212228E-3</v>
      </c>
    </row>
    <row r="53" spans="2:9" ht="14.25" customHeight="1" x14ac:dyDescent="0.3">
      <c r="B53" s="32">
        <v>45657</v>
      </c>
      <c r="C53" s="24">
        <v>1567.33630371094</v>
      </c>
      <c r="D53" s="24">
        <f t="shared" si="2"/>
        <v>-7.5002433010655789E-3</v>
      </c>
      <c r="G53" s="24" t="s">
        <v>562</v>
      </c>
      <c r="H53" s="24">
        <v>23644.80078125</v>
      </c>
      <c r="I53" s="24">
        <f t="shared" si="3"/>
        <v>-2.0152369183212504E-2</v>
      </c>
    </row>
    <row r="54" spans="2:9" ht="14.25" customHeight="1" x14ac:dyDescent="0.3">
      <c r="B54" s="32">
        <v>45688</v>
      </c>
      <c r="C54" s="24">
        <v>1735.25451660156</v>
      </c>
      <c r="D54" s="24">
        <f t="shared" si="2"/>
        <v>0.10713604508046193</v>
      </c>
      <c r="G54" s="24" t="s">
        <v>563</v>
      </c>
      <c r="H54" s="24">
        <v>23508.400390625</v>
      </c>
      <c r="I54" s="24">
        <f t="shared" si="3"/>
        <v>-5.7687265748994632E-3</v>
      </c>
    </row>
    <row r="55" spans="2:9" ht="14.25" customHeight="1" x14ac:dyDescent="0.3">
      <c r="B55" s="32">
        <v>45716</v>
      </c>
      <c r="C55" s="24">
        <v>1871.38830566406</v>
      </c>
      <c r="D55" s="24">
        <f t="shared" si="2"/>
        <v>7.8451770480974625E-2</v>
      </c>
      <c r="G55" s="24" t="s">
        <v>564</v>
      </c>
      <c r="H55" s="24">
        <v>22124.69921875</v>
      </c>
      <c r="I55" s="24">
        <f t="shared" si="3"/>
        <v>-5.8859860683111886E-2</v>
      </c>
    </row>
    <row r="56" spans="2:9" ht="14.25" customHeight="1" x14ac:dyDescent="0.3">
      <c r="B56" s="32">
        <v>45747</v>
      </c>
      <c r="C56" s="24">
        <v>2006.37243652344</v>
      </c>
      <c r="D56" s="24">
        <f t="shared" si="2"/>
        <v>7.2130476850169822E-2</v>
      </c>
      <c r="G56" s="24" t="s">
        <v>565</v>
      </c>
      <c r="H56" s="24">
        <v>23519.349609375</v>
      </c>
      <c r="I56" s="24">
        <f t="shared" si="3"/>
        <v>6.3035902853905368E-2</v>
      </c>
    </row>
    <row r="57" spans="2:9" ht="14.25" customHeight="1" x14ac:dyDescent="0.3">
      <c r="B57" s="32">
        <v>45777</v>
      </c>
      <c r="C57" s="24">
        <v>1950.64965820313</v>
      </c>
      <c r="D57" s="24">
        <f t="shared" si="2"/>
        <v>-2.7772898643316779E-2</v>
      </c>
      <c r="G57" s="24" t="s">
        <v>566</v>
      </c>
      <c r="H57" s="24">
        <v>24334.19921875</v>
      </c>
      <c r="I57" s="24">
        <f t="shared" si="3"/>
        <v>3.464592443705139E-2</v>
      </c>
    </row>
    <row r="58" spans="2:9" ht="14.25" customHeight="1" x14ac:dyDescent="0.3">
      <c r="B58" s="32">
        <v>45808</v>
      </c>
      <c r="C58" s="24">
        <v>2016.41760253906</v>
      </c>
      <c r="D58" s="24">
        <f t="shared" si="2"/>
        <v>3.3715918211839835E-2</v>
      </c>
      <c r="G58" s="24" t="s">
        <v>567</v>
      </c>
      <c r="H58" s="24">
        <v>24750.69921875</v>
      </c>
      <c r="I58" s="24">
        <f t="shared" si="3"/>
        <v>1.7115829300808905E-2</v>
      </c>
    </row>
    <row r="59" spans="2:9" ht="14.25" customHeight="1" x14ac:dyDescent="0.3">
      <c r="B59" s="32">
        <v>45838</v>
      </c>
      <c r="C59" s="24">
        <v>2056</v>
      </c>
      <c r="D59" s="24">
        <f t="shared" si="2"/>
        <v>1.9630059473344286E-2</v>
      </c>
      <c r="G59" s="24" t="s">
        <v>568</v>
      </c>
      <c r="H59" s="24">
        <v>25517.05078125</v>
      </c>
      <c r="I59" s="24">
        <f t="shared" si="3"/>
        <v>3.0962824756055607E-2</v>
      </c>
    </row>
    <row r="60" spans="2:9" ht="14.25" customHeight="1" x14ac:dyDescent="0.3">
      <c r="B60" s="32">
        <v>45869</v>
      </c>
      <c r="C60" s="24">
        <v>1948</v>
      </c>
      <c r="D60" s="24">
        <f t="shared" si="2"/>
        <v>-5.2529182879377467E-2</v>
      </c>
      <c r="G60" s="24" t="s">
        <v>569</v>
      </c>
      <c r="H60" s="24">
        <v>24768.349609375</v>
      </c>
      <c r="I60" s="24">
        <f t="shared" si="3"/>
        <v>-2.9341211031532977E-2</v>
      </c>
    </row>
    <row r="61" spans="2:9" ht="14.25" customHeight="1" x14ac:dyDescent="0.3">
      <c r="B61" s="32">
        <v>45900</v>
      </c>
      <c r="C61" s="24">
        <v>1913.5</v>
      </c>
      <c r="D61" s="24">
        <f t="shared" si="2"/>
        <v>-1.7710472279260814E-2</v>
      </c>
      <c r="G61" s="24" t="s">
        <v>570</v>
      </c>
      <c r="H61" s="24">
        <v>24426.849609375</v>
      </c>
      <c r="I61" s="24">
        <f t="shared" si="3"/>
        <v>-1.3787757577143567E-2</v>
      </c>
    </row>
    <row r="62" spans="2:9" ht="14.25" customHeight="1" x14ac:dyDescent="0.3">
      <c r="B62" s="32">
        <v>45930</v>
      </c>
      <c r="C62" s="24">
        <v>2006.40002441406</v>
      </c>
      <c r="D62" s="24">
        <f t="shared" si="2"/>
        <v>4.8549790652761882E-2</v>
      </c>
      <c r="G62" s="24" t="s">
        <v>571</v>
      </c>
      <c r="H62" s="24">
        <v>24611.099609375</v>
      </c>
      <c r="I62" s="24">
        <f t="shared" si="3"/>
        <v>7.5429293153417287E-3</v>
      </c>
    </row>
    <row r="63" spans="2:9" ht="14.25" customHeight="1" x14ac:dyDescent="0.3">
      <c r="B63" s="32">
        <v>45961</v>
      </c>
      <c r="C63" s="24">
        <v>2088.30004882813</v>
      </c>
      <c r="D63" s="24">
        <f t="shared" si="2"/>
        <v>4.0819389661833627E-2</v>
      </c>
      <c r="G63" s="24" t="s">
        <v>572</v>
      </c>
      <c r="H63" s="24">
        <v>25722.099609375</v>
      </c>
      <c r="I63" s="24">
        <f t="shared" si="3"/>
        <v>4.5142233286349809E-2</v>
      </c>
    </row>
    <row r="64" spans="2:9" ht="14.25" customHeight="1" x14ac:dyDescent="0.3">
      <c r="B64" s="32">
        <v>45991</v>
      </c>
      <c r="C64" s="24">
        <v>2094</v>
      </c>
      <c r="D64" s="24">
        <f t="shared" si="2"/>
        <v>2.7294694433726008E-3</v>
      </c>
      <c r="G64" s="24" t="s">
        <v>573</v>
      </c>
      <c r="H64" s="24">
        <v>26202.94921875</v>
      </c>
      <c r="I64" s="24">
        <f t="shared" si="3"/>
        <v>1.8694026408316411E-2</v>
      </c>
    </row>
    <row r="65" spans="2:9" ht="14.25" customHeight="1" x14ac:dyDescent="0.3">
      <c r="B65" s="32">
        <v>46022</v>
      </c>
      <c r="C65" s="24">
        <v>2026.40002441406</v>
      </c>
      <c r="D65" s="24">
        <f t="shared" si="2"/>
        <v>-3.2282700852884427E-2</v>
      </c>
      <c r="G65" s="24" t="s">
        <v>574</v>
      </c>
      <c r="H65" s="24">
        <v>25938.849609375</v>
      </c>
      <c r="I65" s="24">
        <f t="shared" si="3"/>
        <v>-1.007900321334898E-2</v>
      </c>
    </row>
  </sheetData>
  <mergeCells count="1">
    <mergeCell ref="C2:H2"/>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B1:Q50"/>
  <sheetViews>
    <sheetView showGridLines="0" zoomScale="80" zoomScaleNormal="80" workbookViewId="0">
      <selection activeCell="E2" sqref="E2"/>
    </sheetView>
  </sheetViews>
  <sheetFormatPr defaultColWidth="8.6328125" defaultRowHeight="14.5" x14ac:dyDescent="0.35"/>
  <cols>
    <col min="1" max="1" width="3.81640625" customWidth="1"/>
    <col min="2" max="2" width="25.90625" customWidth="1"/>
    <col min="3" max="3" width="14.90625" customWidth="1"/>
  </cols>
  <sheetData>
    <row r="1" spans="2:17" ht="14.25" customHeight="1" x14ac:dyDescent="0.35">
      <c r="Q1" t="s">
        <v>575</v>
      </c>
    </row>
    <row r="2" spans="2:17" ht="20" customHeight="1" x14ac:dyDescent="0.35">
      <c r="B2" s="319" t="s">
        <v>698</v>
      </c>
      <c r="C2" s="319"/>
    </row>
    <row r="4" spans="2:17" ht="14.25" customHeight="1" x14ac:dyDescent="0.35">
      <c r="B4" s="6" t="s">
        <v>576</v>
      </c>
    </row>
    <row r="5" spans="2:17" ht="14.25" customHeight="1" x14ac:dyDescent="0.35">
      <c r="B5" t="s">
        <v>577</v>
      </c>
    </row>
    <row r="7" spans="2:17" ht="14.25" customHeight="1" x14ac:dyDescent="0.35">
      <c r="B7" s="8" t="s">
        <v>578</v>
      </c>
      <c r="C7" s="37"/>
    </row>
    <row r="8" spans="2:17" ht="14.25" customHeight="1" x14ac:dyDescent="0.35">
      <c r="B8" t="s">
        <v>579</v>
      </c>
      <c r="C8" s="18">
        <v>6.6900000000000001E-2</v>
      </c>
      <c r="E8" s="18"/>
    </row>
    <row r="9" spans="2:17" ht="14.25" customHeight="1" x14ac:dyDescent="0.35">
      <c r="B9" t="s">
        <v>580</v>
      </c>
      <c r="C9" s="18">
        <v>1.4500000000000001E-2</v>
      </c>
      <c r="E9" s="18"/>
    </row>
    <row r="10" spans="2:17" ht="14.25" customHeight="1" x14ac:dyDescent="0.35">
      <c r="B10" t="s">
        <v>581</v>
      </c>
      <c r="C10" s="38">
        <f>IFERROR('Beta Calculation'!L9, 1.3)</f>
        <v>1.302505752596294</v>
      </c>
      <c r="D10" s="39" t="s">
        <v>582</v>
      </c>
      <c r="E10" s="40"/>
    </row>
    <row r="11" spans="2:17" ht="14.25" customHeight="1" x14ac:dyDescent="0.35">
      <c r="B11" t="s">
        <v>583</v>
      </c>
      <c r="C11" s="9">
        <v>0.12</v>
      </c>
    </row>
    <row r="12" spans="2:17" ht="14.25" customHeight="1" x14ac:dyDescent="0.35">
      <c r="B12" t="s">
        <v>584</v>
      </c>
      <c r="C12" s="41">
        <v>8.3000000000000004E-2</v>
      </c>
      <c r="D12" s="39" t="s">
        <v>585</v>
      </c>
      <c r="E12" s="18"/>
    </row>
    <row r="13" spans="2:17" ht="14.25" customHeight="1" x14ac:dyDescent="0.35">
      <c r="B13" s="11" t="s">
        <v>586</v>
      </c>
      <c r="C13" s="42">
        <f>(C8+C9)+(C10*C12)</f>
        <v>0.18950797746549242</v>
      </c>
      <c r="E13" s="43">
        <f>(C8+C9)+C10*C12</f>
        <v>0.18950797746549242</v>
      </c>
    </row>
    <row r="14" spans="2:17" ht="14.25" customHeight="1" x14ac:dyDescent="0.35">
      <c r="B14" s="18"/>
    </row>
    <row r="15" spans="2:17" ht="14.25" customHeight="1" x14ac:dyDescent="0.35">
      <c r="B15" s="18"/>
    </row>
    <row r="16" spans="2:17" ht="14.25" customHeight="1" x14ac:dyDescent="0.35">
      <c r="B16" s="8" t="s">
        <v>587</v>
      </c>
      <c r="C16" s="37"/>
    </row>
    <row r="17" spans="2:5" ht="14.25" customHeight="1" x14ac:dyDescent="0.35">
      <c r="B17" t="s">
        <v>579</v>
      </c>
      <c r="C17" s="18">
        <f>C8</f>
        <v>6.6900000000000001E-2</v>
      </c>
      <c r="E17" s="18"/>
    </row>
    <row r="18" spans="2:5" ht="14.25" customHeight="1" x14ac:dyDescent="0.35">
      <c r="B18" t="s">
        <v>588</v>
      </c>
    </row>
    <row r="19" spans="2:5" ht="14.25" customHeight="1" x14ac:dyDescent="0.35">
      <c r="B19" t="s">
        <v>589</v>
      </c>
      <c r="C19" s="18">
        <v>5.0000000000000001E-3</v>
      </c>
      <c r="E19" s="18"/>
    </row>
    <row r="20" spans="2:5" ht="14.25" customHeight="1" x14ac:dyDescent="0.35">
      <c r="B20" t="s">
        <v>590</v>
      </c>
      <c r="C20" s="18">
        <f>C17+C19</f>
        <v>7.1900000000000006E-2</v>
      </c>
    </row>
    <row r="21" spans="2:5" ht="14.25" customHeight="1" x14ac:dyDescent="0.35">
      <c r="B21" s="18"/>
    </row>
    <row r="22" spans="2:5" ht="14.25" customHeight="1" x14ac:dyDescent="0.35">
      <c r="B22" t="s">
        <v>591</v>
      </c>
      <c r="C22" s="9">
        <f>Assumptions!C15</f>
        <v>0.26500000000000001</v>
      </c>
    </row>
    <row r="23" spans="2:5" ht="14.25" customHeight="1" x14ac:dyDescent="0.35">
      <c r="B23" s="11" t="s">
        <v>592</v>
      </c>
      <c r="C23" s="44">
        <f>IFERROR(C20*(1-C22),0)</f>
        <v>5.2846500000000005E-2</v>
      </c>
    </row>
    <row r="24" spans="2:5" ht="14.25" customHeight="1" x14ac:dyDescent="0.35">
      <c r="B24" s="9"/>
    </row>
    <row r="25" spans="2:5" ht="14.25" customHeight="1" x14ac:dyDescent="0.35">
      <c r="B25" s="18"/>
    </row>
    <row r="26" spans="2:5" ht="14.25" customHeight="1" x14ac:dyDescent="0.35">
      <c r="B26" s="8" t="s">
        <v>593</v>
      </c>
      <c r="C26" s="37"/>
    </row>
    <row r="27" spans="2:5" ht="14.25" customHeight="1" x14ac:dyDescent="0.35">
      <c r="B27" t="s">
        <v>594</v>
      </c>
      <c r="C27" s="45">
        <f>IFERROR('Historical FS'!H54,0)</f>
        <v>491298.28</v>
      </c>
    </row>
    <row r="28" spans="2:5" ht="14.25" customHeight="1" x14ac:dyDescent="0.35">
      <c r="B28" t="s">
        <v>595</v>
      </c>
      <c r="C28" s="46">
        <v>1760</v>
      </c>
      <c r="D28" s="47"/>
    </row>
    <row r="29" spans="2:5" ht="14.25" customHeight="1" x14ac:dyDescent="0.35">
      <c r="B29" t="s">
        <v>596</v>
      </c>
      <c r="C29" s="48">
        <f>IFERROR('Historical FS'!G52,263.322)</f>
        <v>159.87</v>
      </c>
    </row>
    <row r="30" spans="2:5" ht="14.25" customHeight="1" x14ac:dyDescent="0.35">
      <c r="B30" t="s">
        <v>597</v>
      </c>
      <c r="C30" s="49">
        <f>IFERROR(WACC!C28*WACC!C29,0)</f>
        <v>281371.2</v>
      </c>
    </row>
    <row r="33" spans="2:5" ht="14.25" customHeight="1" x14ac:dyDescent="0.35">
      <c r="B33" t="s">
        <v>598</v>
      </c>
      <c r="C33" s="9">
        <f>C27/C30</f>
        <v>1.7460858822793519</v>
      </c>
    </row>
    <row r="34" spans="2:5" ht="14.25" customHeight="1" x14ac:dyDescent="0.35">
      <c r="B34" t="s">
        <v>599</v>
      </c>
      <c r="C34" s="9">
        <f>IFERROR(C27/(C27+C30),0)</f>
        <v>0.63584532936385685</v>
      </c>
    </row>
    <row r="35" spans="2:5" ht="14.25" customHeight="1" x14ac:dyDescent="0.35">
      <c r="B35" s="18" t="s">
        <v>600</v>
      </c>
      <c r="C35" s="40">
        <f>IFERROR(C30/(C27+C30),0)</f>
        <v>0.36415467063614315</v>
      </c>
    </row>
    <row r="37" spans="2:5" ht="14.25" customHeight="1" x14ac:dyDescent="0.35">
      <c r="B37" s="11" t="s">
        <v>601</v>
      </c>
      <c r="C37" s="12">
        <f>IFERROR((C13*C35)+(C23*C34),0)</f>
        <v>0.1026124153150951</v>
      </c>
      <c r="E37" s="50">
        <f>(E13*C35)+(C23*C34)</f>
        <v>0.1026124153150951</v>
      </c>
    </row>
    <row r="50" spans="6:6" ht="14.25" customHeight="1" x14ac:dyDescent="0.35">
      <c r="F50" s="51"/>
    </row>
  </sheetData>
  <mergeCells count="1">
    <mergeCell ref="B2:C2"/>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2060"/>
  </sheetPr>
  <dimension ref="B1:J88"/>
  <sheetViews>
    <sheetView showGridLines="0" zoomScale="71" zoomScaleNormal="71" workbookViewId="0">
      <selection activeCell="F24" sqref="F24"/>
    </sheetView>
  </sheetViews>
  <sheetFormatPr defaultColWidth="8.6328125" defaultRowHeight="14.5" x14ac:dyDescent="0.35"/>
  <cols>
    <col min="1" max="1" width="3" customWidth="1"/>
    <col min="2" max="2" width="43.81640625" customWidth="1"/>
    <col min="3" max="3" width="18" style="52" customWidth="1"/>
    <col min="4" max="4" width="16" customWidth="1"/>
    <col min="5" max="5" width="10" customWidth="1"/>
    <col min="6" max="6" width="18.453125" customWidth="1"/>
    <col min="7" max="10" width="16" customWidth="1"/>
  </cols>
  <sheetData>
    <row r="1" spans="2:4" ht="21.75" customHeight="1" x14ac:dyDescent="0.35">
      <c r="B1" s="270" t="s">
        <v>602</v>
      </c>
      <c r="C1" s="270"/>
    </row>
    <row r="3" spans="2:4" s="264" customFormat="1" ht="24.5" customHeight="1" x14ac:dyDescent="0.35">
      <c r="B3" s="271" t="s">
        <v>603</v>
      </c>
      <c r="C3" s="271"/>
    </row>
    <row r="4" spans="2:4" ht="15" customHeight="1" x14ac:dyDescent="0.35">
      <c r="B4" s="53" t="s">
        <v>604</v>
      </c>
      <c r="C4" s="54" t="s">
        <v>605</v>
      </c>
      <c r="D4" s="55"/>
    </row>
    <row r="5" spans="2:4" ht="15" customHeight="1" x14ac:dyDescent="0.35">
      <c r="B5" s="56" t="s">
        <v>606</v>
      </c>
      <c r="C5" s="57">
        <f>WACC!C13</f>
        <v>0.18950797746549242</v>
      </c>
      <c r="D5" s="25"/>
    </row>
    <row r="6" spans="2:4" ht="15" customHeight="1" x14ac:dyDescent="0.35">
      <c r="B6" s="56" t="s">
        <v>607</v>
      </c>
      <c r="C6" s="58">
        <f>WACC!C8</f>
        <v>6.6900000000000001E-2</v>
      </c>
      <c r="D6" s="25"/>
    </row>
    <row r="7" spans="2:4" ht="15" customHeight="1" x14ac:dyDescent="0.35">
      <c r="B7" s="56" t="s">
        <v>608</v>
      </c>
      <c r="C7" s="59">
        <f>'Beta Calculation'!L6</f>
        <v>1.4537586288944411</v>
      </c>
      <c r="D7" s="25"/>
    </row>
    <row r="8" spans="2:4" ht="15" customHeight="1" x14ac:dyDescent="0.35">
      <c r="B8" s="56" t="s">
        <v>609</v>
      </c>
      <c r="C8" s="58">
        <f>WACC!C12</f>
        <v>8.3000000000000004E-2</v>
      </c>
      <c r="D8" s="25"/>
    </row>
    <row r="9" spans="2:4" ht="15" customHeight="1" x14ac:dyDescent="0.35">
      <c r="B9" s="56" t="s">
        <v>610</v>
      </c>
      <c r="C9" s="60">
        <f>'Historical FS'!G41</f>
        <v>79.935000000000002</v>
      </c>
      <c r="D9" s="25"/>
    </row>
    <row r="10" spans="2:4" ht="15" customHeight="1" x14ac:dyDescent="0.35">
      <c r="B10" s="56" t="s">
        <v>611</v>
      </c>
      <c r="C10" s="60">
        <f>IFERROR(('Historical FS'!G52+'Historical FS'!G53)/'Historical FS'!G41,0)</f>
        <v>974.72358791518104</v>
      </c>
      <c r="D10" s="25"/>
    </row>
    <row r="11" spans="2:4" ht="15" customHeight="1" x14ac:dyDescent="0.35">
      <c r="B11" s="56" t="s">
        <v>612</v>
      </c>
      <c r="C11" s="60">
        <f>IFERROR('Historical FS'!G43,0)</f>
        <v>250.94276599737304</v>
      </c>
      <c r="D11" s="25"/>
    </row>
    <row r="12" spans="2:4" ht="15" customHeight="1" x14ac:dyDescent="0.35">
      <c r="B12" s="56" t="s">
        <v>613</v>
      </c>
      <c r="C12" s="58">
        <f>IFERROR(AVERAGE('Ratio Analysis'!D23:G23),0)</f>
        <v>0.27627600311210798</v>
      </c>
      <c r="D12" s="25"/>
    </row>
    <row r="13" spans="2:4" ht="15" customHeight="1" x14ac:dyDescent="0.35">
      <c r="B13" s="56" t="s">
        <v>614</v>
      </c>
      <c r="C13" s="58">
        <f>IFERROR('Ratio Analysis'!G23,0)</f>
        <v>0.26690348416311283</v>
      </c>
      <c r="D13" s="25"/>
    </row>
    <row r="14" spans="2:4" ht="15" customHeight="1" x14ac:dyDescent="0.35">
      <c r="B14" s="56" t="s">
        <v>615</v>
      </c>
      <c r="C14" s="61">
        <f>IFERROR(1-AVERAGE('Historical FS'!D47:G47),0)</f>
        <v>0.99437729392315377</v>
      </c>
      <c r="D14" s="25"/>
    </row>
    <row r="15" spans="2:4" ht="15" customHeight="1" x14ac:dyDescent="0.35">
      <c r="B15" s="56" t="s">
        <v>616</v>
      </c>
      <c r="C15" s="58">
        <v>0.2</v>
      </c>
      <c r="D15" s="25"/>
    </row>
    <row r="16" spans="2:4" ht="15" customHeight="1" x14ac:dyDescent="0.35">
      <c r="B16" s="56" t="s">
        <v>617</v>
      </c>
      <c r="C16" s="58">
        <v>6.5000000000000002E-2</v>
      </c>
      <c r="D16" s="25"/>
    </row>
    <row r="17" spans="2:10" ht="15" customHeight="1" x14ac:dyDescent="0.35">
      <c r="B17" s="62" t="s">
        <v>618</v>
      </c>
      <c r="C17" s="63">
        <f>WACC!C28</f>
        <v>1760</v>
      </c>
      <c r="D17" s="25"/>
    </row>
    <row r="18" spans="2:10" ht="14.25" customHeight="1" x14ac:dyDescent="0.35">
      <c r="B18" s="272"/>
      <c r="C18" s="272"/>
      <c r="D18" s="272"/>
      <c r="E18" s="272"/>
      <c r="F18" s="272"/>
      <c r="G18" s="272"/>
      <c r="H18" s="272"/>
      <c r="I18" s="272"/>
      <c r="J18" s="272"/>
    </row>
    <row r="19" spans="2:10" ht="15.75" customHeight="1" x14ac:dyDescent="0.35">
      <c r="B19" s="273" t="s">
        <v>619</v>
      </c>
      <c r="C19" s="273"/>
    </row>
    <row r="20" spans="2:10" ht="15" customHeight="1" x14ac:dyDescent="0.35">
      <c r="B20" s="64" t="s">
        <v>620</v>
      </c>
      <c r="C20" s="65">
        <f>IFERROR(AVERAGE('Ratio Analysis'!D23:G23),0)</f>
        <v>0.27627600311210798</v>
      </c>
    </row>
    <row r="21" spans="2:10" ht="15" customHeight="1" x14ac:dyDescent="0.35">
      <c r="B21" s="66" t="s">
        <v>606</v>
      </c>
      <c r="C21" s="67">
        <f>WACC!C13</f>
        <v>0.18950797746549242</v>
      </c>
    </row>
    <row r="22" spans="2:10" ht="15" customHeight="1" x14ac:dyDescent="0.35">
      <c r="B22" s="66" t="s">
        <v>617</v>
      </c>
      <c r="C22" s="67">
        <f>C16</f>
        <v>6.5000000000000002E-2</v>
      </c>
    </row>
    <row r="23" spans="2:10" ht="15" customHeight="1" x14ac:dyDescent="0.35">
      <c r="B23" s="68" t="s">
        <v>621</v>
      </c>
      <c r="C23" s="69">
        <f>(C20-$C$16)/(C21-$C$16)</f>
        <v>1.6968872791356961</v>
      </c>
    </row>
    <row r="24" spans="2:10" ht="15" customHeight="1" x14ac:dyDescent="0.35">
      <c r="B24" s="66" t="s">
        <v>391</v>
      </c>
      <c r="C24" s="70">
        <f>C10</f>
        <v>974.72358791518104</v>
      </c>
    </row>
    <row r="25" spans="2:10" ht="15" customHeight="1" x14ac:dyDescent="0.35">
      <c r="B25" s="71" t="s">
        <v>622</v>
      </c>
      <c r="C25" s="72">
        <f>IFERROR(C23*C24,0)</f>
        <v>1653.9960570067751</v>
      </c>
    </row>
    <row r="26" spans="2:10" ht="15" customHeight="1" x14ac:dyDescent="0.35">
      <c r="B26" s="66" t="s">
        <v>623</v>
      </c>
      <c r="C26" s="70">
        <f>C17</f>
        <v>1760</v>
      </c>
    </row>
    <row r="27" spans="2:10" ht="15" customHeight="1" x14ac:dyDescent="0.35">
      <c r="B27" s="73" t="s">
        <v>624</v>
      </c>
      <c r="C27" s="74">
        <f>IFERROR((C25-C26)/C26,0)</f>
        <v>-6.0229513064332323E-2</v>
      </c>
    </row>
    <row r="30" spans="2:10" ht="24.5" customHeight="1" x14ac:dyDescent="0.35">
      <c r="B30" s="274" t="s">
        <v>625</v>
      </c>
      <c r="C30" s="274"/>
      <c r="D30" s="274"/>
      <c r="E30" s="274"/>
      <c r="F30" s="274"/>
      <c r="G30" s="274"/>
      <c r="H30" s="274"/>
      <c r="I30" s="274"/>
    </row>
    <row r="31" spans="2:10" ht="12.75" customHeight="1" x14ac:dyDescent="0.35">
      <c r="B31" s="266"/>
      <c r="C31" s="266"/>
      <c r="D31" s="266"/>
      <c r="E31" s="266"/>
      <c r="F31" s="266"/>
      <c r="G31" s="266"/>
      <c r="H31" s="266"/>
      <c r="I31" s="266"/>
      <c r="J31" s="266"/>
    </row>
    <row r="32" spans="2:10" ht="13.5" customHeight="1" x14ac:dyDescent="0.35">
      <c r="B32" s="75" t="s">
        <v>604</v>
      </c>
      <c r="C32" s="76"/>
      <c r="D32" s="77" t="s">
        <v>626</v>
      </c>
      <c r="E32" s="77" t="s">
        <v>627</v>
      </c>
      <c r="F32" s="77" t="s">
        <v>628</v>
      </c>
      <c r="G32" s="77" t="s">
        <v>629</v>
      </c>
      <c r="H32" s="77" t="s">
        <v>630</v>
      </c>
      <c r="I32" s="78" t="s">
        <v>631</v>
      </c>
    </row>
    <row r="33" spans="2:9" ht="15" customHeight="1" x14ac:dyDescent="0.35">
      <c r="B33" s="56" t="s">
        <v>632</v>
      </c>
      <c r="D33" s="79">
        <f>$C$15</f>
        <v>0.2</v>
      </c>
      <c r="E33" s="80">
        <f>($C$15-$C$16)*4/5+$C$16</f>
        <v>0.17300000000000001</v>
      </c>
      <c r="F33" s="80">
        <f>($C$15-$C$16)*3/5+$C$16</f>
        <v>0.14600000000000002</v>
      </c>
      <c r="G33" s="80">
        <f>($C$15-$C$16)*2/5+$C$16</f>
        <v>0.11900000000000001</v>
      </c>
      <c r="H33" s="80">
        <f>($C$15-$C$16)*1/5+$C$16</f>
        <v>9.1999999999999998E-2</v>
      </c>
      <c r="I33" s="81">
        <f>$C$16</f>
        <v>6.5000000000000002E-2</v>
      </c>
    </row>
    <row r="34" spans="2:9" ht="15" customHeight="1" x14ac:dyDescent="0.35">
      <c r="B34" s="56" t="s">
        <v>633</v>
      </c>
      <c r="D34" s="82">
        <f>IFERROR('Historical FS'!G43*(1+D33),0)</f>
        <v>301.13131919684764</v>
      </c>
      <c r="E34" s="82">
        <f>D34*(1+E33)</f>
        <v>353.2270374179023</v>
      </c>
      <c r="F34" s="82">
        <f>E34*(1+F33)</f>
        <v>404.79818488091598</v>
      </c>
      <c r="G34" s="82">
        <f>F34*(1+G33)</f>
        <v>452.96916888174496</v>
      </c>
      <c r="H34" s="82">
        <f>G34*(1+H33)</f>
        <v>494.64233241886552</v>
      </c>
      <c r="I34" s="83">
        <f>H34*(1+I33)</f>
        <v>526.79408402609181</v>
      </c>
    </row>
    <row r="35" spans="2:9" ht="15" customHeight="1" x14ac:dyDescent="0.35">
      <c r="B35" s="56" t="s">
        <v>634</v>
      </c>
      <c r="D35" s="82">
        <f>C10</f>
        <v>974.72358791518104</v>
      </c>
      <c r="E35" s="82">
        <f>D35+D34*$C$14</f>
        <v>1274.1617342136519</v>
      </c>
      <c r="F35" s="82">
        <f>E35+E34*$C$14</f>
        <v>1625.4026798217583</v>
      </c>
      <c r="G35" s="82">
        <f>F35+F34*$C$14</f>
        <v>2027.924803488648</v>
      </c>
      <c r="H35" s="82">
        <f>G35+G34*$C$14</f>
        <v>2478.3470598718977</v>
      </c>
      <c r="I35" s="84"/>
    </row>
    <row r="36" spans="2:9" ht="15" customHeight="1" x14ac:dyDescent="0.35">
      <c r="B36" s="56" t="s">
        <v>635</v>
      </c>
      <c r="D36" s="82">
        <f>WACC!$C$13*D35</f>
        <v>184.71789573371404</v>
      </c>
      <c r="E36" s="82">
        <f>WACC!$C$13*E35</f>
        <v>241.46381321475349</v>
      </c>
      <c r="F36" s="82">
        <f>WACC!$C$13*F35</f>
        <v>308.02677442001277</v>
      </c>
      <c r="G36" s="82">
        <f>WACC!$C$13*G35</f>
        <v>384.30792796123984</v>
      </c>
      <c r="H36" s="82">
        <f>WACC!$C$13*H35</f>
        <v>469.66653877387296</v>
      </c>
      <c r="I36" s="83">
        <f>WACC!$C$13*H35</f>
        <v>469.66653877387296</v>
      </c>
    </row>
    <row r="37" spans="2:9" ht="15" customHeight="1" x14ac:dyDescent="0.35">
      <c r="B37" s="56" t="s">
        <v>636</v>
      </c>
      <c r="D37" s="82">
        <f t="shared" ref="D37:I37" si="0">D34-D36</f>
        <v>116.4134234631336</v>
      </c>
      <c r="E37" s="82">
        <f t="shared" si="0"/>
        <v>111.76322420314881</v>
      </c>
      <c r="F37" s="82">
        <f t="shared" si="0"/>
        <v>96.771410460903212</v>
      </c>
      <c r="G37" s="82">
        <f t="shared" si="0"/>
        <v>68.661240920505122</v>
      </c>
      <c r="H37" s="82">
        <f t="shared" si="0"/>
        <v>24.975793644992564</v>
      </c>
      <c r="I37" s="83">
        <f t="shared" si="0"/>
        <v>57.127545252218852</v>
      </c>
    </row>
    <row r="38" spans="2:9" ht="15" customHeight="1" x14ac:dyDescent="0.35">
      <c r="B38" s="56" t="s">
        <v>637</v>
      </c>
      <c r="D38" s="85">
        <f>1/(1+WACC!$C$13)^1</f>
        <v>0.84068372717492768</v>
      </c>
      <c r="E38" s="85">
        <f>1/(1+WACC!$C$13)^2</f>
        <v>0.70674912913672816</v>
      </c>
      <c r="F38" s="85">
        <f>1/(1+WACC!$C$13)^3</f>
        <v>0.59415249206029885</v>
      </c>
      <c r="G38" s="85">
        <f>1/(1+WACC!$C$13)^4</f>
        <v>0.49949433153552364</v>
      </c>
      <c r="H38" s="85">
        <f>1/(1+WACC!$C$13)^5</f>
        <v>0.41991675633803299</v>
      </c>
      <c r="I38" s="84"/>
    </row>
    <row r="39" spans="2:9" ht="15" customHeight="1" x14ac:dyDescent="0.35">
      <c r="B39" s="56" t="s">
        <v>638</v>
      </c>
      <c r="D39" s="82">
        <f>D37*D38</f>
        <v>97.866870730180324</v>
      </c>
      <c r="E39" s="82">
        <f>E37*E38</f>
        <v>78.988561375088324</v>
      </c>
      <c r="F39" s="82">
        <f>F37*F38</f>
        <v>57.496974685535719</v>
      </c>
      <c r="G39" s="82">
        <f>G37*G38</f>
        <v>34.295900635987245</v>
      </c>
      <c r="H39" s="82">
        <f>H37*H38</f>
        <v>10.487754254373336</v>
      </c>
      <c r="I39" s="84"/>
    </row>
    <row r="40" spans="2:9" ht="15" customHeight="1" x14ac:dyDescent="0.35">
      <c r="B40" s="86" t="s">
        <v>639</v>
      </c>
      <c r="C40" s="87"/>
      <c r="D40" s="88"/>
      <c r="E40" s="88"/>
      <c r="F40" s="88"/>
      <c r="G40" s="88"/>
      <c r="H40" s="88"/>
      <c r="I40" s="89">
        <f>IFERROR((I37/(WACC!C13-C16))*H38,0)</f>
        <v>192.66888747361168</v>
      </c>
    </row>
    <row r="42" spans="2:9" ht="15" customHeight="1" x14ac:dyDescent="0.35">
      <c r="B42" s="90" t="s">
        <v>640</v>
      </c>
      <c r="C42" s="76"/>
      <c r="D42" s="91"/>
      <c r="E42" s="91"/>
      <c r="F42" s="92">
        <f>SUM(D39:H39)</f>
        <v>279.13606168116496</v>
      </c>
    </row>
    <row r="43" spans="2:9" ht="15" customHeight="1" x14ac:dyDescent="0.35">
      <c r="B43" s="93" t="s">
        <v>641</v>
      </c>
      <c r="F43" s="94">
        <f>I40</f>
        <v>192.66888747361168</v>
      </c>
    </row>
    <row r="44" spans="2:9" ht="15" customHeight="1" x14ac:dyDescent="0.35">
      <c r="B44" s="93" t="s">
        <v>642</v>
      </c>
      <c r="F44" s="95">
        <f>C10</f>
        <v>974.72358791518104</v>
      </c>
    </row>
    <row r="45" spans="2:9" ht="15" customHeight="1" x14ac:dyDescent="0.35">
      <c r="B45" s="96" t="s">
        <v>643</v>
      </c>
      <c r="C45" s="97"/>
      <c r="D45" s="14"/>
      <c r="E45" s="14"/>
      <c r="F45" s="98">
        <f>F42+F43+F44</f>
        <v>1446.5285370699576</v>
      </c>
    </row>
    <row r="46" spans="2:9" ht="15" customHeight="1" x14ac:dyDescent="0.35">
      <c r="B46" s="93" t="s">
        <v>644</v>
      </c>
      <c r="F46" s="95">
        <f>C17</f>
        <v>1760</v>
      </c>
    </row>
    <row r="47" spans="2:9" ht="15" customHeight="1" x14ac:dyDescent="0.35">
      <c r="B47" s="99" t="s">
        <v>624</v>
      </c>
      <c r="C47" s="100"/>
      <c r="D47" s="7"/>
      <c r="E47" s="7"/>
      <c r="F47" s="101">
        <f>IFERROR((F45-F46)/F46,0)</f>
        <v>-0.17810878575570593</v>
      </c>
    </row>
    <row r="48" spans="2:9" ht="15" customHeight="1" x14ac:dyDescent="0.35">
      <c r="B48" s="93"/>
      <c r="F48" s="102"/>
    </row>
    <row r="49" spans="2:9" ht="15" customHeight="1" x14ac:dyDescent="0.35">
      <c r="B49" s="93"/>
      <c r="F49" s="102"/>
    </row>
    <row r="50" spans="2:9" ht="25" customHeight="1" x14ac:dyDescent="0.35">
      <c r="B50" s="268" t="s">
        <v>645</v>
      </c>
      <c r="C50" s="269"/>
      <c r="D50" s="269"/>
      <c r="E50" s="265"/>
      <c r="F50" s="265"/>
    </row>
    <row r="51" spans="2:9" ht="15.75" customHeight="1" x14ac:dyDescent="0.35">
      <c r="B51" s="103" t="s">
        <v>604</v>
      </c>
      <c r="C51" s="104"/>
      <c r="D51" s="105" t="s">
        <v>605</v>
      </c>
    </row>
    <row r="52" spans="2:9" ht="13.5" customHeight="1" x14ac:dyDescent="0.35">
      <c r="B52" s="56" t="s">
        <v>633</v>
      </c>
      <c r="C52" s="106"/>
      <c r="D52" s="107">
        <f>C11</f>
        <v>250.94276599737304</v>
      </c>
    </row>
    <row r="53" spans="2:9" ht="15" customHeight="1" x14ac:dyDescent="0.35">
      <c r="B53" s="56" t="s">
        <v>620</v>
      </c>
      <c r="C53" s="108"/>
      <c r="D53" s="109">
        <f>C12</f>
        <v>0.27627600311210798</v>
      </c>
    </row>
    <row r="54" spans="2:9" ht="15" customHeight="1" x14ac:dyDescent="0.35">
      <c r="B54" s="56" t="s">
        <v>617</v>
      </c>
      <c r="C54" s="108"/>
      <c r="D54" s="109">
        <f>C16</f>
        <v>6.5000000000000002E-2</v>
      </c>
    </row>
    <row r="55" spans="2:9" ht="15" customHeight="1" x14ac:dyDescent="0.35">
      <c r="B55" s="56" t="s">
        <v>646</v>
      </c>
      <c r="C55" s="108"/>
      <c r="D55" s="109">
        <f>IFERROR(D54/D53,0)</f>
        <v>0.23527197175219064</v>
      </c>
    </row>
    <row r="56" spans="2:9" ht="13.5" customHeight="1" x14ac:dyDescent="0.35">
      <c r="B56" s="56" t="s">
        <v>647</v>
      </c>
      <c r="C56" s="110"/>
      <c r="D56" s="109">
        <f>1-D55</f>
        <v>0.76472802824780939</v>
      </c>
    </row>
    <row r="57" spans="2:9" ht="14.25" customHeight="1" x14ac:dyDescent="0.35">
      <c r="B57" s="56" t="s">
        <v>648</v>
      </c>
      <c r="D57" s="107">
        <f>D52*(1+D54)*D56</f>
        <v>204.37665947609699</v>
      </c>
    </row>
    <row r="58" spans="2:9" ht="18" customHeight="1" x14ac:dyDescent="0.35">
      <c r="B58" s="56" t="s">
        <v>606</v>
      </c>
      <c r="D58" s="109">
        <f>C5</f>
        <v>0.18950797746549242</v>
      </c>
    </row>
    <row r="59" spans="2:9" ht="15" customHeight="1" x14ac:dyDescent="0.35">
      <c r="B59" s="111" t="s">
        <v>649</v>
      </c>
      <c r="C59" s="14"/>
      <c r="D59" s="112">
        <f>IFERROR(D57/(D58-D54),0)</f>
        <v>1641.474415024855</v>
      </c>
    </row>
    <row r="60" spans="2:9" ht="15" customHeight="1" x14ac:dyDescent="0.35">
      <c r="B60" s="56" t="s">
        <v>644</v>
      </c>
      <c r="D60" s="107">
        <f>C17</f>
        <v>1760</v>
      </c>
    </row>
    <row r="61" spans="2:9" ht="15" customHeight="1" x14ac:dyDescent="0.35">
      <c r="B61" s="113" t="s">
        <v>624</v>
      </c>
      <c r="C61" s="114"/>
      <c r="D61" s="115">
        <f>IFERROR((D59-D60)/D60,0)</f>
        <v>-6.7344082372241459E-2</v>
      </c>
    </row>
    <row r="63" spans="2:9" ht="15" customHeight="1" x14ac:dyDescent="0.35">
      <c r="B63" s="93"/>
      <c r="D63" s="95"/>
      <c r="E63" s="95"/>
      <c r="F63" s="95"/>
      <c r="G63" s="95"/>
      <c r="H63" s="95"/>
      <c r="I63" s="95"/>
    </row>
    <row r="64" spans="2:9" ht="22" customHeight="1" x14ac:dyDescent="0.35">
      <c r="B64" s="267" t="s">
        <v>650</v>
      </c>
      <c r="C64" s="267"/>
      <c r="D64" s="267"/>
      <c r="E64" s="267"/>
      <c r="F64" s="267"/>
    </row>
    <row r="65" spans="2:9" ht="15" customHeight="1" x14ac:dyDescent="0.35">
      <c r="B65" s="93"/>
      <c r="C65" s="116"/>
      <c r="D65" s="117"/>
      <c r="E65" s="117"/>
      <c r="F65" s="117"/>
      <c r="G65" s="117"/>
      <c r="H65" s="117"/>
      <c r="I65" s="117"/>
    </row>
    <row r="66" spans="2:9" ht="15" customHeight="1" x14ac:dyDescent="0.35">
      <c r="B66" s="118" t="s">
        <v>651</v>
      </c>
      <c r="C66" s="76"/>
      <c r="D66" s="119" t="s">
        <v>652</v>
      </c>
      <c r="E66" s="119" t="s">
        <v>653</v>
      </c>
      <c r="F66" s="119" t="s">
        <v>654</v>
      </c>
      <c r="G66" s="120"/>
      <c r="H66" s="120"/>
      <c r="I66" s="120"/>
    </row>
    <row r="67" spans="2:9" ht="15" customHeight="1" x14ac:dyDescent="0.35">
      <c r="B67" s="93" t="s">
        <v>655</v>
      </c>
      <c r="D67" s="82">
        <f>C25</f>
        <v>1653.9960570067751</v>
      </c>
      <c r="E67" s="121">
        <v>0.4</v>
      </c>
      <c r="F67" s="82">
        <f>D67*E67</f>
        <v>661.59842280271005</v>
      </c>
      <c r="G67" s="120"/>
      <c r="H67" s="120"/>
      <c r="I67" s="120"/>
    </row>
    <row r="68" spans="2:9" ht="15" customHeight="1" x14ac:dyDescent="0.35">
      <c r="B68" s="93" t="s">
        <v>656</v>
      </c>
      <c r="D68" s="82">
        <f>F45</f>
        <v>1446.5285370699576</v>
      </c>
      <c r="E68" s="121">
        <v>0.35</v>
      </c>
      <c r="F68" s="82">
        <f>D68*E68</f>
        <v>506.28498797448509</v>
      </c>
      <c r="G68" s="120"/>
      <c r="H68" s="120"/>
      <c r="I68" s="120"/>
    </row>
    <row r="69" spans="2:9" ht="15" customHeight="1" x14ac:dyDescent="0.35">
      <c r="B69" s="93" t="s">
        <v>657</v>
      </c>
      <c r="D69" s="82">
        <f>D59</f>
        <v>1641.474415024855</v>
      </c>
      <c r="E69" s="121">
        <v>0.25</v>
      </c>
      <c r="F69" s="82">
        <f>D69*E69</f>
        <v>410.36860375621376</v>
      </c>
      <c r="G69" s="122"/>
      <c r="H69" s="122"/>
      <c r="I69" s="122"/>
    </row>
    <row r="70" spans="2:9" ht="15" customHeight="1" x14ac:dyDescent="0.35">
      <c r="B70" s="99" t="s">
        <v>658</v>
      </c>
      <c r="C70" s="100"/>
      <c r="D70" s="123"/>
      <c r="E70" s="124">
        <f>SUM(E67:E69)</f>
        <v>1</v>
      </c>
      <c r="F70" s="123"/>
      <c r="G70" s="122"/>
      <c r="H70" s="122"/>
      <c r="I70" s="122"/>
    </row>
    <row r="71" spans="2:9" ht="15" customHeight="1" x14ac:dyDescent="0.35">
      <c r="B71" s="93"/>
      <c r="E71" s="120"/>
      <c r="F71" s="120"/>
      <c r="G71" s="120"/>
    </row>
    <row r="72" spans="2:9" ht="15" customHeight="1" x14ac:dyDescent="0.35">
      <c r="B72" s="125" t="s">
        <v>659</v>
      </c>
      <c r="C72" s="76"/>
      <c r="D72" s="91"/>
      <c r="E72" s="91"/>
      <c r="F72" s="126">
        <f>SUM(F67:F69)</f>
        <v>1578.252014533409</v>
      </c>
    </row>
    <row r="73" spans="2:9" ht="14.25" customHeight="1" x14ac:dyDescent="0.35">
      <c r="B73" s="93" t="s">
        <v>660</v>
      </c>
      <c r="F73" s="95">
        <f>C17</f>
        <v>1760</v>
      </c>
    </row>
    <row r="74" spans="2:9" ht="14.25" customHeight="1" x14ac:dyDescent="0.35">
      <c r="B74" s="93" t="s">
        <v>661</v>
      </c>
      <c r="F74" s="127">
        <f>IFERROR((F72-F73)/F73,0)</f>
        <v>-0.10326590083329033</v>
      </c>
    </row>
    <row r="75" spans="2:9" ht="15" customHeight="1" x14ac:dyDescent="0.35">
      <c r="B75" s="99" t="s">
        <v>662</v>
      </c>
      <c r="C75" s="100"/>
      <c r="D75" s="7"/>
      <c r="E75" s="7"/>
      <c r="F75" s="128" t="s">
        <v>663</v>
      </c>
    </row>
    <row r="77" spans="2:9" ht="15" customHeight="1" x14ac:dyDescent="0.35">
      <c r="B77" s="129" t="s">
        <v>664</v>
      </c>
      <c r="C77" s="130"/>
      <c r="D77" s="130"/>
      <c r="E77" s="130"/>
      <c r="F77" s="130"/>
      <c r="G77" s="130"/>
      <c r="H77" s="130"/>
      <c r="I77" s="130"/>
    </row>
    <row r="78" spans="2:9" ht="14.25" customHeight="1" x14ac:dyDescent="0.35">
      <c r="B78" s="55" t="s">
        <v>236</v>
      </c>
      <c r="D78" s="131" t="s">
        <v>237</v>
      </c>
      <c r="E78" s="131" t="s">
        <v>238</v>
      </c>
      <c r="F78" s="131" t="s">
        <v>239</v>
      </c>
      <c r="G78" s="131" t="s">
        <v>240</v>
      </c>
      <c r="H78" s="131" t="s">
        <v>241</v>
      </c>
      <c r="I78" s="131" t="s">
        <v>665</v>
      </c>
    </row>
    <row r="79" spans="2:9" ht="14.25" customHeight="1" x14ac:dyDescent="0.35">
      <c r="B79" s="93" t="s">
        <v>611</v>
      </c>
      <c r="D79" s="95">
        <f>'Historical FS'!C70</f>
        <v>1011.6073897197438</v>
      </c>
      <c r="E79" s="95">
        <f>'Historical FS'!D70</f>
        <v>582.78714052492785</v>
      </c>
      <c r="F79" s="95">
        <f>'Historical FS'!E70</f>
        <v>756.89881437801898</v>
      </c>
      <c r="G79" s="95">
        <f>'Historical FS'!F70</f>
        <v>907.20939849624074</v>
      </c>
      <c r="H79" s="95">
        <f>'Historical FS'!G70</f>
        <v>974.72358791518104</v>
      </c>
      <c r="I79" s="95">
        <f t="shared" ref="I79:I87" si="1">AVERAGE(D79:H79)</f>
        <v>846.6452662068225</v>
      </c>
    </row>
    <row r="80" spans="2:9" ht="14.25" customHeight="1" x14ac:dyDescent="0.35">
      <c r="B80" s="93" t="s">
        <v>666</v>
      </c>
      <c r="D80" s="95">
        <f>'Historical FS'!C43</f>
        <v>209.79741108457955</v>
      </c>
      <c r="E80" s="95">
        <f>'Historical FS'!D43</f>
        <v>153.32311942735146</v>
      </c>
      <c r="F80" s="95">
        <f>'Historical FS'!E43</f>
        <v>195.57568533969015</v>
      </c>
      <c r="G80" s="95">
        <f>'Historical FS'!F43</f>
        <v>219.80852130325826</v>
      </c>
      <c r="H80" s="95">
        <f>'Historical FS'!G43</f>
        <v>250.94276599737304</v>
      </c>
      <c r="I80" s="95">
        <f t="shared" si="1"/>
        <v>205.8895006304505</v>
      </c>
    </row>
    <row r="81" spans="2:9" ht="14.25" customHeight="1" x14ac:dyDescent="0.35">
      <c r="B81" s="93" t="s">
        <v>667</v>
      </c>
      <c r="D81" s="120">
        <f>'Ratio Analysis'!D23</f>
        <v>0.28178965251977561</v>
      </c>
      <c r="E81" s="120">
        <f>'Ratio Analysis'!E23</f>
        <v>0.29209199973467237</v>
      </c>
      <c r="F81" s="120">
        <f>'Ratio Analysis'!F23</f>
        <v>0.26431887603087106</v>
      </c>
      <c r="G81" s="120">
        <f>'Ratio Analysis'!G23</f>
        <v>0.26690348416311283</v>
      </c>
      <c r="H81" s="120">
        <f>'Ratio Analysis'!H23</f>
        <v>0.25745018291196797</v>
      </c>
      <c r="I81" s="120">
        <f t="shared" si="1"/>
        <v>0.27251083907207996</v>
      </c>
    </row>
    <row r="82" spans="2:9" ht="14.25" customHeight="1" x14ac:dyDescent="0.35">
      <c r="B82" s="93" t="s">
        <v>668</v>
      </c>
      <c r="D82" s="120">
        <f>IFERROR(1-'Historical FS'!C47,0)</f>
        <v>0.99428043595202464</v>
      </c>
      <c r="E82" s="120">
        <f>IFERROR(1-'Historical FS'!D47,0)</f>
        <v>0.99478668405257709</v>
      </c>
      <c r="F82" s="120">
        <f>IFERROR(1-'Historical FS'!E47,0)</f>
        <v>0.99182531068053348</v>
      </c>
      <c r="G82" s="120">
        <f>IFERROR(1-'Historical FS'!F47,0)</f>
        <v>0.99089718095950452</v>
      </c>
      <c r="H82" s="120">
        <f>IFERROR(1-'Historical FS'!G47,0)</f>
        <v>1</v>
      </c>
      <c r="I82" s="120">
        <f t="shared" si="1"/>
        <v>0.99435792232892806</v>
      </c>
    </row>
    <row r="83" spans="2:9" ht="14.25" customHeight="1" x14ac:dyDescent="0.35">
      <c r="B83" s="93" t="s">
        <v>669</v>
      </c>
      <c r="D83" s="120">
        <f>D81*D82</f>
        <v>0.28017793855413203</v>
      </c>
      <c r="E83" s="120">
        <f>E81*E82</f>
        <v>0.29056923185434097</v>
      </c>
      <c r="F83" s="120">
        <f>F81*F82</f>
        <v>0.2621581513380481</v>
      </c>
      <c r="G83" s="120">
        <f>G81*G82</f>
        <v>0.26447391004549825</v>
      </c>
      <c r="H83" s="120">
        <f>H81*H82</f>
        <v>0.25745018291196797</v>
      </c>
      <c r="I83" s="120">
        <f t="shared" si="1"/>
        <v>0.27096588294079749</v>
      </c>
    </row>
    <row r="84" spans="2:9" ht="14.25" customHeight="1" x14ac:dyDescent="0.35">
      <c r="B84" s="93" t="s">
        <v>670</v>
      </c>
      <c r="D84" s="120">
        <f>'Historical FS'!C13</f>
        <v>0.86121564056039401</v>
      </c>
      <c r="E84" s="120">
        <f>'Historical FS'!D13</f>
        <v>0.85133275034935785</v>
      </c>
      <c r="F84" s="120">
        <f>'Historical FS'!E13</f>
        <v>0.83331210421894686</v>
      </c>
      <c r="G84" s="120">
        <f>'Historical FS'!F13</f>
        <v>0.81834318571548559</v>
      </c>
      <c r="H84" s="120">
        <f>'Historical FS'!G13</f>
        <v>0.81245128059864058</v>
      </c>
      <c r="I84" s="120">
        <f t="shared" si="1"/>
        <v>0.835330992288565</v>
      </c>
    </row>
    <row r="85" spans="2:9" ht="14.25" customHeight="1" x14ac:dyDescent="0.35">
      <c r="B85" s="93" t="s">
        <v>671</v>
      </c>
      <c r="D85" s="120">
        <f>'Historical FS'!C39</f>
        <v>0.12195959086473816</v>
      </c>
      <c r="E85" s="120">
        <f>'Historical FS'!D39</f>
        <v>0.14876106969964542</v>
      </c>
      <c r="F85" s="120">
        <f>'Historical FS'!E39</f>
        <v>0.14122065897828473</v>
      </c>
      <c r="G85" s="120">
        <f>'Historical FS'!F39</f>
        <v>0.1310748925513959</v>
      </c>
      <c r="H85" s="120">
        <f>'Historical FS'!G39</f>
        <v>0.13325622376028023</v>
      </c>
      <c r="I85" s="120">
        <f t="shared" si="1"/>
        <v>0.13525448717086891</v>
      </c>
    </row>
    <row r="86" spans="2:9" ht="14.25" customHeight="1" x14ac:dyDescent="0.35">
      <c r="B86" s="93" t="s">
        <v>672</v>
      </c>
      <c r="D86" s="122">
        <f t="shared" ref="D86:H87" si="2">IFERROR($C$17/D79,0)</f>
        <v>1.7398054006778176</v>
      </c>
      <c r="E86" s="122">
        <f t="shared" si="2"/>
        <v>3.0199705477624872</v>
      </c>
      <c r="F86" s="122">
        <f t="shared" si="2"/>
        <v>2.325277786894512</v>
      </c>
      <c r="G86" s="122">
        <f t="shared" si="2"/>
        <v>1.9400151750161714</v>
      </c>
      <c r="H86" s="122">
        <f t="shared" si="2"/>
        <v>1.8056401033286089</v>
      </c>
      <c r="I86" s="122">
        <f t="shared" si="1"/>
        <v>2.1661418027359192</v>
      </c>
    </row>
    <row r="87" spans="2:9" ht="14.25" customHeight="1" x14ac:dyDescent="0.35">
      <c r="B87" s="93" t="s">
        <v>673</v>
      </c>
      <c r="D87" s="122">
        <f t="shared" si="2"/>
        <v>8.3890453695372731</v>
      </c>
      <c r="E87" s="122">
        <f t="shared" si="2"/>
        <v>11.479025515352461</v>
      </c>
      <c r="F87" s="122">
        <f t="shared" si="2"/>
        <v>8.9990736677880143</v>
      </c>
      <c r="G87" s="122">
        <f t="shared" si="2"/>
        <v>8.0069689271591997</v>
      </c>
      <c r="H87" s="122">
        <f t="shared" si="2"/>
        <v>7.0135514486933817</v>
      </c>
      <c r="I87" s="122">
        <f t="shared" si="1"/>
        <v>8.7775329857060669</v>
      </c>
    </row>
    <row r="88" spans="2:9" ht="14.25" customHeight="1" x14ac:dyDescent="0.35">
      <c r="B88" s="99" t="s">
        <v>674</v>
      </c>
      <c r="C88" s="100"/>
      <c r="D88" s="7"/>
      <c r="E88" s="132">
        <f>IFERROR('Historical FS'!D65/'Historical FS'!C65-1,0)</f>
        <v>0.26528849097804708</v>
      </c>
      <c r="F88" s="132">
        <f>IFERROR('Historical FS'!E65/'Historical FS'!D65-1,0)</f>
        <v>0.34600510311923505</v>
      </c>
      <c r="G88" s="132">
        <f>IFERROR('Historical FS'!F65/'Historical FS'!E65-1,0)</f>
        <v>0.2501930268196797</v>
      </c>
      <c r="H88" s="7">
        <f>IFERROR('Historical FS'!G65/'Historical FS'!F65-1,0)</f>
        <v>0.22405695972028927</v>
      </c>
      <c r="I88" s="133">
        <f>IFERROR(AVERAGE(E88:H88),0)</f>
        <v>0.27138589515931277</v>
      </c>
    </row>
  </sheetData>
  <mergeCells count="8">
    <mergeCell ref="B31:J31"/>
    <mergeCell ref="B64:F64"/>
    <mergeCell ref="B50:D50"/>
    <mergeCell ref="B1:C1"/>
    <mergeCell ref="B3:C3"/>
    <mergeCell ref="B18:J18"/>
    <mergeCell ref="B19:C19"/>
    <mergeCell ref="B30:I30"/>
  </mergeCells>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About</vt:lpstr>
      <vt:lpstr>Promoter</vt:lpstr>
      <vt:lpstr>Public</vt:lpstr>
      <vt:lpstr>Stock Analysis</vt:lpstr>
      <vt:lpstr>Data Sheet</vt:lpstr>
      <vt:lpstr>Historical FS</vt:lpstr>
      <vt:lpstr>Assumptions</vt:lpstr>
      <vt:lpstr>Ratio Analysis</vt:lpstr>
      <vt:lpstr>Fixed Assets Schedule</vt:lpstr>
      <vt:lpstr>Changes In Working Capital</vt:lpstr>
      <vt:lpstr>FCFF</vt:lpstr>
      <vt:lpstr>Beta Calculation</vt:lpstr>
      <vt:lpstr>WACC</vt:lpstr>
      <vt:lpstr>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Utkarsh Singh</dc:creator>
  <dc:description/>
  <cp:lastModifiedBy>Naina Sinsinwar</cp:lastModifiedBy>
  <cp:revision>0</cp:revision>
  <dcterms:created xsi:type="dcterms:W3CDTF">2026-05-27T04:17:34Z</dcterms:created>
  <dcterms:modified xsi:type="dcterms:W3CDTF">2026-06-29T10:38:50Z</dcterms:modified>
  <dc:language>en-US</dc:language>
</cp:coreProperties>
</file>