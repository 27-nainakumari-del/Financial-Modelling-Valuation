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aina\Downloads\CSA Advisor\"/>
    </mc:Choice>
  </mc:AlternateContent>
  <xr:revisionPtr revIDLastSave="0" documentId="13_ncr:1_{11B7F9B0-CA84-4691-B3CA-89C860216862}" xr6:coauthVersionLast="47" xr6:coauthVersionMax="47" xr10:uidLastSave="{00000000-0000-0000-0000-000000000000}"/>
  <bookViews>
    <workbookView xWindow="-110" yWindow="-110" windowWidth="19420" windowHeight="11500" tabRatio="500" firstSheet="16" activeTab="18" xr2:uid="{00000000-000D-0000-FFFF-FFFF00000000}"/>
  </bookViews>
  <sheets>
    <sheet name="Company Overview" sheetId="1" r:id="rId1"/>
    <sheet name="Promoters" sheetId="21" r:id="rId2"/>
    <sheet name="Public" sheetId="20" r:id="rId3"/>
    <sheet name="Balance Sheet " sheetId="2" r:id="rId4"/>
    <sheet name="P &amp; L " sheetId="3" r:id="rId5"/>
    <sheet name="Cash Flow" sheetId="4" r:id="rId6"/>
    <sheet name="Stock Analysis" sheetId="18" r:id="rId7"/>
    <sheet name="Ratio Analysis" sheetId="5" r:id="rId8"/>
    <sheet name="Historical FS" sheetId="6" r:id="rId9"/>
    <sheet name="Beta Calculation" sheetId="7" r:id="rId10"/>
    <sheet name="WACC" sheetId="8" r:id="rId11"/>
    <sheet name="Assumptions" sheetId="9" r:id="rId12"/>
    <sheet name="Fixed Assets Schedule" sheetId="10" r:id="rId13"/>
    <sheet name="Working Capital Changes" sheetId="11" r:id="rId14"/>
    <sheet name="FCFF" sheetId="12" r:id="rId15"/>
    <sheet name="Forecasting" sheetId="13" r:id="rId16"/>
    <sheet name="Growth Scenarios" sheetId="14" r:id="rId17"/>
    <sheet name="DDM Valuation" sheetId="15" r:id="rId18"/>
    <sheet name="DCF Valuation" sheetId="16"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8" i="16" l="1"/>
  <c r="D27" i="16"/>
  <c r="I26" i="16"/>
  <c r="I25" i="16"/>
  <c r="O5" i="16"/>
  <c r="P17" i="14"/>
  <c r="P12" i="14"/>
  <c r="F11" i="12"/>
  <c r="E7" i="11"/>
  <c r="G6" i="11"/>
  <c r="F6" i="11"/>
  <c r="E6" i="11"/>
  <c r="D6" i="11"/>
  <c r="C6" i="11"/>
  <c r="G5" i="11"/>
  <c r="F5" i="11"/>
  <c r="F7" i="11" s="1"/>
  <c r="F9" i="11" s="1"/>
  <c r="F10" i="11" s="1"/>
  <c r="E5" i="11"/>
  <c r="D5" i="11"/>
  <c r="C5" i="11"/>
  <c r="C7" i="11" s="1"/>
  <c r="G4" i="11"/>
  <c r="F4" i="11"/>
  <c r="E4" i="11"/>
  <c r="D4" i="11"/>
  <c r="C4" i="11"/>
  <c r="F11" i="10"/>
  <c r="F10" i="10"/>
  <c r="E10" i="10"/>
  <c r="G8" i="10"/>
  <c r="F8" i="10"/>
  <c r="E8" i="10"/>
  <c r="D8" i="10"/>
  <c r="C8" i="10"/>
  <c r="G7" i="10"/>
  <c r="E7" i="10"/>
  <c r="E5" i="10" s="1"/>
  <c r="D7" i="10"/>
  <c r="F4" i="10"/>
  <c r="E4" i="10"/>
  <c r="D4" i="10"/>
  <c r="D21" i="9"/>
  <c r="C21" i="9"/>
  <c r="C29" i="8"/>
  <c r="C30" i="8" s="1"/>
  <c r="C35" i="8" s="1"/>
  <c r="C27" i="8"/>
  <c r="C20" i="8"/>
  <c r="C23" i="8" s="1"/>
  <c r="C17" i="8"/>
  <c r="P7" i="14" s="1"/>
  <c r="C12" i="8"/>
  <c r="G4" i="7"/>
  <c r="C10" i="8" s="1"/>
  <c r="C13" i="8" s="1"/>
  <c r="G76" i="6"/>
  <c r="F76" i="6"/>
  <c r="E76" i="6"/>
  <c r="E78" i="6" s="1"/>
  <c r="D76" i="6"/>
  <c r="D78" i="6" s="1"/>
  <c r="C76" i="6"/>
  <c r="G75" i="6"/>
  <c r="F75" i="6"/>
  <c r="E75" i="6"/>
  <c r="D75" i="6"/>
  <c r="C75" i="6"/>
  <c r="G74" i="6"/>
  <c r="F74" i="6"/>
  <c r="F78" i="6" s="1"/>
  <c r="E74" i="6"/>
  <c r="D74" i="6"/>
  <c r="C74" i="6"/>
  <c r="C46" i="5" s="1"/>
  <c r="G72" i="6"/>
  <c r="F72" i="6"/>
  <c r="E72" i="6"/>
  <c r="D72" i="6"/>
  <c r="C72" i="6"/>
  <c r="D70" i="6"/>
  <c r="C70" i="6"/>
  <c r="G68" i="6"/>
  <c r="G70" i="6" s="1"/>
  <c r="F68" i="6"/>
  <c r="F70" i="6" s="1"/>
  <c r="E68" i="6"/>
  <c r="E70" i="6" s="1"/>
  <c r="D68" i="6"/>
  <c r="C68" i="6"/>
  <c r="G66" i="6"/>
  <c r="F66" i="6"/>
  <c r="E66" i="6"/>
  <c r="D66" i="6"/>
  <c r="C66" i="6"/>
  <c r="G65" i="6"/>
  <c r="G22" i="9" s="1"/>
  <c r="F65" i="6"/>
  <c r="F22" i="9" s="1"/>
  <c r="E65" i="6"/>
  <c r="E22" i="9" s="1"/>
  <c r="D65" i="6"/>
  <c r="D22" i="9" s="1"/>
  <c r="C65" i="6"/>
  <c r="C22" i="9" s="1"/>
  <c r="G64" i="6"/>
  <c r="F64" i="6"/>
  <c r="E64" i="6"/>
  <c r="E41" i="5" s="1"/>
  <c r="D64" i="6"/>
  <c r="C64" i="6"/>
  <c r="G63" i="6"/>
  <c r="G39" i="5" s="1"/>
  <c r="F63" i="6"/>
  <c r="E63" i="6"/>
  <c r="E39" i="5" s="1"/>
  <c r="D63" i="6"/>
  <c r="C63" i="6"/>
  <c r="C32" i="5" s="1"/>
  <c r="G61" i="6"/>
  <c r="F61" i="6"/>
  <c r="E61" i="6"/>
  <c r="D61" i="6"/>
  <c r="C61" i="6"/>
  <c r="G60" i="6"/>
  <c r="F60" i="6"/>
  <c r="E60" i="6"/>
  <c r="D60" i="6"/>
  <c r="C60" i="6"/>
  <c r="G59" i="6"/>
  <c r="F59" i="6"/>
  <c r="E59" i="6"/>
  <c r="D59" i="6"/>
  <c r="C59" i="6"/>
  <c r="G58" i="6"/>
  <c r="F58" i="6"/>
  <c r="E58" i="6"/>
  <c r="D58" i="6"/>
  <c r="C58" i="6"/>
  <c r="G57" i="6"/>
  <c r="F57" i="6"/>
  <c r="F35" i="5" s="1"/>
  <c r="E57" i="6"/>
  <c r="D57" i="6"/>
  <c r="D35" i="5" s="1"/>
  <c r="C57" i="6"/>
  <c r="G55" i="6"/>
  <c r="F55" i="6"/>
  <c r="E55" i="6"/>
  <c r="D55" i="6"/>
  <c r="C55" i="6"/>
  <c r="G54" i="6"/>
  <c r="F54" i="6"/>
  <c r="E54" i="6"/>
  <c r="D54" i="6"/>
  <c r="C54" i="6"/>
  <c r="G53" i="6"/>
  <c r="F53" i="6"/>
  <c r="F21" i="9" s="1"/>
  <c r="E53" i="6"/>
  <c r="E21" i="9" s="1"/>
  <c r="D53" i="6"/>
  <c r="C53" i="6"/>
  <c r="G52" i="6"/>
  <c r="F52" i="6"/>
  <c r="E52" i="6"/>
  <c r="D52" i="6"/>
  <c r="C52" i="6"/>
  <c r="G51" i="6"/>
  <c r="G20" i="9" s="1"/>
  <c r="F51" i="6"/>
  <c r="F20" i="9" s="1"/>
  <c r="E51" i="6"/>
  <c r="E20" i="9" s="1"/>
  <c r="E23" i="9" s="1"/>
  <c r="D51" i="6"/>
  <c r="D20" i="9" s="1"/>
  <c r="D23" i="9" s="1"/>
  <c r="C51" i="6"/>
  <c r="C20" i="9" s="1"/>
  <c r="G50" i="6"/>
  <c r="F50" i="6"/>
  <c r="E50" i="6"/>
  <c r="D50" i="6"/>
  <c r="C50" i="6"/>
  <c r="G40" i="6"/>
  <c r="F40" i="6"/>
  <c r="F45" i="6" s="1"/>
  <c r="E40" i="6"/>
  <c r="E45" i="6" s="1"/>
  <c r="D40" i="6"/>
  <c r="D45" i="6" s="1"/>
  <c r="C40" i="6"/>
  <c r="C45" i="6" s="1"/>
  <c r="G34" i="6"/>
  <c r="F34" i="6"/>
  <c r="E34" i="6"/>
  <c r="D34" i="6"/>
  <c r="C34" i="6"/>
  <c r="G29" i="6"/>
  <c r="F29" i="6"/>
  <c r="E29" i="6"/>
  <c r="D29" i="6"/>
  <c r="C29" i="6"/>
  <c r="D27" i="6"/>
  <c r="C27" i="6"/>
  <c r="G26" i="6"/>
  <c r="F26" i="6"/>
  <c r="F27" i="6" s="1"/>
  <c r="E26" i="6"/>
  <c r="D26" i="6"/>
  <c r="C26" i="6"/>
  <c r="F21" i="6"/>
  <c r="F21" i="5" s="1"/>
  <c r="G20" i="6"/>
  <c r="F20" i="6"/>
  <c r="F7" i="10" s="1"/>
  <c r="E20" i="6"/>
  <c r="D20" i="6"/>
  <c r="C20" i="6"/>
  <c r="G14" i="6"/>
  <c r="G15" i="6" s="1"/>
  <c r="G20" i="5" s="1"/>
  <c r="F14" i="6"/>
  <c r="F17" i="6" s="1"/>
  <c r="E14" i="6"/>
  <c r="E15" i="6" s="1"/>
  <c r="E20" i="5" s="1"/>
  <c r="D14" i="6"/>
  <c r="D15" i="6" s="1"/>
  <c r="D20" i="5" s="1"/>
  <c r="C14" i="6"/>
  <c r="C15" i="6" s="1"/>
  <c r="C20" i="5" s="1"/>
  <c r="F12" i="6"/>
  <c r="F13" i="5" s="1"/>
  <c r="F11" i="6"/>
  <c r="D11" i="6"/>
  <c r="D17" i="6" s="1"/>
  <c r="G9" i="6"/>
  <c r="F9" i="6"/>
  <c r="E9" i="6"/>
  <c r="C9" i="6"/>
  <c r="G8" i="6"/>
  <c r="G41" i="5" s="1"/>
  <c r="F8" i="6"/>
  <c r="E8" i="6"/>
  <c r="D8" i="6"/>
  <c r="C8" i="6"/>
  <c r="C11" i="6" s="1"/>
  <c r="D6" i="6"/>
  <c r="G5" i="6"/>
  <c r="C12" i="9" s="1"/>
  <c r="F5" i="6"/>
  <c r="E5" i="6"/>
  <c r="E21" i="6" s="1"/>
  <c r="E21" i="5" s="1"/>
  <c r="D5" i="6"/>
  <c r="D34" i="5" s="1"/>
  <c r="C5" i="6"/>
  <c r="C34" i="5" s="1"/>
  <c r="F47" i="5"/>
  <c r="D47" i="5"/>
  <c r="E46" i="5"/>
  <c r="D46" i="5"/>
  <c r="G45" i="5"/>
  <c r="F45" i="5"/>
  <c r="D45" i="5"/>
  <c r="F41" i="5"/>
  <c r="D41" i="5"/>
  <c r="G40" i="5"/>
  <c r="F40" i="5"/>
  <c r="E40" i="5"/>
  <c r="D40" i="5"/>
  <c r="C40" i="5"/>
  <c r="F39" i="5"/>
  <c r="F42" i="5" s="1"/>
  <c r="D39" i="5"/>
  <c r="D42" i="5" s="1"/>
  <c r="E36" i="5"/>
  <c r="D36" i="5"/>
  <c r="C36" i="5"/>
  <c r="F34" i="5"/>
  <c r="E34" i="5"/>
  <c r="F33" i="5"/>
  <c r="E33" i="5"/>
  <c r="D33" i="5"/>
  <c r="C33" i="5"/>
  <c r="F32" i="5"/>
  <c r="G10" i="5"/>
  <c r="I11" i="2"/>
  <c r="D30" i="16" s="1"/>
  <c r="N32" i="15"/>
  <c r="M32" i="15"/>
  <c r="L32" i="15"/>
  <c r="K32" i="15"/>
  <c r="J32" i="15"/>
  <c r="I32" i="15"/>
  <c r="H32" i="15"/>
  <c r="G32" i="15"/>
  <c r="F32" i="15"/>
  <c r="E32" i="15"/>
  <c r="D32" i="15"/>
  <c r="C32" i="15"/>
  <c r="E23" i="15"/>
  <c r="G15" i="15"/>
  <c r="F15" i="15"/>
  <c r="C10" i="15"/>
  <c r="I24" i="15" s="1"/>
  <c r="C9" i="15"/>
  <c r="C8" i="15"/>
  <c r="C7" i="15"/>
  <c r="C6" i="15"/>
  <c r="F23" i="9" l="1"/>
  <c r="E42" i="5"/>
  <c r="C23" i="9"/>
  <c r="C17" i="6"/>
  <c r="C12" i="6"/>
  <c r="C13" i="5" s="1"/>
  <c r="C15" i="15"/>
  <c r="D10" i="5"/>
  <c r="F18" i="6"/>
  <c r="F23" i="6"/>
  <c r="G23" i="9"/>
  <c r="G42" i="5"/>
  <c r="E10" i="5"/>
  <c r="F10" i="5"/>
  <c r="E15" i="15"/>
  <c r="D7" i="5"/>
  <c r="D23" i="6"/>
  <c r="D18" i="6"/>
  <c r="G21" i="6"/>
  <c r="G21" i="5" s="1"/>
  <c r="G27" i="6"/>
  <c r="C34" i="8"/>
  <c r="C37" i="8" s="1"/>
  <c r="R4" i="16" s="1"/>
  <c r="G11" i="6"/>
  <c r="G36" i="5"/>
  <c r="C7" i="14"/>
  <c r="D12" i="9"/>
  <c r="D10" i="10"/>
  <c r="D5" i="10"/>
  <c r="D7" i="11"/>
  <c r="F13" i="12"/>
  <c r="G33" i="5"/>
  <c r="C39" i="5"/>
  <c r="F46" i="5"/>
  <c r="E6" i="6"/>
  <c r="E6" i="5" s="1"/>
  <c r="E27" i="6"/>
  <c r="E45" i="5"/>
  <c r="C33" i="8"/>
  <c r="F12" i="12"/>
  <c r="G21" i="9"/>
  <c r="D26" i="16"/>
  <c r="C33" i="15"/>
  <c r="C78" i="6"/>
  <c r="C47" i="5"/>
  <c r="G6" i="6"/>
  <c r="G6" i="5" s="1"/>
  <c r="E11" i="6"/>
  <c r="G78" i="6"/>
  <c r="G47" i="5"/>
  <c r="G5" i="10"/>
  <c r="G46" i="5"/>
  <c r="F6" i="6"/>
  <c r="F6" i="5" s="1"/>
  <c r="C21" i="6"/>
  <c r="C7" i="10"/>
  <c r="E26" i="15"/>
  <c r="G34" i="5"/>
  <c r="F15" i="6"/>
  <c r="F20" i="5" s="1"/>
  <c r="D6" i="10"/>
  <c r="E11" i="12"/>
  <c r="E11" i="10"/>
  <c r="D15" i="15"/>
  <c r="D33" i="15"/>
  <c r="D32" i="5"/>
  <c r="C35" i="5"/>
  <c r="E47" i="5"/>
  <c r="D9" i="6"/>
  <c r="C41" i="5"/>
  <c r="E6" i="10"/>
  <c r="D12" i="6"/>
  <c r="D13" i="5" s="1"/>
  <c r="D6" i="5"/>
  <c r="E33" i="15"/>
  <c r="E32" i="5"/>
  <c r="F33" i="15"/>
  <c r="E35" i="5"/>
  <c r="C45" i="5"/>
  <c r="D21" i="6"/>
  <c r="D21" i="5" s="1"/>
  <c r="G33" i="15"/>
  <c r="G32" i="5"/>
  <c r="D6" i="13" a="1"/>
  <c r="G35" i="5"/>
  <c r="D25" i="16"/>
  <c r="G10" i="10"/>
  <c r="F5" i="10"/>
  <c r="F6" i="10" s="1"/>
  <c r="G4" i="10"/>
  <c r="F36" i="5"/>
  <c r="G7" i="11"/>
  <c r="C42" i="5" l="1"/>
  <c r="F19" i="16"/>
  <c r="E19" i="16"/>
  <c r="R5" i="16"/>
  <c r="O15" i="16" s="1"/>
  <c r="L19" i="16"/>
  <c r="K19" i="16"/>
  <c r="J19" i="16"/>
  <c r="I19" i="16"/>
  <c r="H19" i="16"/>
  <c r="K24" i="16"/>
  <c r="M19" i="16"/>
  <c r="G19" i="16"/>
  <c r="D19" i="16"/>
  <c r="G12" i="6"/>
  <c r="G13" i="5" s="1"/>
  <c r="G17" i="6"/>
  <c r="G11" i="12"/>
  <c r="G11" i="10"/>
  <c r="E17" i="6"/>
  <c r="E12" i="6"/>
  <c r="E13" i="5" s="1"/>
  <c r="F5" i="9"/>
  <c r="F14" i="5"/>
  <c r="D9" i="11"/>
  <c r="E9" i="11"/>
  <c r="D5" i="9"/>
  <c r="D14" i="5"/>
  <c r="D8" i="13"/>
  <c r="D6" i="13"/>
  <c r="D10" i="13"/>
  <c r="D9" i="13"/>
  <c r="E9" i="13" s="1"/>
  <c r="D7" i="13"/>
  <c r="D6" i="12"/>
  <c r="D19" i="9"/>
  <c r="D27" i="9" s="1"/>
  <c r="D26" i="9"/>
  <c r="D31" i="6"/>
  <c r="D25" i="5"/>
  <c r="D29" i="5"/>
  <c r="D8" i="5"/>
  <c r="D24" i="6"/>
  <c r="I5" i="9"/>
  <c r="P6" i="14" s="1"/>
  <c r="D34" i="15"/>
  <c r="D35" i="15" s="1"/>
  <c r="J34" i="15"/>
  <c r="I34" i="15"/>
  <c r="H34" i="15"/>
  <c r="G34" i="15"/>
  <c r="G35" i="15" s="1"/>
  <c r="F34" i="15"/>
  <c r="F35" i="15" s="1"/>
  <c r="E34" i="15"/>
  <c r="E35" i="15" s="1"/>
  <c r="C34" i="15"/>
  <c r="C35" i="15" s="1"/>
  <c r="G38" i="15" s="1"/>
  <c r="K34" i="15"/>
  <c r="M34" i="15"/>
  <c r="L34" i="15"/>
  <c r="D11" i="12"/>
  <c r="D11" i="10"/>
  <c r="F19" i="9"/>
  <c r="F27" i="9" s="1"/>
  <c r="F24" i="6"/>
  <c r="F26" i="9"/>
  <c r="F6" i="12"/>
  <c r="F29" i="5"/>
  <c r="F31" i="6"/>
  <c r="F25" i="5"/>
  <c r="C11" i="16"/>
  <c r="G9" i="11"/>
  <c r="M33" i="15"/>
  <c r="M35" i="15" s="1"/>
  <c r="H33" i="15"/>
  <c r="J33" i="15"/>
  <c r="I33" i="15"/>
  <c r="L33" i="15"/>
  <c r="K33" i="15"/>
  <c r="C11" i="9"/>
  <c r="P11" i="14" s="1"/>
  <c r="C21" i="5"/>
  <c r="C22" i="14"/>
  <c r="C12" i="14"/>
  <c r="C23" i="6"/>
  <c r="C18" i="6"/>
  <c r="G6" i="10"/>
  <c r="E8" i="13" l="1"/>
  <c r="L35" i="15"/>
  <c r="J35" i="15"/>
  <c r="N35" i="15"/>
  <c r="G40" i="15" s="1"/>
  <c r="I35" i="15"/>
  <c r="H35" i="15"/>
  <c r="D8" i="14"/>
  <c r="P8" i="14"/>
  <c r="P9" i="14" s="1"/>
  <c r="E10" i="13"/>
  <c r="C4" i="16"/>
  <c r="G10" i="11"/>
  <c r="G12" i="12"/>
  <c r="D22" i="5"/>
  <c r="D15" i="5"/>
  <c r="D6" i="9"/>
  <c r="D14" i="13"/>
  <c r="D12" i="13"/>
  <c r="D15" i="13"/>
  <c r="E15" i="13" s="1"/>
  <c r="D13" i="13"/>
  <c r="D11" i="13"/>
  <c r="E11" i="13" s="1"/>
  <c r="J24" i="16"/>
  <c r="L24" i="16"/>
  <c r="M24" i="16" s="1"/>
  <c r="C13" i="10"/>
  <c r="C14" i="10"/>
  <c r="F37" i="6"/>
  <c r="F32" i="6"/>
  <c r="F35" i="6"/>
  <c r="F15" i="9" s="1"/>
  <c r="P13" i="14"/>
  <c r="P14" i="14" s="1"/>
  <c r="D13" i="14"/>
  <c r="D37" i="6"/>
  <c r="D32" i="6"/>
  <c r="D35" i="6"/>
  <c r="D15" i="9" s="1"/>
  <c r="E12" i="12"/>
  <c r="E13" i="12" s="1"/>
  <c r="E10" i="11"/>
  <c r="E7" i="5"/>
  <c r="E23" i="6"/>
  <c r="E18" i="6"/>
  <c r="F7" i="5"/>
  <c r="K35" i="15"/>
  <c r="D12" i="12"/>
  <c r="D13" i="12" s="1"/>
  <c r="D10" i="11"/>
  <c r="F7" i="12"/>
  <c r="F8" i="12" s="1"/>
  <c r="C5" i="9"/>
  <c r="C14" i="5"/>
  <c r="D7" i="12"/>
  <c r="D8" i="12" s="1"/>
  <c r="D16" i="12" s="1"/>
  <c r="G13" i="12"/>
  <c r="C17" i="14"/>
  <c r="D12" i="14"/>
  <c r="I6" i="13" a="1"/>
  <c r="G23" i="6"/>
  <c r="G18" i="6"/>
  <c r="G7" i="5"/>
  <c r="F6" i="9"/>
  <c r="F15" i="5"/>
  <c r="F22" i="5"/>
  <c r="C25" i="5"/>
  <c r="C6" i="12"/>
  <c r="C19" i="9"/>
  <c r="C27" i="9" s="1"/>
  <c r="C26" i="9"/>
  <c r="C31" i="6"/>
  <c r="C24" i="6"/>
  <c r="C29" i="5"/>
  <c r="E7" i="13"/>
  <c r="E13" i="13" l="1"/>
  <c r="G39" i="15"/>
  <c r="G41" i="15" s="1"/>
  <c r="F16" i="12"/>
  <c r="F19" i="12"/>
  <c r="D19" i="12"/>
  <c r="I6" i="13"/>
  <c r="I9" i="13"/>
  <c r="I8" i="13"/>
  <c r="I7" i="13"/>
  <c r="J7" i="13" s="1"/>
  <c r="I10" i="13"/>
  <c r="J10" i="13" s="1"/>
  <c r="F7" i="9"/>
  <c r="F16" i="5"/>
  <c r="E5" i="9"/>
  <c r="E14" i="5"/>
  <c r="E31" i="6"/>
  <c r="E26" i="9"/>
  <c r="E29" i="5"/>
  <c r="E24" i="6"/>
  <c r="E25" i="5"/>
  <c r="E6" i="12"/>
  <c r="E19" i="9"/>
  <c r="E27" i="9" s="1"/>
  <c r="E8" i="5"/>
  <c r="F8" i="5"/>
  <c r="C37" i="6"/>
  <c r="C35" i="6"/>
  <c r="C32" i="6"/>
  <c r="G14" i="5"/>
  <c r="G5" i="9"/>
  <c r="D7" i="9"/>
  <c r="D16" i="5"/>
  <c r="E12" i="13"/>
  <c r="E8" i="14"/>
  <c r="F8" i="14" s="1"/>
  <c r="G8" i="14" s="1"/>
  <c r="H8" i="14" s="1"/>
  <c r="I8" i="14" s="1"/>
  <c r="J8" i="14" s="1"/>
  <c r="K8" i="14" s="1"/>
  <c r="L8" i="14" s="1"/>
  <c r="M8" i="14" s="1"/>
  <c r="D7" i="14"/>
  <c r="C7" i="12"/>
  <c r="C8" i="12" s="1"/>
  <c r="F42" i="6"/>
  <c r="F27" i="5"/>
  <c r="F38" i="6"/>
  <c r="D38" i="6"/>
  <c r="D9" i="5"/>
  <c r="D27" i="5"/>
  <c r="D42" i="6"/>
  <c r="E14" i="13"/>
  <c r="G6" i="12"/>
  <c r="G29" i="5"/>
  <c r="G26" i="9"/>
  <c r="G19" i="9"/>
  <c r="G27" i="9" s="1"/>
  <c r="G24" i="6"/>
  <c r="G8" i="5"/>
  <c r="G31" i="6"/>
  <c r="G25" i="5"/>
  <c r="C15" i="5"/>
  <c r="C6" i="9"/>
  <c r="C22" i="5"/>
  <c r="C13" i="11"/>
  <c r="C12" i="11"/>
  <c r="E13" i="14"/>
  <c r="E12" i="14" s="1"/>
  <c r="D23" i="14"/>
  <c r="G45" i="15" l="1"/>
  <c r="G46" i="15" s="1"/>
  <c r="F12" i="14"/>
  <c r="E7" i="14"/>
  <c r="F7" i="14" s="1"/>
  <c r="G7" i="14" s="1"/>
  <c r="H7" i="14" s="1"/>
  <c r="I7" i="14" s="1"/>
  <c r="J7" i="14" s="1"/>
  <c r="K7" i="14" s="1"/>
  <c r="L7" i="14" s="1"/>
  <c r="M7" i="14" s="1"/>
  <c r="E15" i="5"/>
  <c r="E6" i="9"/>
  <c r="E22" i="5"/>
  <c r="D18" i="15"/>
  <c r="G35" i="6"/>
  <c r="G15" i="9" s="1"/>
  <c r="G37" i="6"/>
  <c r="G32" i="6"/>
  <c r="C7" i="9"/>
  <c r="C16" i="5"/>
  <c r="D8" i="9"/>
  <c r="D17" i="5"/>
  <c r="C15" i="9"/>
  <c r="J8" i="13"/>
  <c r="E37" i="6"/>
  <c r="E32" i="6"/>
  <c r="E35" i="6"/>
  <c r="E15" i="9" s="1"/>
  <c r="D5" i="16"/>
  <c r="D22" i="14"/>
  <c r="G22" i="5"/>
  <c r="G6" i="9"/>
  <c r="G15" i="5"/>
  <c r="C42" i="6"/>
  <c r="C38" i="6"/>
  <c r="C27" i="5"/>
  <c r="J9" i="13"/>
  <c r="F17" i="5"/>
  <c r="F8" i="9"/>
  <c r="I14" i="13"/>
  <c r="I11" i="13"/>
  <c r="J11" i="13" s="1"/>
  <c r="I12" i="13"/>
  <c r="J12" i="13" s="1"/>
  <c r="I15" i="13"/>
  <c r="J15" i="13" s="1"/>
  <c r="I13" i="13"/>
  <c r="J13" i="13" s="1"/>
  <c r="D43" i="6"/>
  <c r="D48" i="6"/>
  <c r="D14" i="15"/>
  <c r="D46" i="6"/>
  <c r="D16" i="15" s="1"/>
  <c r="E23" i="14"/>
  <c r="E5" i="16" s="1"/>
  <c r="F13" i="14"/>
  <c r="F18" i="15"/>
  <c r="F14" i="15"/>
  <c r="F46" i="6"/>
  <c r="G7" i="12"/>
  <c r="G8" i="12" s="1"/>
  <c r="E7" i="12"/>
  <c r="E8" i="12" s="1"/>
  <c r="E16" i="12" l="1"/>
  <c r="E19" i="12"/>
  <c r="G16" i="12"/>
  <c r="G19" i="12"/>
  <c r="E25" i="15"/>
  <c r="F16" i="15"/>
  <c r="E7" i="9"/>
  <c r="E16" i="5"/>
  <c r="G12" i="14"/>
  <c r="G38" i="6"/>
  <c r="G27" i="5"/>
  <c r="G9" i="5"/>
  <c r="G42" i="6"/>
  <c r="F48" i="6"/>
  <c r="C14" i="15"/>
  <c r="C46" i="6"/>
  <c r="C16" i="15" s="1"/>
  <c r="J15" i="9"/>
  <c r="F23" i="14"/>
  <c r="F5" i="16" s="1"/>
  <c r="G13" i="14"/>
  <c r="J14" i="13"/>
  <c r="D17" i="15"/>
  <c r="D26" i="5"/>
  <c r="D28" i="5" s="1"/>
  <c r="D19" i="15" s="1"/>
  <c r="E27" i="5"/>
  <c r="E38" i="6"/>
  <c r="E9" i="5"/>
  <c r="E42" i="6"/>
  <c r="N6" i="13" s="1" a="1"/>
  <c r="F9" i="5"/>
  <c r="C18" i="15"/>
  <c r="D7" i="16"/>
  <c r="C8" i="9"/>
  <c r="C17" i="5"/>
  <c r="E22" i="14"/>
  <c r="D4" i="16"/>
  <c r="G7" i="9"/>
  <c r="G16" i="5"/>
  <c r="N8" i="13" l="1"/>
  <c r="N6" i="13"/>
  <c r="N10" i="13"/>
  <c r="O10" i="13" s="1"/>
  <c r="N7" i="13"/>
  <c r="N9" i="13"/>
  <c r="G18" i="15"/>
  <c r="G8" i="9"/>
  <c r="G17" i="5"/>
  <c r="E7" i="16"/>
  <c r="D6" i="16"/>
  <c r="D11" i="16"/>
  <c r="D12" i="16" s="1"/>
  <c r="D10" i="16"/>
  <c r="E43" i="6"/>
  <c r="E14" i="15"/>
  <c r="E46" i="6"/>
  <c r="E16" i="15" s="1"/>
  <c r="F43" i="6"/>
  <c r="C48" i="6"/>
  <c r="G23" i="14"/>
  <c r="G5" i="16" s="1"/>
  <c r="H13" i="14"/>
  <c r="H12" i="14" s="1"/>
  <c r="F22" i="14"/>
  <c r="E4" i="16"/>
  <c r="F17" i="15"/>
  <c r="F26" i="5"/>
  <c r="F28" i="5" s="1"/>
  <c r="F19" i="15" s="1"/>
  <c r="E8" i="9"/>
  <c r="E17" i="5"/>
  <c r="C23" i="12"/>
  <c r="C22" i="12"/>
  <c r="C29" i="9" s="1"/>
  <c r="P16" i="14" s="1"/>
  <c r="E18" i="15"/>
  <c r="G43" i="6"/>
  <c r="G48" i="6"/>
  <c r="G14" i="15"/>
  <c r="G46" i="6"/>
  <c r="G16" i="15" s="1"/>
  <c r="O8" i="13" l="1"/>
  <c r="G26" i="5"/>
  <c r="G28" i="5" s="1"/>
  <c r="G19" i="15" s="1"/>
  <c r="G17" i="15"/>
  <c r="E48" i="6"/>
  <c r="E11" i="16"/>
  <c r="E12" i="16" s="1"/>
  <c r="E10" i="16"/>
  <c r="E13" i="16" s="1"/>
  <c r="O9" i="13"/>
  <c r="F4" i="16"/>
  <c r="G22" i="14"/>
  <c r="D13" i="16"/>
  <c r="O7" i="13"/>
  <c r="D18" i="14"/>
  <c r="P18" i="14"/>
  <c r="P19" i="14" s="1"/>
  <c r="H23" i="14"/>
  <c r="H5" i="16" s="1"/>
  <c r="I13" i="14"/>
  <c r="N11" i="13"/>
  <c r="O11" i="13" s="1"/>
  <c r="N13" i="13"/>
  <c r="N12" i="13"/>
  <c r="N15" i="13"/>
  <c r="N14" i="13"/>
  <c r="O14" i="13" s="1"/>
  <c r="D8" i="16"/>
  <c r="D9" i="16" s="1"/>
  <c r="D14" i="16" s="1"/>
  <c r="C26" i="5"/>
  <c r="C28" i="5" s="1"/>
  <c r="C19" i="15" s="1"/>
  <c r="C17" i="15"/>
  <c r="F7" i="16"/>
  <c r="E6" i="16"/>
  <c r="O13" i="13" l="1"/>
  <c r="G7" i="16"/>
  <c r="F6" i="16"/>
  <c r="E26" i="5"/>
  <c r="E28" i="5" s="1"/>
  <c r="E19" i="15" s="1"/>
  <c r="E17" i="15"/>
  <c r="E8" i="16"/>
  <c r="E9" i="16" s="1"/>
  <c r="E14" i="16" s="1"/>
  <c r="E18" i="14"/>
  <c r="F18" i="14" s="1"/>
  <c r="G18" i="14" s="1"/>
  <c r="H18" i="14" s="1"/>
  <c r="I18" i="14" s="1"/>
  <c r="J18" i="14" s="1"/>
  <c r="K18" i="14" s="1"/>
  <c r="L18" i="14" s="1"/>
  <c r="M18" i="14" s="1"/>
  <c r="D17" i="14"/>
  <c r="D15" i="16"/>
  <c r="H22" i="14"/>
  <c r="G4" i="16"/>
  <c r="F10" i="16"/>
  <c r="F11" i="16"/>
  <c r="F12" i="16" s="1"/>
  <c r="I23" i="14"/>
  <c r="I5" i="16" s="1"/>
  <c r="J13" i="14"/>
  <c r="O15" i="13"/>
  <c r="O12" i="13"/>
  <c r="I12" i="14"/>
  <c r="K13" i="14" l="1"/>
  <c r="J23" i="14"/>
  <c r="J5" i="16" s="1"/>
  <c r="J12" i="14"/>
  <c r="E15" i="16"/>
  <c r="F8" i="16"/>
  <c r="F9" i="16" s="1"/>
  <c r="F13" i="16"/>
  <c r="G10" i="16"/>
  <c r="G11" i="16"/>
  <c r="G12" i="16" s="1"/>
  <c r="E17" i="14"/>
  <c r="F17" i="14" s="1"/>
  <c r="G17" i="14" s="1"/>
  <c r="H17" i="14" s="1"/>
  <c r="I17" i="14" s="1"/>
  <c r="J17" i="14" s="1"/>
  <c r="K17" i="14" s="1"/>
  <c r="L17" i="14" s="1"/>
  <c r="M17" i="14" s="1"/>
  <c r="H4" i="16"/>
  <c r="I22" i="14"/>
  <c r="G6" i="16"/>
  <c r="H7" i="16"/>
  <c r="G13" i="16" l="1"/>
  <c r="F14" i="16"/>
  <c r="H6" i="16"/>
  <c r="I7" i="16"/>
  <c r="H11" i="16"/>
  <c r="H12" i="16" s="1"/>
  <c r="H10" i="16"/>
  <c r="K12" i="14"/>
  <c r="L13" i="14"/>
  <c r="K23" i="14"/>
  <c r="K5" i="16" s="1"/>
  <c r="G8" i="16"/>
  <c r="G9" i="16"/>
  <c r="G14" i="16" s="1"/>
  <c r="I4" i="16"/>
  <c r="J22" i="14"/>
  <c r="F15" i="16"/>
  <c r="J4" i="16" l="1"/>
  <c r="K22" i="14"/>
  <c r="H8" i="16"/>
  <c r="H9" i="16"/>
  <c r="H13" i="16"/>
  <c r="H15" i="16" s="1"/>
  <c r="J7" i="16"/>
  <c r="I6" i="16"/>
  <c r="L12" i="14"/>
  <c r="G15" i="16"/>
  <c r="I11" i="16"/>
  <c r="I12" i="16" s="1"/>
  <c r="I10" i="16"/>
  <c r="M13" i="14"/>
  <c r="M23" i="14" s="1"/>
  <c r="M5" i="16" s="1"/>
  <c r="L23" i="14"/>
  <c r="L5" i="16" s="1"/>
  <c r="I13" i="16" l="1"/>
  <c r="M12" i="14"/>
  <c r="H14" i="16"/>
  <c r="I8" i="16"/>
  <c r="I9" i="16" s="1"/>
  <c r="K7" i="16"/>
  <c r="J6" i="16"/>
  <c r="J10" i="16"/>
  <c r="J11" i="16"/>
  <c r="J12" i="16" s="1"/>
  <c r="L22" i="14"/>
  <c r="K4" i="16"/>
  <c r="I14" i="16" l="1"/>
  <c r="I15" i="16"/>
  <c r="J13" i="16"/>
  <c r="J8" i="16"/>
  <c r="J9" i="16" s="1"/>
  <c r="L7" i="16"/>
  <c r="K6" i="16"/>
  <c r="K11" i="16"/>
  <c r="K12" i="16" s="1"/>
  <c r="K10" i="16"/>
  <c r="K13" i="16" s="1"/>
  <c r="L4" i="16"/>
  <c r="M22" i="14"/>
  <c r="M4" i="16" s="1"/>
  <c r="J15" i="16" l="1"/>
  <c r="L10" i="16"/>
  <c r="L11" i="16"/>
  <c r="L12" i="16" s="1"/>
  <c r="K8" i="16"/>
  <c r="K9" i="16" s="1"/>
  <c r="L6" i="16"/>
  <c r="M7" i="16"/>
  <c r="J14" i="16"/>
  <c r="M10" i="16"/>
  <c r="O4" i="16"/>
  <c r="M11" i="16"/>
  <c r="K14" i="16" l="1"/>
  <c r="K15" i="16"/>
  <c r="M12" i="16"/>
  <c r="M13" i="16" s="1"/>
  <c r="M6" i="16"/>
  <c r="O7" i="16"/>
  <c r="O6" i="16" s="1"/>
  <c r="L8" i="16"/>
  <c r="L9" i="16" s="1"/>
  <c r="L14" i="16" s="1"/>
  <c r="L13" i="16"/>
  <c r="L15" i="16" l="1"/>
  <c r="O8" i="16"/>
  <c r="O9" i="16" s="1"/>
  <c r="M8" i="16"/>
  <c r="M9" i="16" s="1"/>
  <c r="O13" i="16" l="1"/>
  <c r="O14" i="16"/>
  <c r="M14" i="16"/>
  <c r="M15" i="16"/>
  <c r="M17" i="16" l="1"/>
  <c r="D22" i="16" s="1"/>
  <c r="D21" i="16"/>
  <c r="D24" i="16" s="1"/>
  <c r="D28" i="16" s="1"/>
  <c r="D31" i="16" s="1"/>
  <c r="I24" i="16" s="1"/>
</calcChain>
</file>

<file path=xl/sharedStrings.xml><?xml version="1.0" encoding="utf-8"?>
<sst xmlns="http://schemas.openxmlformats.org/spreadsheetml/2006/main" count="957" uniqueCount="522">
  <si>
    <t>COAL INDIA LTD</t>
  </si>
  <si>
    <t>Coal India</t>
  </si>
  <si>
    <t>Consolidated Balance Sheet</t>
  </si>
  <si>
    <t>Mar 26</t>
  </si>
  <si>
    <t>12 mths</t>
  </si>
  <si>
    <t>EQUITIES AND LIABILITIES</t>
  </si>
  <si>
    <t>SHAREHOLDER'S FUNDS</t>
  </si>
  <si>
    <t>Equity Share Capital</t>
  </si>
  <si>
    <t xml:space="preserve">Face Value </t>
  </si>
  <si>
    <t>Total Share Capital</t>
  </si>
  <si>
    <t xml:space="preserve">no of shares </t>
  </si>
  <si>
    <t>Reserves and Surplus</t>
  </si>
  <si>
    <t>Total Reserves and Surplus</t>
  </si>
  <si>
    <t>Total Shareholders Funds</t>
  </si>
  <si>
    <t>Minority Interest</t>
  </si>
  <si>
    <t>NON-CURRENT LIABILITIES</t>
  </si>
  <si>
    <t>Long Term Borrowings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</si>
  <si>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</si>
  <si>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</si>
  <si>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</si>
  <si>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</si>
  <si>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</si>
  <si>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</si>
  <si>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</si>
  <si>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</si>
  <si>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</si>
  <si>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</si>
  <si>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</si>
  <si>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</si>
  <si>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</si>
  <si>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</si>
  <si>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</si>
  <si>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</si>
  <si>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Development</t>
  </si>
  <si>
    <t>Other Assets</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</si>
  <si>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</si>
  <si>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</si>
  <si>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</si>
  <si>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</si>
  <si>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</si>
  <si>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</si>
  <si>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</si>
  <si>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</si>
  <si>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</si>
  <si>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</si>
  <si>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</si>
  <si>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</si>
  <si>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OtherCurrentAssets</t>
  </si>
  <si>
    <t>Total Current Assets</t>
  </si>
  <si>
    <t>Total Assets</t>
  </si>
  <si>
    <t>OTHER ADDITIONAL INFORMATION</t>
  </si>
  <si>
    <t>CONTINGENT LIABILITIES, COMMITMENTS</t>
  </si>
  <si>
    <t>Contingent Liabilities</t>
  </si>
  <si>
    <t>Other Earnings</t>
  </si>
  <si>
    <t>BONUS DETAILS</t>
  </si>
  <si>
    <t>NON-CURRENT INVESTMENTS</t>
  </si>
  <si>
    <t>Non-Current Investments Unquoted Book Value</t>
  </si>
  <si>
    <t>CURRENT INVESTMENTS</t>
  </si>
  <si>
    <t>Current Investments Quoted Market Value</t>
  </si>
  <si>
    <t>Current Investments Unquoted Book Value</t>
  </si>
  <si>
    <t>Consolidated Profit &amp; Loss account</t>
  </si>
  <si>
    <t>INCOME</t>
  </si>
  <si>
    <t>Revenue From Operations [Gross]</t>
  </si>
  <si>
    <t>Less: Excise/Sevice Tax/Other Levies</t>
  </si>
  <si>
    <t>Revenue From Operations [Net]</t>
  </si>
  <si>
    <t>Other Operating Revenues</t>
  </si>
  <si>
    <t>Total Operating Revenues</t>
  </si>
  <si>
    <t>Other Income</t>
  </si>
  <si>
    <t>Total Revenue</t>
  </si>
  <si>
    <t>EXPENSES</t>
  </si>
  <si>
    <t>Cost Of Materials Consumed</t>
  </si>
  <si>
    <t>Purchase Of Stock-In Trade</t>
  </si>
  <si>
    <t>Operating And Direct Expenses</t>
  </si>
  <si>
    <t>Changes In Inventories Of FG,WIP And Stock-In Trade</t>
  </si>
  <si>
    <t>Employee Benefit Expenses</t>
  </si>
  <si>
    <t>Finance Costs</t>
  </si>
  <si>
    <t>Provsions and Contingencies</t>
  </si>
  <si>
    <t>Depreciation And Amortisation Expenses</t>
  </si>
  <si>
    <t>Other Expenses</t>
  </si>
  <si>
    <t>Less: Amounts Transfer To Capital Accounts</t>
  </si>
  <si>
    <t>Total Expenses</t>
  </si>
  <si>
    <t>Profit/Loss Before Exceptional, ExtraOrdinary Items And Tax</t>
  </si>
  <si>
    <t>Profit/Loss Before Tax</t>
  </si>
  <si>
    <t>Tax Expenses-Continued Operations</t>
  </si>
  <si>
    <t>Current Tax</t>
  </si>
  <si>
    <t>Deferred Tax</t>
  </si>
  <si>
    <t>Total Tax Expenses</t>
  </si>
  <si>
    <t>Profit/Loss After Tax And Before ExtraOrdinary Items</t>
  </si>
  <si>
    <t>Profit/Loss From Continuing Operations</t>
  </si>
  <si>
    <t>Profit/Loss For The Period</t>
  </si>
  <si>
    <t>Share Of Profit/Loss Of Associates</t>
  </si>
  <si>
    <t>Consolidated Profit/Loss After MI And Associates</t>
  </si>
  <si>
    <t>EARNINGS PER SHARE</t>
  </si>
  <si>
    <t>Basic EPS (Rs.)</t>
  </si>
  <si>
    <t>Diluted EPS (Rs.)</t>
  </si>
  <si>
    <t>DIVIDEND AND DIVIDEND PERCENTAGE</t>
  </si>
  <si>
    <t>Equity Share Dividend</t>
  </si>
  <si>
    <t>Cash Flow</t>
  </si>
  <si>
    <t>Mar '22</t>
  </si>
  <si>
    <t>Mar '23</t>
  </si>
  <si>
    <t>Mar '24</t>
  </si>
  <si>
    <t>Mar '25</t>
  </si>
  <si>
    <t>Mar '26</t>
  </si>
  <si>
    <t>Net Profit Before Tax</t>
  </si>
  <si>
    <t>Net Cash From Operating Activities</t>
  </si>
  <si>
    <t>Net Cash (used in)/from</t>
  </si>
  <si>
    <t>Investing Activities</t>
  </si>
  <si>
    <t>Net Cash (used in)/from Financing Activities</t>
  </si>
  <si>
    <t>Net (decrease)/increase In Cash and Cash Equivalents</t>
  </si>
  <si>
    <t>Opening Cash &amp; Cash Equivalents</t>
  </si>
  <si>
    <t>Closing Cash &amp; Cash Equivalents</t>
  </si>
  <si>
    <t>Ratio Analysis</t>
  </si>
  <si>
    <t>Years</t>
  </si>
  <si>
    <t>2022</t>
  </si>
  <si>
    <t>2023</t>
  </si>
  <si>
    <t>2024</t>
  </si>
  <si>
    <t>2025</t>
  </si>
  <si>
    <t>2026</t>
  </si>
  <si>
    <t>Trends</t>
  </si>
  <si>
    <t>Growth Rates</t>
  </si>
  <si>
    <t>Sales Growth</t>
  </si>
  <si>
    <t>EBITDA Growth</t>
  </si>
  <si>
    <t>EBIT Growth</t>
  </si>
  <si>
    <t>Net Profit Growth</t>
  </si>
  <si>
    <t>Dividend Growth</t>
  </si>
  <si>
    <t>Margins</t>
  </si>
  <si>
    <t>Gross Margin</t>
  </si>
  <si>
    <t>EBITDA Margin</t>
  </si>
  <si>
    <t>EBIT Margin</t>
  </si>
  <si>
    <t>EBT Margin</t>
  </si>
  <si>
    <t>Net Profit Margin</t>
  </si>
  <si>
    <t>Expense Ratios</t>
  </si>
  <si>
    <t>Sales Expenses</t>
  </si>
  <si>
    <t>Depreciation</t>
  </si>
  <si>
    <t xml:space="preserve">Operating Income </t>
  </si>
  <si>
    <t>Returns</t>
  </si>
  <si>
    <t>Return on Capital Employed</t>
  </si>
  <si>
    <t xml:space="preserve">Retained Earnings </t>
  </si>
  <si>
    <t xml:space="preserve">Return on Equity </t>
  </si>
  <si>
    <t>Self Sustained Growth Rate</t>
  </si>
  <si>
    <t>Interest Coverage Ratio</t>
  </si>
  <si>
    <t xml:space="preserve">Efficiency Ratios </t>
  </si>
  <si>
    <t>Debtor Turnover Ratio</t>
  </si>
  <si>
    <t>Creditor Turnover Ratio</t>
  </si>
  <si>
    <t>Inventory Turnover</t>
  </si>
  <si>
    <t>Fixed Asset Turnover</t>
  </si>
  <si>
    <t>Capital Turnover Ratio</t>
  </si>
  <si>
    <t>Working Capital Days</t>
  </si>
  <si>
    <t>Debtors Days</t>
  </si>
  <si>
    <t>Payable Days</t>
  </si>
  <si>
    <t>Inventory Days</t>
  </si>
  <si>
    <t>Cash Conversion Cycle</t>
  </si>
  <si>
    <t>Cash Flow Quality</t>
  </si>
  <si>
    <t>CFO / Sales</t>
  </si>
  <si>
    <t>CFO / Total Assets</t>
  </si>
  <si>
    <t>CFO / Total Debt</t>
  </si>
  <si>
    <t>Income statement</t>
  </si>
  <si>
    <t>Sales</t>
  </si>
  <si>
    <t>—</t>
  </si>
  <si>
    <t>COGS</t>
  </si>
  <si>
    <t>COGS % Sales</t>
  </si>
  <si>
    <t>Gross Profit</t>
  </si>
  <si>
    <t>S&amp;G Expense</t>
  </si>
  <si>
    <t>Gross Margins</t>
  </si>
  <si>
    <t>S&amp;G % Sales</t>
  </si>
  <si>
    <t>EBITDA</t>
  </si>
  <si>
    <t>Selling &amp; General Expense</t>
  </si>
  <si>
    <t>S&amp;G Exp % Sales</t>
  </si>
  <si>
    <t>Dep % Sales</t>
  </si>
  <si>
    <t>EBIT</t>
  </si>
  <si>
    <t>EBITDA Margins</t>
  </si>
  <si>
    <t>Interest</t>
  </si>
  <si>
    <t>Depreciation % of Sales</t>
  </si>
  <si>
    <t>EBT</t>
  </si>
  <si>
    <t>Tax</t>
  </si>
  <si>
    <t>Effective Tax Rate</t>
  </si>
  <si>
    <t>Net Profit</t>
  </si>
  <si>
    <t>Net Margin</t>
  </si>
  <si>
    <t>Interest % of Sales</t>
  </si>
  <si>
    <t>Earnings Before Tax</t>
  </si>
  <si>
    <t>EBT % Sales</t>
  </si>
  <si>
    <t>Net Margins</t>
  </si>
  <si>
    <t>No. of Equity Shares (Cr)</t>
  </si>
  <si>
    <t>Earnings Per Share</t>
  </si>
  <si>
    <t>EPS Growth %</t>
  </si>
  <si>
    <t>Dividend per Share</t>
  </si>
  <si>
    <t>Dividend Payout Ratio</t>
  </si>
  <si>
    <t>Retained Earnings</t>
  </si>
  <si>
    <t>Balance Statement</t>
  </si>
  <si>
    <t>Reserves</t>
  </si>
  <si>
    <t>Borrowings</t>
  </si>
  <si>
    <t>Other Liabilities</t>
  </si>
  <si>
    <t>Total Liabilities</t>
  </si>
  <si>
    <t>Fixed Assets Net Block</t>
  </si>
  <si>
    <t>Capital Work in Progress</t>
  </si>
  <si>
    <t>Investments</t>
  </si>
  <si>
    <t>Total Non Current Assets</t>
  </si>
  <si>
    <t>Receivables</t>
  </si>
  <si>
    <t>Inventory</t>
  </si>
  <si>
    <t>Cash &amp; Bank</t>
  </si>
  <si>
    <t>Check (Assets=Liabilities)</t>
  </si>
  <si>
    <t>Cash Flow Statement</t>
  </si>
  <si>
    <t>Operating Activities</t>
  </si>
  <si>
    <t>Cash from Operating Activities</t>
  </si>
  <si>
    <t>Cash from Investing Activities</t>
  </si>
  <si>
    <t>Cash from Financing Activities</t>
  </si>
  <si>
    <t>Net Cash Flow</t>
  </si>
  <si>
    <t>Date</t>
  </si>
  <si>
    <t>Nifty 50 Daily Returns</t>
  </si>
  <si>
    <t>COALINDIA.NS Daily Returns</t>
  </si>
  <si>
    <t>Beta</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</si>
  <si>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</si>
  <si>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</si>
  <si>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</si>
  <si>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</si>
  <si>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</si>
  <si>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</si>
  <si>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</si>
  <si>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</si>
  <si>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</si>
  <si>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</si>
  <si>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</si>
  <si>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</si>
  <si>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</si>
  <si>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</si>
  <si>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</si>
  <si>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</si>
  <si>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</si>
  <si>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</si>
  <si>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</si>
  <si>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</si>
  <si>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</si>
  <si>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</si>
  <si>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</si>
  <si>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</si>
  <si>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</si>
  <si>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Cost of Capital-COAL INDIA</t>
  </si>
  <si>
    <t>Cost of capital</t>
  </si>
  <si>
    <t>As On Date:</t>
  </si>
  <si>
    <t>Cost of equity using CAPM:</t>
  </si>
  <si>
    <t>Risk-free rate</t>
  </si>
  <si>
    <t>India default spread</t>
  </si>
  <si>
    <t>Market Return</t>
  </si>
  <si>
    <t>Equity risk premium</t>
  </si>
  <si>
    <t>Cost of equity</t>
  </si>
  <si>
    <t>Cost of debt:</t>
  </si>
  <si>
    <t>Company credit rating</t>
  </si>
  <si>
    <t>Rating default spread</t>
  </si>
  <si>
    <t>Pre-tax cost of debt</t>
  </si>
  <si>
    <t>Marginal tax rate %</t>
  </si>
  <si>
    <t>Post-tax cost of debt</t>
  </si>
  <si>
    <t>Market value weights:</t>
  </si>
  <si>
    <t>Book value of Debt</t>
  </si>
  <si>
    <t>Share price (as on above date)</t>
  </si>
  <si>
    <t>No. of shares outstanding</t>
  </si>
  <si>
    <t>Market value of Equity</t>
  </si>
  <si>
    <t>D/E Ratio</t>
  </si>
  <si>
    <t xml:space="preserve">weight of debt, wa </t>
  </si>
  <si>
    <t>Weightof equity, we</t>
  </si>
  <si>
    <t>Cost of Capital</t>
  </si>
  <si>
    <t>Assumptions: COAL INDIA LTD</t>
  </si>
  <si>
    <t>Median Of Revenue Growth</t>
  </si>
  <si>
    <t>Historical Growth</t>
  </si>
  <si>
    <t>Average Sales Growth</t>
  </si>
  <si>
    <t>CAGR %</t>
  </si>
  <si>
    <t>(RRI Formula)</t>
  </si>
  <si>
    <t>Tax Rate</t>
  </si>
  <si>
    <t>Average:</t>
  </si>
  <si>
    <t>Marginal Tax Rate</t>
  </si>
  <si>
    <t>Return On Capital Employed</t>
  </si>
  <si>
    <t>EBIT*(1-T)</t>
  </si>
  <si>
    <t>Book Equity</t>
  </si>
  <si>
    <t>Book Debt</t>
  </si>
  <si>
    <t>Cash and Equivalents</t>
  </si>
  <si>
    <t>Capital Employed</t>
  </si>
  <si>
    <t>Pre/Post Tax Return on Capital Employed</t>
  </si>
  <si>
    <t>Pre Tax ROCE</t>
  </si>
  <si>
    <t>Post Tax ROCE</t>
  </si>
  <si>
    <t>Growth in EBIT (Reinvestment-based)</t>
  </si>
  <si>
    <t>Fixed Asset Schedule</t>
  </si>
  <si>
    <t>Particulars</t>
  </si>
  <si>
    <t>Opening Balance</t>
  </si>
  <si>
    <t>Add: Gross Additions (Capex)</t>
  </si>
  <si>
    <t>Fixed Assets Before Depreciation</t>
  </si>
  <si>
    <t>Less: Depreciation</t>
  </si>
  <si>
    <t>Closing Balance Net Block</t>
  </si>
  <si>
    <t>Net Capital Expenditure</t>
  </si>
  <si>
    <t>Net Capex / Sales %</t>
  </si>
  <si>
    <t>Median Net Capex / Sales %</t>
  </si>
  <si>
    <t>Average Net Capex / Sales %</t>
  </si>
  <si>
    <t>Changes in Working Capital</t>
  </si>
  <si>
    <t>FY 2022</t>
  </si>
  <si>
    <t>FY 2023</t>
  </si>
  <si>
    <t>FY 2024</t>
  </si>
  <si>
    <t>FY 2025</t>
  </si>
  <si>
    <t>FY 2026</t>
  </si>
  <si>
    <t>Payables</t>
  </si>
  <si>
    <t>Non-Cash Working Capital</t>
  </si>
  <si>
    <t>Change in Working Capital</t>
  </si>
  <si>
    <t>Change in WC / % of Sales</t>
  </si>
  <si>
    <t>Median Change in WC / % of Sales</t>
  </si>
  <si>
    <t>Average Change in WC / % of Sales</t>
  </si>
  <si>
    <t>FCFF Analysis - COAL INDIA LTD</t>
  </si>
  <si>
    <t>EBIT (INR Cr.)</t>
  </si>
  <si>
    <t>Less: Tax on EBIT (25%)</t>
  </si>
  <si>
    <t>EBIT × (1 - Tax Rate)</t>
  </si>
  <si>
    <t>Reinvestment</t>
  </si>
  <si>
    <t>Less: Net Capital Expenditure</t>
  </si>
  <si>
    <t>Less: Change in Working Capital</t>
  </si>
  <si>
    <t>Total Reinvestment</t>
  </si>
  <si>
    <t>Free Cash Flow to Firm (FCFF)</t>
  </si>
  <si>
    <t>FCFF (INR Cr.)</t>
  </si>
  <si>
    <t>Reinvestment Metrics</t>
  </si>
  <si>
    <t>Reinvestment Rate %</t>
  </si>
  <si>
    <t>Summary Statistics</t>
  </si>
  <si>
    <t>Median Reinvestment Rate</t>
  </si>
  <si>
    <t>Average Reinvestment Rate</t>
  </si>
  <si>
    <t xml:space="preserve">Forecasting </t>
  </si>
  <si>
    <t>Sales Forecasting</t>
  </si>
  <si>
    <t>EBITDA Forecasting</t>
  </si>
  <si>
    <t>EPS Forecasting</t>
  </si>
  <si>
    <t>Year Weight</t>
  </si>
  <si>
    <t>Year</t>
  </si>
  <si>
    <t>Sales (INR Cr.)</t>
  </si>
  <si>
    <t>EBITDA (INR Cr.)</t>
  </si>
  <si>
    <t>EPS (INR)</t>
  </si>
  <si>
    <t>EPS Growth</t>
  </si>
  <si>
    <t>Growth Scenarios</t>
  </si>
  <si>
    <t>Scenario 1: High Growth</t>
  </si>
  <si>
    <t>INR Cr.</t>
  </si>
  <si>
    <t>LTM</t>
  </si>
  <si>
    <t>Y1E</t>
  </si>
  <si>
    <t>Y2E</t>
  </si>
  <si>
    <t>Y3E</t>
  </si>
  <si>
    <t>Y4W</t>
  </si>
  <si>
    <t>Y5E</t>
  </si>
  <si>
    <t>Y6E</t>
  </si>
  <si>
    <t>Y7E</t>
  </si>
  <si>
    <t>Y8E</t>
  </si>
  <si>
    <t>Y9E</t>
  </si>
  <si>
    <t>Y10E</t>
  </si>
  <si>
    <t>Average Revenue Growth</t>
  </si>
  <si>
    <t>Risk Free Rate</t>
  </si>
  <si>
    <t>Sales Growth %</t>
  </si>
  <si>
    <t>Growth Per Year</t>
  </si>
  <si>
    <t>Scenario 2: Average Growth</t>
  </si>
  <si>
    <t>Scenario 3: EBIT Growth</t>
  </si>
  <si>
    <t>Live Scenario</t>
  </si>
  <si>
    <t xml:space="preserve">  Risk-Free Rate (Rf)</t>
  </si>
  <si>
    <t xml:space="preserve">  Beta (β)</t>
  </si>
  <si>
    <t xml:space="preserve">  Market Return (Rm)</t>
  </si>
  <si>
    <t xml:space="preserve">  Equity Risk Premium (ERP)</t>
  </si>
  <si>
    <t xml:space="preserve">  Cost of Equity (Ke)</t>
  </si>
  <si>
    <t xml:space="preserve">  Earnings Per Share (EPS)</t>
  </si>
  <si>
    <t xml:space="preserve">  Dividend Per Share (DPS)</t>
  </si>
  <si>
    <t xml:space="preserve">  Dividend Payout Ratio</t>
  </si>
  <si>
    <t xml:space="preserve">  Retention Ratio (b)</t>
  </si>
  <si>
    <t xml:space="preserve">  Return on Equity (ROE)</t>
  </si>
  <si>
    <t>Terminal
Value</t>
  </si>
  <si>
    <t xml:space="preserve">  Growth Rate Applied</t>
  </si>
  <si>
    <t xml:space="preserve">  INTRINSIC VALUE PER SHARE  (DDM)</t>
  </si>
  <si>
    <t xml:space="preserve">  Current Market Price (CMP)</t>
  </si>
  <si>
    <t xml:space="preserve">  Intrinsic Value (DDM)</t>
  </si>
  <si>
    <t xml:space="preserve">  Margin of Safety (%)</t>
  </si>
  <si>
    <t xml:space="preserve">  VERDICT</t>
  </si>
  <si>
    <t>DCF</t>
  </si>
  <si>
    <t>INR Cr</t>
  </si>
  <si>
    <t>Terminal Year</t>
  </si>
  <si>
    <t>Terminal growth rate %</t>
  </si>
  <si>
    <t xml:space="preserve">Sales </t>
  </si>
  <si>
    <t>Cost of Capital %</t>
  </si>
  <si>
    <t>Terminal reinvestment rate %</t>
  </si>
  <si>
    <t>EBIT Margin %</t>
  </si>
  <si>
    <t>Less: Tax on EBIT</t>
  </si>
  <si>
    <t>EBIT(1-T)</t>
  </si>
  <si>
    <t>Non Cash Working Capital</t>
  </si>
  <si>
    <t>Free Cash Flow To Firm (FCFF)</t>
  </si>
  <si>
    <t>Implied Reinvestment rate %</t>
  </si>
  <si>
    <t>Terminal Value</t>
  </si>
  <si>
    <t>Present Value Interest Factor(PVIF)</t>
  </si>
  <si>
    <t>Present value of FCFF</t>
  </si>
  <si>
    <t>Present value of Terminal value</t>
  </si>
  <si>
    <t>Calculation of Sensitivity Analysis</t>
  </si>
  <si>
    <t>Value of operating assets</t>
  </si>
  <si>
    <t>Add: Cash</t>
  </si>
  <si>
    <t>Less: Debt</t>
  </si>
  <si>
    <t>Less: Minority Interest</t>
  </si>
  <si>
    <t>Equity Value</t>
  </si>
  <si>
    <t>No. of Shares outstanding (Cr)</t>
  </si>
  <si>
    <t xml:space="preserve">intrinsic value per share </t>
  </si>
  <si>
    <t>Coal India Limited (CIL) is the world's largest coal-producing company and a Maharatna Public Sector Undertaking under the Ministry of Coal, Government of India. The company is primarily engaged in the mining and production of coal and also operates coal washeries. Coal India supplies around 80% of India's total coal production and is a key supplier to the power and steel sectors. Other major consumers include cement, fertilizer, brick kiln, and various industrial sectors.</t>
  </si>
  <si>
    <t xml:space="preserve">About The Company: </t>
  </si>
  <si>
    <t>Subsidiaries</t>
  </si>
  <si>
    <t>1. Eastern Coalfields Limited (ECL), Sanctoria, West Bengal
2. Bharat Coking Coal Limited (BCCL), Dhanbad, Jharkhand
3. Central Coalfields Limited (CCL), Ranchi, Jharkhand
4. Western Coalfields Limited (WCL), Nagpur, Maharashtra
5. South Eastern Coalfields Limited (SECL), Bilaspur, Chhattisgarh
6. Northern Coalfields Limited (NCL), Singrauli, Madhya Pradesh
7. Mahanadi Coalfields Limited (MCL), Sambalpur, Odisha
8. Central Mine Planning &amp; Design Institute Limited (CMPDI), Ranchi, Jharkhand
9. CIL Solar PV Limited, Kolkata, West Bengal
10. CIL Navikarniya Urja Limited, Kolkata, West Bengal
11. Coal India Africana Limitada, Mozambique (Wholly Owned Overseas Subsidiary)</t>
  </si>
  <si>
    <t>Mining Areas / Major Operations</t>
  </si>
  <si>
    <t>&gt; Eastern Coalfields Limited (ECL) – West Bengal &amp; Jharkhand
&gt; Bharat Coking Coal Limited (BCCL) – Jharkhand
&gt; Central Coalfields Limited (CCL) – Jharkhand
&gt; Western Coalfields Limited (WCL) – Maharashtra &amp; Madhya Pradesh
&gt; South Eastern Coalfields Limited (SECL) – Chhattisgarh &amp; Madhya Pradesh
&gt; Northern Coalfields Limited (NCL) – Madhya Pradesh &amp; Uttar Pradesh
&gt; Mahanadi Coalfields Limited (MCL) – Odisha</t>
  </si>
  <si>
    <t>Units</t>
  </si>
  <si>
    <t>1. Corporate Headquarters, Coal Bhawan, Premise No. 04 MAR, Plot No. AF-III, Action Area-1A, New Town, Rajarhat, Kolkata – 700156, West Bengal</t>
  </si>
  <si>
    <t>2. Central Mine Planning &amp; Design Institute (CMPDI), Ranchi, Jharkhand</t>
  </si>
  <si>
    <t>3. CIL Solar PV Limited, Kolkata, West Bengal</t>
  </si>
  <si>
    <t>4. CIL Navikarniya Urja Limited, Kolkata, West Bengal</t>
  </si>
  <si>
    <t>5. Coal India Africana Limitada, Mozambique</t>
  </si>
  <si>
    <t>6. Various First Mile Connectivity (FMC) Infrastructure Projects across India</t>
  </si>
  <si>
    <t>7. Coal Washeries located across subsidiary mining areas</t>
  </si>
  <si>
    <t xml:space="preserve"> Dividend Discount Model (DDM) Valuation</t>
  </si>
  <si>
    <t>COST OF EQUITY</t>
  </si>
  <si>
    <t xml:space="preserve">HISTORICAL DIVIDEND &amp; EARNINGS </t>
  </si>
  <si>
    <t xml:space="preserve">DDM ASSUMPTIONS   </t>
  </si>
  <si>
    <t>Stage 1 Assumptions ( High Growth Phase: Year 1–5 )</t>
  </si>
  <si>
    <t xml:space="preserve">  Base DPS 2025 Actual</t>
  </si>
  <si>
    <t xml:space="preserve">  Stage 1 Growth Rate</t>
  </si>
  <si>
    <t xml:space="preserve">  Dividend Payout </t>
  </si>
  <si>
    <t xml:space="preserve">  Terminal Growth Rate </t>
  </si>
  <si>
    <t xml:space="preserve">  Cost of Equity </t>
  </si>
  <si>
    <t>INTRINSIC VALUE:</t>
  </si>
  <si>
    <t xml:space="preserve">TWO-STAGE DDM </t>
  </si>
  <si>
    <t xml:space="preserve"> STAGE 2: Stable Growth Phase  </t>
  </si>
  <si>
    <t xml:space="preserve"> STAGE 1: High Growth Phase </t>
  </si>
  <si>
    <t xml:space="preserve">  Period </t>
  </si>
  <si>
    <t xml:space="preserve">  Projected DPS </t>
  </si>
  <si>
    <t xml:space="preserve">  PVIF </t>
  </si>
  <si>
    <t xml:space="preserve">  PV of DPS </t>
  </si>
  <si>
    <t xml:space="preserve">  PV of Stage 2 Dividends  (Year 6-10)</t>
  </si>
  <si>
    <t xml:space="preserve">  PV of Stage 1 Dividends  (Year 1-5)</t>
  </si>
  <si>
    <t xml:space="preserve">  PV of Terminal Value </t>
  </si>
  <si>
    <t xml:space="preserve">MARGIN OF SAFETY </t>
  </si>
  <si>
    <t>HOLD</t>
  </si>
  <si>
    <t xml:space="preserve">  Sustainable Growth</t>
  </si>
  <si>
    <t>Stage 2 Assumptions (Terminal Phase)</t>
  </si>
  <si>
    <t>Stock Analysis:</t>
  </si>
  <si>
    <t>My Recommendation</t>
  </si>
  <si>
    <t>Investor Type</t>
  </si>
  <si>
    <t>View</t>
  </si>
  <si>
    <t>Already Holding</t>
  </si>
  <si>
    <t>Long-Term Dividend Investor</t>
  </si>
  <si>
    <t>BUY / ACCUMULATE</t>
  </si>
  <si>
    <t>Looking for High Growth</t>
  </si>
  <si>
    <t>Avoid</t>
  </si>
  <si>
    <t>Value Investor</t>
  </si>
  <si>
    <t>BUY ON DIPS</t>
  </si>
  <si>
    <t>Coal India appears fairly valued to slightly undervalued at current levels. The stock's biggest attraction remains its strong dividend yield, cash generation, and low valuation multiples rather than high earnings growth. Investors seeking stable income and value may continue to accumulate on corrections, while existing shareholders can comfortably hold the stock.</t>
  </si>
  <si>
    <t xml:space="preserve">Historical Financial Statement </t>
  </si>
  <si>
    <t>Statement showing shareholding pattern of the Promoter and Promoter Group</t>
  </si>
  <si>
    <t>Category of shareholder</t>
  </si>
  <si>
    <t>Entity Type</t>
  </si>
  <si>
    <t>Nos. of shareholders</t>
  </si>
  <si>
    <t>No. of fully paid up equity shares held</t>
  </si>
  <si>
    <t>Total nos. shares held</t>
  </si>
  <si>
    <t>Shareholding as a % of total no. of shares (calculated as per SCRR, 1957)As a % of (A+B+C2)</t>
  </si>
  <si>
    <t>Number of Voting Rights held in each class of securities</t>
  </si>
  <si>
    <t>Total No. Of shares on fully diluted basis (including warrants, ESOP, Convertible Securities etc.)</t>
  </si>
  <si>
    <t>Shareholding , as a % assuming full conversion of convertible securities ( as a percentage of diluted share capital)As a % of (A+B+C2)</t>
  </si>
  <si>
    <t>Number of equity shares held in dematerialized form</t>
  </si>
  <si>
    <t>Class eg: X</t>
  </si>
  <si>
    <t>A1) Indian</t>
  </si>
  <si>
    <t>-</t>
  </si>
  <si>
    <t>Central Government/ State Government(s)</t>
  </si>
  <si>
    <t>PRESIDENT OF INDIA</t>
  </si>
  <si>
    <t>Promoter</t>
  </si>
  <si>
    <t>Sub Total A1</t>
  </si>
  <si>
    <t>A2) Foreign</t>
  </si>
  <si>
    <t>A=A1+A2</t>
  </si>
  <si>
    <t>Statement showing shareholding pattern of the Public shareholder</t>
  </si>
  <si>
    <t>Category &amp; Name of the Shareholders</t>
  </si>
  <si>
    <t>No. of shareholder</t>
  </si>
  <si>
    <t>Total no. shares held</t>
  </si>
  <si>
    <t>Shareholding % calculated as per SCRR, 1957 As a % of (A+B+C2)</t>
  </si>
  <si>
    <t>No. of Voting Rights</t>
  </si>
  <si>
    <t>Total as a % of Total Voting right</t>
  </si>
  <si>
    <t>No. of equity shares held in dematerialized form(Not Applicable)</t>
  </si>
  <si>
    <t>Sub-categorization of shares (XV)</t>
  </si>
  <si>
    <t>Shareholding (No. of shares) under</t>
  </si>
  <si>
    <t>SubCategory_I</t>
  </si>
  <si>
    <t>SubCategory_II</t>
  </si>
  <si>
    <t>SubCategory_III</t>
  </si>
  <si>
    <t>Institutions</t>
  </si>
  <si>
    <t>B2) Institutions (Domestic)</t>
  </si>
  <si>
    <t>Mutual Funds/</t>
  </si>
  <si>
    <t>CPSE EXCHANGE TRADED SCHEME (CPSE ETF)</t>
  </si>
  <si>
    <t>PARAG PARIKH FLEXI CAP FUND</t>
  </si>
  <si>
    <t>SBI NIFTY 50 ETF</t>
  </si>
  <si>
    <t>Venture Capital Funds</t>
  </si>
  <si>
    <t>Alternate Investment Funds</t>
  </si>
  <si>
    <t>Banks</t>
  </si>
  <si>
    <t>Insurance Companies</t>
  </si>
  <si>
    <t>LIFE INSURANCE CORPORATION OF INDIA</t>
  </si>
  <si>
    <t>Provident Funds/ Pension Funds</t>
  </si>
  <si>
    <t>Asset reconstruction companies</t>
  </si>
  <si>
    <t>Sovereign Wealth Funds</t>
  </si>
  <si>
    <t>NBFCs registered with RBI</t>
  </si>
  <si>
    <t>Other Financial Institutions</t>
  </si>
  <si>
    <t>Any Other(Institutions (Domestic))</t>
  </si>
  <si>
    <t>Sub Total B1</t>
  </si>
  <si>
    <t>B19) Institutions (Foreign)</t>
  </si>
  <si>
    <t>Foreign Direct Investment</t>
  </si>
  <si>
    <t>Foreign Venture Capital Investors</t>
  </si>
  <si>
    <t>Foreign Portfolio Investors Category I</t>
  </si>
  <si>
    <t>Foreign Portfolio Investors Category II</t>
  </si>
  <si>
    <t>Overseas Depositories (holding DRs) (balancing figure)</t>
  </si>
  <si>
    <t>Any Other(Institutions (Foreign))</t>
  </si>
  <si>
    <t>Sub Total B2</t>
  </si>
  <si>
    <t>B28) Central Government/ State Government(s)/ President of India</t>
  </si>
  <si>
    <t>Central Government / President of India</t>
  </si>
  <si>
    <t>State Government / Governor</t>
  </si>
  <si>
    <t>Shareholding by Companies or Bodies Corporate where Central / State Government is a promoter</t>
  </si>
  <si>
    <t>Sub Total B3</t>
  </si>
  <si>
    <t>B33) Non-Institutions</t>
  </si>
  <si>
    <t>Associate companies / Subsidiaries</t>
  </si>
  <si>
    <t>Directors and their relatives (excluding independent directors and nominee directors)</t>
  </si>
  <si>
    <t>Key Managerial Personnel</t>
  </si>
  <si>
    <t>Relatives of promoters (other than 'immediate relatives' of promoters disclosed under 'Promoter and Promoter Group' category)</t>
  </si>
  <si>
    <t>Trusts where any person belonging to 'Promoter and Promoter Group' category is 'trustee', 'beneficiary', or 'author of the trust'</t>
  </si>
  <si>
    <t>Investor Education and Protection Fund (IEPF)</t>
  </si>
  <si>
    <t>Resident Individuals holding nominal share capital up to Rs. 2 lakhs</t>
  </si>
  <si>
    <t>Resident Individuals holding nominal share capital in excess of Rs. 2 lakhs</t>
  </si>
  <si>
    <t>Non Resident Indians (NRIs)</t>
  </si>
  <si>
    <t>Foreign Nationals</t>
  </si>
  <si>
    <t>Foreign Companies</t>
  </si>
  <si>
    <t>Bodies Corporate</t>
  </si>
  <si>
    <t>Any Other (specify)</t>
  </si>
  <si>
    <t>Sub Total B4</t>
  </si>
  <si>
    <t>B=B1+B2+B3+B4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</si>
</sst>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mmm\-yy"/>
    <numFmt numFmtId="165" formatCode="0.0%;\(0.0%\);\-"/>
    <numFmt numFmtId="166" formatCode="0.0\x;\(0.0&quot;x)&quot;;\-"/>
    <numFmt numFmtId="167" formatCode="0.0;\(0.0\);\-"/>
    <numFmt numFmtId="168" formatCode="#,##0.0;\(#,##0.0\);\-"/>
    <numFmt numFmtId="169" formatCode="0.00;\(0.00\);\-"/>
    <numFmt numFmtId="170" formatCode="m/d/yyyy"/>
    <numFmt numFmtId="171" formatCode="_ * #,##0.00_ ;_ * \-#,##0.00_ ;_ * \-??_ ;_ @_ "/>
    <numFmt numFmtId="172" formatCode="#,##0.00;\(#,##0.00\);\-"/>
    <numFmt numFmtId="173" formatCode="0.00%;\(0.00%\);\-"/>
    <numFmt numFmtId="174" formatCode="&quot;₹ &quot;#,##0.00;&quot;(₹ -&quot;#,##0.0\);\-"/>
    <numFmt numFmtId="175" formatCode="##0.00"/>
    <numFmt numFmtId="176" formatCode="0.0%"/>
    <numFmt numFmtId="177" formatCode="0.000%"/>
    <numFmt numFmtId="178" formatCode="0.000"/>
    <numFmt numFmtId="179" formatCode="#,##0.0"/>
    <numFmt numFmtId="180" formatCode="0.0000"/>
    <numFmt numFmtId="181" formatCode="#,##0;\(#,##0\);\-"/>
    <numFmt numFmtId="182" formatCode="\₹#,##0.00"/>
    <numFmt numFmtId="183" formatCode="_ * #,##0.0000_ ;_ * \-#,##0.0000_ ;_ * \-??_ ;_ @_ "/>
  </numFmts>
  <fonts count="66" x14ac:knownFonts="1">
    <font>
      <sz val="11"/>
      <color theme="1"/>
      <name val="Calibri"/>
      <family val="2"/>
      <charset val="1"/>
    </font>
    <font>
      <sz val="11"/>
      <color theme="1"/>
      <name val="Calibri"/>
      <family val="2"/>
    </font>
    <font>
      <b/>
      <sz val="11"/>
      <color theme="1"/>
      <name val="Arial"/>
      <family val="2"/>
      <charset val="1"/>
    </font>
    <font>
      <u/>
      <sz val="11"/>
      <color theme="10"/>
      <name val="Calibri"/>
      <family val="2"/>
      <charset val="1"/>
    </font>
    <font>
      <b/>
      <sz val="6"/>
      <color theme="1"/>
      <name val="Arial"/>
      <family val="2"/>
      <charset val="1"/>
    </font>
    <font>
      <sz val="6"/>
      <color theme="1"/>
      <name val="Arial"/>
      <family val="2"/>
      <charset val="1"/>
    </font>
    <font>
      <sz val="8"/>
      <color theme="1"/>
      <name val="Calibri"/>
      <family val="2"/>
      <charset val="1"/>
    </font>
    <font>
      <sz val="8"/>
      <color theme="1"/>
      <name val="Arial"/>
      <family val="2"/>
      <charset val="1"/>
    </font>
    <font>
      <b/>
      <sz val="8"/>
      <color theme="1"/>
      <name val="Arial"/>
      <family val="2"/>
      <charset val="1"/>
    </font>
    <font>
      <sz val="11"/>
      <color theme="1"/>
      <name val="Arial"/>
      <family val="2"/>
      <charset val="1"/>
    </font>
    <font>
      <b/>
      <sz val="6"/>
      <color rgb="FF000000"/>
      <name val="Tahoma"/>
      <family val="2"/>
      <charset val="1"/>
    </font>
    <font>
      <sz val="12"/>
      <color theme="1"/>
      <name val="Arial"/>
      <family val="2"/>
      <charset val="1"/>
    </font>
    <font>
      <b/>
      <sz val="10"/>
      <color theme="1"/>
      <name val="Arial"/>
      <family val="2"/>
      <charset val="1"/>
    </font>
    <font>
      <i/>
      <sz val="10"/>
      <color theme="1"/>
      <name val="Arial"/>
      <family val="2"/>
      <charset val="1"/>
    </font>
    <font>
      <sz val="10"/>
      <color theme="1"/>
      <name val="Arial"/>
      <family val="2"/>
      <charset val="1"/>
    </font>
    <font>
      <b/>
      <sz val="11"/>
      <color theme="1"/>
      <name val="Calibri"/>
      <family val="2"/>
      <charset val="1"/>
    </font>
    <font>
      <b/>
      <sz val="11"/>
      <name val="Calibri"/>
      <family val="2"/>
      <charset val="1"/>
    </font>
    <font>
      <i/>
      <sz val="11"/>
      <color theme="1"/>
      <name val="Calibri"/>
      <family val="2"/>
      <charset val="1"/>
    </font>
    <font>
      <b/>
      <sz val="10"/>
      <color rgb="FF000000"/>
      <name val="Arial"/>
      <family val="2"/>
      <charset val="1"/>
    </font>
    <font>
      <sz val="10"/>
      <color rgb="FF000000"/>
      <name val="Arial"/>
      <family val="2"/>
      <charset val="1"/>
    </font>
    <font>
      <b/>
      <sz val="10"/>
      <color rgb="FF008000"/>
      <name val="Arial"/>
      <family val="2"/>
      <charset val="1"/>
    </font>
    <font>
      <sz val="10"/>
      <color rgb="FF008000"/>
      <name val="Arial"/>
      <family val="2"/>
      <charset val="1"/>
    </font>
    <font>
      <sz val="11"/>
      <name val="Calibri"/>
      <family val="2"/>
      <charset val="1"/>
    </font>
    <font>
      <i/>
      <sz val="8"/>
      <color rgb="FF595959"/>
      <name val="Arial"/>
      <family val="2"/>
      <charset val="1"/>
    </font>
    <font>
      <i/>
      <sz val="8"/>
      <color theme="2" tint="-0.499984740745262"/>
      <name val="Arial"/>
      <family val="2"/>
      <charset val="1"/>
    </font>
    <font>
      <sz val="11"/>
      <name val="Cambria"/>
      <family val="1"/>
      <charset val="1"/>
    </font>
    <font>
      <sz val="11"/>
      <color theme="1"/>
      <name val="Cambria"/>
      <family val="1"/>
      <charset val="1"/>
    </font>
    <font>
      <sz val="10"/>
      <color theme="0"/>
      <name val="Arial"/>
      <family val="2"/>
      <charset val="1"/>
    </font>
    <font>
      <b/>
      <sz val="11"/>
      <color rgb="FFFFFFFF"/>
      <name val="Arial"/>
      <family val="2"/>
      <charset val="1"/>
    </font>
    <font>
      <b/>
      <sz val="10"/>
      <color rgb="FFFFFFFF"/>
      <name val="Arial"/>
      <family val="2"/>
      <charset val="1"/>
    </font>
    <font>
      <sz val="10"/>
      <color rgb="FF339966"/>
      <name val="Arial"/>
      <family val="2"/>
      <charset val="1"/>
    </font>
    <font>
      <sz val="10"/>
      <color rgb="FF006600"/>
      <name val="Arial"/>
      <family val="2"/>
      <charset val="1"/>
    </font>
    <font>
      <b/>
      <sz val="12"/>
      <color theme="0"/>
      <name val="Arial"/>
      <family val="2"/>
      <charset val="1"/>
    </font>
    <font>
      <i/>
      <sz val="12"/>
      <color theme="0"/>
      <name val="Arial"/>
      <family val="2"/>
      <charset val="1"/>
    </font>
    <font>
      <b/>
      <sz val="11"/>
      <color theme="0"/>
      <name val="Arial"/>
      <family val="2"/>
      <charset val="1"/>
    </font>
    <font>
      <sz val="12"/>
      <color theme="0"/>
      <name val="Arial"/>
      <family val="2"/>
      <charset val="1"/>
    </font>
    <font>
      <sz val="11"/>
      <color theme="0"/>
      <name val="Arial"/>
      <family val="2"/>
      <charset val="1"/>
    </font>
    <font>
      <b/>
      <i/>
      <sz val="11"/>
      <color theme="1"/>
      <name val="Calibri"/>
      <family val="2"/>
      <charset val="1"/>
    </font>
    <font>
      <b/>
      <sz val="11"/>
      <color theme="0"/>
      <name val="Calibri"/>
      <family val="2"/>
      <charset val="1"/>
    </font>
    <font>
      <sz val="14"/>
      <color theme="1"/>
      <name val="Calibri"/>
      <family val="2"/>
      <charset val="1"/>
    </font>
    <font>
      <b/>
      <sz val="14"/>
      <color theme="1"/>
      <name val="Calibri"/>
      <family val="2"/>
    </font>
    <font>
      <b/>
      <sz val="24"/>
      <color theme="1"/>
      <name val="Calibri"/>
      <family val="2"/>
      <charset val="1"/>
    </font>
    <font>
      <sz val="9"/>
      <name val="Arial"/>
      <family val="2"/>
    </font>
    <font>
      <b/>
      <sz val="10"/>
      <name val="Arial"/>
      <family val="2"/>
    </font>
    <font>
      <sz val="10"/>
      <name val="Arial"/>
      <family val="2"/>
    </font>
    <font>
      <b/>
      <sz val="11"/>
      <name val="Arial"/>
      <family val="2"/>
    </font>
    <font>
      <b/>
      <sz val="12"/>
      <name val="Arial"/>
      <family val="2"/>
    </font>
    <font>
      <b/>
      <sz val="10"/>
      <color theme="0"/>
      <name val="Arial"/>
      <family val="2"/>
    </font>
    <font>
      <b/>
      <sz val="11"/>
      <color theme="0"/>
      <name val="Arial"/>
      <family val="2"/>
    </font>
    <font>
      <sz val="7"/>
      <color rgb="FF000000"/>
      <name val="Arial"/>
      <family val="2"/>
    </font>
    <font>
      <sz val="7"/>
      <color rgb="FF000000"/>
      <name val="Arial"/>
      <family val="2"/>
    </font>
    <font>
      <sz val="7"/>
      <color rgb="FFFFFFFF"/>
      <name val="Arial"/>
      <family val="2"/>
    </font>
    <font>
      <sz val="7"/>
      <color rgb="FFFFFFFF"/>
      <name val="Calibri"/>
      <family val="2"/>
      <charset val="1"/>
    </font>
    <font>
      <sz val="11"/>
      <color rgb="FF000000"/>
      <name val="Calibri"/>
      <family val="2"/>
      <charset val="1"/>
    </font>
    <font>
      <sz val="11"/>
      <color rgb="FF000000"/>
      <name val="Calibri"/>
      <family val="2"/>
      <charset val="1"/>
    </font>
    <font>
      <sz val="18"/>
      <color theme="0"/>
      <name val="Arial"/>
      <family val="2"/>
      <charset val="1"/>
    </font>
    <font>
      <b/>
      <sz val="14"/>
      <color theme="0"/>
      <name val="Arial"/>
      <family val="2"/>
      <charset val="1"/>
    </font>
    <font>
      <b/>
      <sz val="10"/>
      <color theme="0"/>
      <name val="Arial"/>
      <family val="2"/>
      <charset val="1"/>
    </font>
    <font>
      <sz val="22"/>
      <color theme="0"/>
      <name val="Calibri"/>
      <family val="2"/>
      <charset val="1"/>
    </font>
    <font>
      <b/>
      <sz val="14"/>
      <color theme="0"/>
      <name val="Calibri"/>
      <family val="2"/>
    </font>
    <font>
      <b/>
      <sz val="18"/>
      <color theme="0"/>
      <name val="Arial"/>
      <family val="2"/>
    </font>
    <font>
      <b/>
      <sz val="6"/>
      <color theme="0"/>
      <name val="Arial"/>
      <family val="2"/>
      <charset val="1"/>
    </font>
    <font>
      <b/>
      <sz val="16"/>
      <color theme="0"/>
      <name val="Calibri"/>
      <family val="2"/>
    </font>
    <font>
      <b/>
      <sz val="22"/>
      <color theme="0"/>
      <name val="Arial"/>
      <family val="2"/>
    </font>
    <font>
      <b/>
      <sz val="14"/>
      <color theme="0"/>
      <name val="Arial"/>
      <family val="2"/>
    </font>
    <font>
      <b/>
      <sz val="20"/>
      <color theme="0"/>
      <name val="Calibri"/>
      <family val="2"/>
      <charset val="1"/>
    </font>
  </fonts>
  <fills count="29">
    <fill>
      <patternFill patternType="none"/>
    </fill>
    <fill>
      <patternFill patternType="gray125"/>
    </fill>
    <fill>
      <patternFill patternType="solid">
        <fgColor rgb="FFFFFFFF"/>
        <bgColor rgb="FFF2F2F2"/>
      </patternFill>
    </fill>
    <fill>
      <patternFill patternType="solid">
        <fgColor rgb="FFE8EBEF"/>
        <bgColor rgb="FFEEEEEE"/>
      </patternFill>
    </fill>
    <fill>
      <patternFill patternType="solid">
        <fgColor theme="4" tint="0.79979857783745845"/>
        <bgColor rgb="FFD9E1F2"/>
      </patternFill>
    </fill>
    <fill>
      <patternFill patternType="solid">
        <fgColor rgb="FF002060"/>
        <bgColor rgb="FF1F3864"/>
      </patternFill>
    </fill>
    <fill>
      <patternFill patternType="solid">
        <fgColor theme="8" tint="0.59987182226020086"/>
        <bgColor rgb="FFD9D9D9"/>
      </patternFill>
    </fill>
    <fill>
      <patternFill patternType="solid">
        <fgColor theme="0" tint="-4.9989318521683403E-2"/>
        <bgColor rgb="FFEEEEEE"/>
      </patternFill>
    </fill>
    <fill>
      <patternFill patternType="solid">
        <fgColor rgb="FFD9E1F2"/>
        <bgColor rgb="FFDAE3F3"/>
      </patternFill>
    </fill>
    <fill>
      <patternFill patternType="solid">
        <fgColor rgb="FF1F4E79"/>
        <bgColor rgb="FF1A5276"/>
      </patternFill>
    </fill>
    <fill>
      <patternFill patternType="solid">
        <fgColor rgb="FF2E74B5"/>
        <bgColor rgb="FF4472C4"/>
      </patternFill>
    </fill>
    <fill>
      <patternFill patternType="solid">
        <fgColor theme="9" tint="0.79989013336588644"/>
        <bgColor rgb="FFE2EFDA"/>
      </patternFill>
    </fill>
    <fill>
      <patternFill patternType="solid">
        <fgColor theme="4" tint="-0.249977111117893"/>
        <bgColor rgb="FF2E5FA3"/>
      </patternFill>
    </fill>
    <fill>
      <patternFill patternType="solid">
        <fgColor theme="7" tint="-0.499984740745262"/>
        <bgColor rgb="FF595959"/>
      </patternFill>
    </fill>
    <fill>
      <patternFill patternType="solid">
        <fgColor theme="0" tint="-0.14999847407452621"/>
        <bgColor rgb="FFD9E1F2"/>
      </patternFill>
    </fill>
    <fill>
      <patternFill patternType="solid">
        <fgColor rgb="FFFFFF00"/>
        <bgColor rgb="FFFFC000"/>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FFFFF"/>
        <bgColor indexed="64"/>
      </patternFill>
    </fill>
    <fill>
      <patternFill patternType="solid">
        <fgColor rgb="FF243166"/>
        <bgColor indexed="64"/>
      </patternFill>
    </fill>
    <fill>
      <patternFill patternType="solid">
        <fgColor theme="4" tint="-0.249977111117893"/>
        <bgColor rgb="FFEEEEEE"/>
      </patternFill>
    </fill>
    <fill>
      <patternFill patternType="solid">
        <fgColor theme="4" tint="-0.249977111117893"/>
        <bgColor rgb="FFDAE3F3"/>
      </patternFill>
    </fill>
    <fill>
      <patternFill patternType="solid">
        <fgColor theme="4" tint="-0.249977111117893"/>
        <bgColor rgb="FFF2F2F2"/>
      </patternFill>
    </fill>
    <fill>
      <patternFill patternType="solid">
        <fgColor theme="4" tint="-0.249977111117893"/>
        <bgColor rgb="FF1F3864"/>
      </patternFill>
    </fill>
    <fill>
      <patternFill patternType="solid">
        <fgColor theme="4" tint="-0.249977111117893"/>
        <bgColor rgb="FF2E74B5"/>
      </patternFill>
    </fill>
  </fills>
  <borders count="64">
    <border>
      <left/>
      <right/>
      <top/>
      <bottom/>
      <diagonal/>
    </border>
    <border>
      <left style="medium">
        <color rgb="FFEEEEEE"/>
      </left>
      <right style="medium">
        <color rgb="FFEEEEEE"/>
      </right>
      <top/>
      <bottom/>
      <diagonal/>
    </border>
    <border>
      <left style="medium">
        <color rgb="FFEEEEEE"/>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thin">
        <color auto="1"/>
      </bottom>
      <diagonal/>
    </border>
    <border>
      <left/>
      <right/>
      <top/>
      <bottom style="medium">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hair">
        <color auto="1"/>
      </top>
      <bottom style="double">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diagonal/>
    </border>
    <border>
      <left/>
      <right style="thin">
        <color auto="1"/>
      </right>
      <top style="thin">
        <color auto="1"/>
      </top>
      <bottom style="double">
        <color auto="1"/>
      </bottom>
      <diagonal/>
    </border>
    <border>
      <left/>
      <right/>
      <top style="thin">
        <color auto="1"/>
      </top>
      <bottom style="double">
        <color auto="1"/>
      </bottom>
      <diagonal/>
    </border>
    <border>
      <left/>
      <right/>
      <top/>
      <bottom style="double">
        <color auto="1"/>
      </bottom>
      <diagonal/>
    </border>
    <border>
      <left style="thin">
        <color rgb="FFBFBFBF"/>
      </left>
      <right/>
      <top style="thin">
        <color rgb="FFBFBFBF"/>
      </top>
      <bottom style="thin">
        <color rgb="FFBFBFBF"/>
      </bottom>
      <diagonal/>
    </border>
    <border>
      <left style="thin">
        <color auto="1"/>
      </left>
      <right style="thin">
        <color auto="1"/>
      </right>
      <top/>
      <bottom/>
      <diagonal/>
    </border>
    <border>
      <left/>
      <right/>
      <top style="thin">
        <color auto="1"/>
      </top>
      <bottom style="thick">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BFBFBF"/>
      </left>
      <right/>
      <top style="thin">
        <color rgb="FFBFBFBF"/>
      </top>
      <bottom/>
      <diagonal/>
    </border>
    <border>
      <left style="thin">
        <color rgb="FFBFBFBF"/>
      </left>
      <right/>
      <top/>
      <bottom/>
      <diagonal/>
    </border>
    <border>
      <left/>
      <right/>
      <top style="thin">
        <color rgb="FFBFBFBF"/>
      </top>
      <bottom style="thin">
        <color rgb="FFBFBFBF"/>
      </bottom>
      <diagonal/>
    </border>
    <border>
      <left/>
      <right style="thin">
        <color indexed="64"/>
      </right>
      <top style="thin">
        <color indexed="64"/>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top/>
      <bottom style="thin">
        <color rgb="FFBFBFBF"/>
      </bottom>
      <diagonal/>
    </border>
    <border>
      <left style="thin">
        <color rgb="FFBFBFBF"/>
      </left>
      <right/>
      <top/>
      <bottom style="thin">
        <color rgb="FFBFBFBF"/>
      </bottom>
      <diagonal/>
    </border>
    <border>
      <left/>
      <right/>
      <top style="thin">
        <color indexed="64"/>
      </top>
      <bottom style="thin">
        <color indexed="64"/>
      </bottom>
      <diagonal/>
    </border>
    <border>
      <left/>
      <right/>
      <top/>
      <bottom style="thin">
        <color rgb="FFBFBFBF"/>
      </bottom>
      <diagonal/>
    </border>
    <border>
      <left style="thin">
        <color rgb="FFBFBFBF"/>
      </left>
      <right/>
      <top style="thin">
        <color indexed="64"/>
      </top>
      <bottom style="thin">
        <color indexed="64"/>
      </bottom>
      <diagonal/>
    </border>
    <border>
      <left style="thin">
        <color rgb="FFBFBFBF"/>
      </left>
      <right style="thin">
        <color indexed="64"/>
      </right>
      <top/>
      <bottom/>
      <diagonal/>
    </border>
    <border>
      <left style="thin">
        <color rgb="FFBFBFBF"/>
      </left>
      <right style="thin">
        <color indexed="64"/>
      </right>
      <top/>
      <bottom style="thin">
        <color indexed="64"/>
      </bottom>
      <diagonal/>
    </border>
    <border>
      <left/>
      <right/>
      <top style="thin">
        <color rgb="FFBFBFBF"/>
      </top>
      <bottom/>
      <diagonal/>
    </border>
    <border>
      <left style="thin">
        <color rgb="FFBFBFBF"/>
      </left>
      <right/>
      <top/>
      <bottom style="thin">
        <color auto="1"/>
      </bottom>
      <diagonal/>
    </border>
    <border>
      <left/>
      <right style="thin">
        <color rgb="FFBFBFBF"/>
      </right>
      <top style="thin">
        <color auto="1"/>
      </top>
      <bottom style="thin">
        <color indexed="64"/>
      </bottom>
      <diagonal/>
    </border>
    <border>
      <left style="double">
        <color rgb="FFDDDDDD"/>
      </left>
      <right style="double">
        <color rgb="FFDDDDDD"/>
      </right>
      <top style="double">
        <color rgb="FFDDDDDD"/>
      </top>
      <bottom style="double">
        <color rgb="FFDDDDDD"/>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double">
        <color rgb="FFDDDDDD"/>
      </bottom>
      <diagonal/>
    </border>
    <border>
      <left style="medium">
        <color rgb="FF000000"/>
      </left>
      <right style="medium">
        <color rgb="FF000000"/>
      </right>
      <top style="medium">
        <color rgb="FF000000"/>
      </top>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style="medium">
        <color rgb="FF000000"/>
      </left>
      <right/>
      <top/>
      <bottom/>
      <diagonal/>
    </border>
  </borders>
  <cellStyleXfs count="1">
    <xf numFmtId="0" fontId="0" fillId="0" borderId="0"/>
  </cellStyleXfs>
  <cellXfs count="444">
    <xf numFmtId="0" fontId="0" fillId="0" borderId="0" xfId="0"/>
    <xf numFmtId="0" fontId="3" fillId="2" borderId="0" xfId="0" applyFont="1" applyFill="1" applyAlignment="1">
      <alignment horizontal="right" vertical="center" wrapText="1"/>
    </xf>
    <xf numFmtId="0" fontId="4" fillId="3" borderId="1" xfId="0" applyFont="1" applyFill="1" applyBorder="1" applyAlignment="1">
      <alignment vertical="center" wrapText="1"/>
    </xf>
    <xf numFmtId="0" fontId="4" fillId="0" borderId="0" xfId="0" applyFont="1" applyAlignment="1">
      <alignment horizontal="center" vertical="center" wrapText="1"/>
    </xf>
    <xf numFmtId="0" fontId="4" fillId="2" borderId="1" xfId="0" applyFont="1" applyFill="1" applyBorder="1" applyAlignment="1">
      <alignment vertical="center" wrapText="1"/>
    </xf>
    <xf numFmtId="164" fontId="4" fillId="2" borderId="1" xfId="0" applyNumberFormat="1" applyFont="1" applyFill="1" applyBorder="1" applyAlignment="1">
      <alignment horizontal="right" vertical="center" wrapText="1"/>
    </xf>
    <xf numFmtId="0" fontId="4" fillId="2" borderId="2" xfId="0" applyFont="1" applyFill="1" applyBorder="1" applyAlignment="1">
      <alignment horizontal="right" vertical="center" wrapText="1"/>
    </xf>
    <xf numFmtId="0" fontId="4" fillId="0" borderId="0" xfId="0" applyFont="1" applyAlignment="1">
      <alignment horizontal="right" vertical="center" wrapText="1"/>
    </xf>
    <xf numFmtId="164" fontId="4" fillId="0" borderId="0" xfId="0" applyNumberFormat="1" applyFont="1" applyAlignment="1">
      <alignment horizontal="right" vertical="center" wrapText="1"/>
    </xf>
    <xf numFmtId="0" fontId="4" fillId="3" borderId="0" xfId="0" applyFont="1" applyFill="1" applyAlignment="1">
      <alignment vertical="center" wrapText="1"/>
    </xf>
    <xf numFmtId="0" fontId="4" fillId="0" borderId="0" xfId="0" applyFont="1" applyAlignment="1">
      <alignment vertical="center" wrapText="1"/>
    </xf>
    <xf numFmtId="0" fontId="5" fillId="2" borderId="1" xfId="0" applyFont="1" applyFill="1" applyBorder="1" applyAlignment="1">
      <alignment vertical="center" wrapText="1"/>
    </xf>
    <xf numFmtId="0" fontId="5" fillId="2" borderId="1" xfId="0" applyFont="1" applyFill="1" applyBorder="1" applyAlignment="1">
      <alignment horizontal="right" vertical="center" wrapText="1"/>
    </xf>
    <xf numFmtId="0" fontId="5" fillId="2" borderId="2" xfId="0" applyFont="1" applyFill="1" applyBorder="1" applyAlignment="1">
      <alignment horizontal="right" vertical="center" wrapText="1"/>
    </xf>
    <xf numFmtId="0" fontId="5" fillId="0" borderId="0" xfId="0" applyFont="1" applyAlignment="1">
      <alignment horizontal="right" vertical="center" wrapText="1"/>
    </xf>
    <xf numFmtId="0" fontId="4" fillId="2" borderId="1" xfId="0" applyFont="1" applyFill="1" applyBorder="1" applyAlignment="1">
      <alignment horizontal="right" vertical="center" wrapText="1"/>
    </xf>
    <xf numFmtId="0" fontId="0" fillId="2" borderId="0" xfId="0" applyFill="1"/>
    <xf numFmtId="4" fontId="5" fillId="2" borderId="1" xfId="0" applyNumberFormat="1" applyFont="1" applyFill="1" applyBorder="1" applyAlignment="1">
      <alignment horizontal="right" vertical="center" wrapText="1"/>
    </xf>
    <xf numFmtId="4" fontId="5" fillId="2" borderId="2" xfId="0" applyNumberFormat="1" applyFont="1" applyFill="1" applyBorder="1" applyAlignment="1">
      <alignment horizontal="right" vertical="center" wrapText="1"/>
    </xf>
    <xf numFmtId="0" fontId="6" fillId="2" borderId="3" xfId="0" applyFont="1" applyFill="1" applyBorder="1"/>
    <xf numFmtId="4" fontId="7" fillId="0" borderId="3" xfId="0" applyNumberFormat="1" applyFont="1" applyBorder="1" applyAlignment="1">
      <alignment horizontal="right" vertical="center" wrapText="1"/>
    </xf>
    <xf numFmtId="4" fontId="5" fillId="0" borderId="0" xfId="0" applyNumberFormat="1" applyFont="1" applyAlignment="1">
      <alignment horizontal="right" vertical="center" wrapText="1"/>
    </xf>
    <xf numFmtId="4" fontId="4" fillId="3" borderId="1" xfId="0" applyNumberFormat="1" applyFont="1" applyFill="1" applyBorder="1" applyAlignment="1">
      <alignment horizontal="right" vertical="center" wrapText="1"/>
    </xf>
    <xf numFmtId="4" fontId="4" fillId="3" borderId="2" xfId="0" applyNumberFormat="1" applyFont="1" applyFill="1" applyBorder="1" applyAlignment="1">
      <alignment horizontal="right" vertical="center" wrapText="1"/>
    </xf>
    <xf numFmtId="4" fontId="8" fillId="0" borderId="3" xfId="0" applyNumberFormat="1" applyFont="1" applyBorder="1" applyAlignment="1">
      <alignment horizontal="right" vertical="center" wrapText="1"/>
    </xf>
    <xf numFmtId="4" fontId="4" fillId="0" borderId="0" xfId="0" applyNumberFormat="1" applyFont="1" applyAlignment="1">
      <alignment horizontal="right" vertical="center" wrapText="1"/>
    </xf>
    <xf numFmtId="0" fontId="9" fillId="2" borderId="1" xfId="0" applyFont="1" applyFill="1" applyBorder="1" applyAlignment="1">
      <alignment vertical="center" wrapText="1"/>
    </xf>
    <xf numFmtId="0" fontId="9" fillId="2" borderId="1" xfId="0" applyFont="1" applyFill="1" applyBorder="1" applyAlignment="1">
      <alignment horizontal="right" vertical="center" wrapText="1"/>
    </xf>
    <xf numFmtId="0" fontId="9" fillId="0" borderId="0" xfId="0" applyFont="1" applyAlignment="1">
      <alignment horizontal="right" vertical="center" wrapText="1"/>
    </xf>
    <xf numFmtId="0" fontId="4" fillId="0" borderId="1" xfId="0" applyFont="1" applyBorder="1" applyAlignment="1">
      <alignment horizontal="center" vertical="center" wrapText="1"/>
    </xf>
    <xf numFmtId="0" fontId="4" fillId="0" borderId="1" xfId="0" applyFont="1" applyBorder="1" applyAlignment="1">
      <alignment horizontal="right" vertical="center" wrapText="1"/>
    </xf>
    <xf numFmtId="164" fontId="4" fillId="0" borderId="1" xfId="0" applyNumberFormat="1" applyFont="1" applyBorder="1" applyAlignment="1">
      <alignment horizontal="right" vertical="center" wrapText="1"/>
    </xf>
    <xf numFmtId="0" fontId="5" fillId="0" borderId="1" xfId="0" applyFont="1" applyBorder="1" applyAlignment="1">
      <alignment horizontal="right" vertical="center" wrapText="1"/>
    </xf>
    <xf numFmtId="4" fontId="4" fillId="2" borderId="1" xfId="0" applyNumberFormat="1" applyFont="1" applyFill="1" applyBorder="1" applyAlignment="1">
      <alignment horizontal="right" vertical="center" wrapText="1"/>
    </xf>
    <xf numFmtId="0" fontId="11" fillId="0" borderId="4" xfId="0" applyFont="1" applyBorder="1" applyAlignment="1">
      <alignment horizontal="left" vertical="center"/>
    </xf>
    <xf numFmtId="0" fontId="11" fillId="0" borderId="5" xfId="0" applyFont="1" applyBorder="1" applyAlignment="1">
      <alignment horizontal="center" vertical="center"/>
    </xf>
    <xf numFmtId="0" fontId="11" fillId="0" borderId="6" xfId="0" applyFont="1" applyBorder="1"/>
    <xf numFmtId="0" fontId="12" fillId="0" borderId="3"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xf numFmtId="165" fontId="14" fillId="0" borderId="3" xfId="0" applyNumberFormat="1" applyFont="1" applyBorder="1"/>
    <xf numFmtId="0" fontId="0" fillId="0" borderId="3" xfId="0" applyBorder="1"/>
    <xf numFmtId="0" fontId="0" fillId="0" borderId="7" xfId="0" applyBorder="1"/>
    <xf numFmtId="0" fontId="0" fillId="0" borderId="8" xfId="0" applyBorder="1"/>
    <xf numFmtId="166" fontId="14" fillId="0" borderId="3" xfId="0" applyNumberFormat="1" applyFont="1" applyBorder="1"/>
    <xf numFmtId="167" fontId="14" fillId="0" borderId="3" xfId="0" applyNumberFormat="1" applyFont="1" applyBorder="1"/>
    <xf numFmtId="0" fontId="12" fillId="0" borderId="3" xfId="0" applyFont="1" applyBorder="1" applyAlignment="1">
      <alignment horizontal="right" vertical="center"/>
    </xf>
    <xf numFmtId="0" fontId="12" fillId="4" borderId="3" xfId="0" applyFont="1" applyFill="1" applyBorder="1" applyAlignment="1">
      <alignment horizontal="left" vertical="center"/>
    </xf>
    <xf numFmtId="0" fontId="0" fillId="4" borderId="3" xfId="0" applyFill="1" applyBorder="1" applyAlignment="1">
      <alignment horizontal="right"/>
    </xf>
    <xf numFmtId="0" fontId="15" fillId="0" borderId="0" xfId="0" applyFont="1" applyAlignment="1">
      <alignment horizontal="center" vertical="center" wrapText="1"/>
    </xf>
    <xf numFmtId="0" fontId="15" fillId="0" borderId="0" xfId="0" applyFont="1" applyAlignment="1">
      <alignment horizontal="right" vertical="center" wrapText="1"/>
    </xf>
    <xf numFmtId="0" fontId="14" fillId="0" borderId="3" xfId="0" applyFont="1" applyBorder="1" applyAlignment="1">
      <alignment horizontal="left" vertical="center"/>
    </xf>
    <xf numFmtId="168" fontId="14" fillId="0" borderId="3" xfId="0" applyNumberFormat="1" applyFont="1" applyBorder="1"/>
    <xf numFmtId="0" fontId="15" fillId="0" borderId="0" xfId="0" applyFont="1" applyAlignment="1">
      <alignment vertical="center" wrapText="1"/>
    </xf>
    <xf numFmtId="4" fontId="0" fillId="0" borderId="0" xfId="0" applyNumberFormat="1" applyAlignment="1">
      <alignment horizontal="right" vertical="center" wrapText="1"/>
    </xf>
    <xf numFmtId="0" fontId="0" fillId="0" borderId="0" xfId="0" applyAlignment="1">
      <alignment vertical="center" wrapText="1"/>
    </xf>
    <xf numFmtId="0" fontId="0" fillId="0" borderId="0" xfId="0" applyAlignment="1">
      <alignment horizontal="right" vertical="center" wrapText="1"/>
    </xf>
    <xf numFmtId="10" fontId="0" fillId="0" borderId="0" xfId="0" applyNumberFormat="1" applyAlignment="1">
      <alignment horizontal="right" vertical="center" wrapText="1"/>
    </xf>
    <xf numFmtId="4" fontId="15" fillId="0" borderId="0" xfId="0" applyNumberFormat="1" applyFont="1" applyAlignment="1">
      <alignment horizontal="right" vertical="center" wrapText="1"/>
    </xf>
    <xf numFmtId="10" fontId="15" fillId="0" borderId="0" xfId="0" applyNumberFormat="1" applyFont="1" applyAlignment="1">
      <alignment horizontal="right" vertical="center" wrapText="1"/>
    </xf>
    <xf numFmtId="168" fontId="14" fillId="0" borderId="9" xfId="0" applyNumberFormat="1" applyFont="1" applyBorder="1"/>
    <xf numFmtId="169" fontId="14" fillId="0" borderId="3" xfId="0" applyNumberFormat="1" applyFont="1" applyBorder="1"/>
    <xf numFmtId="0" fontId="14" fillId="0" borderId="10" xfId="0" applyFont="1" applyBorder="1" applyAlignment="1">
      <alignment horizontal="left" vertical="center"/>
    </xf>
    <xf numFmtId="168" fontId="12" fillId="0" borderId="10" xfId="0" applyNumberFormat="1" applyFont="1" applyBorder="1"/>
    <xf numFmtId="0" fontId="0" fillId="0" borderId="11" xfId="0" applyBorder="1"/>
    <xf numFmtId="168" fontId="12" fillId="0" borderId="3" xfId="0" applyNumberFormat="1" applyFont="1" applyBorder="1"/>
    <xf numFmtId="0" fontId="14" fillId="0" borderId="12" xfId="0" applyFont="1" applyBorder="1" applyAlignment="1">
      <alignment horizontal="left"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2" fillId="0" borderId="3" xfId="0" applyFont="1" applyBorder="1" applyAlignment="1">
      <alignment horizontal="center" vertical="center"/>
    </xf>
    <xf numFmtId="170" fontId="0" fillId="0" borderId="0" xfId="0" applyNumberFormat="1"/>
    <xf numFmtId="2" fontId="0" fillId="0" borderId="0" xfId="0" applyNumberFormat="1"/>
    <xf numFmtId="0" fontId="17" fillId="0" borderId="15" xfId="0" applyFont="1" applyBorder="1" applyAlignment="1">
      <alignment horizontal="center"/>
    </xf>
    <xf numFmtId="0" fontId="0" fillId="0" borderId="16" xfId="0" applyBorder="1"/>
    <xf numFmtId="0" fontId="15" fillId="6" borderId="4" xfId="0" applyFont="1" applyFill="1" applyBorder="1"/>
    <xf numFmtId="0" fontId="0" fillId="6" borderId="6" xfId="0" applyFill="1" applyBorder="1"/>
    <xf numFmtId="0" fontId="0" fillId="6" borderId="17" xfId="0" applyFill="1" applyBorder="1"/>
    <xf numFmtId="0" fontId="0" fillId="6" borderId="18" xfId="0" applyFill="1" applyBorder="1"/>
    <xf numFmtId="0" fontId="15" fillId="4" borderId="9" xfId="0" applyFont="1" applyFill="1" applyBorder="1"/>
    <xf numFmtId="0" fontId="0" fillId="4" borderId="19" xfId="0" applyFill="1" applyBorder="1"/>
    <xf numFmtId="0" fontId="0" fillId="7" borderId="3" xfId="0" applyFill="1" applyBorder="1"/>
    <xf numFmtId="10" fontId="0" fillId="7" borderId="3" xfId="0" applyNumberFormat="1" applyFill="1" applyBorder="1"/>
    <xf numFmtId="2" fontId="0" fillId="7" borderId="3" xfId="0" applyNumberFormat="1" applyFill="1" applyBorder="1"/>
    <xf numFmtId="9" fontId="0" fillId="7" borderId="3" xfId="0" applyNumberFormat="1" applyFill="1" applyBorder="1"/>
    <xf numFmtId="0" fontId="15" fillId="7" borderId="10" xfId="0" applyFont="1" applyFill="1" applyBorder="1"/>
    <xf numFmtId="10" fontId="15" fillId="7" borderId="10" xfId="0" applyNumberFormat="1" applyFont="1" applyFill="1" applyBorder="1"/>
    <xf numFmtId="10" fontId="0" fillId="0" borderId="0" xfId="0" applyNumberFormat="1"/>
    <xf numFmtId="0" fontId="0" fillId="7" borderId="7" xfId="0" applyFill="1" applyBorder="1"/>
    <xf numFmtId="0" fontId="0" fillId="7" borderId="8" xfId="0" applyFill="1" applyBorder="1"/>
    <xf numFmtId="10" fontId="14" fillId="7" borderId="3" xfId="0" applyNumberFormat="1" applyFont="1" applyFill="1" applyBorder="1"/>
    <xf numFmtId="0" fontId="15" fillId="4" borderId="3" xfId="0" applyFont="1" applyFill="1" applyBorder="1"/>
    <xf numFmtId="10" fontId="15" fillId="4" borderId="3" xfId="0" applyNumberFormat="1" applyFont="1" applyFill="1" applyBorder="1"/>
    <xf numFmtId="9" fontId="0" fillId="0" borderId="0" xfId="0" applyNumberFormat="1"/>
    <xf numFmtId="3" fontId="0" fillId="7" borderId="3" xfId="0" applyNumberFormat="1" applyFill="1" applyBorder="1"/>
    <xf numFmtId="171" fontId="0" fillId="7" borderId="3" xfId="0" applyNumberFormat="1" applyFill="1" applyBorder="1"/>
    <xf numFmtId="0" fontId="15" fillId="4" borderId="20" xfId="0" applyFont="1" applyFill="1" applyBorder="1"/>
    <xf numFmtId="10" fontId="15" fillId="4" borderId="20" xfId="0" applyNumberFormat="1" applyFont="1" applyFill="1" applyBorder="1"/>
    <xf numFmtId="0" fontId="0" fillId="0" borderId="0" xfId="0" applyAlignment="1">
      <alignment vertical="center"/>
    </xf>
    <xf numFmtId="0" fontId="18" fillId="8" borderId="3" xfId="0" applyFont="1" applyFill="1" applyBorder="1" applyAlignment="1">
      <alignment horizontal="left"/>
    </xf>
    <xf numFmtId="0" fontId="12" fillId="8" borderId="3" xfId="0" applyFont="1" applyFill="1" applyBorder="1" applyAlignment="1">
      <alignment horizontal="center"/>
    </xf>
    <xf numFmtId="0" fontId="19" fillId="0" borderId="3" xfId="0" applyFont="1" applyBorder="1" applyAlignment="1">
      <alignment horizontal="left"/>
    </xf>
    <xf numFmtId="165" fontId="14" fillId="0" borderId="3" xfId="0" applyNumberFormat="1" applyFont="1" applyBorder="1" applyAlignment="1">
      <alignment horizontal="right"/>
    </xf>
    <xf numFmtId="165" fontId="0" fillId="0" borderId="0" xfId="0" applyNumberFormat="1"/>
    <xf numFmtId="165" fontId="14" fillId="0" borderId="11" xfId="0" applyNumberFormat="1" applyFont="1" applyBorder="1"/>
    <xf numFmtId="0" fontId="14" fillId="0" borderId="0" xfId="0" applyFont="1"/>
    <xf numFmtId="165" fontId="18" fillId="0" borderId="21" xfId="0" applyNumberFormat="1" applyFont="1" applyBorder="1"/>
    <xf numFmtId="165" fontId="21" fillId="0" borderId="21" xfId="0" applyNumberFormat="1" applyFont="1" applyBorder="1"/>
    <xf numFmtId="0" fontId="19" fillId="0" borderId="3" xfId="0" applyFont="1" applyBorder="1" applyAlignment="1">
      <alignment horizontal="left" vertical="center"/>
    </xf>
    <xf numFmtId="172" fontId="14" fillId="0" borderId="3" xfId="0" applyNumberFormat="1" applyFont="1" applyBorder="1" applyAlignment="1">
      <alignment horizontal="right"/>
    </xf>
    <xf numFmtId="0" fontId="18" fillId="8" borderId="3" xfId="0" applyFont="1" applyFill="1" applyBorder="1" applyAlignment="1">
      <alignment horizontal="center"/>
    </xf>
    <xf numFmtId="173" fontId="19" fillId="0" borderId="3" xfId="0" applyNumberFormat="1" applyFont="1" applyBorder="1" applyAlignment="1">
      <alignment horizontal="right"/>
    </xf>
    <xf numFmtId="173" fontId="18" fillId="0" borderId="3" xfId="0" applyNumberFormat="1" applyFont="1" applyBorder="1"/>
    <xf numFmtId="0" fontId="19" fillId="0" borderId="0" xfId="0" applyFont="1"/>
    <xf numFmtId="172" fontId="12" fillId="0" borderId="3" xfId="0" applyNumberFormat="1" applyFont="1" applyBorder="1"/>
    <xf numFmtId="0" fontId="18" fillId="0" borderId="10" xfId="0" applyFont="1" applyBorder="1" applyAlignment="1">
      <alignment horizontal="left"/>
    </xf>
    <xf numFmtId="172" fontId="12" fillId="0" borderId="10" xfId="0" applyNumberFormat="1" applyFont="1" applyBorder="1" applyAlignment="1">
      <alignment horizontal="right"/>
    </xf>
    <xf numFmtId="0" fontId="22" fillId="0" borderId="0" xfId="0" applyFont="1"/>
    <xf numFmtId="0" fontId="22" fillId="0" borderId="3" xfId="0" applyFont="1" applyBorder="1"/>
    <xf numFmtId="172" fontId="19" fillId="0" borderId="3" xfId="0" applyNumberFormat="1" applyFont="1" applyBorder="1" applyAlignment="1">
      <alignment horizontal="right"/>
    </xf>
    <xf numFmtId="165" fontId="19" fillId="0" borderId="3" xfId="0" applyNumberFormat="1" applyFont="1" applyBorder="1" applyAlignment="1">
      <alignment horizontal="right"/>
    </xf>
    <xf numFmtId="0" fontId="16" fillId="0" borderId="0" xfId="0" applyFont="1"/>
    <xf numFmtId="0" fontId="19" fillId="0" borderId="4" xfId="0" applyFont="1" applyBorder="1" applyAlignment="1">
      <alignment horizontal="left"/>
    </xf>
    <xf numFmtId="165" fontId="18" fillId="7" borderId="22" xfId="0" applyNumberFormat="1" applyFont="1" applyFill="1" applyBorder="1"/>
    <xf numFmtId="0" fontId="19" fillId="0" borderId="17" xfId="0" applyFont="1" applyBorder="1" applyAlignment="1">
      <alignment horizontal="left"/>
    </xf>
    <xf numFmtId="165" fontId="18" fillId="7" borderId="18" xfId="0" applyNumberFormat="1" applyFont="1" applyFill="1" applyBorder="1"/>
    <xf numFmtId="0" fontId="19" fillId="0" borderId="7" xfId="0" applyFont="1" applyBorder="1" applyAlignment="1">
      <alignment horizontal="left"/>
    </xf>
    <xf numFmtId="172" fontId="14" fillId="0" borderId="0" xfId="0" applyNumberFormat="1" applyFont="1" applyAlignment="1">
      <alignment horizontal="right"/>
    </xf>
    <xf numFmtId="172" fontId="14" fillId="0" borderId="8" xfId="0" applyNumberFormat="1" applyFont="1" applyBorder="1" applyAlignment="1">
      <alignment horizontal="right"/>
    </xf>
    <xf numFmtId="0" fontId="18" fillId="0" borderId="17" xfId="0" applyFont="1" applyBorder="1" applyAlignment="1">
      <alignment horizontal="left"/>
    </xf>
    <xf numFmtId="0" fontId="18" fillId="0" borderId="4" xfId="0" applyFont="1" applyBorder="1" applyAlignment="1">
      <alignment horizontal="left"/>
    </xf>
    <xf numFmtId="165" fontId="18" fillId="0" borderId="6" xfId="0" applyNumberFormat="1" applyFont="1" applyBorder="1"/>
    <xf numFmtId="165" fontId="18" fillId="0" borderId="18" xfId="0" applyNumberFormat="1" applyFont="1" applyBorder="1"/>
    <xf numFmtId="0" fontId="24" fillId="0" borderId="7" xfId="0" applyFont="1" applyBorder="1"/>
    <xf numFmtId="0" fontId="25" fillId="0" borderId="0" xfId="0" applyFont="1"/>
    <xf numFmtId="0" fontId="25" fillId="0" borderId="8" xfId="0" applyFont="1" applyBorder="1"/>
    <xf numFmtId="0" fontId="29" fillId="10" borderId="7" xfId="0" applyFont="1" applyFill="1" applyBorder="1" applyAlignment="1">
      <alignment horizontal="center" vertical="center"/>
    </xf>
    <xf numFmtId="0" fontId="29" fillId="10" borderId="0" xfId="0" applyFont="1" applyFill="1" applyAlignment="1">
      <alignment horizontal="center" vertical="center"/>
    </xf>
    <xf numFmtId="0" fontId="29" fillId="10" borderId="8" xfId="0" applyFont="1" applyFill="1" applyBorder="1" applyAlignment="1">
      <alignment horizontal="center" vertical="center"/>
    </xf>
    <xf numFmtId="0" fontId="14" fillId="0" borderId="7" xfId="0" applyFont="1" applyBorder="1"/>
    <xf numFmtId="172" fontId="14" fillId="0" borderId="0" xfId="0" applyNumberFormat="1" applyFont="1" applyAlignment="1">
      <alignment horizontal="right" vertical="center"/>
    </xf>
    <xf numFmtId="175" fontId="14" fillId="0" borderId="0" xfId="0" applyNumberFormat="1" applyFont="1" applyAlignment="1">
      <alignment horizontal="right" vertical="center"/>
    </xf>
    <xf numFmtId="165" fontId="19" fillId="0" borderId="0" xfId="0" applyNumberFormat="1" applyFont="1" applyAlignment="1">
      <alignment horizontal="right" vertical="center"/>
    </xf>
    <xf numFmtId="165" fontId="19" fillId="0" borderId="8" xfId="0" applyNumberFormat="1" applyFont="1" applyBorder="1" applyAlignment="1">
      <alignment horizontal="right" vertical="center"/>
    </xf>
    <xf numFmtId="0" fontId="14" fillId="11" borderId="7" xfId="0" applyFont="1" applyFill="1" applyBorder="1"/>
    <xf numFmtId="0" fontId="30" fillId="11" borderId="0" xfId="0" applyFont="1" applyFill="1"/>
    <xf numFmtId="172" fontId="30" fillId="11" borderId="0" xfId="0" applyNumberFormat="1" applyFont="1" applyFill="1" applyAlignment="1">
      <alignment horizontal="right" vertical="center"/>
    </xf>
    <xf numFmtId="165" fontId="19" fillId="11" borderId="0" xfId="0" applyNumberFormat="1" applyFont="1" applyFill="1" applyAlignment="1">
      <alignment horizontal="right" vertical="center"/>
    </xf>
    <xf numFmtId="0" fontId="31" fillId="11" borderId="0" xfId="0" applyFont="1" applyFill="1"/>
    <xf numFmtId="172" fontId="31" fillId="11" borderId="0" xfId="0" applyNumberFormat="1" applyFont="1" applyFill="1" applyAlignment="1">
      <alignment horizontal="right" vertical="center"/>
    </xf>
    <xf numFmtId="165" fontId="19" fillId="11" borderId="8" xfId="0" applyNumberFormat="1" applyFont="1" applyFill="1" applyBorder="1" applyAlignment="1">
      <alignment horizontal="right" vertical="center"/>
    </xf>
    <xf numFmtId="175" fontId="31" fillId="11" borderId="0" xfId="0" applyNumberFormat="1" applyFont="1" applyFill="1" applyAlignment="1">
      <alignment horizontal="right"/>
    </xf>
    <xf numFmtId="165" fontId="19" fillId="11" borderId="8" xfId="0" applyNumberFormat="1" applyFont="1" applyFill="1" applyBorder="1" applyAlignment="1">
      <alignment horizontal="right"/>
    </xf>
    <xf numFmtId="0" fontId="14" fillId="11" borderId="17" xfId="0" applyFont="1" applyFill="1" applyBorder="1"/>
    <xf numFmtId="0" fontId="30" fillId="11" borderId="21" xfId="0" applyFont="1" applyFill="1" applyBorder="1"/>
    <xf numFmtId="172" fontId="30" fillId="11" borderId="21" xfId="0" applyNumberFormat="1" applyFont="1" applyFill="1" applyBorder="1" applyAlignment="1">
      <alignment horizontal="right" vertical="center"/>
    </xf>
    <xf numFmtId="165" fontId="19" fillId="11" borderId="21" xfId="0" applyNumberFormat="1" applyFont="1" applyFill="1" applyBorder="1" applyAlignment="1">
      <alignment horizontal="right" vertical="center"/>
    </xf>
    <xf numFmtId="0" fontId="31" fillId="11" borderId="21" xfId="0" applyFont="1" applyFill="1" applyBorder="1"/>
    <xf numFmtId="172" fontId="31" fillId="11" borderId="21" xfId="0" applyNumberFormat="1" applyFont="1" applyFill="1" applyBorder="1" applyAlignment="1">
      <alignment horizontal="right" vertical="center"/>
    </xf>
    <xf numFmtId="165" fontId="19" fillId="11" borderId="18" xfId="0" applyNumberFormat="1" applyFont="1" applyFill="1" applyBorder="1" applyAlignment="1">
      <alignment horizontal="right" vertical="center"/>
    </xf>
    <xf numFmtId="175" fontId="31" fillId="11" borderId="21" xfId="0" applyNumberFormat="1" applyFont="1" applyFill="1" applyBorder="1" applyAlignment="1">
      <alignment horizontal="right"/>
    </xf>
    <xf numFmtId="165" fontId="19" fillId="11" borderId="18" xfId="0" applyNumberFormat="1" applyFont="1" applyFill="1" applyBorder="1" applyAlignment="1">
      <alignment horizontal="right"/>
    </xf>
    <xf numFmtId="0" fontId="9" fillId="0" borderId="0" xfId="0" applyFont="1"/>
    <xf numFmtId="0" fontId="2" fillId="2" borderId="0" xfId="0" applyFont="1" applyFill="1"/>
    <xf numFmtId="0" fontId="32" fillId="12" borderId="0" xfId="0" applyFont="1" applyFill="1"/>
    <xf numFmtId="0" fontId="9" fillId="0" borderId="4" xfId="0" applyFont="1" applyBorder="1"/>
    <xf numFmtId="0" fontId="9" fillId="0" borderId="5" xfId="0" applyFont="1" applyBorder="1"/>
    <xf numFmtId="0" fontId="9" fillId="0" borderId="6" xfId="0" applyFont="1" applyBorder="1"/>
    <xf numFmtId="0" fontId="33" fillId="12" borderId="21" xfId="0" applyFont="1" applyFill="1" applyBorder="1"/>
    <xf numFmtId="0" fontId="2" fillId="0" borderId="3" xfId="0" applyFont="1" applyBorder="1" applyAlignment="1">
      <alignment horizontal="right"/>
    </xf>
    <xf numFmtId="0" fontId="34" fillId="13" borderId="3" xfId="0" applyFont="1" applyFill="1" applyBorder="1" applyAlignment="1">
      <alignment horizontal="left"/>
    </xf>
    <xf numFmtId="176" fontId="11" fillId="14" borderId="3" xfId="0" applyNumberFormat="1" applyFont="1" applyFill="1" applyBorder="1"/>
    <xf numFmtId="0" fontId="35" fillId="12" borderId="0" xfId="0" applyFont="1" applyFill="1"/>
    <xf numFmtId="171" fontId="9" fillId="0" borderId="3" xfId="0" applyNumberFormat="1" applyFont="1" applyBorder="1" applyAlignment="1">
      <alignment horizontal="right"/>
    </xf>
    <xf numFmtId="0" fontId="36" fillId="13" borderId="3" xfId="0" applyFont="1" applyFill="1" applyBorder="1" applyAlignment="1">
      <alignment horizontal="left"/>
    </xf>
    <xf numFmtId="10" fontId="11" fillId="14" borderId="3" xfId="0" applyNumberFormat="1" applyFont="1" applyFill="1" applyBorder="1"/>
    <xf numFmtId="0" fontId="9" fillId="0" borderId="3" xfId="0" applyFont="1" applyBorder="1" applyAlignment="1">
      <alignment horizontal="right"/>
    </xf>
    <xf numFmtId="176" fontId="9" fillId="0" borderId="3" xfId="0" applyNumberFormat="1" applyFont="1" applyBorder="1" applyAlignment="1">
      <alignment horizontal="right"/>
    </xf>
    <xf numFmtId="0" fontId="36" fillId="13" borderId="7" xfId="0" applyFont="1" applyFill="1" applyBorder="1"/>
    <xf numFmtId="177" fontId="11" fillId="14" borderId="24" xfId="0" applyNumberFormat="1" applyFont="1" applyFill="1" applyBorder="1"/>
    <xf numFmtId="0" fontId="9" fillId="2" borderId="0" xfId="0" applyFont="1" applyFill="1"/>
    <xf numFmtId="0" fontId="9" fillId="0" borderId="7" xfId="0" applyFont="1" applyBorder="1" applyAlignment="1">
      <alignment horizontal="right"/>
    </xf>
    <xf numFmtId="10" fontId="9" fillId="0" borderId="0" xfId="0" applyNumberFormat="1" applyFont="1" applyAlignment="1">
      <alignment horizontal="right"/>
    </xf>
    <xf numFmtId="10" fontId="9" fillId="0" borderId="8" xfId="0" applyNumberFormat="1" applyFont="1" applyBorder="1" applyAlignment="1">
      <alignment horizontal="right"/>
    </xf>
    <xf numFmtId="0" fontId="36" fillId="13" borderId="9" xfId="0" applyFont="1" applyFill="1" applyBorder="1"/>
    <xf numFmtId="10" fontId="11" fillId="14" borderId="18" xfId="0" applyNumberFormat="1" applyFont="1" applyFill="1" applyBorder="1"/>
    <xf numFmtId="9" fontId="9" fillId="2" borderId="0" xfId="0" applyNumberFormat="1" applyFont="1" applyFill="1"/>
    <xf numFmtId="0" fontId="2" fillId="0" borderId="7" xfId="0" applyFont="1" applyBorder="1" applyAlignment="1">
      <alignment horizontal="right"/>
    </xf>
    <xf numFmtId="0" fontId="2" fillId="0" borderId="0" xfId="0" applyFont="1" applyAlignment="1">
      <alignment horizontal="right"/>
    </xf>
    <xf numFmtId="0" fontId="2" fillId="0" borderId="8" xfId="0" applyFont="1" applyBorder="1" applyAlignment="1">
      <alignment horizontal="right"/>
    </xf>
    <xf numFmtId="0" fontId="36" fillId="13" borderId="0" xfId="0" applyFont="1" applyFill="1"/>
    <xf numFmtId="0" fontId="11" fillId="0" borderId="0" xfId="0" applyFont="1"/>
    <xf numFmtId="10" fontId="11" fillId="14" borderId="23" xfId="0" applyNumberFormat="1" applyFont="1" applyFill="1" applyBorder="1"/>
    <xf numFmtId="10" fontId="11" fillId="14" borderId="11" xfId="0" applyNumberFormat="1" applyFont="1" applyFill="1" applyBorder="1"/>
    <xf numFmtId="10" fontId="9" fillId="0" borderId="3" xfId="0" applyNumberFormat="1" applyFont="1" applyBorder="1" applyAlignment="1">
      <alignment horizontal="right"/>
    </xf>
    <xf numFmtId="10" fontId="11" fillId="14" borderId="25" xfId="0" applyNumberFormat="1" applyFont="1" applyFill="1" applyBorder="1"/>
    <xf numFmtId="0" fontId="9" fillId="0" borderId="0" xfId="0" applyFont="1" applyAlignment="1">
      <alignment horizontal="right"/>
    </xf>
    <xf numFmtId="0" fontId="9" fillId="0" borderId="8" xfId="0" applyFont="1" applyBorder="1" applyAlignment="1">
      <alignment horizontal="right"/>
    </xf>
    <xf numFmtId="10" fontId="11" fillId="14" borderId="0" xfId="0" applyNumberFormat="1" applyFont="1" applyFill="1"/>
    <xf numFmtId="10" fontId="11" fillId="14" borderId="26" xfId="0" applyNumberFormat="1" applyFont="1" applyFill="1" applyBorder="1"/>
    <xf numFmtId="0" fontId="2" fillId="15" borderId="7" xfId="0" applyFont="1" applyFill="1" applyBorder="1" applyAlignment="1">
      <alignment horizontal="right"/>
    </xf>
    <xf numFmtId="0" fontId="0" fillId="0" borderId="28" xfId="0" applyBorder="1"/>
    <xf numFmtId="0" fontId="15" fillId="0" borderId="3" xfId="0" applyFont="1" applyBorder="1"/>
    <xf numFmtId="0" fontId="15" fillId="0" borderId="3" xfId="0" applyFont="1" applyBorder="1" applyAlignment="1">
      <alignment horizontal="right"/>
    </xf>
    <xf numFmtId="0" fontId="15" fillId="0" borderId="0" xfId="0" applyFont="1"/>
    <xf numFmtId="0" fontId="0" fillId="0" borderId="4" xfId="0" applyBorder="1" applyAlignment="1">
      <alignment horizontal="left"/>
    </xf>
    <xf numFmtId="10" fontId="0" fillId="0" borderId="6" xfId="0" applyNumberFormat="1" applyBorder="1"/>
    <xf numFmtId="0" fontId="17" fillId="0" borderId="3" xfId="0" applyFont="1" applyBorder="1"/>
    <xf numFmtId="171" fontId="0" fillId="0" borderId="3" xfId="0" applyNumberFormat="1" applyBorder="1"/>
    <xf numFmtId="171" fontId="0" fillId="0" borderId="28" xfId="0" applyNumberFormat="1" applyBorder="1"/>
    <xf numFmtId="0" fontId="0" fillId="0" borderId="7" xfId="0" applyBorder="1" applyAlignment="1">
      <alignment horizontal="left"/>
    </xf>
    <xf numFmtId="10" fontId="0" fillId="0" borderId="8" xfId="0" applyNumberFormat="1" applyBorder="1"/>
    <xf numFmtId="10" fontId="0" fillId="0" borderId="3" xfId="0" applyNumberFormat="1" applyBorder="1"/>
    <xf numFmtId="10" fontId="0" fillId="0" borderId="28" xfId="0" applyNumberFormat="1" applyBorder="1"/>
    <xf numFmtId="0" fontId="0" fillId="0" borderId="17" xfId="0" applyBorder="1" applyAlignment="1">
      <alignment horizontal="left"/>
    </xf>
    <xf numFmtId="10" fontId="0" fillId="0" borderId="18" xfId="0" applyNumberFormat="1" applyBorder="1"/>
    <xf numFmtId="183" fontId="0" fillId="0" borderId="3" xfId="0" applyNumberFormat="1" applyBorder="1"/>
    <xf numFmtId="2" fontId="0" fillId="0" borderId="28" xfId="0" applyNumberFormat="1" applyBorder="1"/>
    <xf numFmtId="0" fontId="0" fillId="0" borderId="0" xfId="0" applyAlignment="1">
      <alignment horizontal="left"/>
    </xf>
    <xf numFmtId="0" fontId="37" fillId="0" borderId="3" xfId="0" applyFont="1" applyBorder="1"/>
    <xf numFmtId="171" fontId="15" fillId="0" borderId="3" xfId="0" applyNumberFormat="1" applyFont="1" applyBorder="1"/>
    <xf numFmtId="2" fontId="15" fillId="0" borderId="28" xfId="0" applyNumberFormat="1" applyFont="1" applyBorder="1"/>
    <xf numFmtId="2" fontId="0" fillId="0" borderId="3" xfId="0" applyNumberFormat="1" applyBorder="1"/>
    <xf numFmtId="172" fontId="0" fillId="0" borderId="3" xfId="0" applyNumberFormat="1" applyBorder="1"/>
    <xf numFmtId="9" fontId="0" fillId="0" borderId="3" xfId="0" applyNumberFormat="1" applyBorder="1"/>
    <xf numFmtId="10" fontId="0" fillId="0" borderId="11" xfId="0" applyNumberFormat="1" applyBorder="1"/>
    <xf numFmtId="171" fontId="0" fillId="0" borderId="0" xfId="0" applyNumberFormat="1"/>
    <xf numFmtId="0" fontId="38" fillId="5" borderId="0" xfId="0" applyFont="1" applyFill="1"/>
    <xf numFmtId="171" fontId="15" fillId="0" borderId="0" xfId="0" applyNumberFormat="1" applyFont="1"/>
    <xf numFmtId="2" fontId="0" fillId="0" borderId="0" xfId="0" applyNumberFormat="1" applyAlignment="1">
      <alignment horizontal="left"/>
    </xf>
    <xf numFmtId="10" fontId="15" fillId="0" borderId="0" xfId="0" applyNumberFormat="1" applyFont="1"/>
    <xf numFmtId="0" fontId="17" fillId="0" borderId="0" xfId="0" applyFont="1"/>
    <xf numFmtId="4" fontId="0" fillId="0" borderId="0" xfId="0" applyNumberFormat="1"/>
    <xf numFmtId="10" fontId="15" fillId="0" borderId="0" xfId="0" applyNumberFormat="1" applyFont="1" applyAlignment="1">
      <alignment horizontal="left"/>
    </xf>
    <xf numFmtId="179" fontId="0" fillId="0" borderId="0" xfId="0" applyNumberFormat="1"/>
    <xf numFmtId="0" fontId="15" fillId="0" borderId="29" xfId="0" applyFont="1" applyBorder="1"/>
    <xf numFmtId="0" fontId="0" fillId="0" borderId="29" xfId="0" applyBorder="1"/>
    <xf numFmtId="171" fontId="15" fillId="0" borderId="29" xfId="0" applyNumberFormat="1" applyFont="1" applyBorder="1"/>
    <xf numFmtId="2" fontId="15" fillId="0" borderId="29" xfId="0" applyNumberFormat="1" applyFont="1" applyBorder="1"/>
    <xf numFmtId="0" fontId="40" fillId="0" borderId="0" xfId="0" applyFont="1"/>
    <xf numFmtId="0" fontId="41" fillId="0" borderId="0" xfId="0" applyFont="1" applyAlignment="1">
      <alignment vertical="center"/>
    </xf>
    <xf numFmtId="0" fontId="0" fillId="0" borderId="0" xfId="0" applyAlignment="1">
      <alignment horizontal="left" vertical="center" indent="1"/>
    </xf>
    <xf numFmtId="176" fontId="44" fillId="0" borderId="27" xfId="0" applyNumberFormat="1" applyFont="1" applyBorder="1" applyAlignment="1">
      <alignment vertical="center"/>
    </xf>
    <xf numFmtId="176" fontId="44" fillId="0" borderId="0" xfId="0" applyNumberFormat="1" applyFont="1" applyAlignment="1">
      <alignment vertical="center"/>
    </xf>
    <xf numFmtId="178" fontId="44" fillId="0" borderId="0" xfId="0" applyNumberFormat="1" applyFont="1" applyAlignment="1">
      <alignment vertical="center"/>
    </xf>
    <xf numFmtId="176" fontId="43" fillId="0" borderId="0" xfId="0" applyNumberFormat="1" applyFont="1" applyAlignment="1">
      <alignment vertical="center"/>
    </xf>
    <xf numFmtId="0" fontId="22" fillId="0" borderId="0" xfId="0" applyFont="1" applyAlignment="1">
      <alignment horizontal="left"/>
    </xf>
    <xf numFmtId="176" fontId="44" fillId="0" borderId="41" xfId="0" applyNumberFormat="1" applyFont="1" applyBorder="1" applyAlignment="1">
      <alignment vertical="center"/>
    </xf>
    <xf numFmtId="0" fontId="22" fillId="0" borderId="17" xfId="0" applyFont="1" applyBorder="1"/>
    <xf numFmtId="0" fontId="22" fillId="0" borderId="21" xfId="0" applyFont="1" applyBorder="1"/>
    <xf numFmtId="0" fontId="22" fillId="0" borderId="18" xfId="0" applyFont="1" applyBorder="1"/>
    <xf numFmtId="0" fontId="43" fillId="0" borderId="0" xfId="0" applyFont="1" applyAlignment="1">
      <alignment vertical="center"/>
    </xf>
    <xf numFmtId="176" fontId="44" fillId="0" borderId="43" xfId="0" applyNumberFormat="1" applyFont="1" applyBorder="1" applyAlignment="1">
      <alignment vertical="center"/>
    </xf>
    <xf numFmtId="0" fontId="43" fillId="0" borderId="3" xfId="0" applyFont="1" applyBorder="1" applyAlignment="1">
      <alignment horizontal="left" vertical="center"/>
    </xf>
    <xf numFmtId="0" fontId="43" fillId="0" borderId="3" xfId="0" applyFont="1" applyBorder="1" applyAlignment="1">
      <alignment horizontal="right" vertical="center"/>
    </xf>
    <xf numFmtId="0" fontId="44" fillId="0" borderId="3" xfId="0" applyFont="1" applyBorder="1" applyAlignment="1">
      <alignment horizontal="left" vertical="center"/>
    </xf>
    <xf numFmtId="179" fontId="44" fillId="0" borderId="3" xfId="0" applyNumberFormat="1" applyFont="1" applyBorder="1" applyAlignment="1">
      <alignment horizontal="right" vertical="center"/>
    </xf>
    <xf numFmtId="4" fontId="44" fillId="0" borderId="3" xfId="0" applyNumberFormat="1" applyFont="1" applyBorder="1" applyAlignment="1">
      <alignment horizontal="right" vertical="center"/>
    </xf>
    <xf numFmtId="176" fontId="44" fillId="0" borderId="3" xfId="0" applyNumberFormat="1" applyFont="1" applyBorder="1" applyAlignment="1">
      <alignment horizontal="right" vertical="center"/>
    </xf>
    <xf numFmtId="4" fontId="44" fillId="0" borderId="3" xfId="0" applyNumberFormat="1" applyFont="1" applyBorder="1" applyAlignment="1">
      <alignment vertical="center"/>
    </xf>
    <xf numFmtId="176" fontId="44" fillId="0" borderId="3" xfId="0" applyNumberFormat="1" applyFont="1" applyBorder="1" applyAlignment="1">
      <alignment vertical="center"/>
    </xf>
    <xf numFmtId="176" fontId="44" fillId="0" borderId="45" xfId="0" applyNumberFormat="1" applyFont="1" applyBorder="1" applyAlignment="1">
      <alignment vertical="center"/>
    </xf>
    <xf numFmtId="176" fontId="44" fillId="0" borderId="39" xfId="0" applyNumberFormat="1" applyFont="1" applyBorder="1" applyAlignment="1">
      <alignment vertical="center"/>
    </xf>
    <xf numFmtId="1" fontId="44" fillId="0" borderId="3" xfId="0" applyNumberFormat="1" applyFont="1" applyBorder="1" applyAlignment="1">
      <alignment horizontal="right" vertical="center"/>
    </xf>
    <xf numFmtId="4" fontId="43" fillId="0" borderId="3" xfId="0" applyNumberFormat="1" applyFont="1" applyBorder="1" applyAlignment="1">
      <alignment horizontal="right" vertical="center"/>
    </xf>
    <xf numFmtId="180" fontId="44" fillId="0" borderId="3" xfId="0" applyNumberFormat="1" applyFont="1" applyBorder="1" applyAlignment="1">
      <alignment horizontal="right" vertical="center"/>
    </xf>
    <xf numFmtId="181" fontId="43" fillId="0" borderId="3" xfId="0" applyNumberFormat="1" applyFont="1" applyBorder="1" applyAlignment="1">
      <alignment horizontal="right" vertical="center"/>
    </xf>
    <xf numFmtId="0" fontId="43" fillId="0" borderId="49" xfId="0" applyFont="1" applyBorder="1" applyAlignment="1">
      <alignment vertical="center"/>
    </xf>
    <xf numFmtId="0" fontId="44" fillId="0" borderId="7" xfId="0" applyFont="1" applyBorder="1" applyAlignment="1">
      <alignment horizontal="left" vertical="center"/>
    </xf>
    <xf numFmtId="0" fontId="43" fillId="20" borderId="3" xfId="0" applyFont="1" applyFill="1" applyBorder="1" applyAlignment="1">
      <alignment horizontal="left" vertical="center"/>
    </xf>
    <xf numFmtId="0" fontId="43" fillId="20" borderId="3" xfId="0" applyFont="1" applyFill="1" applyBorder="1" applyAlignment="1">
      <alignment horizontal="center" vertical="center" wrapText="1"/>
    </xf>
    <xf numFmtId="0" fontId="43" fillId="20" borderId="40" xfId="0" applyFont="1" applyFill="1" applyBorder="1" applyAlignment="1">
      <alignment vertical="center"/>
    </xf>
    <xf numFmtId="0" fontId="43" fillId="0" borderId="7" xfId="0" applyFont="1" applyBorder="1" applyAlignment="1">
      <alignment vertical="center"/>
    </xf>
    <xf numFmtId="0" fontId="44" fillId="0" borderId="0" xfId="0" applyFont="1" applyAlignment="1">
      <alignment vertical="center"/>
    </xf>
    <xf numFmtId="0" fontId="43" fillId="0" borderId="3" xfId="0" applyFont="1" applyBorder="1" applyAlignment="1">
      <alignment vertical="center"/>
    </xf>
    <xf numFmtId="0" fontId="44" fillId="0" borderId="3" xfId="0" applyFont="1" applyBorder="1" applyAlignment="1">
      <alignment vertical="center"/>
    </xf>
    <xf numFmtId="178" fontId="44" fillId="0" borderId="3" xfId="0" applyNumberFormat="1" applyFont="1" applyBorder="1" applyAlignment="1">
      <alignment vertical="center"/>
    </xf>
    <xf numFmtId="176" fontId="43" fillId="0" borderId="3" xfId="0" applyNumberFormat="1" applyFont="1" applyBorder="1" applyAlignment="1">
      <alignment vertical="center"/>
    </xf>
    <xf numFmtId="0" fontId="39" fillId="0" borderId="21" xfId="0" applyFont="1" applyBorder="1"/>
    <xf numFmtId="0" fontId="1" fillId="0" borderId="3" xfId="0" applyFont="1" applyBorder="1" applyAlignment="1">
      <alignment horizontal="left" vertical="center" wrapText="1"/>
    </xf>
    <xf numFmtId="0" fontId="1" fillId="0" borderId="3" xfId="0" applyFont="1" applyBorder="1" applyAlignment="1">
      <alignment horizontal="right" vertical="center" wrapText="1"/>
    </xf>
    <xf numFmtId="0" fontId="0" fillId="0" borderId="0" xfId="0" applyAlignment="1">
      <alignment horizontal="center" vertical="center"/>
    </xf>
    <xf numFmtId="10" fontId="15" fillId="0" borderId="0" xfId="0" applyNumberFormat="1" applyFont="1" applyAlignment="1">
      <alignment vertical="center" wrapText="1"/>
    </xf>
    <xf numFmtId="3" fontId="0" fillId="0" borderId="0" xfId="0" applyNumberFormat="1" applyAlignment="1">
      <alignment vertical="center" wrapText="1"/>
    </xf>
    <xf numFmtId="3" fontId="15" fillId="21" borderId="0" xfId="0" applyNumberFormat="1" applyFont="1" applyFill="1" applyAlignment="1">
      <alignment vertical="center" wrapText="1"/>
    </xf>
    <xf numFmtId="0" fontId="50" fillId="22" borderId="52" xfId="0" applyFont="1" applyFill="1" applyBorder="1" applyAlignment="1">
      <alignment horizontal="left" vertical="center" wrapText="1"/>
    </xf>
    <xf numFmtId="0" fontId="49" fillId="22" borderId="52" xfId="0" applyFont="1" applyFill="1" applyBorder="1" applyAlignment="1">
      <alignment horizontal="left" vertical="center" wrapText="1"/>
    </xf>
    <xf numFmtId="0" fontId="49" fillId="22" borderId="52" xfId="0" applyFont="1" applyFill="1" applyBorder="1" applyAlignment="1">
      <alignment horizontal="right" vertical="center" wrapText="1"/>
    </xf>
    <xf numFmtId="3" fontId="49" fillId="22" borderId="52" xfId="0" applyNumberFormat="1" applyFont="1" applyFill="1" applyBorder="1" applyAlignment="1">
      <alignment horizontal="right" vertical="center" wrapText="1"/>
    </xf>
    <xf numFmtId="0" fontId="52" fillId="23" borderId="55" xfId="0" applyFont="1" applyFill="1" applyBorder="1" applyAlignment="1">
      <alignment horizontal="center" vertical="center" wrapText="1"/>
    </xf>
    <xf numFmtId="0" fontId="52" fillId="23" borderId="53" xfId="0" applyFont="1" applyFill="1" applyBorder="1" applyAlignment="1">
      <alignment horizontal="center" vertical="center" wrapText="1"/>
    </xf>
    <xf numFmtId="0" fontId="53" fillId="22" borderId="54" xfId="0" applyFont="1" applyFill="1" applyBorder="1" applyAlignment="1">
      <alignment horizontal="right" vertical="center" wrapText="1"/>
    </xf>
    <xf numFmtId="3" fontId="53" fillId="22" borderId="54" xfId="0" applyNumberFormat="1" applyFont="1" applyFill="1" applyBorder="1" applyAlignment="1">
      <alignment horizontal="right" vertical="center" wrapText="1"/>
    </xf>
    <xf numFmtId="0" fontId="54" fillId="22" borderId="62" xfId="0" applyFont="1" applyFill="1" applyBorder="1" applyAlignment="1">
      <alignment horizontal="left" vertical="center" wrapText="1"/>
    </xf>
    <xf numFmtId="0" fontId="53" fillId="22" borderId="63" xfId="0" applyFont="1" applyFill="1" applyBorder="1" applyAlignment="1">
      <alignment horizontal="right" vertical="center" wrapText="1"/>
    </xf>
    <xf numFmtId="0" fontId="53" fillId="22" borderId="62" xfId="0" applyFont="1" applyFill="1" applyBorder="1" applyAlignment="1">
      <alignment horizontal="left" vertical="center" wrapText="1"/>
    </xf>
    <xf numFmtId="0" fontId="43" fillId="20" borderId="3" xfId="0" applyFont="1" applyFill="1" applyBorder="1" applyAlignment="1">
      <alignment horizontal="left" vertical="center"/>
    </xf>
    <xf numFmtId="0" fontId="43" fillId="20" borderId="9" xfId="0" applyFont="1" applyFill="1" applyBorder="1" applyAlignment="1">
      <alignment horizontal="left" vertical="center"/>
    </xf>
    <xf numFmtId="0" fontId="43" fillId="20" borderId="44" xfId="0" applyFont="1" applyFill="1" applyBorder="1" applyAlignment="1">
      <alignment horizontal="left" vertical="center"/>
    </xf>
    <xf numFmtId="0" fontId="43" fillId="20" borderId="19" xfId="0" applyFont="1" applyFill="1" applyBorder="1" applyAlignment="1">
      <alignment horizontal="left" vertical="center"/>
    </xf>
    <xf numFmtId="0" fontId="48" fillId="19" borderId="9" xfId="0" applyFont="1" applyFill="1" applyBorder="1" applyAlignment="1">
      <alignment horizontal="left" vertical="center"/>
    </xf>
    <xf numFmtId="0" fontId="48" fillId="19" borderId="44" xfId="0" applyFont="1" applyFill="1" applyBorder="1" applyAlignment="1">
      <alignment horizontal="left" vertical="center"/>
    </xf>
    <xf numFmtId="0" fontId="48" fillId="19" borderId="19" xfId="0" applyFont="1" applyFill="1" applyBorder="1" applyAlignment="1">
      <alignment horizontal="left" vertical="center"/>
    </xf>
    <xf numFmtId="0" fontId="47" fillId="18" borderId="46" xfId="0" applyFont="1" applyFill="1" applyBorder="1" applyAlignment="1">
      <alignment horizontal="center" vertical="center"/>
    </xf>
    <xf numFmtId="0" fontId="47" fillId="18" borderId="44" xfId="0" applyFont="1" applyFill="1" applyBorder="1" applyAlignment="1">
      <alignment horizontal="center" vertical="center"/>
    </xf>
    <xf numFmtId="0" fontId="47" fillId="18" borderId="19" xfId="0" applyFont="1" applyFill="1" applyBorder="1" applyAlignment="1">
      <alignment horizontal="center" vertical="center"/>
    </xf>
    <xf numFmtId="0" fontId="44" fillId="0" borderId="3" xfId="0" applyFont="1" applyBorder="1" applyAlignment="1">
      <alignment horizontal="left" vertical="center"/>
    </xf>
    <xf numFmtId="176" fontId="43" fillId="0" borderId="3" xfId="0" applyNumberFormat="1" applyFont="1" applyBorder="1" applyAlignment="1">
      <alignment horizontal="right" vertical="center"/>
    </xf>
    <xf numFmtId="0" fontId="44" fillId="0" borderId="0" xfId="0" applyFont="1" applyAlignment="1">
      <alignment horizontal="left" vertical="center"/>
    </xf>
    <xf numFmtId="0" fontId="45" fillId="17" borderId="9" xfId="0" applyFont="1" applyFill="1" applyBorder="1" applyAlignment="1">
      <alignment horizontal="left" vertical="center"/>
    </xf>
    <xf numFmtId="0" fontId="45" fillId="17" borderId="44" xfId="0" applyFont="1" applyFill="1" applyBorder="1" applyAlignment="1">
      <alignment horizontal="left" vertical="center"/>
    </xf>
    <xf numFmtId="0" fontId="45" fillId="17" borderId="51" xfId="0" applyFont="1" applyFill="1" applyBorder="1" applyAlignment="1">
      <alignment horizontal="left" vertical="center"/>
    </xf>
    <xf numFmtId="182" fontId="44" fillId="0" borderId="3" xfId="0" applyNumberFormat="1" applyFont="1" applyBorder="1" applyAlignment="1">
      <alignment horizontal="right" vertical="center"/>
    </xf>
    <xf numFmtId="182" fontId="43" fillId="0" borderId="3" xfId="0" applyNumberFormat="1" applyFont="1" applyBorder="1" applyAlignment="1">
      <alignment horizontal="right" vertical="center"/>
    </xf>
    <xf numFmtId="0" fontId="22" fillId="0" borderId="0" xfId="0" applyFont="1"/>
    <xf numFmtId="181" fontId="44" fillId="0" borderId="3" xfId="0" applyNumberFormat="1" applyFont="1" applyBorder="1" applyAlignment="1">
      <alignment horizontal="right" vertical="center"/>
    </xf>
    <xf numFmtId="181" fontId="44" fillId="0" borderId="9" xfId="0" applyNumberFormat="1" applyFont="1" applyBorder="1" applyAlignment="1">
      <alignment horizontal="right" vertical="center"/>
    </xf>
    <xf numFmtId="0" fontId="45" fillId="0" borderId="3" xfId="0" applyFont="1" applyBorder="1" applyAlignment="1">
      <alignment horizontal="left" vertical="center"/>
    </xf>
    <xf numFmtId="2" fontId="46" fillId="0" borderId="3" xfId="0" applyNumberFormat="1" applyFont="1" applyBorder="1" applyAlignment="1">
      <alignment horizontal="right" vertical="center"/>
    </xf>
    <xf numFmtId="2" fontId="46" fillId="0" borderId="9" xfId="0" applyNumberFormat="1" applyFont="1" applyBorder="1" applyAlignment="1">
      <alignment horizontal="right" vertical="center"/>
    </xf>
    <xf numFmtId="0" fontId="43" fillId="0" borderId="0" xfId="0" applyFont="1" applyAlignment="1">
      <alignment horizontal="left" vertical="center"/>
    </xf>
    <xf numFmtId="0" fontId="44" fillId="0" borderId="38" xfId="0" applyFont="1" applyBorder="1" applyAlignment="1">
      <alignment horizontal="left" vertical="center"/>
    </xf>
    <xf numFmtId="0" fontId="48" fillId="19" borderId="37" xfId="0" applyFont="1" applyFill="1" applyBorder="1" applyAlignment="1">
      <alignment horizontal="left" vertical="center"/>
    </xf>
    <xf numFmtId="0" fontId="43" fillId="0" borderId="7" xfId="0" applyFont="1" applyBorder="1" applyAlignment="1">
      <alignment horizontal="center" vertical="center"/>
    </xf>
    <xf numFmtId="0" fontId="43" fillId="0" borderId="38" xfId="0" applyFont="1" applyBorder="1" applyAlignment="1">
      <alignment horizontal="center" vertical="center"/>
    </xf>
    <xf numFmtId="0" fontId="43" fillId="0" borderId="47" xfId="0" applyFont="1" applyBorder="1" applyAlignment="1">
      <alignment horizontal="center" vertical="center"/>
    </xf>
    <xf numFmtId="0" fontId="43" fillId="0" borderId="48" xfId="0" applyFont="1" applyBorder="1" applyAlignment="1">
      <alignment horizontal="center" vertical="center"/>
    </xf>
    <xf numFmtId="0" fontId="44" fillId="0" borderId="42" xfId="0" applyFont="1" applyBorder="1" applyAlignment="1">
      <alignment horizontal="left" vertical="center"/>
    </xf>
    <xf numFmtId="0" fontId="44" fillId="0" borderId="43" xfId="0" applyFont="1" applyBorder="1" applyAlignment="1">
      <alignment horizontal="left" vertical="center"/>
    </xf>
    <xf numFmtId="0" fontId="44" fillId="0" borderId="27" xfId="0" applyFont="1" applyBorder="1" applyAlignment="1">
      <alignment horizontal="left" vertical="center"/>
    </xf>
    <xf numFmtId="0" fontId="44" fillId="0" borderId="41" xfId="0" applyFont="1" applyBorder="1" applyAlignment="1">
      <alignment horizontal="left" vertical="center"/>
    </xf>
    <xf numFmtId="0" fontId="47" fillId="19" borderId="9" xfId="0" applyFont="1" applyFill="1" applyBorder="1" applyAlignment="1">
      <alignment horizontal="left" vertical="center"/>
    </xf>
    <xf numFmtId="0" fontId="47" fillId="19" borderId="44" xfId="0" applyFont="1" applyFill="1" applyBorder="1" applyAlignment="1">
      <alignment horizontal="left" vertical="center"/>
    </xf>
    <xf numFmtId="0" fontId="47" fillId="19" borderId="19" xfId="0" applyFont="1" applyFill="1" applyBorder="1" applyAlignment="1">
      <alignment horizontal="left" vertical="center"/>
    </xf>
    <xf numFmtId="0" fontId="48" fillId="19" borderId="50" xfId="0" applyFont="1" applyFill="1" applyBorder="1" applyAlignment="1">
      <alignment horizontal="left" vertical="center"/>
    </xf>
    <xf numFmtId="0" fontId="48" fillId="19" borderId="21" xfId="0" applyFont="1" applyFill="1" applyBorder="1" applyAlignment="1">
      <alignment horizontal="left" vertical="center"/>
    </xf>
    <xf numFmtId="0" fontId="42" fillId="16" borderId="0" xfId="0" applyFont="1" applyFill="1" applyAlignment="1">
      <alignment horizontal="center" vertical="center"/>
    </xf>
    <xf numFmtId="0" fontId="0" fillId="0" borderId="30" xfId="0" applyBorder="1" applyAlignment="1">
      <alignment horizontal="left" vertical="center" wrapText="1"/>
    </xf>
    <xf numFmtId="0" fontId="0" fillId="0" borderId="31" xfId="0"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0" xfId="0" applyAlignment="1">
      <alignment horizontal="left" vertical="center" wrapText="1"/>
    </xf>
    <xf numFmtId="0" fontId="0" fillId="0" borderId="34" xfId="0" applyBorder="1" applyAlignment="1">
      <alignment horizontal="left" vertical="center" wrapText="1"/>
    </xf>
    <xf numFmtId="0" fontId="0" fillId="0" borderId="35" xfId="0" applyBorder="1" applyAlignment="1">
      <alignment horizontal="left" vertical="center" wrapText="1"/>
    </xf>
    <xf numFmtId="0" fontId="0" fillId="0" borderId="16" xfId="0" applyBorder="1" applyAlignment="1">
      <alignment horizontal="left" vertical="center" wrapText="1"/>
    </xf>
    <xf numFmtId="0" fontId="0" fillId="0" borderId="36" xfId="0" applyBorder="1" applyAlignment="1">
      <alignment horizontal="left" vertical="center" wrapText="1"/>
    </xf>
    <xf numFmtId="0" fontId="0" fillId="0" borderId="30" xfId="0" applyBorder="1" applyAlignment="1">
      <alignment horizontal="left" vertical="top" wrapText="1"/>
    </xf>
    <xf numFmtId="0" fontId="0" fillId="0" borderId="31" xfId="0" applyBorder="1" applyAlignment="1">
      <alignment horizontal="left" vertical="top"/>
    </xf>
    <xf numFmtId="0" fontId="0" fillId="0" borderId="32" xfId="0" applyBorder="1" applyAlignment="1">
      <alignment horizontal="left" vertical="top"/>
    </xf>
    <xf numFmtId="0" fontId="0" fillId="0" borderId="33" xfId="0" applyBorder="1" applyAlignment="1">
      <alignment horizontal="left" vertical="top"/>
    </xf>
    <xf numFmtId="0" fontId="0" fillId="0" borderId="0" xfId="0" applyAlignment="1">
      <alignment horizontal="left" vertical="top"/>
    </xf>
    <xf numFmtId="0" fontId="0" fillId="0" borderId="34" xfId="0" applyBorder="1" applyAlignment="1">
      <alignment horizontal="left" vertical="top"/>
    </xf>
    <xf numFmtId="0" fontId="0" fillId="0" borderId="35" xfId="0" applyBorder="1" applyAlignment="1">
      <alignment horizontal="left" vertical="top"/>
    </xf>
    <xf numFmtId="0" fontId="0" fillId="0" borderId="16" xfId="0" applyBorder="1" applyAlignment="1">
      <alignment horizontal="left" vertical="top"/>
    </xf>
    <xf numFmtId="0" fontId="0" fillId="0" borderId="36" xfId="0" applyBorder="1" applyAlignment="1">
      <alignment horizontal="left" vertical="top"/>
    </xf>
    <xf numFmtId="0" fontId="51" fillId="23" borderId="54" xfId="0" applyFont="1" applyFill="1" applyBorder="1" applyAlignment="1">
      <alignment horizontal="center" vertical="center" wrapText="1"/>
    </xf>
    <xf numFmtId="0" fontId="51" fillId="23" borderId="57" xfId="0" applyFont="1" applyFill="1" applyBorder="1" applyAlignment="1">
      <alignment horizontal="center" vertical="center" wrapText="1"/>
    </xf>
    <xf numFmtId="0" fontId="51" fillId="23" borderId="55" xfId="0" applyFont="1" applyFill="1" applyBorder="1" applyAlignment="1">
      <alignment horizontal="center" vertical="center" wrapText="1"/>
    </xf>
    <xf numFmtId="0" fontId="51" fillId="23" borderId="56" xfId="0" applyFont="1" applyFill="1" applyBorder="1" applyAlignment="1">
      <alignment horizontal="center" vertical="center" wrapText="1"/>
    </xf>
    <xf numFmtId="0" fontId="51" fillId="23" borderId="58" xfId="0" applyFont="1" applyFill="1" applyBorder="1" applyAlignment="1">
      <alignment horizontal="center" vertical="center" wrapText="1"/>
    </xf>
    <xf numFmtId="0" fontId="52" fillId="23" borderId="54" xfId="0" applyFont="1" applyFill="1" applyBorder="1" applyAlignment="1">
      <alignment horizontal="center" vertical="center" wrapText="1"/>
    </xf>
    <xf numFmtId="0" fontId="52" fillId="23" borderId="53" xfId="0" applyFont="1" applyFill="1" applyBorder="1" applyAlignment="1">
      <alignment horizontal="center" vertical="center" wrapText="1"/>
    </xf>
    <xf numFmtId="0" fontId="52" fillId="23" borderId="55" xfId="0" applyFont="1" applyFill="1" applyBorder="1" applyAlignment="1">
      <alignment horizontal="center" vertical="center" wrapText="1"/>
    </xf>
    <xf numFmtId="0" fontId="52" fillId="23" borderId="59" xfId="0" applyFont="1" applyFill="1" applyBorder="1" applyAlignment="1">
      <alignment horizontal="center" vertical="center" wrapText="1"/>
    </xf>
    <xf numFmtId="0" fontId="52" fillId="23" borderId="60" xfId="0" applyFont="1" applyFill="1" applyBorder="1" applyAlignment="1">
      <alignment horizontal="center" vertical="center" wrapText="1"/>
    </xf>
    <xf numFmtId="0" fontId="52" fillId="23" borderId="61" xfId="0" applyFont="1" applyFill="1" applyBorder="1" applyAlignment="1">
      <alignment horizontal="center" vertical="center" wrapText="1"/>
    </xf>
    <xf numFmtId="0" fontId="52" fillId="23" borderId="62" xfId="0" applyFont="1" applyFill="1" applyBorder="1" applyAlignment="1">
      <alignment horizontal="center" vertical="center" wrapText="1"/>
    </xf>
    <xf numFmtId="0" fontId="52" fillId="23" borderId="56" xfId="0" applyFont="1" applyFill="1" applyBorder="1" applyAlignment="1">
      <alignment horizontal="center" vertical="center" wrapText="1"/>
    </xf>
    <xf numFmtId="0" fontId="4" fillId="2" borderId="1" xfId="0" applyFont="1" applyFill="1" applyBorder="1" applyAlignment="1">
      <alignment vertical="center" wrapText="1"/>
    </xf>
    <xf numFmtId="0" fontId="5" fillId="2" borderId="0" xfId="0" applyFont="1" applyFill="1" applyAlignment="1">
      <alignment vertical="center" wrapText="1"/>
    </xf>
    <xf numFmtId="0" fontId="9" fillId="2" borderId="0" xfId="0" applyFont="1" applyFill="1" applyAlignment="1">
      <alignment vertical="center" wrapText="1"/>
    </xf>
    <xf numFmtId="0" fontId="10" fillId="2" borderId="0" xfId="0" applyFont="1" applyFill="1" applyAlignment="1">
      <alignment horizontal="left" vertical="center" wrapText="1"/>
    </xf>
    <xf numFmtId="0" fontId="0" fillId="0" borderId="0" xfId="0" applyAlignment="1">
      <alignment horizontal="center" vertical="center" wrapText="1"/>
    </xf>
    <xf numFmtId="0" fontId="5" fillId="0" borderId="0" xfId="0" applyFont="1" applyAlignment="1">
      <alignment horizontal="right" vertical="center" wrapText="1"/>
    </xf>
    <xf numFmtId="0" fontId="5" fillId="2" borderId="1" xfId="0" applyFont="1" applyFill="1" applyBorder="1" applyAlignment="1">
      <alignment horizontal="right" vertical="center" wrapText="1"/>
    </xf>
    <xf numFmtId="0" fontId="12" fillId="0" borderId="3" xfId="0" applyFont="1" applyBorder="1" applyAlignment="1">
      <alignment horizontal="left" vertical="center"/>
    </xf>
    <xf numFmtId="0" fontId="17" fillId="0" borderId="15" xfId="0" applyFont="1" applyBorder="1" applyAlignment="1">
      <alignment horizontal="center"/>
    </xf>
    <xf numFmtId="0" fontId="0" fillId="0" borderId="0" xfId="0"/>
    <xf numFmtId="0" fontId="18" fillId="0" borderId="7" xfId="0" applyFont="1" applyBorder="1" applyAlignment="1">
      <alignment horizontal="center" vertical="center"/>
    </xf>
    <xf numFmtId="165" fontId="20" fillId="0" borderId="21" xfId="0" applyNumberFormat="1" applyFont="1" applyBorder="1" applyAlignment="1">
      <alignment horizontal="center"/>
    </xf>
    <xf numFmtId="0" fontId="23" fillId="0" borderId="0" xfId="0" applyFont="1"/>
    <xf numFmtId="0" fontId="28" fillId="9" borderId="4" xfId="0" applyFont="1" applyFill="1" applyBorder="1"/>
    <xf numFmtId="0" fontId="28" fillId="9" borderId="23" xfId="0" applyFont="1" applyFill="1" applyBorder="1"/>
    <xf numFmtId="0" fontId="55" fillId="19" borderId="3" xfId="0" applyFont="1" applyFill="1" applyBorder="1" applyAlignment="1">
      <alignment horizontal="center" vertical="center"/>
    </xf>
    <xf numFmtId="0" fontId="56" fillId="19" borderId="3" xfId="0" applyFont="1" applyFill="1" applyBorder="1" applyAlignment="1">
      <alignment horizontal="center" vertical="center"/>
    </xf>
    <xf numFmtId="0" fontId="57" fillId="19" borderId="3" xfId="0" applyFont="1" applyFill="1" applyBorder="1" applyAlignment="1">
      <alignment horizontal="left" vertical="center"/>
    </xf>
    <xf numFmtId="0" fontId="57" fillId="19" borderId="3" xfId="0" applyFont="1" applyFill="1" applyBorder="1" applyAlignment="1">
      <alignment horizontal="right" vertical="center"/>
    </xf>
    <xf numFmtId="170" fontId="38" fillId="19" borderId="3" xfId="0" applyNumberFormat="1" applyFont="1" applyFill="1" applyBorder="1" applyAlignment="1">
      <alignment horizontal="center" vertical="top"/>
    </xf>
    <xf numFmtId="0" fontId="38" fillId="19" borderId="3" xfId="0" applyFont="1" applyFill="1" applyBorder="1" applyAlignment="1">
      <alignment horizontal="center" vertical="top"/>
    </xf>
    <xf numFmtId="0" fontId="32" fillId="24" borderId="3" xfId="0" applyFont="1" applyFill="1" applyBorder="1" applyAlignment="1">
      <alignment horizontal="center" vertical="center"/>
    </xf>
    <xf numFmtId="0" fontId="32" fillId="19" borderId="3" xfId="0" applyFont="1" applyFill="1" applyBorder="1" applyAlignment="1">
      <alignment horizontal="center" vertical="center"/>
    </xf>
    <xf numFmtId="172" fontId="14" fillId="0" borderId="0" xfId="0" applyNumberFormat="1" applyFont="1" applyFill="1" applyAlignment="1">
      <alignment horizontal="right"/>
    </xf>
    <xf numFmtId="172" fontId="12" fillId="0" borderId="21" xfId="0" applyNumberFormat="1" applyFont="1" applyFill="1" applyBorder="1" applyAlignment="1">
      <alignment horizontal="right"/>
    </xf>
    <xf numFmtId="172" fontId="12" fillId="0" borderId="18" xfId="0" applyNumberFormat="1" applyFont="1" applyFill="1" applyBorder="1" applyAlignment="1">
      <alignment horizontal="right"/>
    </xf>
    <xf numFmtId="0" fontId="0" fillId="0" borderId="0" xfId="0" applyFill="1"/>
    <xf numFmtId="0" fontId="0" fillId="0" borderId="5" xfId="0" applyFill="1" applyBorder="1"/>
    <xf numFmtId="172" fontId="12" fillId="0" borderId="5" xfId="0" applyNumberFormat="1" applyFont="1" applyFill="1" applyBorder="1" applyAlignment="1">
      <alignment horizontal="right"/>
    </xf>
    <xf numFmtId="172" fontId="12" fillId="0" borderId="6" xfId="0" applyNumberFormat="1" applyFont="1" applyFill="1" applyBorder="1" applyAlignment="1">
      <alignment horizontal="right"/>
    </xf>
    <xf numFmtId="0" fontId="0" fillId="0" borderId="21" xfId="0" applyFill="1" applyBorder="1"/>
    <xf numFmtId="165" fontId="14" fillId="0" borderId="21" xfId="0" applyNumberFormat="1" applyFont="1" applyFill="1" applyBorder="1" applyAlignment="1">
      <alignment horizontal="right"/>
    </xf>
    <xf numFmtId="165" fontId="14" fillId="0" borderId="18" xfId="0" applyNumberFormat="1" applyFont="1" applyFill="1" applyBorder="1" applyAlignment="1">
      <alignment horizontal="right"/>
    </xf>
    <xf numFmtId="0" fontId="18" fillId="0" borderId="3" xfId="0" applyFont="1" applyFill="1" applyBorder="1" applyAlignment="1">
      <alignment horizontal="left"/>
    </xf>
    <xf numFmtId="0" fontId="19" fillId="0" borderId="3" xfId="0" applyFont="1" applyFill="1" applyBorder="1" applyAlignment="1">
      <alignment horizontal="left"/>
    </xf>
    <xf numFmtId="172" fontId="14" fillId="0" borderId="3" xfId="0" applyNumberFormat="1" applyFont="1" applyFill="1" applyBorder="1" applyAlignment="1">
      <alignment horizontal="right"/>
    </xf>
    <xf numFmtId="172" fontId="12" fillId="0" borderId="3" xfId="0" applyNumberFormat="1" applyFont="1" applyFill="1" applyBorder="1" applyAlignment="1">
      <alignment horizontal="right"/>
    </xf>
    <xf numFmtId="0" fontId="25" fillId="0" borderId="7" xfId="0" applyFont="1" applyFill="1" applyBorder="1"/>
    <xf numFmtId="174" fontId="26" fillId="0" borderId="0" xfId="0" applyNumberFormat="1" applyFont="1" applyFill="1"/>
    <xf numFmtId="174" fontId="26" fillId="0" borderId="8" xfId="0" applyNumberFormat="1" applyFont="1" applyFill="1" applyBorder="1"/>
    <xf numFmtId="172" fontId="14" fillId="0" borderId="3" xfId="0" applyNumberFormat="1" applyFont="1" applyFill="1" applyBorder="1" applyAlignment="1">
      <alignment horizontal="right" vertical="center"/>
    </xf>
    <xf numFmtId="9" fontId="25" fillId="0" borderId="0" xfId="0" applyNumberFormat="1" applyFont="1" applyFill="1"/>
    <xf numFmtId="0" fontId="25" fillId="0" borderId="0" xfId="0" applyFont="1" applyFill="1"/>
    <xf numFmtId="0" fontId="25" fillId="0" borderId="8" xfId="0" applyFont="1" applyFill="1" applyBorder="1"/>
    <xf numFmtId="172" fontId="18" fillId="0" borderId="3" xfId="0" applyNumberFormat="1" applyFont="1" applyFill="1" applyBorder="1" applyAlignment="1">
      <alignment horizontal="right"/>
    </xf>
    <xf numFmtId="0" fontId="0" fillId="0" borderId="7" xfId="0" applyFill="1" applyBorder="1"/>
    <xf numFmtId="0" fontId="0" fillId="0" borderId="8" xfId="0" applyFill="1" applyBorder="1"/>
    <xf numFmtId="165" fontId="14" fillId="0" borderId="3" xfId="0" applyNumberFormat="1" applyFont="1" applyFill="1" applyBorder="1" applyAlignment="1">
      <alignment horizontal="right" vertical="center"/>
    </xf>
    <xf numFmtId="165" fontId="19" fillId="0" borderId="3" xfId="0" applyNumberFormat="1" applyFont="1" applyFill="1" applyBorder="1" applyAlignment="1">
      <alignment horizontal="right"/>
    </xf>
    <xf numFmtId="0" fontId="18" fillId="0" borderId="0" xfId="0" applyFont="1" applyFill="1"/>
    <xf numFmtId="0" fontId="27" fillId="0" borderId="0" xfId="0" applyFont="1" applyFill="1" applyAlignment="1">
      <alignment horizontal="left"/>
    </xf>
    <xf numFmtId="165" fontId="18" fillId="0" borderId="22" xfId="0" applyNumberFormat="1" applyFont="1" applyFill="1" applyBorder="1"/>
    <xf numFmtId="0" fontId="19" fillId="0" borderId="9" xfId="0" applyFont="1" applyFill="1" applyBorder="1" applyAlignment="1">
      <alignment horizontal="left"/>
    </xf>
    <xf numFmtId="0" fontId="57" fillId="25" borderId="3" xfId="0" applyFont="1" applyFill="1" applyBorder="1" applyAlignment="1">
      <alignment horizontal="left"/>
    </xf>
    <xf numFmtId="174" fontId="57" fillId="25" borderId="3" xfId="0" applyNumberFormat="1" applyFont="1" applyFill="1" applyBorder="1" applyAlignment="1">
      <alignment horizontal="center"/>
    </xf>
    <xf numFmtId="0" fontId="58" fillId="19" borderId="12" xfId="0" applyFont="1" applyFill="1" applyBorder="1" applyAlignment="1">
      <alignment horizontal="center" vertical="center"/>
    </xf>
    <xf numFmtId="0" fontId="58" fillId="19" borderId="13" xfId="0" applyFont="1" applyFill="1" applyBorder="1" applyAlignment="1">
      <alignment horizontal="center" vertical="center"/>
    </xf>
    <xf numFmtId="0" fontId="58" fillId="19" borderId="14" xfId="0" applyFont="1" applyFill="1" applyBorder="1" applyAlignment="1">
      <alignment horizontal="center" vertical="center"/>
    </xf>
    <xf numFmtId="0" fontId="59" fillId="19" borderId="3" xfId="0" applyFont="1" applyFill="1" applyBorder="1" applyAlignment="1">
      <alignment horizontal="center"/>
    </xf>
    <xf numFmtId="0" fontId="60" fillId="19" borderId="0" xfId="0" applyFont="1" applyFill="1" applyAlignment="1">
      <alignment horizontal="center" vertical="center" wrapText="1"/>
    </xf>
    <xf numFmtId="0" fontId="61" fillId="24" borderId="3" xfId="0" applyFont="1" applyFill="1" applyBorder="1" applyAlignment="1">
      <alignment horizontal="center" vertical="center" wrapText="1"/>
    </xf>
    <xf numFmtId="0" fontId="34" fillId="26" borderId="3" xfId="0" applyFont="1" applyFill="1" applyBorder="1" applyAlignment="1">
      <alignment horizontal="center" vertical="center" wrapText="1"/>
    </xf>
    <xf numFmtId="0" fontId="34" fillId="26" borderId="9" xfId="0" applyFont="1" applyFill="1" applyBorder="1" applyAlignment="1">
      <alignment horizontal="center" vertical="center" wrapText="1"/>
    </xf>
    <xf numFmtId="0" fontId="34" fillId="26" borderId="44" xfId="0" applyFont="1" applyFill="1" applyBorder="1" applyAlignment="1">
      <alignment horizontal="center" vertical="center" wrapText="1"/>
    </xf>
    <xf numFmtId="0" fontId="34" fillId="26" borderId="19" xfId="0" applyFont="1" applyFill="1" applyBorder="1" applyAlignment="1">
      <alignment horizontal="center" vertical="center" wrapText="1"/>
    </xf>
    <xf numFmtId="0" fontId="61" fillId="24" borderId="9" xfId="0" applyFont="1" applyFill="1" applyBorder="1" applyAlignment="1">
      <alignment horizontal="center" vertical="center" wrapText="1"/>
    </xf>
    <xf numFmtId="0" fontId="61" fillId="24" borderId="44" xfId="0" applyFont="1" applyFill="1" applyBorder="1" applyAlignment="1">
      <alignment horizontal="center" vertical="center" wrapText="1"/>
    </xf>
    <xf numFmtId="0" fontId="61" fillId="24" borderId="19" xfId="0" applyFont="1" applyFill="1" applyBorder="1" applyAlignment="1">
      <alignment horizontal="center" vertical="center" wrapText="1"/>
    </xf>
    <xf numFmtId="0" fontId="62" fillId="27" borderId="3" xfId="0" applyFont="1" applyFill="1" applyBorder="1" applyAlignment="1">
      <alignment horizontal="left"/>
    </xf>
    <xf numFmtId="0" fontId="32" fillId="19" borderId="7" xfId="0" applyFont="1" applyFill="1" applyBorder="1" applyAlignment="1">
      <alignment horizontal="center" vertical="center"/>
    </xf>
    <xf numFmtId="0" fontId="32" fillId="19" borderId="0" xfId="0" applyFont="1" applyFill="1" applyBorder="1" applyAlignment="1">
      <alignment horizontal="center" vertical="center"/>
    </xf>
    <xf numFmtId="0" fontId="63" fillId="24" borderId="9" xfId="0" applyFont="1" applyFill="1" applyBorder="1" applyAlignment="1">
      <alignment horizontal="center" vertical="center"/>
    </xf>
    <xf numFmtId="0" fontId="60" fillId="24" borderId="3" xfId="0" applyFont="1" applyFill="1" applyBorder="1" applyAlignment="1">
      <alignment horizontal="center" vertical="center"/>
    </xf>
    <xf numFmtId="0" fontId="64" fillId="19" borderId="12" xfId="0" applyFont="1" applyFill="1" applyBorder="1" applyAlignment="1">
      <alignment horizontal="center" vertical="center"/>
    </xf>
    <xf numFmtId="0" fontId="64" fillId="19" borderId="13" xfId="0" applyFont="1" applyFill="1" applyBorder="1" applyAlignment="1">
      <alignment horizontal="center" vertical="center"/>
    </xf>
    <xf numFmtId="0" fontId="64" fillId="19" borderId="14" xfId="0" applyFont="1" applyFill="1" applyBorder="1" applyAlignment="1">
      <alignment horizontal="center" vertical="center"/>
    </xf>
    <xf numFmtId="0" fontId="65" fillId="28" borderId="22"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0000"/>
      <rgbColor rgb="FF008000"/>
      <rgbColor rgb="FF000080"/>
      <rgbColor rgb="FF806000"/>
      <rgbColor rgb="FF800080"/>
      <rgbColor rgb="FF2E74B5"/>
      <rgbColor rgb="FFBFBFBF"/>
      <rgbColor rgb="FF767171"/>
      <rgbColor rgb="FFD9E1F2"/>
      <rgbColor rgb="FF7030A0"/>
      <rgbColor rgb="FFFFF2CC"/>
      <rgbColor rgb="FFDAE9F7"/>
      <rgbColor rgb="FF660066"/>
      <rgbColor rgb="FFDAE3F3"/>
      <rgbColor rgb="FF0563C1"/>
      <rgbColor rgb="FFBDD7EE"/>
      <rgbColor rgb="FF000080"/>
      <rgbColor rgb="FFFF00FF"/>
      <rgbColor rgb="FFE2EFDA"/>
      <rgbColor rgb="FF00FFFF"/>
      <rgbColor rgb="FF800080"/>
      <rgbColor rgb="FF800000"/>
      <rgbColor rgb="FF2E5FA3"/>
      <rgbColor rgb="FF0000FF"/>
      <rgbColor rgb="FF00CCFF"/>
      <rgbColor rgb="FFDEEAF1"/>
      <rgbColor rgb="FFC6EFCE"/>
      <rgbColor rgb="FFE2F0D9"/>
      <rgbColor rgb="FFD6E4F0"/>
      <rgbColor rgb="FFD9D9D9"/>
      <rgbColor rgb="FFE9D7F5"/>
      <rgbColor rgb="FFFCE4D6"/>
      <rgbColor rgb="FF4472C4"/>
      <rgbColor rgb="FFF2F2F2"/>
      <rgbColor rgb="FFE8EBEF"/>
      <rgbColor rgb="FFFFC000"/>
      <rgbColor rgb="FFEEEEEE"/>
      <rgbColor rgb="FFED7D31"/>
      <rgbColor rgb="FF595959"/>
      <rgbColor rgb="FFB3B3B3"/>
      <rgbColor rgb="FF002060"/>
      <rgbColor rgb="FF339966"/>
      <rgbColor rgb="FF006600"/>
      <rgbColor rgb="FF1A5276"/>
      <rgbColor rgb="FF993300"/>
      <rgbColor rgb="FF2F5597"/>
      <rgbColor rgb="FF1F4E7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Sales</c:v>
          </c:tx>
          <c:spPr>
            <a:solidFill>
              <a:srgbClr val="4472C4"/>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Forecasting!$C$11:$C$15</c:f>
              <c:numCache>
                <c:formatCode>General</c:formatCode>
                <c:ptCount val="5"/>
                <c:pt idx="0">
                  <c:v>2027</c:v>
                </c:pt>
                <c:pt idx="1">
                  <c:v>2028</c:v>
                </c:pt>
                <c:pt idx="2">
                  <c:v>2029</c:v>
                </c:pt>
                <c:pt idx="3">
                  <c:v>2030</c:v>
                </c:pt>
                <c:pt idx="4">
                  <c:v>2031</c:v>
                </c:pt>
              </c:numCache>
            </c:numRef>
          </c:cat>
          <c:val>
            <c:numRef>
              <c:f>Forecasting!$D$11:$D$15</c:f>
              <c:numCache>
                <c:formatCode>#,##0.00;\(#,##0.00\);\-</c:formatCode>
                <c:ptCount val="5"/>
                <c:pt idx="0">
                  <c:v>177158.89700000006</c:v>
                </c:pt>
                <c:pt idx="1">
                  <c:v>189407.95600000003</c:v>
                </c:pt>
                <c:pt idx="2">
                  <c:v>201657.01500000004</c:v>
                </c:pt>
                <c:pt idx="3">
                  <c:v>213906.07400000005</c:v>
                </c:pt>
                <c:pt idx="4">
                  <c:v>226155.13300000003</c:v>
                </c:pt>
              </c:numCache>
            </c:numRef>
          </c:val>
          <c:extLst>
            <c:ext xmlns:c16="http://schemas.microsoft.com/office/drawing/2014/chart" uri="{C3380CC4-5D6E-409C-BE32-E72D297353CC}">
              <c16:uniqueId val="{00000000-4858-47BD-975D-5AAC0EB7A178}"/>
            </c:ext>
          </c:extLst>
        </c:ser>
        <c:dLbls>
          <c:showLegendKey val="0"/>
          <c:showVal val="0"/>
          <c:showCatName val="0"/>
          <c:showSerName val="0"/>
          <c:showPercent val="0"/>
          <c:showBubbleSize val="0"/>
        </c:dLbls>
        <c:gapWidth val="247"/>
        <c:overlap val="-27"/>
        <c:axId val="85922848"/>
        <c:axId val="7884794"/>
      </c:barChart>
      <c:lineChart>
        <c:grouping val="standard"/>
        <c:varyColors val="0"/>
        <c:ser>
          <c:idx val="1"/>
          <c:order val="1"/>
          <c:tx>
            <c:v>Sales Growth</c:v>
          </c:tx>
          <c:spPr>
            <a:ln w="2232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Forecasting!$C$11:$C$15</c:f>
              <c:numCache>
                <c:formatCode>General</c:formatCode>
                <c:ptCount val="5"/>
                <c:pt idx="0">
                  <c:v>2027</c:v>
                </c:pt>
                <c:pt idx="1">
                  <c:v>2028</c:v>
                </c:pt>
                <c:pt idx="2">
                  <c:v>2029</c:v>
                </c:pt>
                <c:pt idx="3">
                  <c:v>2030</c:v>
                </c:pt>
                <c:pt idx="4">
                  <c:v>2031</c:v>
                </c:pt>
              </c:numCache>
            </c:numRef>
          </c:cat>
          <c:val>
            <c:numRef>
              <c:f>Forecasting!$E$11:$E$15</c:f>
              <c:numCache>
                <c:formatCode>0.0%;\(0.0%\);\-</c:formatCode>
                <c:ptCount val="5"/>
                <c:pt idx="0">
                  <c:v>5.201064083678264E-2</c:v>
                </c:pt>
                <c:pt idx="1">
                  <c:v>6.914165310026732E-2</c:v>
                </c:pt>
                <c:pt idx="2">
                  <c:v>6.467024542517108E-2</c:v>
                </c:pt>
                <c:pt idx="3">
                  <c:v>6.0742042621229952E-2</c:v>
                </c:pt>
                <c:pt idx="4">
                  <c:v>5.7263726882294863E-2</c:v>
                </c:pt>
              </c:numCache>
            </c:numRef>
          </c:val>
          <c:smooth val="0"/>
          <c:extLst>
            <c:ext xmlns:c16="http://schemas.microsoft.com/office/drawing/2014/chart" uri="{C3380CC4-5D6E-409C-BE32-E72D297353CC}">
              <c16:uniqueId val="{00000001-4858-47BD-975D-5AAC0EB7A178}"/>
            </c:ext>
          </c:extLst>
        </c:ser>
        <c:dLbls>
          <c:showLegendKey val="0"/>
          <c:showVal val="0"/>
          <c:showCatName val="0"/>
          <c:showSerName val="0"/>
          <c:showPercent val="0"/>
          <c:showBubbleSize val="0"/>
        </c:dLbls>
        <c:hiLowLines>
          <c:spPr>
            <a:ln w="0">
              <a:noFill/>
            </a:ln>
          </c:spPr>
        </c:hiLowLines>
        <c:marker val="1"/>
        <c:smooth val="0"/>
        <c:axId val="38737922"/>
        <c:axId val="2833093"/>
      </c:lineChart>
      <c:catAx>
        <c:axId val="85922848"/>
        <c:scaling>
          <c:orientation val="minMax"/>
        </c:scaling>
        <c:delete val="0"/>
        <c:axPos val="b"/>
        <c:majorGridlines>
          <c:spPr>
            <a:ln w="9360">
              <a:solidFill>
                <a:srgbClr val="D9D9D9"/>
              </a:solidFill>
              <a:round/>
            </a:ln>
          </c:spPr>
        </c:majorGridlines>
        <c:numFmt formatCode="General" sourceLinked="0"/>
        <c:majorTickMark val="out"/>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7884794"/>
        <c:crosses val="autoZero"/>
        <c:auto val="1"/>
        <c:lblAlgn val="ctr"/>
        <c:lblOffset val="100"/>
        <c:noMultiLvlLbl val="0"/>
      </c:catAx>
      <c:valAx>
        <c:axId val="7884794"/>
        <c:scaling>
          <c:orientation val="minMax"/>
        </c:scaling>
        <c:delete val="0"/>
        <c:axPos val="l"/>
        <c:majorGridlines>
          <c:spPr>
            <a:ln w="9360">
              <a:solidFill>
                <a:srgbClr val="D9D9D9"/>
              </a:solidFill>
              <a:round/>
            </a:ln>
          </c:spPr>
        </c:majorGridlines>
        <c:numFmt formatCode="#,##0.00;\(#,##0.00\);\-"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85922848"/>
        <c:crosses val="autoZero"/>
        <c:crossBetween val="between"/>
      </c:valAx>
      <c:catAx>
        <c:axId val="38737922"/>
        <c:scaling>
          <c:orientation val="minMax"/>
        </c:scaling>
        <c:delete val="1"/>
        <c:axPos val="b"/>
        <c:numFmt formatCode="General" sourceLinked="1"/>
        <c:majorTickMark val="out"/>
        <c:minorTickMark val="none"/>
        <c:tickLblPos val="nextTo"/>
        <c:crossAx val="2833093"/>
        <c:crosses val="autoZero"/>
        <c:auto val="1"/>
        <c:lblAlgn val="ctr"/>
        <c:lblOffset val="100"/>
        <c:noMultiLvlLbl val="0"/>
      </c:catAx>
      <c:valAx>
        <c:axId val="2833093"/>
        <c:scaling>
          <c:orientation val="minMax"/>
        </c:scaling>
        <c:delete val="0"/>
        <c:axPos val="r"/>
        <c:numFmt formatCode="0.0%;\(0.0%\);\-"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38737922"/>
        <c:crosses val="max"/>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gif"/><Relationship Id="rId1" Type="http://schemas.openxmlformats.org/officeDocument/2006/relationships/image" Target="../media/image3.gif"/></Relationships>
</file>

<file path=xl/drawings/_rels/drawing4.xml.rels><?xml version="1.0" encoding="UTF-8" standalone="yes"?>
<Relationships xmlns="http://schemas.openxmlformats.org/package/2006/relationships"><Relationship Id="rId1" Type="http://schemas.openxmlformats.org/officeDocument/2006/relationships/image" Target="../media/image3.gif"/></Relationships>
</file>

<file path=xl/drawings/_rels/drawing5.xml.rels><?xml version="1.0" encoding="UTF-8" standalone="yes"?>
<Relationships xmlns="http://schemas.openxmlformats.org/package/2006/relationships"><Relationship Id="rId1" Type="http://schemas.openxmlformats.org/officeDocument/2006/relationships/image" Target="../media/image3.gif"/></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572284</xdr:colOff>
      <xdr:row>18</xdr:row>
      <xdr:rowOff>188148</xdr:rowOff>
    </xdr:from>
    <xdr:to>
      <xdr:col>9</xdr:col>
      <xdr:colOff>23518</xdr:colOff>
      <xdr:row>19</xdr:row>
      <xdr:rowOff>15679</xdr:rowOff>
    </xdr:to>
    <xdr:cxnSp macro="">
      <xdr:nvCxnSpPr>
        <xdr:cNvPr id="4" name="Straight Connector 3">
          <a:extLst>
            <a:ext uri="{FF2B5EF4-FFF2-40B4-BE49-F238E27FC236}">
              <a16:creationId xmlns:a16="http://schemas.microsoft.com/office/drawing/2014/main" id="{93409560-893B-A963-6FE3-E6085663F201}"/>
            </a:ext>
          </a:extLst>
        </xdr:cNvPr>
        <xdr:cNvCxnSpPr/>
      </xdr:nvCxnSpPr>
      <xdr:spPr>
        <a:xfrm flipH="1">
          <a:off x="5001605" y="3731605"/>
          <a:ext cx="54876" cy="6271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15679</xdr:colOff>
      <xdr:row>19</xdr:row>
      <xdr:rowOff>47037</xdr:rowOff>
    </xdr:from>
    <xdr:to>
      <xdr:col>13</xdr:col>
      <xdr:colOff>78395</xdr:colOff>
      <xdr:row>24</xdr:row>
      <xdr:rowOff>101913</xdr:rowOff>
    </xdr:to>
    <xdr:cxnSp macro="">
      <xdr:nvCxnSpPr>
        <xdr:cNvPr id="6" name="Straight Connector 5">
          <a:extLst>
            <a:ext uri="{FF2B5EF4-FFF2-40B4-BE49-F238E27FC236}">
              <a16:creationId xmlns:a16="http://schemas.microsoft.com/office/drawing/2014/main" id="{890C86E9-FF4A-88BA-EF13-BD8891A62449}"/>
            </a:ext>
          </a:extLst>
        </xdr:cNvPr>
        <xdr:cNvCxnSpPr/>
      </xdr:nvCxnSpPr>
      <xdr:spPr>
        <a:xfrm>
          <a:off x="5048642" y="3825679"/>
          <a:ext cx="2477284" cy="964259"/>
        </a:xfrm>
        <a:prstGeom prst="line">
          <a:avLst/>
        </a:prstGeom>
        <a:ln w="952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1</xdr:col>
      <xdr:colOff>459337</xdr:colOff>
      <xdr:row>1</xdr:row>
      <xdr:rowOff>49953</xdr:rowOff>
    </xdr:from>
    <xdr:to>
      <xdr:col>7</xdr:col>
      <xdr:colOff>297451</xdr:colOff>
      <xdr:row>15</xdr:row>
      <xdr:rowOff>22951</xdr:rowOff>
    </xdr:to>
    <xdr:pic>
      <xdr:nvPicPr>
        <xdr:cNvPr id="3" name="Picture 2">
          <a:extLst>
            <a:ext uri="{FF2B5EF4-FFF2-40B4-BE49-F238E27FC236}">
              <a16:creationId xmlns:a16="http://schemas.microsoft.com/office/drawing/2014/main" id="{E417E9D1-C1E6-63E6-90F7-2D5C08D49193}"/>
            </a:ext>
          </a:extLst>
        </xdr:cNvPr>
        <xdr:cNvPicPr>
          <a:picLocks noChangeAspect="1"/>
        </xdr:cNvPicPr>
      </xdr:nvPicPr>
      <xdr:blipFill>
        <a:blip xmlns:r="http://schemas.openxmlformats.org/officeDocument/2006/relationships" r:embed="rId1"/>
        <a:stretch>
          <a:fillRect/>
        </a:stretch>
      </xdr:blipFill>
      <xdr:spPr>
        <a:xfrm>
          <a:off x="665903" y="470736"/>
          <a:ext cx="3464500" cy="25436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441158</xdr:colOff>
      <xdr:row>1</xdr:row>
      <xdr:rowOff>1</xdr:rowOff>
    </xdr:from>
    <xdr:to>
      <xdr:col>20</xdr:col>
      <xdr:colOff>328402</xdr:colOff>
      <xdr:row>6</xdr:row>
      <xdr:rowOff>180474</xdr:rowOff>
    </xdr:to>
    <xdr:pic>
      <xdr:nvPicPr>
        <xdr:cNvPr id="2" name="Picture 1">
          <a:extLst>
            <a:ext uri="{FF2B5EF4-FFF2-40B4-BE49-F238E27FC236}">
              <a16:creationId xmlns:a16="http://schemas.microsoft.com/office/drawing/2014/main" id="{2BD91AA0-F665-422A-83B8-9023D7A9C3DC}"/>
            </a:ext>
          </a:extLst>
        </xdr:cNvPr>
        <xdr:cNvPicPr>
          <a:picLocks noChangeAspect="1"/>
        </xdr:cNvPicPr>
      </xdr:nvPicPr>
      <xdr:blipFill>
        <a:blip xmlns:r="http://schemas.openxmlformats.org/officeDocument/2006/relationships" r:embed="rId1"/>
        <a:stretch>
          <a:fillRect/>
        </a:stretch>
      </xdr:blipFill>
      <xdr:spPr>
        <a:xfrm>
          <a:off x="7319211" y="233948"/>
          <a:ext cx="4753349" cy="26736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73080</xdr:colOff>
      <xdr:row>4</xdr:row>
      <xdr:rowOff>73080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243360" y="723960"/>
          <a:ext cx="73080" cy="73080"/>
        </a:xfrm>
        <a:prstGeom prst="rect">
          <a:avLst/>
        </a:prstGeom>
        <a:ln w="0">
          <a:noFill/>
        </a:ln>
      </xdr:spPr>
    </xdr:pic>
    <xdr:clientData/>
  </xdr:twoCellAnchor>
  <xdr:twoCellAnchor editAs="oneCell">
    <xdr:from>
      <xdr:col>1</xdr:col>
      <xdr:colOff>0</xdr:colOff>
      <xdr:row>6</xdr:row>
      <xdr:rowOff>0</xdr:rowOff>
    </xdr:from>
    <xdr:to>
      <xdr:col>1</xdr:col>
      <xdr:colOff>73080</xdr:colOff>
      <xdr:row>6</xdr:row>
      <xdr:rowOff>73080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xdr:blipFill>
      <xdr:spPr>
        <a:xfrm>
          <a:off x="243360" y="1085760"/>
          <a:ext cx="73080" cy="73080"/>
        </a:xfrm>
        <a:prstGeom prst="rect">
          <a:avLst/>
        </a:prstGeom>
        <a:ln w="0">
          <a:noFill/>
        </a:ln>
      </xdr:spPr>
    </xdr:pic>
    <xdr:clientData/>
  </xdr:twoCellAnchor>
  <xdr:twoCellAnchor editAs="oneCell">
    <xdr:from>
      <xdr:col>1</xdr:col>
      <xdr:colOff>0</xdr:colOff>
      <xdr:row>69</xdr:row>
      <xdr:rowOff>0</xdr:rowOff>
    </xdr:from>
    <xdr:to>
      <xdr:col>1</xdr:col>
      <xdr:colOff>73080</xdr:colOff>
      <xdr:row>69</xdr:row>
      <xdr:rowOff>73080</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2"/>
        <a:stretch/>
      </xdr:blipFill>
      <xdr:spPr>
        <a:xfrm>
          <a:off x="243360" y="12506400"/>
          <a:ext cx="73080" cy="73080"/>
        </a:xfrm>
        <a:prstGeom prst="rect">
          <a:avLst/>
        </a:prstGeom>
        <a:ln w="0">
          <a:noFill/>
        </a:ln>
      </xdr:spPr>
    </xdr:pic>
    <xdr:clientData/>
  </xdr:twoCellAnchor>
  <xdr:twoCellAnchor editAs="oneCell">
    <xdr:from>
      <xdr:col>1</xdr:col>
      <xdr:colOff>0</xdr:colOff>
      <xdr:row>71</xdr:row>
      <xdr:rowOff>0</xdr:rowOff>
    </xdr:from>
    <xdr:to>
      <xdr:col>1</xdr:col>
      <xdr:colOff>73080</xdr:colOff>
      <xdr:row>71</xdr:row>
      <xdr:rowOff>73080</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tretch/>
      </xdr:blipFill>
      <xdr:spPr>
        <a:xfrm>
          <a:off x="243360" y="12868200"/>
          <a:ext cx="73080" cy="73080"/>
        </a:xfrm>
        <a:prstGeom prst="rect">
          <a:avLst/>
        </a:prstGeom>
        <a:ln w="0">
          <a:noFill/>
        </a:ln>
      </xdr:spPr>
    </xdr:pic>
    <xdr:clientData/>
  </xdr:twoCellAnchor>
  <xdr:twoCellAnchor editAs="oneCell">
    <xdr:from>
      <xdr:col>1</xdr:col>
      <xdr:colOff>0</xdr:colOff>
      <xdr:row>4</xdr:row>
      <xdr:rowOff>0</xdr:rowOff>
    </xdr:from>
    <xdr:to>
      <xdr:col>1</xdr:col>
      <xdr:colOff>73080</xdr:colOff>
      <xdr:row>4</xdr:row>
      <xdr:rowOff>73080</xdr:rowOff>
    </xdr:to>
    <xdr:pic>
      <xdr:nvPicPr>
        <xdr:cNvPr id="6" name="Picture 5">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1"/>
        <a:stretch/>
      </xdr:blipFill>
      <xdr:spPr>
        <a:xfrm>
          <a:off x="243360" y="723960"/>
          <a:ext cx="73080" cy="73080"/>
        </a:xfrm>
        <a:prstGeom prst="rect">
          <a:avLst/>
        </a:prstGeom>
        <a:ln w="0">
          <a:noFill/>
        </a:ln>
      </xdr:spPr>
    </xdr:pic>
    <xdr:clientData/>
  </xdr:twoCellAnchor>
  <xdr:twoCellAnchor editAs="oneCell">
    <xdr:from>
      <xdr:col>1</xdr:col>
      <xdr:colOff>0</xdr:colOff>
      <xdr:row>6</xdr:row>
      <xdr:rowOff>0</xdr:rowOff>
    </xdr:from>
    <xdr:to>
      <xdr:col>1</xdr:col>
      <xdr:colOff>73080</xdr:colOff>
      <xdr:row>6</xdr:row>
      <xdr:rowOff>73080</xdr:rowOff>
    </xdr:to>
    <xdr:pic>
      <xdr:nvPicPr>
        <xdr:cNvPr id="7" name="Picture 6">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1"/>
        <a:stretch/>
      </xdr:blipFill>
      <xdr:spPr>
        <a:xfrm>
          <a:off x="243360" y="1085760"/>
          <a:ext cx="73080" cy="73080"/>
        </a:xfrm>
        <a:prstGeom prst="rect">
          <a:avLst/>
        </a:prstGeom>
        <a:ln w="0">
          <a:noFill/>
        </a:ln>
      </xdr:spPr>
    </xdr:pic>
    <xdr:clientData/>
  </xdr:twoCellAnchor>
  <xdr:twoCellAnchor editAs="oneCell">
    <xdr:from>
      <xdr:col>1</xdr:col>
      <xdr:colOff>0</xdr:colOff>
      <xdr:row>62</xdr:row>
      <xdr:rowOff>0</xdr:rowOff>
    </xdr:from>
    <xdr:to>
      <xdr:col>1</xdr:col>
      <xdr:colOff>73080</xdr:colOff>
      <xdr:row>62</xdr:row>
      <xdr:rowOff>73080</xdr:rowOff>
    </xdr:to>
    <xdr:pic>
      <xdr:nvPicPr>
        <xdr:cNvPr id="8" name="Picture 7">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2"/>
        <a:stretch/>
      </xdr:blipFill>
      <xdr:spPr>
        <a:xfrm>
          <a:off x="243360" y="11239560"/>
          <a:ext cx="73080" cy="730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73080</xdr:colOff>
      <xdr:row>4</xdr:row>
      <xdr:rowOff>73080</xdr:rowOff>
    </xdr:to>
    <xdr:pic>
      <xdr:nvPicPr>
        <xdr:cNvPr id="7" name="Picture 1">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1"/>
        <a:stretch/>
      </xdr:blipFill>
      <xdr:spPr>
        <a:xfrm>
          <a:off x="211320" y="723960"/>
          <a:ext cx="73080" cy="73080"/>
        </a:xfrm>
        <a:prstGeom prst="rect">
          <a:avLst/>
        </a:prstGeom>
        <a:ln w="0">
          <a:noFill/>
        </a:ln>
      </xdr:spPr>
    </xdr:pic>
    <xdr:clientData/>
  </xdr:twoCellAnchor>
  <xdr:twoCellAnchor editAs="oneCell">
    <xdr:from>
      <xdr:col>1</xdr:col>
      <xdr:colOff>0</xdr:colOff>
      <xdr:row>6</xdr:row>
      <xdr:rowOff>0</xdr:rowOff>
    </xdr:from>
    <xdr:to>
      <xdr:col>1</xdr:col>
      <xdr:colOff>73080</xdr:colOff>
      <xdr:row>6</xdr:row>
      <xdr:rowOff>73080</xdr:rowOff>
    </xdr:to>
    <xdr:pic>
      <xdr:nvPicPr>
        <xdr:cNvPr id="8" name="Picture 2">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a:stretch/>
      </xdr:blipFill>
      <xdr:spPr>
        <a:xfrm>
          <a:off x="211320" y="1085760"/>
          <a:ext cx="73080" cy="7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73080</xdr:colOff>
      <xdr:row>4</xdr:row>
      <xdr:rowOff>73080</xdr:rowOff>
    </xdr:to>
    <xdr:pic>
      <xdr:nvPicPr>
        <xdr:cNvPr id="9" name="Picture 1">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1"/>
        <a:stretch/>
      </xdr:blipFill>
      <xdr:spPr>
        <a:xfrm>
          <a:off x="249480" y="723960"/>
          <a:ext cx="73080" cy="73080"/>
        </a:xfrm>
        <a:prstGeom prst="rect">
          <a:avLst/>
        </a:prstGeom>
        <a:ln w="0">
          <a:noFill/>
        </a:ln>
      </xdr:spPr>
    </xdr:pic>
    <xdr:clientData/>
  </xdr:twoCellAnchor>
  <xdr:twoCellAnchor editAs="oneCell">
    <xdr:from>
      <xdr:col>1</xdr:col>
      <xdr:colOff>0</xdr:colOff>
      <xdr:row>6</xdr:row>
      <xdr:rowOff>0</xdr:rowOff>
    </xdr:from>
    <xdr:to>
      <xdr:col>1</xdr:col>
      <xdr:colOff>73080</xdr:colOff>
      <xdr:row>6</xdr:row>
      <xdr:rowOff>73080</xdr:rowOff>
    </xdr:to>
    <xdr:pic>
      <xdr:nvPicPr>
        <xdr:cNvPr id="10" name="Picture 2">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1"/>
        <a:stretch/>
      </xdr:blipFill>
      <xdr:spPr>
        <a:xfrm>
          <a:off x="249480" y="1085760"/>
          <a:ext cx="73080" cy="73080"/>
        </a:xfrm>
        <a:prstGeom prst="rect">
          <a:avLst/>
        </a:prstGeom>
        <a:ln w="0">
          <a:noFill/>
        </a:ln>
      </xdr:spPr>
    </xdr:pic>
    <xdr:clientData/>
  </xdr:twoCellAnchor>
  <xdr:twoCellAnchor editAs="oneCell">
    <xdr:from>
      <xdr:col>1</xdr:col>
      <xdr:colOff>0</xdr:colOff>
      <xdr:row>4</xdr:row>
      <xdr:rowOff>0</xdr:rowOff>
    </xdr:from>
    <xdr:to>
      <xdr:col>1</xdr:col>
      <xdr:colOff>73080</xdr:colOff>
      <xdr:row>4</xdr:row>
      <xdr:rowOff>73080</xdr:rowOff>
    </xdr:to>
    <xdr:pic>
      <xdr:nvPicPr>
        <xdr:cNvPr id="11" name="Picture 3">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
        <a:stretch/>
      </xdr:blipFill>
      <xdr:spPr>
        <a:xfrm>
          <a:off x="249480" y="723960"/>
          <a:ext cx="73080" cy="73080"/>
        </a:xfrm>
        <a:prstGeom prst="rect">
          <a:avLst/>
        </a:prstGeom>
        <a:ln w="0">
          <a:noFill/>
        </a:ln>
      </xdr:spPr>
    </xdr:pic>
    <xdr:clientData/>
  </xdr:twoCellAnchor>
  <xdr:twoCellAnchor editAs="oneCell">
    <xdr:from>
      <xdr:col>1</xdr:col>
      <xdr:colOff>0</xdr:colOff>
      <xdr:row>6</xdr:row>
      <xdr:rowOff>0</xdr:rowOff>
    </xdr:from>
    <xdr:to>
      <xdr:col>1</xdr:col>
      <xdr:colOff>73080</xdr:colOff>
      <xdr:row>6</xdr:row>
      <xdr:rowOff>73080</xdr:rowOff>
    </xdr:to>
    <xdr:pic>
      <xdr:nvPicPr>
        <xdr:cNvPr id="12" name="Picture 4">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
        <a:stretch/>
      </xdr:blipFill>
      <xdr:spPr>
        <a:xfrm>
          <a:off x="249480" y="1085760"/>
          <a:ext cx="73080" cy="730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405397</xdr:colOff>
      <xdr:row>20</xdr:row>
      <xdr:rowOff>116380</xdr:rowOff>
    </xdr:to>
    <xdr:pic>
      <xdr:nvPicPr>
        <xdr:cNvPr id="2" name="Picture 1">
          <a:extLst>
            <a:ext uri="{FF2B5EF4-FFF2-40B4-BE49-F238E27FC236}">
              <a16:creationId xmlns:a16="http://schemas.microsoft.com/office/drawing/2014/main" id="{0B662CB6-9C04-B269-FFF2-878DDCE3D594}"/>
            </a:ext>
          </a:extLst>
        </xdr:cNvPr>
        <xdr:cNvPicPr>
          <a:picLocks noChangeAspect="1"/>
        </xdr:cNvPicPr>
      </xdr:nvPicPr>
      <xdr:blipFill>
        <a:blip xmlns:r="http://schemas.openxmlformats.org/officeDocument/2006/relationships" r:embed="rId1"/>
        <a:stretch>
          <a:fillRect/>
        </a:stretch>
      </xdr:blipFill>
      <xdr:spPr>
        <a:xfrm>
          <a:off x="0" y="0"/>
          <a:ext cx="9664700" cy="40085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88560</xdr:colOff>
      <xdr:row>15</xdr:row>
      <xdr:rowOff>83520</xdr:rowOff>
    </xdr:from>
    <xdr:to>
      <xdr:col>10</xdr:col>
      <xdr:colOff>515160</xdr:colOff>
      <xdr:row>30</xdr:row>
      <xdr:rowOff>70920</xdr:rowOff>
    </xdr:to>
    <xdr:graphicFrame macro="">
      <xdr:nvGraphicFramePr>
        <xdr:cNvPr id="13" name="Chart 1">
          <a:extLst>
            <a:ext uri="{FF2B5EF4-FFF2-40B4-BE49-F238E27FC236}">
              <a16:creationId xmlns:a16="http://schemas.microsoft.com/office/drawing/2014/main" id="{00000000-0008-0000-0C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40"/>
  <sheetViews>
    <sheetView showGridLines="0" zoomScale="55" zoomScaleNormal="100" workbookViewId="0">
      <selection activeCell="R9" sqref="R9"/>
    </sheetView>
  </sheetViews>
  <sheetFormatPr defaultColWidth="8.6328125" defaultRowHeight="14.5" x14ac:dyDescent="0.35"/>
  <cols>
    <col min="1" max="1" width="2.90625" customWidth="1"/>
  </cols>
  <sheetData>
    <row r="1" spans="2:9" ht="33" customHeight="1" thickBot="1" x14ac:dyDescent="0.4">
      <c r="B1" s="422" t="s">
        <v>0</v>
      </c>
      <c r="C1" s="423"/>
      <c r="D1" s="423"/>
      <c r="E1" s="423"/>
      <c r="F1" s="423"/>
      <c r="G1" s="423"/>
      <c r="H1" s="423"/>
      <c r="I1" s="424"/>
    </row>
    <row r="16" spans="2:9" ht="19" thickBot="1" x14ac:dyDescent="0.5">
      <c r="B16" s="238" t="s">
        <v>391</v>
      </c>
    </row>
    <row r="17" spans="2:21" x14ac:dyDescent="0.35">
      <c r="B17" s="336" t="s">
        <v>390</v>
      </c>
      <c r="C17" s="337"/>
      <c r="D17" s="337"/>
      <c r="E17" s="337"/>
      <c r="F17" s="337"/>
      <c r="G17" s="337"/>
      <c r="H17" s="337"/>
      <c r="I17" s="338"/>
    </row>
    <row r="18" spans="2:21" x14ac:dyDescent="0.35">
      <c r="B18" s="339"/>
      <c r="C18" s="340"/>
      <c r="D18" s="340"/>
      <c r="E18" s="340"/>
      <c r="F18" s="340"/>
      <c r="G18" s="340"/>
      <c r="H18" s="340"/>
      <c r="I18" s="341"/>
    </row>
    <row r="19" spans="2:21" ht="19" thickBot="1" x14ac:dyDescent="0.5">
      <c r="B19" s="339"/>
      <c r="C19" s="340"/>
      <c r="D19" s="340"/>
      <c r="E19" s="340"/>
      <c r="F19" s="340"/>
      <c r="G19" s="340"/>
      <c r="H19" s="340"/>
      <c r="I19" s="341"/>
      <c r="N19" s="238" t="s">
        <v>394</v>
      </c>
    </row>
    <row r="20" spans="2:21" ht="14.5" customHeight="1" x14ac:dyDescent="0.35">
      <c r="B20" s="339"/>
      <c r="C20" s="340"/>
      <c r="D20" s="340"/>
      <c r="E20" s="340"/>
      <c r="F20" s="340"/>
      <c r="G20" s="340"/>
      <c r="H20" s="340"/>
      <c r="I20" s="341"/>
      <c r="N20" s="336" t="s">
        <v>395</v>
      </c>
      <c r="O20" s="337"/>
      <c r="P20" s="337"/>
      <c r="Q20" s="337"/>
      <c r="R20" s="337"/>
      <c r="S20" s="337"/>
      <c r="T20" s="337"/>
      <c r="U20" s="338"/>
    </row>
    <row r="21" spans="2:21" x14ac:dyDescent="0.35">
      <c r="B21" s="339"/>
      <c r="C21" s="340"/>
      <c r="D21" s="340"/>
      <c r="E21" s="340"/>
      <c r="F21" s="340"/>
      <c r="G21" s="340"/>
      <c r="H21" s="340"/>
      <c r="I21" s="341"/>
      <c r="N21" s="339"/>
      <c r="O21" s="340"/>
      <c r="P21" s="340"/>
      <c r="Q21" s="340"/>
      <c r="R21" s="340"/>
      <c r="S21" s="340"/>
      <c r="T21" s="340"/>
      <c r="U21" s="341"/>
    </row>
    <row r="22" spans="2:21" x14ac:dyDescent="0.35">
      <c r="B22" s="339"/>
      <c r="C22" s="340"/>
      <c r="D22" s="340"/>
      <c r="E22" s="340"/>
      <c r="F22" s="340"/>
      <c r="G22" s="340"/>
      <c r="H22" s="340"/>
      <c r="I22" s="341"/>
      <c r="N22" s="339"/>
      <c r="O22" s="340"/>
      <c r="P22" s="340"/>
      <c r="Q22" s="340"/>
      <c r="R22" s="340"/>
      <c r="S22" s="340"/>
      <c r="T22" s="340"/>
      <c r="U22" s="341"/>
    </row>
    <row r="23" spans="2:21" ht="15" thickBot="1" x14ac:dyDescent="0.4">
      <c r="B23" s="342"/>
      <c r="C23" s="343"/>
      <c r="D23" s="343"/>
      <c r="E23" s="343"/>
      <c r="F23" s="343"/>
      <c r="G23" s="343"/>
      <c r="H23" s="343"/>
      <c r="I23" s="344"/>
      <c r="N23" s="339"/>
      <c r="O23" s="340"/>
      <c r="P23" s="340"/>
      <c r="Q23" s="340"/>
      <c r="R23" s="340"/>
      <c r="S23" s="340"/>
      <c r="T23" s="340"/>
      <c r="U23" s="341"/>
    </row>
    <row r="24" spans="2:21" x14ac:dyDescent="0.35">
      <c r="N24" s="339"/>
      <c r="O24" s="340"/>
      <c r="P24" s="340"/>
      <c r="Q24" s="340"/>
      <c r="R24" s="340"/>
      <c r="S24" s="340"/>
      <c r="T24" s="340"/>
      <c r="U24" s="341"/>
    </row>
    <row r="25" spans="2:21" ht="19" thickBot="1" x14ac:dyDescent="0.5">
      <c r="B25" s="238" t="s">
        <v>392</v>
      </c>
      <c r="N25" s="339"/>
      <c r="O25" s="340"/>
      <c r="P25" s="340"/>
      <c r="Q25" s="340"/>
      <c r="R25" s="340"/>
      <c r="S25" s="340"/>
      <c r="T25" s="340"/>
      <c r="U25" s="341"/>
    </row>
    <row r="26" spans="2:21" x14ac:dyDescent="0.35">
      <c r="B26" s="345" t="s">
        <v>393</v>
      </c>
      <c r="C26" s="346"/>
      <c r="D26" s="346"/>
      <c r="E26" s="346"/>
      <c r="F26" s="346"/>
      <c r="G26" s="346"/>
      <c r="H26" s="346"/>
      <c r="I26" s="347"/>
      <c r="N26" s="339"/>
      <c r="O26" s="340"/>
      <c r="P26" s="340"/>
      <c r="Q26" s="340"/>
      <c r="R26" s="340"/>
      <c r="S26" s="340"/>
      <c r="T26" s="340"/>
      <c r="U26" s="341"/>
    </row>
    <row r="27" spans="2:21" x14ac:dyDescent="0.35">
      <c r="B27" s="348"/>
      <c r="C27" s="349"/>
      <c r="D27" s="349"/>
      <c r="E27" s="349"/>
      <c r="F27" s="349"/>
      <c r="G27" s="349"/>
      <c r="H27" s="349"/>
      <c r="I27" s="350"/>
      <c r="N27" s="339"/>
      <c r="O27" s="340"/>
      <c r="P27" s="340"/>
      <c r="Q27" s="340"/>
      <c r="R27" s="340"/>
      <c r="S27" s="340"/>
      <c r="T27" s="340"/>
      <c r="U27" s="341"/>
    </row>
    <row r="28" spans="2:21" x14ac:dyDescent="0.35">
      <c r="B28" s="348"/>
      <c r="C28" s="349"/>
      <c r="D28" s="349"/>
      <c r="E28" s="349"/>
      <c r="F28" s="349"/>
      <c r="G28" s="349"/>
      <c r="H28" s="349"/>
      <c r="I28" s="350"/>
      <c r="N28" s="339"/>
      <c r="O28" s="340"/>
      <c r="P28" s="340"/>
      <c r="Q28" s="340"/>
      <c r="R28" s="340"/>
      <c r="S28" s="340"/>
      <c r="T28" s="340"/>
      <c r="U28" s="341"/>
    </row>
    <row r="29" spans="2:21" ht="15" thickBot="1" x14ac:dyDescent="0.4">
      <c r="B29" s="348"/>
      <c r="C29" s="349"/>
      <c r="D29" s="349"/>
      <c r="E29" s="349"/>
      <c r="F29" s="349"/>
      <c r="G29" s="349"/>
      <c r="H29" s="349"/>
      <c r="I29" s="350"/>
      <c r="N29" s="342"/>
      <c r="O29" s="343"/>
      <c r="P29" s="343"/>
      <c r="Q29" s="343"/>
      <c r="R29" s="343"/>
      <c r="S29" s="343"/>
      <c r="T29" s="343"/>
      <c r="U29" s="344"/>
    </row>
    <row r="30" spans="2:21" x14ac:dyDescent="0.35">
      <c r="B30" s="348"/>
      <c r="C30" s="349"/>
      <c r="D30" s="349"/>
      <c r="E30" s="349"/>
      <c r="F30" s="349"/>
      <c r="G30" s="349"/>
      <c r="H30" s="349"/>
      <c r="I30" s="350"/>
    </row>
    <row r="31" spans="2:21" ht="18.5" x14ac:dyDescent="0.45">
      <c r="B31" s="348"/>
      <c r="C31" s="349"/>
      <c r="D31" s="349"/>
      <c r="E31" s="349"/>
      <c r="F31" s="349"/>
      <c r="G31" s="349"/>
      <c r="H31" s="349"/>
      <c r="I31" s="350"/>
      <c r="N31" s="238"/>
    </row>
    <row r="32" spans="2:21" ht="31" x14ac:dyDescent="0.35">
      <c r="B32" s="348"/>
      <c r="C32" s="349"/>
      <c r="D32" s="349"/>
      <c r="E32" s="349"/>
      <c r="F32" s="349"/>
      <c r="G32" s="349"/>
      <c r="H32" s="349"/>
      <c r="I32" s="350"/>
      <c r="N32" s="239" t="s">
        <v>396</v>
      </c>
    </row>
    <row r="33" spans="2:14" x14ac:dyDescent="0.35">
      <c r="B33" s="348"/>
      <c r="C33" s="349"/>
      <c r="D33" s="349"/>
      <c r="E33" s="349"/>
      <c r="F33" s="349"/>
      <c r="G33" s="349"/>
      <c r="H33" s="349"/>
      <c r="I33" s="350"/>
      <c r="N33" s="240"/>
    </row>
    <row r="34" spans="2:14" x14ac:dyDescent="0.35">
      <c r="B34" s="348"/>
      <c r="C34" s="349"/>
      <c r="D34" s="349"/>
      <c r="E34" s="349"/>
      <c r="F34" s="349"/>
      <c r="G34" s="349"/>
      <c r="H34" s="349"/>
      <c r="I34" s="350"/>
      <c r="N34" s="240" t="s">
        <v>397</v>
      </c>
    </row>
    <row r="35" spans="2:14" x14ac:dyDescent="0.35">
      <c r="B35" s="348"/>
      <c r="C35" s="349"/>
      <c r="D35" s="349"/>
      <c r="E35" s="349"/>
      <c r="F35" s="349"/>
      <c r="G35" s="349"/>
      <c r="H35" s="349"/>
      <c r="I35" s="350"/>
      <c r="N35" s="240" t="s">
        <v>398</v>
      </c>
    </row>
    <row r="36" spans="2:14" ht="15" thickBot="1" x14ac:dyDescent="0.4">
      <c r="B36" s="351"/>
      <c r="C36" s="352"/>
      <c r="D36" s="352"/>
      <c r="E36" s="352"/>
      <c r="F36" s="352"/>
      <c r="G36" s="352"/>
      <c r="H36" s="352"/>
      <c r="I36" s="353"/>
      <c r="N36" s="240" t="s">
        <v>399</v>
      </c>
    </row>
    <row r="37" spans="2:14" x14ac:dyDescent="0.35">
      <c r="N37" s="240" t="s">
        <v>400</v>
      </c>
    </row>
    <row r="38" spans="2:14" x14ac:dyDescent="0.35">
      <c r="N38" s="240" t="s">
        <v>401</v>
      </c>
    </row>
    <row r="39" spans="2:14" x14ac:dyDescent="0.35">
      <c r="N39" s="240" t="s">
        <v>402</v>
      </c>
    </row>
    <row r="40" spans="2:14" x14ac:dyDescent="0.35">
      <c r="N40" s="240" t="s">
        <v>403</v>
      </c>
    </row>
  </sheetData>
  <mergeCells count="4">
    <mergeCell ref="B17:I23"/>
    <mergeCell ref="B1:I1"/>
    <mergeCell ref="B26:I36"/>
    <mergeCell ref="N20:U29"/>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C6CA1-F742-488A-99B8-B0B84EFE8091}">
  <dimension ref="B1:L11"/>
  <sheetViews>
    <sheetView showGridLines="0" zoomScale="95" zoomScaleNormal="100" workbookViewId="0">
      <selection activeCell="B1" sqref="B1:L1"/>
    </sheetView>
  </sheetViews>
  <sheetFormatPr defaultRowHeight="14.5" x14ac:dyDescent="0.35"/>
  <cols>
    <col min="1" max="1" width="2.81640625" customWidth="1"/>
    <col min="3" max="3" width="8.26953125" bestFit="1" customWidth="1"/>
    <col min="5" max="6" width="9.36328125" bestFit="1" customWidth="1"/>
    <col min="7" max="7" width="8.7265625" customWidth="1"/>
    <col min="8" max="8" width="9.36328125" customWidth="1"/>
    <col min="9" max="9" width="4.1796875" customWidth="1"/>
    <col min="10" max="10" width="9.36328125" customWidth="1"/>
    <col min="11" max="11" width="10.26953125" customWidth="1"/>
    <col min="12" max="12" width="9.36328125" customWidth="1"/>
  </cols>
  <sheetData>
    <row r="1" spans="2:12" ht="18.5" x14ac:dyDescent="0.45">
      <c r="B1" s="425" t="s">
        <v>442</v>
      </c>
      <c r="C1" s="425"/>
      <c r="D1" s="425"/>
      <c r="E1" s="425"/>
      <c r="F1" s="425"/>
      <c r="G1" s="425"/>
      <c r="H1" s="425"/>
      <c r="I1" s="425"/>
      <c r="J1" s="425"/>
      <c r="K1" s="425"/>
      <c r="L1" s="425"/>
    </row>
    <row r="2" spans="2:12" ht="105.5" customHeight="1" thickBot="1" x14ac:dyDescent="0.4">
      <c r="B2" s="354" t="s">
        <v>443</v>
      </c>
      <c r="C2" s="354" t="s">
        <v>444</v>
      </c>
      <c r="D2" s="354" t="s">
        <v>445</v>
      </c>
      <c r="E2" s="354" t="s">
        <v>446</v>
      </c>
      <c r="F2" s="354" t="s">
        <v>447</v>
      </c>
      <c r="G2" s="354" t="s">
        <v>448</v>
      </c>
      <c r="H2" s="356" t="s">
        <v>449</v>
      </c>
      <c r="I2" s="357"/>
      <c r="J2" s="354" t="s">
        <v>450</v>
      </c>
      <c r="K2" s="354" t="s">
        <v>451</v>
      </c>
      <c r="L2" s="354" t="s">
        <v>452</v>
      </c>
    </row>
    <row r="3" spans="2:12" x14ac:dyDescent="0.35">
      <c r="B3" s="354"/>
      <c r="C3" s="354"/>
      <c r="D3" s="354"/>
      <c r="E3" s="354"/>
      <c r="F3" s="354"/>
      <c r="G3" s="354"/>
      <c r="H3" s="358" t="s">
        <v>453</v>
      </c>
      <c r="I3" s="358" t="s">
        <v>226</v>
      </c>
      <c r="J3" s="354"/>
      <c r="K3" s="354"/>
      <c r="L3" s="354"/>
    </row>
    <row r="4" spans="2:12" ht="15" thickBot="1" x14ac:dyDescent="0.4">
      <c r="B4" s="355"/>
      <c r="C4" s="355"/>
      <c r="D4" s="355"/>
      <c r="E4" s="355"/>
      <c r="F4" s="355"/>
      <c r="G4" s="355"/>
      <c r="H4" s="355"/>
      <c r="I4" s="355"/>
      <c r="J4" s="355"/>
      <c r="K4" s="355"/>
      <c r="L4" s="355"/>
    </row>
    <row r="5" spans="2:12" ht="15.5" thickTop="1" thickBot="1" x14ac:dyDescent="0.4">
      <c r="B5" s="284" t="s">
        <v>454</v>
      </c>
      <c r="C5" s="285"/>
      <c r="D5" s="286" t="s">
        <v>455</v>
      </c>
      <c r="E5" s="286" t="s">
        <v>455</v>
      </c>
      <c r="F5" s="286" t="s">
        <v>455</v>
      </c>
      <c r="G5" s="286">
        <v>0</v>
      </c>
      <c r="H5" s="286" t="s">
        <v>455</v>
      </c>
      <c r="I5" s="286">
        <v>0</v>
      </c>
      <c r="J5" s="286" t="s">
        <v>455</v>
      </c>
      <c r="K5" s="286">
        <v>0</v>
      </c>
      <c r="L5" s="286" t="s">
        <v>455</v>
      </c>
    </row>
    <row r="6" spans="2:12" ht="46" thickTop="1" thickBot="1" x14ac:dyDescent="0.4">
      <c r="B6" s="284" t="s">
        <v>456</v>
      </c>
      <c r="C6" s="285"/>
      <c r="D6" s="286">
        <v>1</v>
      </c>
      <c r="E6" s="287">
        <v>3890735938</v>
      </c>
      <c r="F6" s="287">
        <v>3890735938</v>
      </c>
      <c r="G6" s="286">
        <v>63.13</v>
      </c>
      <c r="H6" s="287">
        <v>3890735938</v>
      </c>
      <c r="I6" s="286">
        <v>63.13</v>
      </c>
      <c r="J6" s="287">
        <v>3890735938</v>
      </c>
      <c r="K6" s="286">
        <v>63.13</v>
      </c>
      <c r="L6" s="287">
        <v>3890735938</v>
      </c>
    </row>
    <row r="7" spans="2:12" ht="19" thickTop="1" thickBot="1" x14ac:dyDescent="0.4">
      <c r="B7" s="285" t="s">
        <v>457</v>
      </c>
      <c r="C7" s="285" t="s">
        <v>458</v>
      </c>
      <c r="D7" s="286">
        <v>1</v>
      </c>
      <c r="E7" s="287">
        <v>3890735938</v>
      </c>
      <c r="F7" s="287">
        <v>3890735938</v>
      </c>
      <c r="G7" s="286">
        <v>63.13</v>
      </c>
      <c r="H7" s="287">
        <v>3890735938</v>
      </c>
      <c r="I7" s="286">
        <v>63.13</v>
      </c>
      <c r="J7" s="287">
        <v>3890735938</v>
      </c>
      <c r="K7" s="286">
        <v>63.13</v>
      </c>
      <c r="L7" s="287">
        <v>3890735938</v>
      </c>
    </row>
    <row r="8" spans="2:12" ht="15.5" thickTop="1" thickBot="1" x14ac:dyDescent="0.4">
      <c r="B8" s="284" t="s">
        <v>459</v>
      </c>
      <c r="C8" s="285"/>
      <c r="D8" s="286">
        <v>1</v>
      </c>
      <c r="E8" s="287">
        <v>3890735938</v>
      </c>
      <c r="F8" s="287">
        <v>3890735938</v>
      </c>
      <c r="G8" s="286">
        <v>63.13</v>
      </c>
      <c r="H8" s="287">
        <v>3890735938</v>
      </c>
      <c r="I8" s="286">
        <v>63.13</v>
      </c>
      <c r="J8" s="287">
        <v>3890735938</v>
      </c>
      <c r="K8" s="286">
        <v>63.13</v>
      </c>
      <c r="L8" s="287">
        <v>3890735938</v>
      </c>
    </row>
    <row r="9" spans="2:12" ht="15.5" thickTop="1" thickBot="1" x14ac:dyDescent="0.4">
      <c r="B9" s="284" t="s">
        <v>460</v>
      </c>
      <c r="C9" s="285"/>
      <c r="D9" s="286" t="s">
        <v>455</v>
      </c>
      <c r="E9" s="286" t="s">
        <v>455</v>
      </c>
      <c r="F9" s="286" t="s">
        <v>455</v>
      </c>
      <c r="G9" s="286">
        <v>0</v>
      </c>
      <c r="H9" s="286" t="s">
        <v>455</v>
      </c>
      <c r="I9" s="286">
        <v>0</v>
      </c>
      <c r="J9" s="286" t="s">
        <v>455</v>
      </c>
      <c r="K9" s="286">
        <v>0</v>
      </c>
      <c r="L9" s="286" t="s">
        <v>455</v>
      </c>
    </row>
    <row r="10" spans="2:12" ht="15.5" thickTop="1" thickBot="1" x14ac:dyDescent="0.4">
      <c r="B10" s="284" t="s">
        <v>461</v>
      </c>
      <c r="C10" s="285"/>
      <c r="D10" s="286">
        <v>1</v>
      </c>
      <c r="E10" s="287">
        <v>3890735938</v>
      </c>
      <c r="F10" s="287">
        <v>3890735938</v>
      </c>
      <c r="G10" s="286">
        <v>63.13</v>
      </c>
      <c r="H10" s="287">
        <v>3890735938</v>
      </c>
      <c r="I10" s="286">
        <v>63.13</v>
      </c>
      <c r="J10" s="287">
        <v>3890735938</v>
      </c>
      <c r="K10" s="286">
        <v>63.13</v>
      </c>
      <c r="L10" s="287">
        <v>3890735938</v>
      </c>
    </row>
    <row r="11" spans="2:12" ht="15" thickTop="1" x14ac:dyDescent="0.35"/>
  </sheetData>
  <mergeCells count="13">
    <mergeCell ref="B1:L1"/>
    <mergeCell ref="G2:G4"/>
    <mergeCell ref="H2:I2"/>
    <mergeCell ref="J2:J4"/>
    <mergeCell ref="K2:K4"/>
    <mergeCell ref="L2:L4"/>
    <mergeCell ref="H3:H4"/>
    <mergeCell ref="I3:I4"/>
    <mergeCell ref="B2:B4"/>
    <mergeCell ref="C2:C4"/>
    <mergeCell ref="D2:D4"/>
    <mergeCell ref="E2:E4"/>
    <mergeCell ref="F2:F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1D73-73A5-447C-999E-CF6B58E4049D}">
  <dimension ref="B2:N59"/>
  <sheetViews>
    <sheetView showGridLines="0" zoomScale="68" workbookViewId="0">
      <selection activeCell="B2" sqref="B2:N3"/>
    </sheetView>
  </sheetViews>
  <sheetFormatPr defaultRowHeight="14.5" x14ac:dyDescent="0.35"/>
  <cols>
    <col min="1" max="1" width="2.7265625" customWidth="1"/>
    <col min="2" max="2" width="15.1796875" customWidth="1"/>
    <col min="3" max="3" width="11.7265625" bestFit="1" customWidth="1"/>
    <col min="4" max="4" width="20.36328125" bestFit="1" customWidth="1"/>
    <col min="5" max="5" width="13.1796875" bestFit="1" customWidth="1"/>
    <col min="6" max="6" width="20.453125" bestFit="1" customWidth="1"/>
    <col min="7" max="7" width="12.7265625" bestFit="1" customWidth="1"/>
    <col min="8" max="8" width="12.90625" bestFit="1" customWidth="1"/>
    <col min="9" max="9" width="31.26953125" bestFit="1" customWidth="1"/>
    <col min="10" max="10" width="43.54296875" bestFit="1" customWidth="1"/>
    <col min="11" max="11" width="22.7265625" bestFit="1" customWidth="1"/>
    <col min="12" max="14" width="8.08984375" bestFit="1" customWidth="1"/>
  </cols>
  <sheetData>
    <row r="2" spans="2:14" x14ac:dyDescent="0.35">
      <c r="B2" s="426" t="s">
        <v>462</v>
      </c>
      <c r="C2" s="426"/>
      <c r="D2" s="426"/>
      <c r="E2" s="426"/>
      <c r="F2" s="426"/>
      <c r="G2" s="426"/>
      <c r="H2" s="426"/>
      <c r="I2" s="426"/>
      <c r="J2" s="426"/>
      <c r="K2" s="426"/>
      <c r="L2" s="426"/>
      <c r="M2" s="426"/>
      <c r="N2" s="426"/>
    </row>
    <row r="3" spans="2:14" x14ac:dyDescent="0.35">
      <c r="B3" s="426"/>
      <c r="C3" s="426"/>
      <c r="D3" s="426"/>
      <c r="E3" s="426"/>
      <c r="F3" s="426"/>
      <c r="G3" s="426"/>
      <c r="H3" s="426"/>
      <c r="I3" s="426"/>
      <c r="J3" s="426"/>
      <c r="K3" s="426"/>
      <c r="L3" s="426"/>
      <c r="M3" s="426"/>
      <c r="N3" s="426"/>
    </row>
    <row r="4" spans="2:14" ht="15" thickBot="1" x14ac:dyDescent="0.4">
      <c r="B4" s="365" t="s">
        <v>463</v>
      </c>
      <c r="C4" s="359" t="s">
        <v>464</v>
      </c>
      <c r="D4" s="359" t="s">
        <v>446</v>
      </c>
      <c r="E4" s="359" t="s">
        <v>465</v>
      </c>
      <c r="F4" s="359" t="s">
        <v>466</v>
      </c>
      <c r="G4" s="359" t="s">
        <v>467</v>
      </c>
      <c r="H4" s="359" t="s">
        <v>468</v>
      </c>
      <c r="I4" s="359" t="s">
        <v>450</v>
      </c>
      <c r="J4" s="359" t="s">
        <v>451</v>
      </c>
      <c r="K4" s="359" t="s">
        <v>469</v>
      </c>
      <c r="L4" s="361" t="s">
        <v>470</v>
      </c>
      <c r="M4" s="362"/>
      <c r="N4" s="362"/>
    </row>
    <row r="5" spans="2:14" ht="15" thickBot="1" x14ac:dyDescent="0.4">
      <c r="B5" s="365"/>
      <c r="C5" s="359"/>
      <c r="D5" s="359"/>
      <c r="E5" s="359"/>
      <c r="F5" s="359"/>
      <c r="G5" s="359"/>
      <c r="H5" s="359"/>
      <c r="I5" s="359"/>
      <c r="J5" s="359"/>
      <c r="K5" s="359"/>
      <c r="L5" s="363" t="s">
        <v>471</v>
      </c>
      <c r="M5" s="364"/>
      <c r="N5" s="364"/>
    </row>
    <row r="6" spans="2:14" ht="19.5" thickBot="1" x14ac:dyDescent="0.4">
      <c r="B6" s="366"/>
      <c r="C6" s="360"/>
      <c r="D6" s="360"/>
      <c r="E6" s="360"/>
      <c r="F6" s="360"/>
      <c r="G6" s="360"/>
      <c r="H6" s="360"/>
      <c r="I6" s="360"/>
      <c r="J6" s="360"/>
      <c r="K6" s="360"/>
      <c r="L6" s="289" t="s">
        <v>472</v>
      </c>
      <c r="M6" s="289" t="s">
        <v>473</v>
      </c>
      <c r="N6" s="288" t="s">
        <v>474</v>
      </c>
    </row>
    <row r="7" spans="2:14" x14ac:dyDescent="0.35">
      <c r="B7" s="292" t="s">
        <v>475</v>
      </c>
      <c r="C7" s="290">
        <v>0</v>
      </c>
      <c r="D7" s="290">
        <v>0</v>
      </c>
      <c r="E7" s="290" t="s">
        <v>455</v>
      </c>
      <c r="F7" s="290">
        <v>0</v>
      </c>
      <c r="G7" s="290" t="s">
        <v>455</v>
      </c>
      <c r="H7" s="290">
        <v>0</v>
      </c>
      <c r="I7" s="290" t="s">
        <v>455</v>
      </c>
      <c r="J7" s="290">
        <v>0</v>
      </c>
      <c r="K7" s="290" t="s">
        <v>455</v>
      </c>
      <c r="L7" s="290" t="s">
        <v>455</v>
      </c>
      <c r="M7" s="290" t="s">
        <v>455</v>
      </c>
      <c r="N7" s="293" t="s">
        <v>455</v>
      </c>
    </row>
    <row r="8" spans="2:14" ht="29" x14ac:dyDescent="0.35">
      <c r="B8" s="292" t="s">
        <v>476</v>
      </c>
      <c r="C8" s="290">
        <v>0</v>
      </c>
      <c r="D8" s="290">
        <v>0</v>
      </c>
      <c r="E8" s="290" t="s">
        <v>455</v>
      </c>
      <c r="F8" s="290">
        <v>0</v>
      </c>
      <c r="G8" s="290" t="s">
        <v>455</v>
      </c>
      <c r="H8" s="290">
        <v>0</v>
      </c>
      <c r="I8" s="290" t="s">
        <v>455</v>
      </c>
      <c r="J8" s="290">
        <v>0</v>
      </c>
      <c r="K8" s="290" t="s">
        <v>455</v>
      </c>
      <c r="L8" s="290" t="s">
        <v>455</v>
      </c>
      <c r="M8" s="290" t="s">
        <v>455</v>
      </c>
      <c r="N8" s="293" t="s">
        <v>455</v>
      </c>
    </row>
    <row r="9" spans="2:14" x14ac:dyDescent="0.35">
      <c r="B9" s="292" t="s">
        <v>477</v>
      </c>
      <c r="C9" s="290">
        <v>42</v>
      </c>
      <c r="D9" s="291">
        <v>587322433</v>
      </c>
      <c r="E9" s="291">
        <v>587322433</v>
      </c>
      <c r="F9" s="290">
        <v>9.5299999999999994</v>
      </c>
      <c r="G9" s="291">
        <v>587322433</v>
      </c>
      <c r="H9" s="290">
        <v>9.5299999999999994</v>
      </c>
      <c r="I9" s="291">
        <v>587322433</v>
      </c>
      <c r="J9" s="290">
        <v>9.5299999999999994</v>
      </c>
      <c r="K9" s="291">
        <v>587322433</v>
      </c>
      <c r="L9" s="290" t="s">
        <v>455</v>
      </c>
      <c r="M9" s="290" t="s">
        <v>455</v>
      </c>
      <c r="N9" s="293" t="s">
        <v>455</v>
      </c>
    </row>
    <row r="10" spans="2:14" ht="58" x14ac:dyDescent="0.35">
      <c r="B10" s="294" t="s">
        <v>478</v>
      </c>
      <c r="C10" s="290">
        <v>1</v>
      </c>
      <c r="D10" s="291">
        <v>96096558</v>
      </c>
      <c r="E10" s="291">
        <v>96096558</v>
      </c>
      <c r="F10" s="290">
        <v>1.56</v>
      </c>
      <c r="G10" s="291">
        <v>96096558</v>
      </c>
      <c r="H10" s="290">
        <v>1.56</v>
      </c>
      <c r="I10" s="291">
        <v>96096558</v>
      </c>
      <c r="J10" s="290">
        <v>1.56</v>
      </c>
      <c r="K10" s="291">
        <v>96096558</v>
      </c>
      <c r="L10" s="290" t="s">
        <v>455</v>
      </c>
      <c r="M10" s="290" t="s">
        <v>455</v>
      </c>
      <c r="N10" s="293" t="s">
        <v>455</v>
      </c>
    </row>
    <row r="11" spans="2:14" ht="29" x14ac:dyDescent="0.35">
      <c r="B11" s="294" t="s">
        <v>479</v>
      </c>
      <c r="C11" s="290">
        <v>1</v>
      </c>
      <c r="D11" s="291">
        <v>180841782</v>
      </c>
      <c r="E11" s="291">
        <v>180841782</v>
      </c>
      <c r="F11" s="290">
        <v>2.93</v>
      </c>
      <c r="G11" s="291">
        <v>180841782</v>
      </c>
      <c r="H11" s="290">
        <v>2.93</v>
      </c>
      <c r="I11" s="291">
        <v>180841782</v>
      </c>
      <c r="J11" s="290">
        <v>2.93</v>
      </c>
      <c r="K11" s="291">
        <v>180841782</v>
      </c>
      <c r="L11" s="290" t="s">
        <v>455</v>
      </c>
      <c r="M11" s="290" t="s">
        <v>455</v>
      </c>
      <c r="N11" s="293" t="s">
        <v>455</v>
      </c>
    </row>
    <row r="12" spans="2:14" x14ac:dyDescent="0.35">
      <c r="B12" s="294" t="s">
        <v>480</v>
      </c>
      <c r="C12" s="290">
        <v>1</v>
      </c>
      <c r="D12" s="291">
        <v>96050614</v>
      </c>
      <c r="E12" s="291">
        <v>96050614</v>
      </c>
      <c r="F12" s="290">
        <v>1.56</v>
      </c>
      <c r="G12" s="291">
        <v>96050614</v>
      </c>
      <c r="H12" s="290">
        <v>1.56</v>
      </c>
      <c r="I12" s="291">
        <v>96050614</v>
      </c>
      <c r="J12" s="290">
        <v>1.56</v>
      </c>
      <c r="K12" s="291">
        <v>96050614</v>
      </c>
      <c r="L12" s="290" t="s">
        <v>455</v>
      </c>
      <c r="M12" s="290" t="s">
        <v>455</v>
      </c>
      <c r="N12" s="293" t="s">
        <v>455</v>
      </c>
    </row>
    <row r="13" spans="2:14" ht="29" x14ac:dyDescent="0.35">
      <c r="B13" s="292" t="s">
        <v>481</v>
      </c>
      <c r="C13" s="290">
        <v>0</v>
      </c>
      <c r="D13" s="290">
        <v>0</v>
      </c>
      <c r="E13" s="290" t="s">
        <v>455</v>
      </c>
      <c r="F13" s="290">
        <v>0</v>
      </c>
      <c r="G13" s="290" t="s">
        <v>455</v>
      </c>
      <c r="H13" s="290">
        <v>0</v>
      </c>
      <c r="I13" s="290" t="s">
        <v>455</v>
      </c>
      <c r="J13" s="290">
        <v>0</v>
      </c>
      <c r="K13" s="290" t="s">
        <v>455</v>
      </c>
      <c r="L13" s="290" t="s">
        <v>455</v>
      </c>
      <c r="M13" s="290" t="s">
        <v>455</v>
      </c>
      <c r="N13" s="293" t="s">
        <v>455</v>
      </c>
    </row>
    <row r="14" spans="2:14" ht="43.5" x14ac:dyDescent="0.35">
      <c r="B14" s="292" t="s">
        <v>482</v>
      </c>
      <c r="C14" s="290">
        <v>30</v>
      </c>
      <c r="D14" s="291">
        <v>2194867</v>
      </c>
      <c r="E14" s="291">
        <v>2194867</v>
      </c>
      <c r="F14" s="290">
        <v>0.04</v>
      </c>
      <c r="G14" s="291">
        <v>2194867</v>
      </c>
      <c r="H14" s="290">
        <v>0.04</v>
      </c>
      <c r="I14" s="291">
        <v>2194867</v>
      </c>
      <c r="J14" s="290">
        <v>0.04</v>
      </c>
      <c r="K14" s="291">
        <v>2194867</v>
      </c>
      <c r="L14" s="290" t="s">
        <v>455</v>
      </c>
      <c r="M14" s="290" t="s">
        <v>455</v>
      </c>
      <c r="N14" s="293" t="s">
        <v>455</v>
      </c>
    </row>
    <row r="15" spans="2:14" x14ac:dyDescent="0.35">
      <c r="B15" s="292" t="s">
        <v>483</v>
      </c>
      <c r="C15" s="290">
        <v>6</v>
      </c>
      <c r="D15" s="291">
        <v>1326404</v>
      </c>
      <c r="E15" s="291">
        <v>1326404</v>
      </c>
      <c r="F15" s="290">
        <v>0.02</v>
      </c>
      <c r="G15" s="291">
        <v>1326404</v>
      </c>
      <c r="H15" s="290">
        <v>0.02</v>
      </c>
      <c r="I15" s="291">
        <v>1326404</v>
      </c>
      <c r="J15" s="290">
        <v>0.02</v>
      </c>
      <c r="K15" s="291">
        <v>1326404</v>
      </c>
      <c r="L15" s="290" t="s">
        <v>455</v>
      </c>
      <c r="M15" s="290" t="s">
        <v>455</v>
      </c>
      <c r="N15" s="293" t="s">
        <v>455</v>
      </c>
    </row>
    <row r="16" spans="2:14" ht="29" x14ac:dyDescent="0.35">
      <c r="B16" s="292" t="s">
        <v>484</v>
      </c>
      <c r="C16" s="290">
        <v>40</v>
      </c>
      <c r="D16" s="291">
        <v>762779571</v>
      </c>
      <c r="E16" s="291">
        <v>762779571</v>
      </c>
      <c r="F16" s="290">
        <v>12.38</v>
      </c>
      <c r="G16" s="291">
        <v>762779571</v>
      </c>
      <c r="H16" s="290">
        <v>12.38</v>
      </c>
      <c r="I16" s="291">
        <v>762779571</v>
      </c>
      <c r="J16" s="290">
        <v>12.38</v>
      </c>
      <c r="K16" s="291">
        <v>762779571</v>
      </c>
      <c r="L16" s="290" t="s">
        <v>455</v>
      </c>
      <c r="M16" s="290" t="s">
        <v>455</v>
      </c>
      <c r="N16" s="293" t="s">
        <v>455</v>
      </c>
    </row>
    <row r="17" spans="2:14" ht="43.5" x14ac:dyDescent="0.35">
      <c r="B17" s="294" t="s">
        <v>485</v>
      </c>
      <c r="C17" s="290">
        <v>1</v>
      </c>
      <c r="D17" s="291">
        <v>680772793</v>
      </c>
      <c r="E17" s="291">
        <v>680772793</v>
      </c>
      <c r="F17" s="290">
        <v>11.05</v>
      </c>
      <c r="G17" s="291">
        <v>680772793</v>
      </c>
      <c r="H17" s="290">
        <v>11.05</v>
      </c>
      <c r="I17" s="291">
        <v>680772793</v>
      </c>
      <c r="J17" s="290">
        <v>11.05</v>
      </c>
      <c r="K17" s="291">
        <v>680772793</v>
      </c>
      <c r="L17" s="290" t="s">
        <v>455</v>
      </c>
      <c r="M17" s="290" t="s">
        <v>455</v>
      </c>
      <c r="N17" s="293" t="s">
        <v>455</v>
      </c>
    </row>
    <row r="18" spans="2:14" ht="43.5" x14ac:dyDescent="0.35">
      <c r="B18" s="292" t="s">
        <v>486</v>
      </c>
      <c r="C18" s="290">
        <v>3</v>
      </c>
      <c r="D18" s="291">
        <v>48625566</v>
      </c>
      <c r="E18" s="291">
        <v>48625566</v>
      </c>
      <c r="F18" s="290">
        <v>0.79</v>
      </c>
      <c r="G18" s="291">
        <v>48625566</v>
      </c>
      <c r="H18" s="290">
        <v>0.79</v>
      </c>
      <c r="I18" s="291">
        <v>48625566</v>
      </c>
      <c r="J18" s="290">
        <v>0.79</v>
      </c>
      <c r="K18" s="291">
        <v>48625566</v>
      </c>
      <c r="L18" s="290" t="s">
        <v>455</v>
      </c>
      <c r="M18" s="290" t="s">
        <v>455</v>
      </c>
      <c r="N18" s="293" t="s">
        <v>455</v>
      </c>
    </row>
    <row r="19" spans="2:14" ht="43.5" x14ac:dyDescent="0.35">
      <c r="B19" s="292" t="s">
        <v>487</v>
      </c>
      <c r="C19" s="290">
        <v>0</v>
      </c>
      <c r="D19" s="290">
        <v>0</v>
      </c>
      <c r="E19" s="290" t="s">
        <v>455</v>
      </c>
      <c r="F19" s="290">
        <v>0</v>
      </c>
      <c r="G19" s="290" t="s">
        <v>455</v>
      </c>
      <c r="H19" s="290">
        <v>0</v>
      </c>
      <c r="I19" s="290" t="s">
        <v>455</v>
      </c>
      <c r="J19" s="290">
        <v>0</v>
      </c>
      <c r="K19" s="290" t="s">
        <v>455</v>
      </c>
      <c r="L19" s="290" t="s">
        <v>455</v>
      </c>
      <c r="M19" s="290" t="s">
        <v>455</v>
      </c>
      <c r="N19" s="293" t="s">
        <v>455</v>
      </c>
    </row>
    <row r="20" spans="2:14" ht="29" x14ac:dyDescent="0.35">
      <c r="B20" s="292" t="s">
        <v>488</v>
      </c>
      <c r="C20" s="290">
        <v>0</v>
      </c>
      <c r="D20" s="290">
        <v>0</v>
      </c>
      <c r="E20" s="290" t="s">
        <v>455</v>
      </c>
      <c r="F20" s="290">
        <v>0</v>
      </c>
      <c r="G20" s="290" t="s">
        <v>455</v>
      </c>
      <c r="H20" s="290">
        <v>0</v>
      </c>
      <c r="I20" s="290" t="s">
        <v>455</v>
      </c>
      <c r="J20" s="290">
        <v>0</v>
      </c>
      <c r="K20" s="290" t="s">
        <v>455</v>
      </c>
      <c r="L20" s="290" t="s">
        <v>455</v>
      </c>
      <c r="M20" s="290" t="s">
        <v>455</v>
      </c>
      <c r="N20" s="293" t="s">
        <v>455</v>
      </c>
    </row>
    <row r="21" spans="2:14" ht="29" x14ac:dyDescent="0.35">
      <c r="B21" s="292" t="s">
        <v>489</v>
      </c>
      <c r="C21" s="290">
        <v>14</v>
      </c>
      <c r="D21" s="291">
        <v>70490</v>
      </c>
      <c r="E21" s="291">
        <v>70490</v>
      </c>
      <c r="F21" s="290">
        <v>0</v>
      </c>
      <c r="G21" s="291">
        <v>70490</v>
      </c>
      <c r="H21" s="290">
        <v>0</v>
      </c>
      <c r="I21" s="291">
        <v>70490</v>
      </c>
      <c r="J21" s="290">
        <v>0</v>
      </c>
      <c r="K21" s="291">
        <v>70490</v>
      </c>
      <c r="L21" s="290" t="s">
        <v>455</v>
      </c>
      <c r="M21" s="290" t="s">
        <v>455</v>
      </c>
      <c r="N21" s="293" t="s">
        <v>455</v>
      </c>
    </row>
    <row r="22" spans="2:14" ht="29" x14ac:dyDescent="0.35">
      <c r="B22" s="292" t="s">
        <v>490</v>
      </c>
      <c r="C22" s="290">
        <v>0</v>
      </c>
      <c r="D22" s="290">
        <v>0</v>
      </c>
      <c r="E22" s="290" t="s">
        <v>455</v>
      </c>
      <c r="F22" s="290">
        <v>0</v>
      </c>
      <c r="G22" s="290" t="s">
        <v>455</v>
      </c>
      <c r="H22" s="290">
        <v>0</v>
      </c>
      <c r="I22" s="290" t="s">
        <v>455</v>
      </c>
      <c r="J22" s="290">
        <v>0</v>
      </c>
      <c r="K22" s="290" t="s">
        <v>455</v>
      </c>
      <c r="L22" s="290" t="s">
        <v>455</v>
      </c>
      <c r="M22" s="290" t="s">
        <v>455</v>
      </c>
      <c r="N22" s="293" t="s">
        <v>455</v>
      </c>
    </row>
    <row r="23" spans="2:14" ht="43.5" x14ac:dyDescent="0.35">
      <c r="B23" s="292" t="s">
        <v>491</v>
      </c>
      <c r="C23" s="290">
        <v>0</v>
      </c>
      <c r="D23" s="290">
        <v>0</v>
      </c>
      <c r="E23" s="290" t="s">
        <v>455</v>
      </c>
      <c r="F23" s="290">
        <v>0</v>
      </c>
      <c r="G23" s="290" t="s">
        <v>455</v>
      </c>
      <c r="H23" s="290">
        <v>0</v>
      </c>
      <c r="I23" s="290" t="s">
        <v>455</v>
      </c>
      <c r="J23" s="290">
        <v>0</v>
      </c>
      <c r="K23" s="290" t="s">
        <v>455</v>
      </c>
      <c r="L23" s="290" t="s">
        <v>455</v>
      </c>
      <c r="M23" s="290" t="s">
        <v>455</v>
      </c>
      <c r="N23" s="293" t="s">
        <v>455</v>
      </c>
    </row>
    <row r="24" spans="2:14" x14ac:dyDescent="0.35">
      <c r="B24" s="292" t="s">
        <v>492</v>
      </c>
      <c r="C24" s="290">
        <v>135</v>
      </c>
      <c r="D24" s="291">
        <v>1402319331</v>
      </c>
      <c r="E24" s="291">
        <v>1402319331</v>
      </c>
      <c r="F24" s="290">
        <v>22.75</v>
      </c>
      <c r="G24" s="291">
        <v>1402319331</v>
      </c>
      <c r="H24" s="290">
        <v>22.75</v>
      </c>
      <c r="I24" s="291">
        <v>1402319331</v>
      </c>
      <c r="J24" s="290">
        <v>22.75</v>
      </c>
      <c r="K24" s="291">
        <v>1402319331</v>
      </c>
      <c r="L24" s="290" t="s">
        <v>455</v>
      </c>
      <c r="M24" s="290" t="s">
        <v>455</v>
      </c>
      <c r="N24" s="293" t="s">
        <v>455</v>
      </c>
    </row>
    <row r="25" spans="2:14" ht="29" x14ac:dyDescent="0.35">
      <c r="B25" s="292" t="s">
        <v>493</v>
      </c>
      <c r="C25" s="290">
        <v>0</v>
      </c>
      <c r="D25" s="290">
        <v>0</v>
      </c>
      <c r="E25" s="290" t="s">
        <v>455</v>
      </c>
      <c r="F25" s="290">
        <v>0</v>
      </c>
      <c r="G25" s="290" t="s">
        <v>455</v>
      </c>
      <c r="H25" s="290">
        <v>0</v>
      </c>
      <c r="I25" s="290" t="s">
        <v>455</v>
      </c>
      <c r="J25" s="290">
        <v>0</v>
      </c>
      <c r="K25" s="290" t="s">
        <v>455</v>
      </c>
      <c r="L25" s="290" t="s">
        <v>455</v>
      </c>
      <c r="M25" s="290" t="s">
        <v>455</v>
      </c>
      <c r="N25" s="293" t="s">
        <v>455</v>
      </c>
    </row>
    <row r="26" spans="2:14" ht="29" x14ac:dyDescent="0.35">
      <c r="B26" s="292" t="s">
        <v>494</v>
      </c>
      <c r="C26" s="290">
        <v>0</v>
      </c>
      <c r="D26" s="290">
        <v>0</v>
      </c>
      <c r="E26" s="290" t="s">
        <v>455</v>
      </c>
      <c r="F26" s="290">
        <v>0</v>
      </c>
      <c r="G26" s="290" t="s">
        <v>455</v>
      </c>
      <c r="H26" s="290">
        <v>0</v>
      </c>
      <c r="I26" s="290" t="s">
        <v>455</v>
      </c>
      <c r="J26" s="290">
        <v>0</v>
      </c>
      <c r="K26" s="290" t="s">
        <v>455</v>
      </c>
      <c r="L26" s="290" t="s">
        <v>455</v>
      </c>
      <c r="M26" s="290" t="s">
        <v>455</v>
      </c>
      <c r="N26" s="293" t="s">
        <v>455</v>
      </c>
    </row>
    <row r="27" spans="2:14" ht="29" x14ac:dyDescent="0.35">
      <c r="B27" s="292" t="s">
        <v>495</v>
      </c>
      <c r="C27" s="290">
        <v>0</v>
      </c>
      <c r="D27" s="290">
        <v>0</v>
      </c>
      <c r="E27" s="290" t="s">
        <v>455</v>
      </c>
      <c r="F27" s="290">
        <v>0</v>
      </c>
      <c r="G27" s="290" t="s">
        <v>455</v>
      </c>
      <c r="H27" s="290">
        <v>0</v>
      </c>
      <c r="I27" s="290" t="s">
        <v>455</v>
      </c>
      <c r="J27" s="290">
        <v>0</v>
      </c>
      <c r="K27" s="290" t="s">
        <v>455</v>
      </c>
      <c r="L27" s="290" t="s">
        <v>455</v>
      </c>
      <c r="M27" s="290" t="s">
        <v>455</v>
      </c>
      <c r="N27" s="293" t="s">
        <v>455</v>
      </c>
    </row>
    <row r="28" spans="2:14" ht="29" x14ac:dyDescent="0.35">
      <c r="B28" s="292" t="s">
        <v>488</v>
      </c>
      <c r="C28" s="290">
        <v>0</v>
      </c>
      <c r="D28" s="290">
        <v>0</v>
      </c>
      <c r="E28" s="290" t="s">
        <v>455</v>
      </c>
      <c r="F28" s="290">
        <v>0</v>
      </c>
      <c r="G28" s="290" t="s">
        <v>455</v>
      </c>
      <c r="H28" s="290">
        <v>0</v>
      </c>
      <c r="I28" s="290" t="s">
        <v>455</v>
      </c>
      <c r="J28" s="290">
        <v>0</v>
      </c>
      <c r="K28" s="290" t="s">
        <v>455</v>
      </c>
      <c r="L28" s="290" t="s">
        <v>455</v>
      </c>
      <c r="M28" s="290" t="s">
        <v>455</v>
      </c>
      <c r="N28" s="293" t="s">
        <v>455</v>
      </c>
    </row>
    <row r="29" spans="2:14" ht="43.5" x14ac:dyDescent="0.35">
      <c r="B29" s="292" t="s">
        <v>496</v>
      </c>
      <c r="C29" s="290">
        <v>521</v>
      </c>
      <c r="D29" s="291">
        <v>482448388</v>
      </c>
      <c r="E29" s="291">
        <v>482448388</v>
      </c>
      <c r="F29" s="290">
        <v>7.83</v>
      </c>
      <c r="G29" s="291">
        <v>482448388</v>
      </c>
      <c r="H29" s="290">
        <v>7.83</v>
      </c>
      <c r="I29" s="291">
        <v>482448388</v>
      </c>
      <c r="J29" s="290">
        <v>7.83</v>
      </c>
      <c r="K29" s="291">
        <v>482448388</v>
      </c>
      <c r="L29" s="290" t="s">
        <v>455</v>
      </c>
      <c r="M29" s="290" t="s">
        <v>455</v>
      </c>
      <c r="N29" s="293" t="s">
        <v>455</v>
      </c>
    </row>
    <row r="30" spans="2:14" ht="43.5" x14ac:dyDescent="0.35">
      <c r="B30" s="292" t="s">
        <v>497</v>
      </c>
      <c r="C30" s="290">
        <v>54</v>
      </c>
      <c r="D30" s="291">
        <v>33833059</v>
      </c>
      <c r="E30" s="291">
        <v>33833059</v>
      </c>
      <c r="F30" s="290">
        <v>0.55000000000000004</v>
      </c>
      <c r="G30" s="291">
        <v>33833059</v>
      </c>
      <c r="H30" s="290">
        <v>0.55000000000000004</v>
      </c>
      <c r="I30" s="291">
        <v>33833059</v>
      </c>
      <c r="J30" s="290">
        <v>0.55000000000000004</v>
      </c>
      <c r="K30" s="291">
        <v>33833059</v>
      </c>
      <c r="L30" s="290" t="s">
        <v>455</v>
      </c>
      <c r="M30" s="290" t="s">
        <v>455</v>
      </c>
      <c r="N30" s="293" t="s">
        <v>455</v>
      </c>
    </row>
    <row r="31" spans="2:14" ht="72.5" x14ac:dyDescent="0.35">
      <c r="B31" s="292" t="s">
        <v>498</v>
      </c>
      <c r="C31" s="290">
        <v>0</v>
      </c>
      <c r="D31" s="290">
        <v>0</v>
      </c>
      <c r="E31" s="290" t="s">
        <v>455</v>
      </c>
      <c r="F31" s="290">
        <v>0</v>
      </c>
      <c r="G31" s="290" t="s">
        <v>455</v>
      </c>
      <c r="H31" s="290">
        <v>0</v>
      </c>
      <c r="I31" s="290" t="s">
        <v>455</v>
      </c>
      <c r="J31" s="290">
        <v>0</v>
      </c>
      <c r="K31" s="290" t="s">
        <v>455</v>
      </c>
      <c r="L31" s="290" t="s">
        <v>455</v>
      </c>
      <c r="M31" s="290" t="s">
        <v>455</v>
      </c>
      <c r="N31" s="293" t="s">
        <v>455</v>
      </c>
    </row>
    <row r="32" spans="2:14" ht="43.5" x14ac:dyDescent="0.35">
      <c r="B32" s="292" t="s">
        <v>499</v>
      </c>
      <c r="C32" s="290">
        <v>0</v>
      </c>
      <c r="D32" s="290">
        <v>0</v>
      </c>
      <c r="E32" s="290" t="s">
        <v>455</v>
      </c>
      <c r="F32" s="290">
        <v>0</v>
      </c>
      <c r="G32" s="290" t="s">
        <v>455</v>
      </c>
      <c r="H32" s="290">
        <v>0</v>
      </c>
      <c r="I32" s="290" t="s">
        <v>455</v>
      </c>
      <c r="J32" s="290">
        <v>0</v>
      </c>
      <c r="K32" s="290" t="s">
        <v>455</v>
      </c>
      <c r="L32" s="290" t="s">
        <v>455</v>
      </c>
      <c r="M32" s="290" t="s">
        <v>455</v>
      </c>
      <c r="N32" s="293" t="s">
        <v>455</v>
      </c>
    </row>
    <row r="33" spans="2:14" x14ac:dyDescent="0.35">
      <c r="B33" s="292" t="s">
        <v>500</v>
      </c>
      <c r="C33" s="290">
        <v>575</v>
      </c>
      <c r="D33" s="291">
        <v>516281447</v>
      </c>
      <c r="E33" s="291">
        <v>516281447</v>
      </c>
      <c r="F33" s="290">
        <v>8.3800000000000008</v>
      </c>
      <c r="G33" s="291">
        <v>516281447</v>
      </c>
      <c r="H33" s="290">
        <v>8.3800000000000008</v>
      </c>
      <c r="I33" s="291">
        <v>516281447</v>
      </c>
      <c r="J33" s="290">
        <v>8.3800000000000008</v>
      </c>
      <c r="K33" s="291">
        <v>516281447</v>
      </c>
      <c r="L33" s="290" t="s">
        <v>455</v>
      </c>
      <c r="M33" s="290" t="s">
        <v>455</v>
      </c>
      <c r="N33" s="293" t="s">
        <v>455</v>
      </c>
    </row>
    <row r="34" spans="2:14" ht="87" x14ac:dyDescent="0.35">
      <c r="B34" s="292" t="s">
        <v>501</v>
      </c>
      <c r="C34" s="290">
        <v>0</v>
      </c>
      <c r="D34" s="290">
        <v>0</v>
      </c>
      <c r="E34" s="290" t="s">
        <v>455</v>
      </c>
      <c r="F34" s="290">
        <v>0</v>
      </c>
      <c r="G34" s="290" t="s">
        <v>455</v>
      </c>
      <c r="H34" s="290">
        <v>0</v>
      </c>
      <c r="I34" s="290" t="s">
        <v>455</v>
      </c>
      <c r="J34" s="290">
        <v>0</v>
      </c>
      <c r="K34" s="290" t="s">
        <v>455</v>
      </c>
      <c r="L34" s="290" t="s">
        <v>455</v>
      </c>
      <c r="M34" s="290" t="s">
        <v>455</v>
      </c>
      <c r="N34" s="293" t="s">
        <v>455</v>
      </c>
    </row>
    <row r="35" spans="2:14" ht="58" x14ac:dyDescent="0.35">
      <c r="B35" s="292" t="s">
        <v>502</v>
      </c>
      <c r="C35" s="290">
        <v>0</v>
      </c>
      <c r="D35" s="290">
        <v>0</v>
      </c>
      <c r="E35" s="290" t="s">
        <v>455</v>
      </c>
      <c r="F35" s="290">
        <v>0</v>
      </c>
      <c r="G35" s="290" t="s">
        <v>455</v>
      </c>
      <c r="H35" s="290">
        <v>0</v>
      </c>
      <c r="I35" s="290" t="s">
        <v>455</v>
      </c>
      <c r="J35" s="290">
        <v>0</v>
      </c>
      <c r="K35" s="290" t="s">
        <v>455</v>
      </c>
      <c r="L35" s="290" t="s">
        <v>455</v>
      </c>
      <c r="M35" s="290" t="s">
        <v>455</v>
      </c>
      <c r="N35" s="293" t="s">
        <v>455</v>
      </c>
    </row>
    <row r="36" spans="2:14" ht="43.5" x14ac:dyDescent="0.35">
      <c r="B36" s="292" t="s">
        <v>503</v>
      </c>
      <c r="C36" s="290">
        <v>0</v>
      </c>
      <c r="D36" s="290">
        <v>0</v>
      </c>
      <c r="E36" s="290" t="s">
        <v>455</v>
      </c>
      <c r="F36" s="290">
        <v>0</v>
      </c>
      <c r="G36" s="290" t="s">
        <v>455</v>
      </c>
      <c r="H36" s="290">
        <v>0</v>
      </c>
      <c r="I36" s="290" t="s">
        <v>455</v>
      </c>
      <c r="J36" s="290">
        <v>0</v>
      </c>
      <c r="K36" s="290" t="s">
        <v>455</v>
      </c>
      <c r="L36" s="290" t="s">
        <v>455</v>
      </c>
      <c r="M36" s="290" t="s">
        <v>455</v>
      </c>
      <c r="N36" s="293" t="s">
        <v>455</v>
      </c>
    </row>
    <row r="37" spans="2:14" ht="101.5" x14ac:dyDescent="0.35">
      <c r="B37" s="292" t="s">
        <v>504</v>
      </c>
      <c r="C37" s="290">
        <v>3</v>
      </c>
      <c r="D37" s="291">
        <v>6416456</v>
      </c>
      <c r="E37" s="291">
        <v>6416456</v>
      </c>
      <c r="F37" s="290">
        <v>0.1</v>
      </c>
      <c r="G37" s="291">
        <v>6416456</v>
      </c>
      <c r="H37" s="290">
        <v>0.1</v>
      </c>
      <c r="I37" s="291">
        <v>6416456</v>
      </c>
      <c r="J37" s="290">
        <v>0.1</v>
      </c>
      <c r="K37" s="291">
        <v>6416456</v>
      </c>
      <c r="L37" s="290" t="s">
        <v>455</v>
      </c>
      <c r="M37" s="290" t="s">
        <v>455</v>
      </c>
      <c r="N37" s="293" t="s">
        <v>455</v>
      </c>
    </row>
    <row r="38" spans="2:14" x14ac:dyDescent="0.35">
      <c r="B38" s="292" t="s">
        <v>505</v>
      </c>
      <c r="C38" s="290">
        <v>3</v>
      </c>
      <c r="D38" s="291">
        <v>6416456</v>
      </c>
      <c r="E38" s="291">
        <v>6416456</v>
      </c>
      <c r="F38" s="290">
        <v>0.1</v>
      </c>
      <c r="G38" s="291">
        <v>6416456</v>
      </c>
      <c r="H38" s="290">
        <v>0.1</v>
      </c>
      <c r="I38" s="291">
        <v>6416456</v>
      </c>
      <c r="J38" s="290">
        <v>0.1</v>
      </c>
      <c r="K38" s="291">
        <v>6416456</v>
      </c>
      <c r="L38" s="290" t="s">
        <v>455</v>
      </c>
      <c r="M38" s="290" t="s">
        <v>455</v>
      </c>
      <c r="N38" s="293" t="s">
        <v>455</v>
      </c>
    </row>
    <row r="39" spans="2:14" ht="29" x14ac:dyDescent="0.35">
      <c r="B39" s="292" t="s">
        <v>506</v>
      </c>
      <c r="C39" s="290">
        <v>0</v>
      </c>
      <c r="D39" s="290">
        <v>0</v>
      </c>
      <c r="E39" s="290" t="s">
        <v>455</v>
      </c>
      <c r="F39" s="290">
        <v>0</v>
      </c>
      <c r="G39" s="290" t="s">
        <v>455</v>
      </c>
      <c r="H39" s="290">
        <v>0</v>
      </c>
      <c r="I39" s="290" t="s">
        <v>455</v>
      </c>
      <c r="J39" s="290">
        <v>0</v>
      </c>
      <c r="K39" s="290" t="s">
        <v>455</v>
      </c>
      <c r="L39" s="290" t="s">
        <v>455</v>
      </c>
      <c r="M39" s="290" t="s">
        <v>455</v>
      </c>
      <c r="N39" s="293" t="s">
        <v>455</v>
      </c>
    </row>
    <row r="40" spans="2:14" ht="43.5" x14ac:dyDescent="0.35">
      <c r="B40" s="292" t="s">
        <v>507</v>
      </c>
      <c r="C40" s="290">
        <v>0</v>
      </c>
      <c r="D40" s="290">
        <v>0</v>
      </c>
      <c r="E40" s="290" t="s">
        <v>455</v>
      </c>
      <c r="F40" s="290">
        <v>0</v>
      </c>
      <c r="G40" s="290" t="s">
        <v>455</v>
      </c>
      <c r="H40" s="290">
        <v>0</v>
      </c>
      <c r="I40" s="290" t="s">
        <v>455</v>
      </c>
      <c r="J40" s="290">
        <v>0</v>
      </c>
      <c r="K40" s="290" t="s">
        <v>455</v>
      </c>
      <c r="L40" s="290" t="s">
        <v>455</v>
      </c>
      <c r="M40" s="290" t="s">
        <v>455</v>
      </c>
      <c r="N40" s="293" t="s">
        <v>455</v>
      </c>
    </row>
    <row r="41" spans="2:14" ht="101.5" x14ac:dyDescent="0.35">
      <c r="B41" s="292" t="s">
        <v>508</v>
      </c>
      <c r="C41" s="290">
        <v>0</v>
      </c>
      <c r="D41" s="290">
        <v>0</v>
      </c>
      <c r="E41" s="290" t="s">
        <v>455</v>
      </c>
      <c r="F41" s="290">
        <v>0</v>
      </c>
      <c r="G41" s="290" t="s">
        <v>455</v>
      </c>
      <c r="H41" s="290">
        <v>0</v>
      </c>
      <c r="I41" s="290" t="s">
        <v>455</v>
      </c>
      <c r="J41" s="290">
        <v>0</v>
      </c>
      <c r="K41" s="290" t="s">
        <v>455</v>
      </c>
      <c r="L41" s="290" t="s">
        <v>455</v>
      </c>
      <c r="M41" s="290" t="s">
        <v>455</v>
      </c>
      <c r="N41" s="293" t="s">
        <v>455</v>
      </c>
    </row>
    <row r="42" spans="2:14" ht="29" x14ac:dyDescent="0.35">
      <c r="B42" s="292" t="s">
        <v>509</v>
      </c>
      <c r="C42" s="290">
        <v>0</v>
      </c>
      <c r="D42" s="290">
        <v>0</v>
      </c>
      <c r="E42" s="290" t="s">
        <v>455</v>
      </c>
      <c r="F42" s="290">
        <v>0</v>
      </c>
      <c r="G42" s="290" t="s">
        <v>455</v>
      </c>
      <c r="H42" s="290">
        <v>0</v>
      </c>
      <c r="I42" s="290" t="s">
        <v>455</v>
      </c>
      <c r="J42" s="290">
        <v>0</v>
      </c>
      <c r="K42" s="290" t="s">
        <v>455</v>
      </c>
      <c r="L42" s="290" t="s">
        <v>455</v>
      </c>
      <c r="M42" s="290" t="s">
        <v>455</v>
      </c>
      <c r="N42" s="293" t="s">
        <v>455</v>
      </c>
    </row>
    <row r="43" spans="2:14" ht="145" x14ac:dyDescent="0.35">
      <c r="B43" s="292" t="s">
        <v>510</v>
      </c>
      <c r="C43" s="290">
        <v>0</v>
      </c>
      <c r="D43" s="290">
        <v>0</v>
      </c>
      <c r="E43" s="290" t="s">
        <v>455</v>
      </c>
      <c r="F43" s="290">
        <v>0</v>
      </c>
      <c r="G43" s="290" t="s">
        <v>455</v>
      </c>
      <c r="H43" s="290">
        <v>0</v>
      </c>
      <c r="I43" s="290" t="s">
        <v>455</v>
      </c>
      <c r="J43" s="290">
        <v>0</v>
      </c>
      <c r="K43" s="290" t="s">
        <v>455</v>
      </c>
      <c r="L43" s="290" t="s">
        <v>455</v>
      </c>
      <c r="M43" s="290" t="s">
        <v>455</v>
      </c>
      <c r="N43" s="293" t="s">
        <v>455</v>
      </c>
    </row>
    <row r="44" spans="2:14" ht="130.5" x14ac:dyDescent="0.35">
      <c r="B44" s="292" t="s">
        <v>511</v>
      </c>
      <c r="C44" s="290">
        <v>0</v>
      </c>
      <c r="D44" s="290">
        <v>0</v>
      </c>
      <c r="E44" s="290" t="s">
        <v>455</v>
      </c>
      <c r="F44" s="290">
        <v>0</v>
      </c>
      <c r="G44" s="290" t="s">
        <v>455</v>
      </c>
      <c r="H44" s="290">
        <v>0</v>
      </c>
      <c r="I44" s="290" t="s">
        <v>455</v>
      </c>
      <c r="J44" s="290">
        <v>0</v>
      </c>
      <c r="K44" s="290" t="s">
        <v>455</v>
      </c>
      <c r="L44" s="290" t="s">
        <v>455</v>
      </c>
      <c r="M44" s="290" t="s">
        <v>455</v>
      </c>
      <c r="N44" s="293" t="s">
        <v>455</v>
      </c>
    </row>
    <row r="45" spans="2:14" ht="58" x14ac:dyDescent="0.35">
      <c r="B45" s="292" t="s">
        <v>512</v>
      </c>
      <c r="C45" s="290">
        <v>1</v>
      </c>
      <c r="D45" s="291">
        <v>247750</v>
      </c>
      <c r="E45" s="291">
        <v>247750</v>
      </c>
      <c r="F45" s="290">
        <v>0</v>
      </c>
      <c r="G45" s="291">
        <v>247750</v>
      </c>
      <c r="H45" s="290">
        <v>0</v>
      </c>
      <c r="I45" s="291">
        <v>247750</v>
      </c>
      <c r="J45" s="290">
        <v>0</v>
      </c>
      <c r="K45" s="291">
        <v>247750</v>
      </c>
      <c r="L45" s="290" t="s">
        <v>455</v>
      </c>
      <c r="M45" s="290" t="s">
        <v>455</v>
      </c>
      <c r="N45" s="293" t="s">
        <v>455</v>
      </c>
    </row>
    <row r="46" spans="2:14" ht="72.5" x14ac:dyDescent="0.35">
      <c r="B46" s="292" t="s">
        <v>513</v>
      </c>
      <c r="C46" s="291">
        <v>2533853</v>
      </c>
      <c r="D46" s="291">
        <v>235344922</v>
      </c>
      <c r="E46" s="291">
        <v>235344922</v>
      </c>
      <c r="F46" s="290">
        <v>3.82</v>
      </c>
      <c r="G46" s="291">
        <v>235344922</v>
      </c>
      <c r="H46" s="290">
        <v>3.82</v>
      </c>
      <c r="I46" s="291">
        <v>235344922</v>
      </c>
      <c r="J46" s="290">
        <v>3.82</v>
      </c>
      <c r="K46" s="291">
        <v>235342449</v>
      </c>
      <c r="L46" s="290" t="s">
        <v>455</v>
      </c>
      <c r="M46" s="290" t="s">
        <v>455</v>
      </c>
      <c r="N46" s="293" t="s">
        <v>455</v>
      </c>
    </row>
    <row r="47" spans="2:14" ht="87" x14ac:dyDescent="0.35">
      <c r="B47" s="292" t="s">
        <v>514</v>
      </c>
      <c r="C47" s="290">
        <v>519</v>
      </c>
      <c r="D47" s="291">
        <v>32015627</v>
      </c>
      <c r="E47" s="291">
        <v>32015627</v>
      </c>
      <c r="F47" s="290">
        <v>0.52</v>
      </c>
      <c r="G47" s="291">
        <v>32015627</v>
      </c>
      <c r="H47" s="290">
        <v>0.52</v>
      </c>
      <c r="I47" s="291">
        <v>32015627</v>
      </c>
      <c r="J47" s="290">
        <v>0.52</v>
      </c>
      <c r="K47" s="291">
        <v>32015627</v>
      </c>
      <c r="L47" s="290" t="s">
        <v>455</v>
      </c>
      <c r="M47" s="290" t="s">
        <v>455</v>
      </c>
      <c r="N47" s="293" t="s">
        <v>455</v>
      </c>
    </row>
    <row r="48" spans="2:14" ht="29" x14ac:dyDescent="0.35">
      <c r="B48" s="292" t="s">
        <v>515</v>
      </c>
      <c r="C48" s="291">
        <v>31160</v>
      </c>
      <c r="D48" s="291">
        <v>14763652</v>
      </c>
      <c r="E48" s="291">
        <v>14763652</v>
      </c>
      <c r="F48" s="290">
        <v>0.24</v>
      </c>
      <c r="G48" s="291">
        <v>14763652</v>
      </c>
      <c r="H48" s="290">
        <v>0.24</v>
      </c>
      <c r="I48" s="291">
        <v>14763652</v>
      </c>
      <c r="J48" s="290">
        <v>0.24</v>
      </c>
      <c r="K48" s="291">
        <v>14763652</v>
      </c>
      <c r="L48" s="290" t="s">
        <v>455</v>
      </c>
      <c r="M48" s="290" t="s">
        <v>455</v>
      </c>
      <c r="N48" s="293" t="s">
        <v>455</v>
      </c>
    </row>
    <row r="49" spans="2:14" ht="29" x14ac:dyDescent="0.35">
      <c r="B49" s="292" t="s">
        <v>516</v>
      </c>
      <c r="C49" s="290">
        <v>3</v>
      </c>
      <c r="D49" s="291">
        <v>1496</v>
      </c>
      <c r="E49" s="291">
        <v>1496</v>
      </c>
      <c r="F49" s="290">
        <v>0</v>
      </c>
      <c r="G49" s="291">
        <v>1496</v>
      </c>
      <c r="H49" s="290">
        <v>0</v>
      </c>
      <c r="I49" s="291">
        <v>1496</v>
      </c>
      <c r="J49" s="290">
        <v>0</v>
      </c>
      <c r="K49" s="291">
        <v>1496</v>
      </c>
      <c r="L49" s="290" t="s">
        <v>455</v>
      </c>
      <c r="M49" s="290" t="s">
        <v>455</v>
      </c>
      <c r="N49" s="293" t="s">
        <v>455</v>
      </c>
    </row>
    <row r="50" spans="2:14" ht="29" x14ac:dyDescent="0.35">
      <c r="B50" s="292" t="s">
        <v>517</v>
      </c>
      <c r="C50" s="290">
        <v>0</v>
      </c>
      <c r="D50" s="290">
        <v>0</v>
      </c>
      <c r="E50" s="290" t="s">
        <v>455</v>
      </c>
      <c r="F50" s="290">
        <v>0</v>
      </c>
      <c r="G50" s="290" t="s">
        <v>455</v>
      </c>
      <c r="H50" s="290">
        <v>0</v>
      </c>
      <c r="I50" s="290" t="s">
        <v>455</v>
      </c>
      <c r="J50" s="290">
        <v>0</v>
      </c>
      <c r="K50" s="290" t="s">
        <v>455</v>
      </c>
      <c r="L50" s="290" t="s">
        <v>455</v>
      </c>
      <c r="M50" s="290" t="s">
        <v>455</v>
      </c>
      <c r="N50" s="293" t="s">
        <v>455</v>
      </c>
    </row>
    <row r="51" spans="2:14" ht="29" x14ac:dyDescent="0.35">
      <c r="B51" s="292" t="s">
        <v>518</v>
      </c>
      <c r="C51" s="291">
        <v>3423</v>
      </c>
      <c r="D51" s="291">
        <v>50165086</v>
      </c>
      <c r="E51" s="291">
        <v>50165086</v>
      </c>
      <c r="F51" s="290">
        <v>0.81</v>
      </c>
      <c r="G51" s="291">
        <v>50165086</v>
      </c>
      <c r="H51" s="290">
        <v>0.81</v>
      </c>
      <c r="I51" s="291">
        <v>50165086</v>
      </c>
      <c r="J51" s="290">
        <v>0.81</v>
      </c>
      <c r="K51" s="291">
        <v>50165086</v>
      </c>
      <c r="L51" s="290" t="s">
        <v>455</v>
      </c>
      <c r="M51" s="290" t="s">
        <v>455</v>
      </c>
      <c r="N51" s="293" t="s">
        <v>455</v>
      </c>
    </row>
    <row r="52" spans="2:14" ht="29" x14ac:dyDescent="0.35">
      <c r="B52" s="292" t="s">
        <v>519</v>
      </c>
      <c r="C52" s="291">
        <v>62915</v>
      </c>
      <c r="D52" s="291">
        <v>14436622</v>
      </c>
      <c r="E52" s="291">
        <v>14436622</v>
      </c>
      <c r="F52" s="290">
        <v>0.23</v>
      </c>
      <c r="G52" s="291">
        <v>14436622</v>
      </c>
      <c r="H52" s="290">
        <v>0.23</v>
      </c>
      <c r="I52" s="291">
        <v>14436622</v>
      </c>
      <c r="J52" s="290">
        <v>0.23</v>
      </c>
      <c r="K52" s="291">
        <v>14436619</v>
      </c>
      <c r="L52" s="290" t="s">
        <v>455</v>
      </c>
      <c r="M52" s="290" t="s">
        <v>455</v>
      </c>
      <c r="N52" s="293" t="s">
        <v>455</v>
      </c>
    </row>
    <row r="53" spans="2:14" ht="29" x14ac:dyDescent="0.35">
      <c r="B53" s="292" t="s">
        <v>519</v>
      </c>
      <c r="C53" s="290">
        <v>76</v>
      </c>
      <c r="D53" s="291">
        <v>1799253</v>
      </c>
      <c r="E53" s="291">
        <v>1799253</v>
      </c>
      <c r="F53" s="290">
        <v>0.03</v>
      </c>
      <c r="G53" s="291">
        <v>1799253</v>
      </c>
      <c r="H53" s="290">
        <v>0.03</v>
      </c>
      <c r="I53" s="291">
        <v>1799253</v>
      </c>
      <c r="J53" s="290">
        <v>0.03</v>
      </c>
      <c r="K53" s="291">
        <v>1799253</v>
      </c>
      <c r="L53" s="290" t="s">
        <v>455</v>
      </c>
      <c r="M53" s="290" t="s">
        <v>455</v>
      </c>
      <c r="N53" s="293" t="s">
        <v>455</v>
      </c>
    </row>
    <row r="54" spans="2:14" ht="29" x14ac:dyDescent="0.35">
      <c r="B54" s="292" t="s">
        <v>519</v>
      </c>
      <c r="C54" s="290">
        <v>109</v>
      </c>
      <c r="D54" s="291">
        <v>942737</v>
      </c>
      <c r="E54" s="291">
        <v>942737</v>
      </c>
      <c r="F54" s="290">
        <v>0.02</v>
      </c>
      <c r="G54" s="291">
        <v>942737</v>
      </c>
      <c r="H54" s="290">
        <v>0.02</v>
      </c>
      <c r="I54" s="291">
        <v>942737</v>
      </c>
      <c r="J54" s="290">
        <v>0.02</v>
      </c>
      <c r="K54" s="291">
        <v>942737</v>
      </c>
      <c r="L54" s="290" t="s">
        <v>455</v>
      </c>
      <c r="M54" s="290" t="s">
        <v>455</v>
      </c>
      <c r="N54" s="293" t="s">
        <v>455</v>
      </c>
    </row>
    <row r="55" spans="2:14" ht="29" x14ac:dyDescent="0.35">
      <c r="B55" s="292" t="s">
        <v>519</v>
      </c>
      <c r="C55" s="290">
        <v>5</v>
      </c>
      <c r="D55" s="291">
        <v>12571</v>
      </c>
      <c r="E55" s="291">
        <v>12571</v>
      </c>
      <c r="F55" s="290">
        <v>0</v>
      </c>
      <c r="G55" s="291">
        <v>12571</v>
      </c>
      <c r="H55" s="290">
        <v>0</v>
      </c>
      <c r="I55" s="291">
        <v>12571</v>
      </c>
      <c r="J55" s="290">
        <v>0</v>
      </c>
      <c r="K55" s="291">
        <v>12571</v>
      </c>
      <c r="L55" s="290" t="s">
        <v>455</v>
      </c>
      <c r="M55" s="290" t="s">
        <v>455</v>
      </c>
      <c r="N55" s="293" t="s">
        <v>455</v>
      </c>
    </row>
    <row r="56" spans="2:14" ht="29" x14ac:dyDescent="0.35">
      <c r="B56" s="292" t="s">
        <v>519</v>
      </c>
      <c r="C56" s="291">
        <v>62299</v>
      </c>
      <c r="D56" s="291">
        <v>9831560</v>
      </c>
      <c r="E56" s="291">
        <v>9831560</v>
      </c>
      <c r="F56" s="290">
        <v>0.16</v>
      </c>
      <c r="G56" s="291">
        <v>9831560</v>
      </c>
      <c r="H56" s="290">
        <v>0.16</v>
      </c>
      <c r="I56" s="291">
        <v>9831560</v>
      </c>
      <c r="J56" s="290">
        <v>0.16</v>
      </c>
      <c r="K56" s="291">
        <v>9831557</v>
      </c>
      <c r="L56" s="290" t="s">
        <v>455</v>
      </c>
      <c r="M56" s="290" t="s">
        <v>455</v>
      </c>
      <c r="N56" s="293" t="s">
        <v>455</v>
      </c>
    </row>
    <row r="57" spans="2:14" ht="29" x14ac:dyDescent="0.35">
      <c r="B57" s="292" t="s">
        <v>519</v>
      </c>
      <c r="C57" s="290">
        <v>426</v>
      </c>
      <c r="D57" s="291">
        <v>1850501</v>
      </c>
      <c r="E57" s="291">
        <v>1850501</v>
      </c>
      <c r="F57" s="290">
        <v>0.03</v>
      </c>
      <c r="G57" s="291">
        <v>1850501</v>
      </c>
      <c r="H57" s="290">
        <v>0.03</v>
      </c>
      <c r="I57" s="291">
        <v>1850501</v>
      </c>
      <c r="J57" s="290">
        <v>0.03</v>
      </c>
      <c r="K57" s="291">
        <v>1850501</v>
      </c>
      <c r="L57" s="290" t="s">
        <v>455</v>
      </c>
      <c r="M57" s="290" t="s">
        <v>455</v>
      </c>
      <c r="N57" s="293" t="s">
        <v>455</v>
      </c>
    </row>
    <row r="58" spans="2:14" x14ac:dyDescent="0.35">
      <c r="B58" s="292" t="s">
        <v>520</v>
      </c>
      <c r="C58" s="291">
        <v>2631874</v>
      </c>
      <c r="D58" s="291">
        <v>346975155</v>
      </c>
      <c r="E58" s="291">
        <v>346975155</v>
      </c>
      <c r="F58" s="290">
        <v>5.63</v>
      </c>
      <c r="G58" s="291">
        <v>346975155</v>
      </c>
      <c r="H58" s="290">
        <v>5.63</v>
      </c>
      <c r="I58" s="291">
        <v>346975155</v>
      </c>
      <c r="J58" s="290">
        <v>5.63</v>
      </c>
      <c r="K58" s="291">
        <v>346972679</v>
      </c>
      <c r="L58" s="290" t="s">
        <v>455</v>
      </c>
      <c r="M58" s="290" t="s">
        <v>455</v>
      </c>
      <c r="N58" s="293" t="s">
        <v>455</v>
      </c>
    </row>
    <row r="59" spans="2:14" x14ac:dyDescent="0.35">
      <c r="B59" s="292" t="s">
        <v>521</v>
      </c>
      <c r="C59" s="291">
        <v>2632587</v>
      </c>
      <c r="D59" s="291">
        <v>2271992389</v>
      </c>
      <c r="E59" s="291">
        <v>2271992389</v>
      </c>
      <c r="F59" s="290">
        <v>36.869999999999997</v>
      </c>
      <c r="G59" s="291">
        <v>2271992389</v>
      </c>
      <c r="H59" s="290">
        <v>36.869999999999997</v>
      </c>
      <c r="I59" s="291">
        <v>2271992389</v>
      </c>
      <c r="J59" s="290">
        <v>36.869999999999997</v>
      </c>
      <c r="K59" s="291">
        <v>2271989913</v>
      </c>
      <c r="L59" s="290" t="s">
        <v>455</v>
      </c>
      <c r="M59" s="290" t="s">
        <v>455</v>
      </c>
      <c r="N59" s="293" t="s">
        <v>455</v>
      </c>
    </row>
  </sheetData>
  <mergeCells count="13">
    <mergeCell ref="B2:N3"/>
    <mergeCell ref="H4:H6"/>
    <mergeCell ref="I4:I6"/>
    <mergeCell ref="J4:J6"/>
    <mergeCell ref="K4:K6"/>
    <mergeCell ref="L4:N4"/>
    <mergeCell ref="L5:N5"/>
    <mergeCell ref="B4:B6"/>
    <mergeCell ref="C4:C6"/>
    <mergeCell ref="D4:D6"/>
    <mergeCell ref="E4:E6"/>
    <mergeCell ref="F4:F6"/>
    <mergeCell ref="G4:G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72"/>
  <sheetViews>
    <sheetView showGridLines="0" zoomScale="129" zoomScaleNormal="172" workbookViewId="0">
      <selection activeCell="B2" sqref="B2:G2"/>
    </sheetView>
  </sheetViews>
  <sheetFormatPr defaultColWidth="18.1796875" defaultRowHeight="14.5" x14ac:dyDescent="0.35"/>
  <cols>
    <col min="1" max="1" width="3.453125" customWidth="1"/>
    <col min="2" max="2" width="24.54296875" customWidth="1"/>
    <col min="3" max="7" width="6.54296875" customWidth="1"/>
    <col min="8" max="8" width="11.54296875" customWidth="1"/>
    <col min="9" max="9" width="5.26953125" customWidth="1"/>
    <col min="10" max="13" width="6.54296875" customWidth="1"/>
  </cols>
  <sheetData>
    <row r="2" spans="2:13" ht="14.25" customHeight="1" x14ac:dyDescent="0.35">
      <c r="B2" s="428" t="s">
        <v>1</v>
      </c>
      <c r="C2" s="428"/>
      <c r="D2" s="428"/>
      <c r="E2" s="428"/>
      <c r="F2" s="428"/>
      <c r="G2" s="428"/>
      <c r="I2" s="1"/>
    </row>
    <row r="3" spans="2:13" ht="14.25" customHeight="1" x14ac:dyDescent="0.35">
      <c r="B3" s="427" t="s">
        <v>2</v>
      </c>
      <c r="C3" s="427"/>
      <c r="D3" s="427"/>
      <c r="E3" s="427"/>
      <c r="F3" s="427"/>
      <c r="G3" s="427"/>
      <c r="I3" s="3"/>
    </row>
    <row r="4" spans="2:13" ht="14.25" customHeight="1" x14ac:dyDescent="0.35">
      <c r="B4" s="4"/>
      <c r="C4" s="5">
        <v>44621</v>
      </c>
      <c r="D4" s="5">
        <v>44986</v>
      </c>
      <c r="E4" s="5">
        <v>45352</v>
      </c>
      <c r="F4" s="5">
        <v>45717</v>
      </c>
      <c r="G4" s="6" t="s">
        <v>3</v>
      </c>
      <c r="I4" s="7"/>
      <c r="J4" s="8"/>
      <c r="K4" s="8"/>
      <c r="L4" s="8"/>
      <c r="M4" s="8"/>
    </row>
    <row r="5" spans="2:13" ht="14.25" customHeight="1" x14ac:dyDescent="0.35">
      <c r="B5" s="9"/>
      <c r="C5" s="9"/>
      <c r="D5" s="9"/>
      <c r="E5" s="9"/>
      <c r="F5" s="9"/>
      <c r="G5" s="9"/>
      <c r="H5" s="10"/>
      <c r="I5" s="10"/>
      <c r="J5" s="10"/>
      <c r="K5" s="10"/>
      <c r="L5" s="10"/>
    </row>
    <row r="6" spans="2:13" ht="14.25" customHeight="1" x14ac:dyDescent="0.35">
      <c r="B6" s="11"/>
      <c r="C6" s="12" t="s">
        <v>4</v>
      </c>
      <c r="D6" s="12" t="s">
        <v>4</v>
      </c>
      <c r="E6" s="12" t="s">
        <v>4</v>
      </c>
      <c r="F6" s="12" t="s">
        <v>4</v>
      </c>
      <c r="G6" s="13" t="s">
        <v>4</v>
      </c>
      <c r="I6" s="14"/>
      <c r="J6" s="14"/>
      <c r="K6" s="14"/>
      <c r="L6" s="14"/>
      <c r="M6" s="14"/>
    </row>
    <row r="7" spans="2:13" ht="14.25" customHeight="1" x14ac:dyDescent="0.35">
      <c r="B7" s="9"/>
      <c r="C7" s="9"/>
      <c r="D7" s="9"/>
      <c r="E7" s="9"/>
      <c r="F7" s="9"/>
      <c r="G7" s="9"/>
      <c r="H7" s="10"/>
      <c r="I7" s="10"/>
      <c r="J7" s="10"/>
      <c r="K7" s="10"/>
      <c r="L7" s="10"/>
    </row>
    <row r="8" spans="2:13" ht="14.25" customHeight="1" x14ac:dyDescent="0.35">
      <c r="B8" s="367" t="s">
        <v>5</v>
      </c>
      <c r="C8" s="367"/>
      <c r="D8" s="15"/>
      <c r="E8" s="15"/>
      <c r="F8" s="15"/>
      <c r="G8" s="16"/>
      <c r="H8" s="16"/>
      <c r="J8" s="7"/>
      <c r="K8" s="7"/>
      <c r="L8" s="7"/>
      <c r="M8" s="7"/>
    </row>
    <row r="9" spans="2:13" ht="15" customHeight="1" x14ac:dyDescent="0.35">
      <c r="B9" s="367" t="s">
        <v>6</v>
      </c>
      <c r="C9" s="367"/>
      <c r="D9" s="15"/>
      <c r="E9" s="15"/>
      <c r="F9" s="15"/>
      <c r="G9" s="16"/>
      <c r="H9" s="16"/>
      <c r="J9" s="7"/>
      <c r="K9" s="7"/>
      <c r="L9" s="7"/>
      <c r="M9" s="7"/>
    </row>
    <row r="10" spans="2:13" ht="15" customHeight="1" x14ac:dyDescent="0.35">
      <c r="B10" s="11" t="s">
        <v>7</v>
      </c>
      <c r="C10" s="17">
        <v>6162.73</v>
      </c>
      <c r="D10" s="17">
        <v>6162.73</v>
      </c>
      <c r="E10" s="17">
        <v>6162.73</v>
      </c>
      <c r="F10" s="17">
        <v>6162.73</v>
      </c>
      <c r="G10" s="18">
        <v>6162.73</v>
      </c>
      <c r="H10" s="19" t="s">
        <v>8</v>
      </c>
      <c r="I10" s="20">
        <v>10</v>
      </c>
      <c r="J10" s="21"/>
      <c r="K10" s="21"/>
      <c r="L10" s="21"/>
      <c r="M10" s="21"/>
    </row>
    <row r="11" spans="2:13" ht="14.25" customHeight="1" x14ac:dyDescent="0.35">
      <c r="B11" s="2" t="s">
        <v>9</v>
      </c>
      <c r="C11" s="22">
        <v>6162.73</v>
      </c>
      <c r="D11" s="22">
        <v>6162.73</v>
      </c>
      <c r="E11" s="22">
        <v>6162.73</v>
      </c>
      <c r="F11" s="22">
        <v>6162.73</v>
      </c>
      <c r="G11" s="23">
        <v>6162.73</v>
      </c>
      <c r="H11" s="19" t="s">
        <v>10</v>
      </c>
      <c r="I11" s="24">
        <f>C10/I10</f>
        <v>616.27299999999991</v>
      </c>
      <c r="J11" s="25"/>
      <c r="K11" s="25"/>
      <c r="L11" s="25"/>
      <c r="M11" s="25"/>
    </row>
    <row r="12" spans="2:13" ht="14.25" customHeight="1" x14ac:dyDescent="0.35">
      <c r="B12" s="11" t="s">
        <v>11</v>
      </c>
      <c r="C12" s="17">
        <v>36980.31</v>
      </c>
      <c r="D12" s="17">
        <v>51082.16</v>
      </c>
      <c r="E12" s="17">
        <v>76567.05</v>
      </c>
      <c r="F12" s="17">
        <v>92942.19</v>
      </c>
      <c r="G12" s="17">
        <v>112938.83</v>
      </c>
      <c r="H12" s="16"/>
      <c r="I12" s="21"/>
      <c r="J12" s="21"/>
      <c r="K12" s="21"/>
      <c r="L12" s="21"/>
      <c r="M12" s="21"/>
    </row>
    <row r="13" spans="2:13" ht="14.25" customHeight="1" x14ac:dyDescent="0.35">
      <c r="B13" s="2" t="s">
        <v>12</v>
      </c>
      <c r="C13" s="22">
        <v>36980.31</v>
      </c>
      <c r="D13" s="22">
        <v>51082.16</v>
      </c>
      <c r="E13" s="22">
        <v>76567.05</v>
      </c>
      <c r="F13" s="22">
        <v>92942.19</v>
      </c>
      <c r="G13" s="22">
        <v>112938.83</v>
      </c>
      <c r="H13" s="16"/>
      <c r="I13" s="25"/>
      <c r="J13" s="25"/>
      <c r="K13" s="25"/>
      <c r="L13" s="25"/>
      <c r="M13" s="25"/>
    </row>
    <row r="14" spans="2:13" ht="14.25" customHeight="1" x14ac:dyDescent="0.35">
      <c r="B14" s="2" t="s">
        <v>13</v>
      </c>
      <c r="C14" s="22">
        <v>43143.040000000001</v>
      </c>
      <c r="D14" s="22">
        <v>57244.89</v>
      </c>
      <c r="E14" s="22">
        <v>82729.78</v>
      </c>
      <c r="F14" s="22">
        <v>99104.92</v>
      </c>
      <c r="G14" s="22">
        <v>119101.56</v>
      </c>
      <c r="H14" s="16"/>
      <c r="I14" s="25"/>
      <c r="J14" s="25"/>
      <c r="K14" s="25"/>
      <c r="L14" s="25"/>
      <c r="M14" s="25"/>
    </row>
    <row r="15" spans="2:13" ht="14.25" customHeight="1" x14ac:dyDescent="0.35">
      <c r="B15" s="11" t="s">
        <v>14</v>
      </c>
      <c r="C15" s="12">
        <v>673.79</v>
      </c>
      <c r="D15" s="12">
        <v>770.68</v>
      </c>
      <c r="E15" s="12">
        <v>852.12</v>
      </c>
      <c r="F15" s="12">
        <v>845.77</v>
      </c>
      <c r="G15" s="17">
        <v>1903.01</v>
      </c>
      <c r="H15" s="16"/>
      <c r="I15" s="21"/>
      <c r="J15" s="14"/>
      <c r="K15" s="14"/>
      <c r="L15" s="14"/>
      <c r="M15" s="14"/>
    </row>
    <row r="16" spans="2:13" ht="14.25" customHeight="1" x14ac:dyDescent="0.35">
      <c r="B16" s="367" t="s">
        <v>15</v>
      </c>
      <c r="C16" s="367"/>
      <c r="D16" s="15"/>
      <c r="E16" s="15"/>
      <c r="F16" s="15"/>
      <c r="G16" s="16"/>
      <c r="H16" s="16"/>
      <c r="J16" s="7"/>
      <c r="K16" s="7"/>
      <c r="L16" s="7"/>
      <c r="M16" s="7"/>
    </row>
    <row r="17" spans="2:13" ht="14.25" customHeight="1" x14ac:dyDescent="0.35">
      <c r="B17" s="11" t="s">
        <v>16</v>
      </c>
      <c r="C17" s="17">
        <v>3301.78</v>
      </c>
      <c r="D17" s="17">
        <v>4106.25</v>
      </c>
      <c r="E17" s="17">
        <v>5617.2</v>
      </c>
      <c r="F17" s="17">
        <v>7385.75</v>
      </c>
      <c r="G17" s="17">
        <v>9232.36</v>
      </c>
      <c r="H17" s="16"/>
      <c r="I17" s="21"/>
      <c r="J17" s="21"/>
      <c r="K17" s="21"/>
      <c r="L17" s="21"/>
      <c r="M17" s="21"/>
    </row>
    <row r="18" spans="2:13" ht="14.25" customHeight="1" x14ac:dyDescent="0.35">
      <c r="B18" s="11" t="s">
        <v>17</v>
      </c>
      <c r="C18" s="12">
        <v>811.02</v>
      </c>
      <c r="D18" s="17">
        <v>1330.68</v>
      </c>
      <c r="E18" s="17">
        <v>1822.16</v>
      </c>
      <c r="F18" s="17">
        <v>1831.9</v>
      </c>
      <c r="G18" s="17">
        <v>2434.19</v>
      </c>
      <c r="H18" s="16"/>
      <c r="I18" s="21"/>
      <c r="J18" s="21"/>
      <c r="K18" s="21"/>
      <c r="L18" s="21"/>
      <c r="M18" s="14"/>
    </row>
    <row r="19" spans="2:13" ht="14.25" customHeight="1" x14ac:dyDescent="0.35">
      <c r="B19" s="11" t="s">
        <v>18</v>
      </c>
      <c r="C19" s="17">
        <v>8967.0300000000007</v>
      </c>
      <c r="D19" s="17">
        <v>10191.56</v>
      </c>
      <c r="E19" s="17">
        <v>11067.45</v>
      </c>
      <c r="F19" s="17">
        <v>11756.86</v>
      </c>
      <c r="G19" s="17">
        <v>12382.87</v>
      </c>
      <c r="H19" s="16"/>
      <c r="I19" s="21"/>
      <c r="J19" s="21"/>
      <c r="K19" s="21"/>
      <c r="L19" s="21"/>
      <c r="M19" s="21"/>
    </row>
    <row r="20" spans="2:13" ht="14.25" customHeight="1" x14ac:dyDescent="0.35">
      <c r="B20" s="11" t="s">
        <v>19</v>
      </c>
      <c r="C20" s="17">
        <v>65944</v>
      </c>
      <c r="D20" s="17">
        <v>68827.95</v>
      </c>
      <c r="E20" s="17">
        <v>74311.009999999995</v>
      </c>
      <c r="F20" s="17">
        <v>74531.520000000004</v>
      </c>
      <c r="G20" s="17">
        <v>72955.17</v>
      </c>
      <c r="H20" s="16"/>
      <c r="I20" s="21"/>
      <c r="J20" s="21"/>
      <c r="K20" s="21"/>
      <c r="L20" s="21"/>
      <c r="M20" s="21"/>
    </row>
    <row r="21" spans="2:13" ht="14.25" customHeight="1" x14ac:dyDescent="0.35">
      <c r="B21" s="2" t="s">
        <v>20</v>
      </c>
      <c r="C21" s="22">
        <v>79023.83</v>
      </c>
      <c r="D21" s="22">
        <v>84456.44</v>
      </c>
      <c r="E21" s="22">
        <v>92817.82</v>
      </c>
      <c r="F21" s="22">
        <v>95506.03</v>
      </c>
      <c r="G21" s="22">
        <v>97004.59</v>
      </c>
      <c r="H21" s="16"/>
      <c r="I21" s="25"/>
      <c r="J21" s="25"/>
      <c r="K21" s="25"/>
      <c r="L21" s="25"/>
      <c r="M21" s="25"/>
    </row>
    <row r="22" spans="2:13" ht="14.25" customHeight="1" x14ac:dyDescent="0.35">
      <c r="B22" s="367" t="s">
        <v>21</v>
      </c>
      <c r="C22" s="367"/>
      <c r="D22" s="15"/>
      <c r="E22" s="15"/>
      <c r="F22" s="15"/>
      <c r="G22" s="16"/>
      <c r="H22" s="16"/>
      <c r="J22" s="7"/>
      <c r="K22" s="7"/>
      <c r="L22" s="7"/>
      <c r="M22" s="7"/>
    </row>
    <row r="23" spans="2:13" ht="14.25" customHeight="1" x14ac:dyDescent="0.35">
      <c r="B23" s="11" t="s">
        <v>22</v>
      </c>
      <c r="C23" s="12">
        <v>7.98</v>
      </c>
      <c r="D23" s="12">
        <v>8.48</v>
      </c>
      <c r="E23" s="12">
        <v>671.82</v>
      </c>
      <c r="F23" s="17">
        <v>1522.65</v>
      </c>
      <c r="G23" s="17">
        <v>4589.1000000000004</v>
      </c>
      <c r="H23" s="16"/>
      <c r="I23" s="21"/>
      <c r="J23" s="21"/>
      <c r="K23" s="14"/>
      <c r="L23" s="14"/>
      <c r="M23" s="14"/>
    </row>
    <row r="24" spans="2:13" ht="14.25" customHeight="1" x14ac:dyDescent="0.35">
      <c r="B24" s="11" t="s">
        <v>23</v>
      </c>
      <c r="C24" s="17">
        <v>8591.7800000000007</v>
      </c>
      <c r="D24" s="17">
        <v>8549.18</v>
      </c>
      <c r="E24" s="17">
        <v>8385.65</v>
      </c>
      <c r="F24" s="17">
        <v>10205.629999999999</v>
      </c>
      <c r="G24" s="17">
        <v>12554.39</v>
      </c>
      <c r="H24" s="16"/>
      <c r="I24" s="21"/>
      <c r="J24" s="21"/>
      <c r="K24" s="21"/>
      <c r="L24" s="21"/>
      <c r="M24" s="21"/>
    </row>
    <row r="25" spans="2:13" ht="14.25" customHeight="1" x14ac:dyDescent="0.35">
      <c r="B25" s="11" t="s">
        <v>24</v>
      </c>
      <c r="C25" s="17">
        <v>42708.23</v>
      </c>
      <c r="D25" s="17">
        <v>45213.599999999999</v>
      </c>
      <c r="E25" s="17">
        <v>45534.49</v>
      </c>
      <c r="F25" s="17">
        <v>46791.02</v>
      </c>
      <c r="G25" s="17">
        <v>45699.35</v>
      </c>
      <c r="H25" s="16"/>
      <c r="I25" s="21"/>
      <c r="J25" s="21"/>
      <c r="K25" s="21"/>
      <c r="L25" s="21"/>
      <c r="M25" s="21"/>
    </row>
    <row r="26" spans="2:13" ht="14.25" customHeight="1" x14ac:dyDescent="0.35">
      <c r="B26" s="11" t="s">
        <v>25</v>
      </c>
      <c r="C26" s="17">
        <v>6094.68</v>
      </c>
      <c r="D26" s="17">
        <v>14963.38</v>
      </c>
      <c r="E26" s="17">
        <v>6680.58</v>
      </c>
      <c r="F26" s="17">
        <v>6222.35</v>
      </c>
      <c r="G26" s="17">
        <v>4808.2700000000004</v>
      </c>
      <c r="H26" s="16"/>
      <c r="I26" s="21"/>
      <c r="J26" s="21"/>
      <c r="K26" s="21"/>
      <c r="L26" s="21"/>
      <c r="M26" s="21"/>
    </row>
    <row r="27" spans="2:13" ht="14.25" customHeight="1" x14ac:dyDescent="0.35">
      <c r="B27" s="2" t="s">
        <v>26</v>
      </c>
      <c r="C27" s="22">
        <v>57402.67</v>
      </c>
      <c r="D27" s="22">
        <v>68734.64</v>
      </c>
      <c r="E27" s="22">
        <v>61272.54</v>
      </c>
      <c r="F27" s="22">
        <v>64741.65</v>
      </c>
      <c r="G27" s="22">
        <v>67651.11</v>
      </c>
      <c r="H27" s="16"/>
      <c r="I27" s="25"/>
      <c r="J27" s="25"/>
      <c r="K27" s="25"/>
      <c r="L27" s="25"/>
      <c r="M27" s="25"/>
    </row>
    <row r="28" spans="2:13" ht="14.25" customHeight="1" x14ac:dyDescent="0.35">
      <c r="B28" s="2" t="s">
        <v>27</v>
      </c>
      <c r="C28" s="22">
        <v>180243.33</v>
      </c>
      <c r="D28" s="22">
        <v>211206.65</v>
      </c>
      <c r="E28" s="22">
        <v>237672.26</v>
      </c>
      <c r="F28" s="22">
        <v>260198.37</v>
      </c>
      <c r="G28" s="22">
        <v>285660.27</v>
      </c>
      <c r="H28" s="16"/>
      <c r="I28" s="25"/>
      <c r="J28" s="25"/>
      <c r="K28" s="25"/>
      <c r="L28" s="25"/>
      <c r="M28" s="25"/>
    </row>
    <row r="29" spans="2:13" ht="14.25" customHeight="1" x14ac:dyDescent="0.35">
      <c r="B29" s="367" t="s">
        <v>28</v>
      </c>
      <c r="C29" s="367"/>
      <c r="D29" s="15"/>
      <c r="E29" s="15"/>
      <c r="F29" s="15"/>
      <c r="G29" s="16"/>
      <c r="H29" s="16"/>
      <c r="J29" s="7"/>
      <c r="K29" s="7"/>
      <c r="L29" s="7"/>
      <c r="M29" s="7"/>
    </row>
    <row r="30" spans="2:13" ht="14.25" customHeight="1" x14ac:dyDescent="0.35">
      <c r="B30" s="367" t="s">
        <v>29</v>
      </c>
      <c r="C30" s="367"/>
      <c r="D30" s="15"/>
      <c r="E30" s="15"/>
      <c r="F30" s="15"/>
      <c r="G30" s="16"/>
      <c r="H30" s="16"/>
      <c r="J30" s="7"/>
      <c r="K30" s="7"/>
      <c r="L30" s="7"/>
      <c r="M30" s="7"/>
    </row>
    <row r="31" spans="2:13" ht="14.25" customHeight="1" x14ac:dyDescent="0.35">
      <c r="B31" s="11" t="s">
        <v>30</v>
      </c>
      <c r="C31" s="17">
        <v>42697.79</v>
      </c>
      <c r="D31" s="17">
        <v>44447.97</v>
      </c>
      <c r="E31" s="17">
        <v>67900.41</v>
      </c>
      <c r="F31" s="17">
        <v>76639.850000000006</v>
      </c>
      <c r="G31" s="17">
        <v>89081.86</v>
      </c>
      <c r="H31" s="16"/>
      <c r="I31" s="21"/>
      <c r="J31" s="21"/>
      <c r="K31" s="21"/>
      <c r="L31" s="21"/>
      <c r="M31" s="21"/>
    </row>
    <row r="32" spans="2:13" ht="14.25" customHeight="1" x14ac:dyDescent="0.35">
      <c r="B32" s="11" t="s">
        <v>31</v>
      </c>
      <c r="C32" s="12">
        <v>105.62</v>
      </c>
      <c r="D32" s="17">
        <v>2588.11</v>
      </c>
      <c r="E32" s="17">
        <v>2718.21</v>
      </c>
      <c r="F32" s="17">
        <v>2579.89</v>
      </c>
      <c r="G32" s="17">
        <v>2764.23</v>
      </c>
      <c r="H32" s="16"/>
      <c r="I32" s="21"/>
      <c r="J32" s="21"/>
      <c r="K32" s="21"/>
      <c r="L32" s="21"/>
      <c r="M32" s="14"/>
    </row>
    <row r="33" spans="2:13" ht="14.25" customHeight="1" x14ac:dyDescent="0.35">
      <c r="B33" s="11" t="s">
        <v>32</v>
      </c>
      <c r="C33" s="17">
        <v>12713.73</v>
      </c>
      <c r="D33" s="17">
        <v>15262.62</v>
      </c>
      <c r="E33" s="17">
        <v>14738.66</v>
      </c>
      <c r="F33" s="17">
        <v>15888.64</v>
      </c>
      <c r="G33" s="17">
        <v>18818.580000000002</v>
      </c>
      <c r="H33" s="16"/>
      <c r="I33" s="21"/>
      <c r="J33" s="21"/>
      <c r="K33" s="21"/>
      <c r="L33" s="21"/>
      <c r="M33" s="21"/>
    </row>
    <row r="34" spans="2:13" ht="14.25" customHeight="1" x14ac:dyDescent="0.35">
      <c r="B34" s="11" t="s">
        <v>33</v>
      </c>
      <c r="C34" s="12">
        <v>183.41</v>
      </c>
      <c r="D34" s="17">
        <v>2359.35</v>
      </c>
      <c r="E34" s="17">
        <v>4221.6400000000003</v>
      </c>
      <c r="F34" s="17">
        <v>6496.27</v>
      </c>
      <c r="G34" s="12">
        <v>0</v>
      </c>
      <c r="H34" s="16"/>
      <c r="I34" s="14"/>
      <c r="J34" s="21"/>
      <c r="K34" s="21"/>
      <c r="L34" s="21"/>
      <c r="M34" s="14"/>
    </row>
    <row r="35" spans="2:13" ht="14.25" customHeight="1" x14ac:dyDescent="0.35">
      <c r="B35" s="11" t="s">
        <v>34</v>
      </c>
      <c r="C35" s="17">
        <v>3873.55</v>
      </c>
      <c r="D35" s="17">
        <v>4924.8500000000004</v>
      </c>
      <c r="E35" s="17">
        <v>5049.58</v>
      </c>
      <c r="F35" s="17">
        <v>3645.3</v>
      </c>
      <c r="G35" s="12">
        <v>0</v>
      </c>
      <c r="H35" s="16"/>
      <c r="I35" s="14"/>
      <c r="J35" s="21"/>
      <c r="K35" s="21"/>
      <c r="L35" s="21"/>
      <c r="M35" s="21"/>
    </row>
    <row r="36" spans="2:13" ht="14.25" customHeight="1" x14ac:dyDescent="0.35">
      <c r="B36" s="2" t="s">
        <v>35</v>
      </c>
      <c r="C36" s="22">
        <v>59574.1</v>
      </c>
      <c r="D36" s="22">
        <v>69582.899999999994</v>
      </c>
      <c r="E36" s="22">
        <v>94628.5</v>
      </c>
      <c r="F36" s="22">
        <v>105249.95</v>
      </c>
      <c r="G36" s="22">
        <v>110664.67</v>
      </c>
      <c r="H36" s="16"/>
      <c r="I36" s="25"/>
      <c r="J36" s="25"/>
      <c r="K36" s="25"/>
      <c r="L36" s="25"/>
      <c r="M36" s="25"/>
    </row>
    <row r="37" spans="2:13" ht="14.25" customHeight="1" x14ac:dyDescent="0.35">
      <c r="B37" s="11" t="s">
        <v>36</v>
      </c>
      <c r="C37" s="17">
        <v>2426.9699999999998</v>
      </c>
      <c r="D37" s="17">
        <v>3085.4</v>
      </c>
      <c r="E37" s="17">
        <v>3859.31</v>
      </c>
      <c r="F37" s="17">
        <v>4416.07</v>
      </c>
      <c r="G37" s="17">
        <v>6038.41</v>
      </c>
      <c r="H37" s="16"/>
      <c r="I37" s="21"/>
      <c r="J37" s="21"/>
      <c r="K37" s="21"/>
      <c r="L37" s="21"/>
      <c r="M37" s="21"/>
    </row>
    <row r="38" spans="2:13" ht="14.25" customHeight="1" x14ac:dyDescent="0.35">
      <c r="B38" s="11" t="s">
        <v>37</v>
      </c>
      <c r="C38" s="17">
        <v>4138.09</v>
      </c>
      <c r="D38" s="17">
        <v>4177</v>
      </c>
      <c r="E38" s="17">
        <v>3141.29</v>
      </c>
      <c r="F38" s="17">
        <v>2694.71</v>
      </c>
      <c r="G38" s="17">
        <v>2239.5500000000002</v>
      </c>
      <c r="H38" s="16"/>
      <c r="I38" s="21"/>
      <c r="J38" s="21"/>
      <c r="K38" s="21"/>
      <c r="L38" s="21"/>
      <c r="M38" s="21"/>
    </row>
    <row r="39" spans="2:13" ht="14.25" customHeight="1" x14ac:dyDescent="0.35">
      <c r="B39" s="11" t="s">
        <v>38</v>
      </c>
      <c r="C39" s="12">
        <v>353.39</v>
      </c>
      <c r="D39" s="12">
        <v>372.21</v>
      </c>
      <c r="E39" s="12">
        <v>358.71</v>
      </c>
      <c r="F39" s="12">
        <v>389.86</v>
      </c>
      <c r="G39" s="12">
        <v>888.92</v>
      </c>
      <c r="H39" s="16"/>
      <c r="I39" s="14"/>
      <c r="J39" s="14"/>
      <c r="K39" s="14"/>
      <c r="L39" s="14"/>
      <c r="M39" s="14"/>
    </row>
    <row r="40" spans="2:13" ht="14.25" customHeight="1" x14ac:dyDescent="0.35">
      <c r="B40" s="11" t="s">
        <v>39</v>
      </c>
      <c r="C40" s="17">
        <v>20907.830000000002</v>
      </c>
      <c r="D40" s="17">
        <v>25906.44</v>
      </c>
      <c r="E40" s="17">
        <v>31801.09</v>
      </c>
      <c r="F40" s="17">
        <v>51254.36</v>
      </c>
      <c r="G40" s="17">
        <v>40301.11</v>
      </c>
      <c r="H40" s="16"/>
      <c r="I40" s="21"/>
      <c r="J40" s="21"/>
      <c r="K40" s="21"/>
      <c r="L40" s="21"/>
      <c r="M40" s="21"/>
    </row>
    <row r="41" spans="2:13" ht="14.25" customHeight="1" x14ac:dyDescent="0.35">
      <c r="B41" s="2" t="s">
        <v>40</v>
      </c>
      <c r="C41" s="22">
        <v>87400.38</v>
      </c>
      <c r="D41" s="22">
        <v>103123.95</v>
      </c>
      <c r="E41" s="22">
        <v>133788.9</v>
      </c>
      <c r="F41" s="22">
        <v>164004.95000000001</v>
      </c>
      <c r="G41" s="22">
        <v>160132.66</v>
      </c>
      <c r="H41" s="16"/>
      <c r="I41" s="25"/>
      <c r="J41" s="25"/>
      <c r="K41" s="25"/>
      <c r="L41" s="25"/>
      <c r="M41" s="25"/>
    </row>
    <row r="42" spans="2:13" ht="14.25" customHeight="1" x14ac:dyDescent="0.35">
      <c r="B42" s="367" t="s">
        <v>41</v>
      </c>
      <c r="C42" s="367"/>
      <c r="D42" s="15"/>
      <c r="E42" s="15"/>
      <c r="F42" s="15"/>
      <c r="G42" s="16"/>
      <c r="H42" s="16"/>
      <c r="J42" s="7"/>
      <c r="K42" s="7"/>
      <c r="L42" s="7"/>
      <c r="M42" s="7"/>
    </row>
    <row r="43" spans="2:13" ht="14.25" customHeight="1" x14ac:dyDescent="0.35">
      <c r="B43" s="11" t="s">
        <v>42</v>
      </c>
      <c r="C43" s="17">
        <v>7279.41</v>
      </c>
      <c r="D43" s="17">
        <v>4054.01</v>
      </c>
      <c r="E43" s="17">
        <v>3251.1</v>
      </c>
      <c r="F43" s="17">
        <v>3175.26</v>
      </c>
      <c r="G43" s="17">
        <v>4187.47</v>
      </c>
      <c r="H43" s="16"/>
      <c r="I43" s="21"/>
      <c r="J43" s="21"/>
      <c r="K43" s="21"/>
      <c r="L43" s="21"/>
      <c r="M43" s="21"/>
    </row>
    <row r="44" spans="2:13" ht="14.25" customHeight="1" x14ac:dyDescent="0.35">
      <c r="B44" s="11" t="s">
        <v>43</v>
      </c>
      <c r="C44" s="17">
        <v>7075.68</v>
      </c>
      <c r="D44" s="17">
        <v>8154.68</v>
      </c>
      <c r="E44" s="17">
        <v>10177.23</v>
      </c>
      <c r="F44" s="17">
        <v>12613.7</v>
      </c>
      <c r="G44" s="17">
        <v>15654.3</v>
      </c>
      <c r="H44" s="16"/>
      <c r="I44" s="21"/>
      <c r="J44" s="21"/>
      <c r="K44" s="21"/>
      <c r="L44" s="21"/>
      <c r="M44" s="21"/>
    </row>
    <row r="45" spans="2:13" ht="14.25" customHeight="1" x14ac:dyDescent="0.35">
      <c r="B45" s="11" t="s">
        <v>44</v>
      </c>
      <c r="C45" s="17">
        <v>11367.68</v>
      </c>
      <c r="D45" s="17">
        <v>13060.48</v>
      </c>
      <c r="E45" s="17">
        <v>13255.75</v>
      </c>
      <c r="F45" s="17">
        <v>12727.72</v>
      </c>
      <c r="G45" s="17">
        <v>14120.59</v>
      </c>
      <c r="H45" s="16"/>
      <c r="I45" s="21"/>
      <c r="J45" s="21"/>
      <c r="K45" s="21"/>
      <c r="L45" s="21"/>
      <c r="M45" s="21"/>
    </row>
    <row r="46" spans="2:13" ht="14.25" customHeight="1" x14ac:dyDescent="0.35">
      <c r="B46" s="11" t="s">
        <v>45</v>
      </c>
      <c r="C46" s="17">
        <v>29179.45</v>
      </c>
      <c r="D46" s="17">
        <v>39921.85</v>
      </c>
      <c r="E46" s="17">
        <v>30235.17</v>
      </c>
      <c r="F46" s="17">
        <v>34215.31</v>
      </c>
      <c r="G46" s="17">
        <v>52574.37</v>
      </c>
      <c r="H46" s="16"/>
      <c r="I46" s="21"/>
      <c r="J46" s="21"/>
      <c r="K46" s="21"/>
      <c r="L46" s="21"/>
      <c r="M46" s="21"/>
    </row>
    <row r="47" spans="2:13" ht="14.25" customHeight="1" x14ac:dyDescent="0.35">
      <c r="B47" s="11" t="s">
        <v>46</v>
      </c>
      <c r="C47" s="12">
        <v>0.21</v>
      </c>
      <c r="D47" s="12">
        <v>20.79</v>
      </c>
      <c r="E47" s="12">
        <v>21.59</v>
      </c>
      <c r="F47" s="12">
        <v>18.899999999999999</v>
      </c>
      <c r="G47" s="12">
        <v>12.66</v>
      </c>
      <c r="H47" s="16"/>
      <c r="I47" s="14"/>
      <c r="J47" s="14"/>
      <c r="K47" s="14"/>
      <c r="L47" s="14"/>
      <c r="M47" s="14"/>
    </row>
    <row r="48" spans="2:13" ht="14.25" customHeight="1" x14ac:dyDescent="0.35">
      <c r="B48" s="11" t="s">
        <v>47</v>
      </c>
      <c r="C48" s="17">
        <v>37940.519999999997</v>
      </c>
      <c r="D48" s="17">
        <v>42870.89</v>
      </c>
      <c r="E48" s="17">
        <v>46942.52</v>
      </c>
      <c r="F48" s="17">
        <v>33442.53</v>
      </c>
      <c r="G48" s="17">
        <v>38978.22</v>
      </c>
      <c r="H48" s="16"/>
      <c r="I48" s="21"/>
      <c r="J48" s="21"/>
      <c r="K48" s="21"/>
      <c r="L48" s="21"/>
      <c r="M48" s="21"/>
    </row>
    <row r="49" spans="2:13" ht="14.25" customHeight="1" x14ac:dyDescent="0.35">
      <c r="B49" s="2" t="s">
        <v>48</v>
      </c>
      <c r="C49" s="22">
        <v>92842.95</v>
      </c>
      <c r="D49" s="22">
        <v>108082.7</v>
      </c>
      <c r="E49" s="22">
        <v>103883.36</v>
      </c>
      <c r="F49" s="22">
        <v>96193.42</v>
      </c>
      <c r="G49" s="22">
        <v>125527.61</v>
      </c>
      <c r="H49" s="16"/>
      <c r="I49" s="25"/>
      <c r="J49" s="25"/>
      <c r="K49" s="25"/>
      <c r="L49" s="25"/>
      <c r="M49" s="25"/>
    </row>
    <row r="50" spans="2:13" ht="14.25" customHeight="1" x14ac:dyDescent="0.35">
      <c r="B50" s="2" t="s">
        <v>49</v>
      </c>
      <c r="C50" s="22">
        <v>180243.33</v>
      </c>
      <c r="D50" s="22">
        <v>211206.65</v>
      </c>
      <c r="E50" s="22">
        <v>237672.26</v>
      </c>
      <c r="F50" s="22">
        <v>260198.37</v>
      </c>
      <c r="G50" s="22">
        <v>285660.27</v>
      </c>
      <c r="H50" s="16"/>
      <c r="I50" s="25"/>
      <c r="J50" s="25"/>
      <c r="K50" s="25"/>
      <c r="L50" s="25"/>
      <c r="M50" s="25"/>
    </row>
    <row r="51" spans="2:13" ht="14.25" customHeight="1" x14ac:dyDescent="0.35">
      <c r="B51" s="367" t="s">
        <v>50</v>
      </c>
      <c r="C51" s="367"/>
      <c r="D51" s="15"/>
      <c r="E51" s="15"/>
      <c r="F51" s="15"/>
      <c r="G51" s="16"/>
      <c r="H51" s="16"/>
      <c r="J51" s="7"/>
      <c r="K51" s="7"/>
      <c r="L51" s="7"/>
      <c r="M51" s="7"/>
    </row>
    <row r="52" spans="2:13" ht="14.25" customHeight="1" x14ac:dyDescent="0.35">
      <c r="B52" s="367" t="s">
        <v>51</v>
      </c>
      <c r="C52" s="367"/>
      <c r="D52" s="15"/>
      <c r="E52" s="15"/>
      <c r="F52" s="15"/>
      <c r="G52" s="16"/>
      <c r="H52" s="16"/>
      <c r="J52" s="7"/>
      <c r="K52" s="7"/>
      <c r="L52" s="7"/>
      <c r="M52" s="7"/>
    </row>
    <row r="53" spans="2:13" ht="14.25" customHeight="1" x14ac:dyDescent="0.35">
      <c r="B53" s="11" t="s">
        <v>52</v>
      </c>
      <c r="C53" s="17">
        <v>171067.49</v>
      </c>
      <c r="D53" s="17">
        <v>159863.67999999999</v>
      </c>
      <c r="E53" s="17">
        <v>263307.15000000002</v>
      </c>
      <c r="F53" s="17">
        <v>76769.100000000006</v>
      </c>
      <c r="G53" s="12">
        <v>0</v>
      </c>
      <c r="H53" s="16"/>
      <c r="I53" s="14"/>
      <c r="J53" s="21"/>
      <c r="K53" s="21"/>
      <c r="L53" s="21"/>
      <c r="M53" s="21"/>
    </row>
    <row r="54" spans="2:13" ht="14.25" customHeight="1" x14ac:dyDescent="0.35">
      <c r="B54" s="11" t="s">
        <v>53</v>
      </c>
      <c r="C54" s="12">
        <v>0</v>
      </c>
      <c r="D54" s="12">
        <v>0</v>
      </c>
      <c r="E54" s="12">
        <v>6.02</v>
      </c>
      <c r="F54" s="12">
        <v>3.57</v>
      </c>
      <c r="G54" s="12">
        <v>0</v>
      </c>
      <c r="H54" s="16"/>
      <c r="I54" s="14"/>
      <c r="J54" s="14"/>
      <c r="K54" s="14"/>
      <c r="L54" s="14"/>
      <c r="M54" s="14"/>
    </row>
    <row r="55" spans="2:13" ht="14.25" customHeight="1" x14ac:dyDescent="0.35">
      <c r="B55" s="367" t="s">
        <v>54</v>
      </c>
      <c r="C55" s="367"/>
      <c r="D55" s="15"/>
      <c r="E55" s="15"/>
      <c r="F55" s="15"/>
      <c r="G55" s="16"/>
      <c r="H55" s="16"/>
      <c r="J55" s="7"/>
      <c r="K55" s="7"/>
      <c r="L55" s="7"/>
      <c r="M55" s="7"/>
    </row>
    <row r="56" spans="2:13" ht="14.25" customHeight="1" x14ac:dyDescent="0.35">
      <c r="B56" s="367" t="s">
        <v>55</v>
      </c>
      <c r="C56" s="367"/>
      <c r="D56" s="15"/>
      <c r="E56" s="15"/>
      <c r="F56" s="15"/>
      <c r="G56" s="16"/>
      <c r="H56" s="16"/>
      <c r="J56" s="7"/>
      <c r="K56" s="7"/>
      <c r="L56" s="7"/>
      <c r="M56" s="7"/>
    </row>
    <row r="57" spans="2:13" ht="14.25" customHeight="1" x14ac:dyDescent="0.35">
      <c r="B57" s="11" t="s">
        <v>56</v>
      </c>
      <c r="C57" s="17">
        <v>2426.9699999999998</v>
      </c>
      <c r="D57" s="17">
        <v>3085.4</v>
      </c>
      <c r="E57" s="17">
        <v>3859.31</v>
      </c>
      <c r="F57" s="17">
        <v>4416.07</v>
      </c>
      <c r="G57" s="12">
        <v>0</v>
      </c>
      <c r="H57" s="16"/>
      <c r="I57" s="14"/>
      <c r="J57" s="21"/>
      <c r="K57" s="21"/>
      <c r="L57" s="21"/>
      <c r="M57" s="21"/>
    </row>
    <row r="58" spans="2:13" ht="14.25" customHeight="1" x14ac:dyDescent="0.35">
      <c r="B58" s="367" t="s">
        <v>57</v>
      </c>
      <c r="C58" s="367"/>
      <c r="D58" s="15"/>
      <c r="E58" s="15"/>
      <c r="F58" s="15"/>
      <c r="G58" s="16"/>
      <c r="H58" s="16"/>
      <c r="J58" s="7"/>
      <c r="K58" s="7"/>
      <c r="L58" s="7"/>
      <c r="M58" s="7"/>
    </row>
    <row r="59" spans="2:13" ht="14.25" customHeight="1" x14ac:dyDescent="0.35">
      <c r="B59" s="11" t="s">
        <v>58</v>
      </c>
      <c r="C59" s="17">
        <v>6500.87</v>
      </c>
      <c r="D59" s="12">
        <v>0</v>
      </c>
      <c r="E59" s="12">
        <v>0</v>
      </c>
      <c r="F59" s="12">
        <v>0</v>
      </c>
      <c r="G59" s="12">
        <v>0</v>
      </c>
      <c r="H59" s="16"/>
      <c r="I59" s="14"/>
      <c r="J59" s="14"/>
      <c r="K59" s="14"/>
      <c r="L59" s="14"/>
      <c r="M59" s="21"/>
    </row>
    <row r="60" spans="2:13" ht="14.25" customHeight="1" x14ac:dyDescent="0.35">
      <c r="B60" s="11" t="s">
        <v>59</v>
      </c>
      <c r="C60" s="12">
        <v>785.78</v>
      </c>
      <c r="D60" s="17">
        <v>4054.01</v>
      </c>
      <c r="E60" s="17">
        <v>3251.1</v>
      </c>
      <c r="F60" s="17">
        <v>3175.26</v>
      </c>
      <c r="G60" s="12">
        <v>0</v>
      </c>
      <c r="H60" s="16"/>
      <c r="I60" s="14"/>
      <c r="J60" s="21"/>
      <c r="K60" s="21"/>
      <c r="L60" s="21"/>
      <c r="M60" s="14"/>
    </row>
    <row r="61" spans="2:13" ht="14.25" customHeight="1" x14ac:dyDescent="0.35">
      <c r="B61" s="26"/>
      <c r="C61" s="16"/>
      <c r="D61" s="16"/>
      <c r="E61" s="16"/>
      <c r="F61" s="16"/>
      <c r="G61" s="27"/>
      <c r="H61" s="16"/>
      <c r="I61" s="28"/>
    </row>
    <row r="62" spans="2:13" ht="14.25" customHeight="1" x14ac:dyDescent="0.35">
      <c r="B62" s="368"/>
      <c r="C62" s="368"/>
      <c r="D62" s="368"/>
      <c r="E62" s="368"/>
      <c r="F62" s="368"/>
      <c r="G62" s="368"/>
      <c r="H62" s="16"/>
    </row>
    <row r="63" spans="2:13" ht="14.25" customHeight="1" x14ac:dyDescent="0.35">
      <c r="B63" s="369"/>
      <c r="C63" s="369"/>
      <c r="D63" s="369"/>
      <c r="E63" s="369"/>
      <c r="F63" s="369"/>
      <c r="G63" s="369"/>
      <c r="H63" s="16"/>
    </row>
    <row r="64" spans="2:13" ht="14.25" customHeight="1" x14ac:dyDescent="0.35">
      <c r="B64" s="370"/>
      <c r="C64" s="370"/>
      <c r="D64" s="370"/>
      <c r="E64" s="370"/>
      <c r="F64" s="370"/>
      <c r="G64" s="370"/>
      <c r="H64" s="16"/>
      <c r="I64" s="16"/>
      <c r="J64" s="16"/>
      <c r="K64" s="16"/>
      <c r="L64" s="16"/>
    </row>
    <row r="65" spans="2:13" ht="14.25" customHeight="1" x14ac:dyDescent="0.35">
      <c r="B65" s="367"/>
      <c r="C65" s="367"/>
      <c r="D65" s="15"/>
      <c r="E65" s="15"/>
      <c r="F65" s="15"/>
      <c r="G65" s="16"/>
      <c r="H65" s="16"/>
      <c r="I65" s="16"/>
      <c r="J65" s="15"/>
      <c r="K65" s="15"/>
      <c r="L65" s="15"/>
      <c r="M65" s="15"/>
    </row>
    <row r="66" spans="2:13" ht="14.25" customHeight="1" x14ac:dyDescent="0.35">
      <c r="B66" s="11"/>
      <c r="C66" s="12"/>
      <c r="D66" s="12"/>
      <c r="E66" s="17"/>
      <c r="F66" s="17"/>
      <c r="G66" s="12"/>
      <c r="H66" s="16"/>
      <c r="I66" s="12"/>
      <c r="J66" s="17"/>
      <c r="K66" s="17"/>
      <c r="L66" s="12"/>
      <c r="M66" s="12"/>
    </row>
    <row r="67" spans="2:13" ht="14.25" customHeight="1" x14ac:dyDescent="0.35">
      <c r="B67" s="11"/>
      <c r="C67" s="12"/>
      <c r="D67" s="12"/>
      <c r="E67" s="12"/>
      <c r="F67" s="12"/>
      <c r="G67" s="12"/>
      <c r="H67" s="16"/>
      <c r="I67" s="12"/>
      <c r="J67" s="12"/>
      <c r="K67" s="12"/>
      <c r="L67" s="12"/>
      <c r="M67" s="12"/>
    </row>
    <row r="68" spans="2:13" ht="14.25" customHeight="1" x14ac:dyDescent="0.35">
      <c r="B68" s="26"/>
      <c r="C68" s="16"/>
      <c r="D68" s="16"/>
      <c r="E68" s="16"/>
      <c r="F68" s="16"/>
      <c r="G68" s="27"/>
      <c r="H68" s="16"/>
      <c r="I68" s="27"/>
      <c r="J68" s="16"/>
      <c r="K68" s="16"/>
      <c r="L68" s="16"/>
      <c r="M68" s="16"/>
    </row>
    <row r="69" spans="2:13" ht="14.25" customHeight="1" x14ac:dyDescent="0.35">
      <c r="B69" s="368"/>
      <c r="C69" s="368"/>
      <c r="D69" s="368"/>
      <c r="E69" s="368"/>
      <c r="F69" s="368"/>
      <c r="G69" s="368"/>
      <c r="H69" s="16"/>
      <c r="I69" s="16"/>
      <c r="J69" s="16"/>
      <c r="K69" s="16"/>
      <c r="L69" s="16"/>
    </row>
    <row r="70" spans="2:13" ht="14.25" customHeight="1" x14ac:dyDescent="0.35">
      <c r="B70" s="369"/>
      <c r="C70" s="369"/>
      <c r="D70" s="369"/>
      <c r="E70" s="369"/>
      <c r="F70" s="369"/>
      <c r="G70" s="369"/>
      <c r="H70" s="16"/>
      <c r="I70" s="16"/>
      <c r="J70" s="16"/>
      <c r="K70" s="16"/>
      <c r="L70" s="16"/>
    </row>
    <row r="71" spans="2:13" ht="14.25" customHeight="1" x14ac:dyDescent="0.35">
      <c r="B71" s="370"/>
      <c r="C71" s="370"/>
      <c r="D71" s="370"/>
      <c r="E71" s="370"/>
      <c r="F71" s="370"/>
      <c r="G71" s="370"/>
      <c r="H71" s="16"/>
      <c r="I71" s="16"/>
      <c r="J71" s="16"/>
      <c r="K71" s="16"/>
      <c r="L71" s="16"/>
    </row>
    <row r="72" spans="2:13" ht="14.25" customHeight="1" x14ac:dyDescent="0.35">
      <c r="B72" s="369"/>
      <c r="C72" s="369"/>
      <c r="D72" s="369"/>
      <c r="E72" s="369"/>
      <c r="F72" s="369"/>
      <c r="G72" s="369"/>
      <c r="H72" s="16"/>
      <c r="I72" s="16"/>
      <c r="J72" s="16"/>
      <c r="K72" s="16"/>
      <c r="L72" s="16"/>
    </row>
  </sheetData>
  <mergeCells count="22">
    <mergeCell ref="B2:G2"/>
    <mergeCell ref="B3:G3"/>
    <mergeCell ref="B8:C8"/>
    <mergeCell ref="B9:C9"/>
    <mergeCell ref="B16:C16"/>
    <mergeCell ref="B22:C22"/>
    <mergeCell ref="B29:C29"/>
    <mergeCell ref="B30:C30"/>
    <mergeCell ref="B42:C42"/>
    <mergeCell ref="B51:C51"/>
    <mergeCell ref="B52:C52"/>
    <mergeCell ref="B55:C55"/>
    <mergeCell ref="B56:C56"/>
    <mergeCell ref="B58:C58"/>
    <mergeCell ref="B62:G62"/>
    <mergeCell ref="B63:G63"/>
    <mergeCell ref="B64:G64"/>
    <mergeCell ref="B65:C65"/>
    <mergeCell ref="B69:G69"/>
    <mergeCell ref="B70:G70"/>
    <mergeCell ref="B71:G71"/>
    <mergeCell ref="B72:G72"/>
  </mergeCells>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45"/>
  <sheetViews>
    <sheetView showGridLines="0" zoomScale="98" zoomScaleNormal="161" workbookViewId="0">
      <selection activeCell="I11" sqref="I11"/>
    </sheetView>
  </sheetViews>
  <sheetFormatPr defaultColWidth="8.6328125" defaultRowHeight="14.5" x14ac:dyDescent="0.35"/>
  <cols>
    <col min="1" max="1" width="3" customWidth="1"/>
    <col min="2" max="2" width="20" customWidth="1"/>
    <col min="3" max="7" width="6.54296875" customWidth="1"/>
    <col min="9" max="13" width="6.54296875" customWidth="1"/>
  </cols>
  <sheetData>
    <row r="2" spans="2:13" ht="14.25" customHeight="1" x14ac:dyDescent="0.35">
      <c r="B2" s="429" t="s">
        <v>1</v>
      </c>
      <c r="C2" s="430"/>
      <c r="D2" s="430"/>
      <c r="E2" s="430"/>
      <c r="F2" s="430"/>
      <c r="G2" s="431"/>
      <c r="I2" s="1"/>
    </row>
    <row r="3" spans="2:13" ht="14.25" customHeight="1" x14ac:dyDescent="0.35">
      <c r="B3" s="432" t="s">
        <v>60</v>
      </c>
      <c r="C3" s="433"/>
      <c r="D3" s="433"/>
      <c r="E3" s="433"/>
      <c r="F3" s="433"/>
      <c r="G3" s="434"/>
      <c r="I3" s="29"/>
    </row>
    <row r="4" spans="2:13" ht="14.25" customHeight="1" x14ac:dyDescent="0.35">
      <c r="B4" s="4"/>
      <c r="C4" s="5">
        <v>44621</v>
      </c>
      <c r="D4" s="5">
        <v>44986</v>
      </c>
      <c r="E4" s="5">
        <v>45352</v>
      </c>
      <c r="F4" s="5">
        <v>45717</v>
      </c>
      <c r="G4" s="15" t="s">
        <v>3</v>
      </c>
      <c r="I4" s="30"/>
      <c r="J4" s="31"/>
      <c r="K4" s="31"/>
      <c r="L4" s="31"/>
      <c r="M4" s="31"/>
    </row>
    <row r="5" spans="2:13" ht="14.25" customHeight="1" x14ac:dyDescent="0.35">
      <c r="B5" s="9"/>
      <c r="C5" s="9"/>
      <c r="D5" s="9"/>
      <c r="E5" s="9"/>
      <c r="F5" s="9"/>
      <c r="G5" s="9"/>
      <c r="H5" s="10"/>
      <c r="I5" s="10"/>
      <c r="J5" s="10"/>
      <c r="K5" s="10"/>
      <c r="L5" s="10"/>
    </row>
    <row r="6" spans="2:13" ht="14.25" customHeight="1" x14ac:dyDescent="0.35">
      <c r="B6" s="11"/>
      <c r="C6" s="12" t="s">
        <v>4</v>
      </c>
      <c r="D6" s="12" t="s">
        <v>4</v>
      </c>
      <c r="E6" s="12" t="s">
        <v>4</v>
      </c>
      <c r="F6" s="12" t="s">
        <v>4</v>
      </c>
      <c r="G6" s="12" t="s">
        <v>4</v>
      </c>
      <c r="I6" s="32"/>
      <c r="J6" s="32"/>
      <c r="K6" s="32"/>
      <c r="L6" s="32"/>
      <c r="M6" s="32"/>
    </row>
    <row r="7" spans="2:13" ht="14.25" customHeight="1" x14ac:dyDescent="0.35">
      <c r="B7" s="9"/>
      <c r="C7" s="9"/>
      <c r="D7" s="9"/>
      <c r="E7" s="9"/>
      <c r="F7" s="9"/>
      <c r="G7" s="9"/>
      <c r="H7" s="10"/>
      <c r="I7" s="10"/>
      <c r="J7" s="10"/>
      <c r="K7" s="10"/>
      <c r="L7" s="10"/>
    </row>
    <row r="8" spans="2:13" ht="14.25" customHeight="1" x14ac:dyDescent="0.35">
      <c r="B8" s="367" t="s">
        <v>61</v>
      </c>
      <c r="C8" s="367"/>
      <c r="D8" s="15"/>
      <c r="E8" s="15"/>
      <c r="F8" s="15"/>
      <c r="G8" s="16"/>
      <c r="J8" s="30"/>
      <c r="K8" s="30"/>
      <c r="L8" s="30"/>
      <c r="M8" s="30"/>
    </row>
    <row r="9" spans="2:13" ht="14.25" customHeight="1" x14ac:dyDescent="0.35">
      <c r="B9" s="4" t="s">
        <v>62</v>
      </c>
      <c r="C9" s="33">
        <v>100623.37</v>
      </c>
      <c r="D9" s="33">
        <v>127627.47</v>
      </c>
      <c r="E9" s="33">
        <v>193907.1</v>
      </c>
      <c r="F9" s="33">
        <v>191356.71</v>
      </c>
      <c r="G9" s="33">
        <v>168400.29</v>
      </c>
      <c r="I9" s="25"/>
      <c r="J9" s="25"/>
      <c r="K9" s="25"/>
      <c r="L9" s="25"/>
      <c r="M9" s="25"/>
    </row>
    <row r="10" spans="2:13" ht="14.25" customHeight="1" x14ac:dyDescent="0.35">
      <c r="B10" s="11" t="s">
        <v>63</v>
      </c>
      <c r="C10" s="12">
        <v>0</v>
      </c>
      <c r="D10" s="12">
        <v>0</v>
      </c>
      <c r="E10" s="17">
        <v>63581.45</v>
      </c>
      <c r="F10" s="17">
        <v>64399.95</v>
      </c>
      <c r="G10" s="12">
        <v>0</v>
      </c>
      <c r="I10" s="14"/>
      <c r="J10" s="21"/>
      <c r="K10" s="21"/>
      <c r="L10" s="14"/>
      <c r="M10" s="14"/>
    </row>
    <row r="11" spans="2:13" ht="14.25" customHeight="1" x14ac:dyDescent="0.35">
      <c r="B11" s="4" t="s">
        <v>64</v>
      </c>
      <c r="C11" s="33">
        <v>100623.37</v>
      </c>
      <c r="D11" s="33">
        <v>127627.47</v>
      </c>
      <c r="E11" s="33">
        <v>130325.65</v>
      </c>
      <c r="F11" s="33">
        <v>126956.76</v>
      </c>
      <c r="G11" s="33">
        <v>168400.29</v>
      </c>
      <c r="I11" s="25"/>
      <c r="J11" s="25"/>
      <c r="K11" s="25"/>
      <c r="L11" s="25"/>
      <c r="M11" s="25"/>
    </row>
    <row r="12" spans="2:13" ht="14.25" customHeight="1" x14ac:dyDescent="0.35">
      <c r="B12" s="11" t="s">
        <v>65</v>
      </c>
      <c r="C12" s="17">
        <v>9090.1299999999992</v>
      </c>
      <c r="D12" s="17">
        <v>10624.44</v>
      </c>
      <c r="E12" s="17">
        <v>11998.33</v>
      </c>
      <c r="F12" s="17">
        <v>16412.16</v>
      </c>
      <c r="G12" s="12">
        <v>0</v>
      </c>
      <c r="I12" s="14"/>
      <c r="J12" s="21"/>
      <c r="K12" s="21"/>
      <c r="L12" s="21"/>
      <c r="M12" s="21"/>
    </row>
    <row r="13" spans="2:13" ht="14.25" customHeight="1" x14ac:dyDescent="0.35">
      <c r="B13" s="4" t="s">
        <v>66</v>
      </c>
      <c r="C13" s="33">
        <v>109713.5</v>
      </c>
      <c r="D13" s="33">
        <v>138251.91</v>
      </c>
      <c r="E13" s="33">
        <v>142323.98000000001</v>
      </c>
      <c r="F13" s="33">
        <v>143368.92000000001</v>
      </c>
      <c r="G13" s="33">
        <v>168400.29</v>
      </c>
      <c r="I13" s="25"/>
      <c r="J13" s="25"/>
      <c r="K13" s="25"/>
      <c r="L13" s="25"/>
      <c r="M13" s="25"/>
    </row>
    <row r="14" spans="2:13" ht="14.25" customHeight="1" x14ac:dyDescent="0.35">
      <c r="B14" s="11" t="s">
        <v>67</v>
      </c>
      <c r="C14" s="17">
        <v>3904.52</v>
      </c>
      <c r="D14" s="17">
        <v>6550.66</v>
      </c>
      <c r="E14" s="17">
        <v>7969.08</v>
      </c>
      <c r="F14" s="17">
        <v>9470.06</v>
      </c>
      <c r="G14" s="17">
        <v>11275.68</v>
      </c>
      <c r="I14" s="21"/>
      <c r="J14" s="21"/>
      <c r="K14" s="21"/>
      <c r="L14" s="21"/>
      <c r="M14" s="21"/>
    </row>
    <row r="15" spans="2:13" ht="14.25" customHeight="1" x14ac:dyDescent="0.35">
      <c r="B15" s="2" t="s">
        <v>68</v>
      </c>
      <c r="C15" s="22">
        <v>113618.02</v>
      </c>
      <c r="D15" s="22">
        <v>144802.57</v>
      </c>
      <c r="E15" s="22">
        <v>150293.06</v>
      </c>
      <c r="F15" s="22">
        <v>152838.98000000001</v>
      </c>
      <c r="G15" s="22">
        <v>179675.97</v>
      </c>
      <c r="I15" s="25"/>
      <c r="J15" s="25"/>
      <c r="K15" s="25"/>
      <c r="L15" s="25"/>
      <c r="M15" s="25"/>
    </row>
    <row r="16" spans="2:13" ht="14.25" customHeight="1" x14ac:dyDescent="0.35">
      <c r="B16" s="367" t="s">
        <v>69</v>
      </c>
      <c r="C16" s="367"/>
      <c r="D16" s="15"/>
      <c r="E16" s="15"/>
      <c r="F16" s="15"/>
      <c r="G16" s="16"/>
      <c r="J16" s="7"/>
      <c r="K16" s="7"/>
      <c r="L16" s="7"/>
      <c r="M16" s="7"/>
    </row>
    <row r="17" spans="2:13" ht="14.25" customHeight="1" x14ac:dyDescent="0.35">
      <c r="B17" s="11" t="s">
        <v>70</v>
      </c>
      <c r="C17" s="17">
        <v>12080.64</v>
      </c>
      <c r="D17" s="17">
        <v>16316.89</v>
      </c>
      <c r="E17" s="17">
        <v>11580.04</v>
      </c>
      <c r="F17" s="17">
        <v>11246.95</v>
      </c>
      <c r="G17" s="17">
        <v>11171.48</v>
      </c>
      <c r="I17" s="21"/>
      <c r="J17" s="21"/>
      <c r="K17" s="21"/>
      <c r="L17" s="21"/>
      <c r="M17" s="21"/>
    </row>
    <row r="18" spans="2:13" ht="14.25" customHeight="1" x14ac:dyDescent="0.35">
      <c r="B18" s="11" t="s">
        <v>71</v>
      </c>
      <c r="C18" s="12">
        <v>103.56</v>
      </c>
      <c r="D18" s="12">
        <v>469.74</v>
      </c>
      <c r="E18" s="12">
        <v>0</v>
      </c>
      <c r="F18" s="12">
        <v>0</v>
      </c>
      <c r="G18" s="12">
        <v>0</v>
      </c>
      <c r="I18" s="14"/>
      <c r="J18" s="14"/>
      <c r="K18" s="14"/>
      <c r="L18" s="14"/>
      <c r="M18" s="14"/>
    </row>
    <row r="19" spans="2:13" ht="14.25" customHeight="1" x14ac:dyDescent="0.35">
      <c r="B19" s="11" t="s">
        <v>72</v>
      </c>
      <c r="C19" s="17">
        <v>22627.72</v>
      </c>
      <c r="D19" s="17">
        <v>23289.21</v>
      </c>
      <c r="E19" s="17">
        <v>27597.85</v>
      </c>
      <c r="F19" s="17">
        <v>31811.5</v>
      </c>
      <c r="G19" s="12">
        <v>0</v>
      </c>
      <c r="I19" s="14"/>
      <c r="J19" s="21"/>
      <c r="K19" s="21"/>
      <c r="L19" s="21"/>
      <c r="M19" s="21"/>
    </row>
    <row r="20" spans="2:13" ht="15.75" customHeight="1" x14ac:dyDescent="0.35">
      <c r="B20" s="11" t="s">
        <v>73</v>
      </c>
      <c r="C20" s="17">
        <v>2308.4899999999998</v>
      </c>
      <c r="D20" s="12">
        <v>-678.12</v>
      </c>
      <c r="E20" s="17">
        <v>-1521.5</v>
      </c>
      <c r="F20" s="17">
        <v>-2303.35</v>
      </c>
      <c r="G20" s="17">
        <v>-2828.5</v>
      </c>
      <c r="I20" s="21"/>
      <c r="J20" s="21"/>
      <c r="K20" s="21"/>
      <c r="L20" s="14"/>
      <c r="M20" s="21"/>
    </row>
    <row r="21" spans="2:13" ht="14.25" customHeight="1" x14ac:dyDescent="0.35">
      <c r="B21" s="11" t="s">
        <v>74</v>
      </c>
      <c r="C21" s="17">
        <v>40700.82</v>
      </c>
      <c r="D21" s="17">
        <v>49409.16</v>
      </c>
      <c r="E21" s="17">
        <v>48782.58</v>
      </c>
      <c r="F21" s="17">
        <v>46249.13</v>
      </c>
      <c r="G21" s="17">
        <v>46424.59</v>
      </c>
      <c r="I21" s="21"/>
      <c r="J21" s="21"/>
      <c r="K21" s="21"/>
      <c r="L21" s="21"/>
      <c r="M21" s="21"/>
    </row>
    <row r="22" spans="2:13" ht="14.25" customHeight="1" x14ac:dyDescent="0.35">
      <c r="B22" s="11" t="s">
        <v>75</v>
      </c>
      <c r="C22" s="12">
        <v>541.49</v>
      </c>
      <c r="D22" s="12">
        <v>684.31</v>
      </c>
      <c r="E22" s="12">
        <v>819.37</v>
      </c>
      <c r="F22" s="12">
        <v>883.65</v>
      </c>
      <c r="G22" s="17">
        <v>1216.26</v>
      </c>
      <c r="I22" s="21"/>
      <c r="J22" s="14"/>
      <c r="K22" s="14"/>
      <c r="L22" s="14"/>
      <c r="M22" s="14"/>
    </row>
    <row r="23" spans="2:13" ht="14.25" customHeight="1" x14ac:dyDescent="0.35">
      <c r="B23" s="11" t="s">
        <v>76</v>
      </c>
      <c r="C23" s="12">
        <v>172.77</v>
      </c>
      <c r="D23" s="12">
        <v>374.93</v>
      </c>
      <c r="E23" s="17">
        <v>1189.79</v>
      </c>
      <c r="F23" s="12">
        <v>0</v>
      </c>
      <c r="G23" s="12">
        <v>0</v>
      </c>
      <c r="I23" s="14"/>
      <c r="J23" s="14"/>
      <c r="K23" s="21"/>
      <c r="L23" s="14"/>
      <c r="M23" s="14"/>
    </row>
    <row r="24" spans="2:13" ht="15.75" customHeight="1" x14ac:dyDescent="0.35">
      <c r="B24" s="11" t="s">
        <v>77</v>
      </c>
      <c r="C24" s="17">
        <v>4428.67</v>
      </c>
      <c r="D24" s="17">
        <v>4675.2700000000004</v>
      </c>
      <c r="E24" s="17">
        <v>6735.42</v>
      </c>
      <c r="F24" s="17">
        <v>9145.49</v>
      </c>
      <c r="G24" s="17">
        <v>10136.67</v>
      </c>
      <c r="I24" s="21"/>
      <c r="J24" s="21"/>
      <c r="K24" s="21"/>
      <c r="L24" s="21"/>
      <c r="M24" s="21"/>
    </row>
    <row r="25" spans="2:13" ht="14.25" customHeight="1" x14ac:dyDescent="0.35">
      <c r="B25" s="11" t="s">
        <v>78</v>
      </c>
      <c r="C25" s="17">
        <v>7028.99</v>
      </c>
      <c r="D25" s="17">
        <v>12252.23</v>
      </c>
      <c r="E25" s="17">
        <v>6723.73</v>
      </c>
      <c r="F25" s="17">
        <v>13407.2</v>
      </c>
      <c r="G25" s="17">
        <v>72390.73</v>
      </c>
      <c r="I25" s="21"/>
      <c r="J25" s="21"/>
      <c r="K25" s="21"/>
      <c r="L25" s="21"/>
      <c r="M25" s="21"/>
    </row>
    <row r="26" spans="2:13" ht="15.75" customHeight="1" x14ac:dyDescent="0.35">
      <c r="B26" s="11" t="s">
        <v>79</v>
      </c>
      <c r="C26" s="12">
        <v>0</v>
      </c>
      <c r="D26" s="12">
        <v>0</v>
      </c>
      <c r="E26" s="12">
        <v>0</v>
      </c>
      <c r="F26" s="17">
        <v>4105.5200000000004</v>
      </c>
      <c r="G26" s="12">
        <v>0</v>
      </c>
      <c r="I26" s="14"/>
      <c r="J26" s="21"/>
      <c r="K26" s="14"/>
      <c r="L26" s="14"/>
      <c r="M26" s="14"/>
    </row>
    <row r="27" spans="2:13" ht="14.25" customHeight="1" x14ac:dyDescent="0.35">
      <c r="B27" s="2" t="s">
        <v>80</v>
      </c>
      <c r="C27" s="22">
        <v>89993.15</v>
      </c>
      <c r="D27" s="22">
        <v>106793.62</v>
      </c>
      <c r="E27" s="22">
        <v>101907.28</v>
      </c>
      <c r="F27" s="22">
        <v>106335.05</v>
      </c>
      <c r="G27" s="22">
        <v>138511.23000000001</v>
      </c>
      <c r="I27" s="25"/>
      <c r="J27" s="25"/>
      <c r="K27" s="25"/>
      <c r="L27" s="25"/>
      <c r="M27" s="25"/>
    </row>
    <row r="28" spans="2:13" ht="15.75" customHeight="1" x14ac:dyDescent="0.35">
      <c r="B28" s="2" t="s">
        <v>81</v>
      </c>
      <c r="C28" s="22">
        <v>23624.87</v>
      </c>
      <c r="D28" s="22">
        <v>38008.949999999997</v>
      </c>
      <c r="E28" s="22">
        <v>48385.78</v>
      </c>
      <c r="F28" s="22">
        <v>46503.93</v>
      </c>
      <c r="G28" s="22">
        <v>41164.74</v>
      </c>
      <c r="I28" s="25"/>
      <c r="J28" s="25"/>
      <c r="K28" s="25"/>
      <c r="L28" s="25"/>
      <c r="M28" s="25"/>
    </row>
    <row r="29" spans="2:13" ht="14.25" customHeight="1" x14ac:dyDescent="0.35">
      <c r="B29" s="4" t="s">
        <v>82</v>
      </c>
      <c r="C29" s="33">
        <v>23624.87</v>
      </c>
      <c r="D29" s="33">
        <v>38008.949999999997</v>
      </c>
      <c r="E29" s="33">
        <v>48385.78</v>
      </c>
      <c r="F29" s="33">
        <v>46503.93</v>
      </c>
      <c r="G29" s="33">
        <v>41164.74</v>
      </c>
      <c r="I29" s="25"/>
      <c r="J29" s="25"/>
      <c r="K29" s="25"/>
      <c r="L29" s="25"/>
      <c r="M29" s="25"/>
    </row>
    <row r="30" spans="2:13" ht="14.25" customHeight="1" x14ac:dyDescent="0.35">
      <c r="B30" s="367" t="s">
        <v>83</v>
      </c>
      <c r="C30" s="367"/>
      <c r="D30" s="15"/>
      <c r="E30" s="15"/>
      <c r="F30" s="15"/>
      <c r="G30" s="16"/>
      <c r="J30" s="7"/>
      <c r="K30" s="7"/>
      <c r="L30" s="7"/>
      <c r="M30" s="7"/>
    </row>
    <row r="31" spans="2:13" ht="14.25" customHeight="1" x14ac:dyDescent="0.35">
      <c r="B31" s="11" t="s">
        <v>84</v>
      </c>
      <c r="C31" s="17">
        <v>6257.12</v>
      </c>
      <c r="D31" s="17">
        <v>9389.75</v>
      </c>
      <c r="E31" s="17">
        <v>11576.35</v>
      </c>
      <c r="F31" s="17">
        <v>11148.08</v>
      </c>
      <c r="G31" s="17">
        <v>10852.51</v>
      </c>
      <c r="I31" s="21"/>
      <c r="J31" s="21"/>
      <c r="K31" s="21"/>
      <c r="L31" s="21"/>
      <c r="M31" s="21"/>
    </row>
    <row r="32" spans="2:13" ht="14.25" customHeight="1" x14ac:dyDescent="0.35">
      <c r="B32" s="11" t="s">
        <v>85</v>
      </c>
      <c r="C32" s="12">
        <v>-19.260000000000002</v>
      </c>
      <c r="D32" s="12">
        <v>486.12</v>
      </c>
      <c r="E32" s="12">
        <v>-132.87</v>
      </c>
      <c r="F32" s="12">
        <v>516.01</v>
      </c>
      <c r="G32" s="12">
        <v>0</v>
      </c>
      <c r="I32" s="14"/>
      <c r="J32" s="14"/>
      <c r="K32" s="14"/>
      <c r="L32" s="14"/>
      <c r="M32" s="14"/>
    </row>
    <row r="33" spans="2:13" ht="14.25" customHeight="1" x14ac:dyDescent="0.35">
      <c r="B33" s="4" t="s">
        <v>86</v>
      </c>
      <c r="C33" s="33">
        <v>6237.86</v>
      </c>
      <c r="D33" s="33">
        <v>9875.8700000000008</v>
      </c>
      <c r="E33" s="33">
        <v>11443.48</v>
      </c>
      <c r="F33" s="33">
        <v>11664.09</v>
      </c>
      <c r="G33" s="33">
        <v>10852.51</v>
      </c>
      <c r="I33" s="25"/>
      <c r="J33" s="25"/>
      <c r="K33" s="25"/>
      <c r="L33" s="25"/>
      <c r="M33" s="25"/>
    </row>
    <row r="34" spans="2:13" ht="15.75" customHeight="1" x14ac:dyDescent="0.35">
      <c r="B34" s="4" t="s">
        <v>87</v>
      </c>
      <c r="C34" s="33">
        <v>17387.009999999998</v>
      </c>
      <c r="D34" s="33">
        <v>28133.08</v>
      </c>
      <c r="E34" s="33">
        <v>36942.300000000003</v>
      </c>
      <c r="F34" s="33">
        <v>34839.839999999997</v>
      </c>
      <c r="G34" s="33">
        <v>30312.23</v>
      </c>
      <c r="I34" s="25"/>
      <c r="J34" s="25"/>
      <c r="K34" s="25"/>
      <c r="L34" s="25"/>
      <c r="M34" s="25"/>
    </row>
    <row r="35" spans="2:13" ht="15.75" customHeight="1" x14ac:dyDescent="0.35">
      <c r="B35" s="4" t="s">
        <v>88</v>
      </c>
      <c r="C35" s="33">
        <v>17387.009999999998</v>
      </c>
      <c r="D35" s="33">
        <v>28133.08</v>
      </c>
      <c r="E35" s="33">
        <v>36942.300000000003</v>
      </c>
      <c r="F35" s="33">
        <v>34839.839999999997</v>
      </c>
      <c r="G35" s="33">
        <v>30312.23</v>
      </c>
      <c r="I35" s="25"/>
      <c r="J35" s="25"/>
      <c r="K35" s="25"/>
      <c r="L35" s="25"/>
      <c r="M35" s="25"/>
    </row>
    <row r="36" spans="2:13" ht="14.25" customHeight="1" x14ac:dyDescent="0.35">
      <c r="B36" s="2" t="s">
        <v>89</v>
      </c>
      <c r="C36" s="22">
        <v>17387.009999999998</v>
      </c>
      <c r="D36" s="22">
        <v>28133.08</v>
      </c>
      <c r="E36" s="22">
        <v>36942.300000000003</v>
      </c>
      <c r="F36" s="22">
        <v>34839.839999999997</v>
      </c>
      <c r="G36" s="22">
        <v>30312.23</v>
      </c>
      <c r="I36" s="25"/>
      <c r="J36" s="25"/>
      <c r="K36" s="25"/>
      <c r="L36" s="25"/>
      <c r="M36" s="25"/>
    </row>
    <row r="37" spans="2:13" ht="14.25" customHeight="1" x14ac:dyDescent="0.35">
      <c r="B37" s="11" t="s">
        <v>14</v>
      </c>
      <c r="C37" s="12">
        <v>-20.32</v>
      </c>
      <c r="D37" s="12">
        <v>40.25</v>
      </c>
      <c r="E37" s="12">
        <v>33.159999999999997</v>
      </c>
      <c r="F37" s="12">
        <v>56.06</v>
      </c>
      <c r="G37" s="12">
        <v>23.71</v>
      </c>
      <c r="I37" s="14"/>
      <c r="J37" s="14"/>
      <c r="K37" s="14"/>
      <c r="L37" s="14"/>
      <c r="M37" s="14"/>
    </row>
    <row r="38" spans="2:13" ht="14.25" customHeight="1" x14ac:dyDescent="0.35">
      <c r="B38" s="11" t="s">
        <v>90</v>
      </c>
      <c r="C38" s="12">
        <v>-8.59</v>
      </c>
      <c r="D38" s="12">
        <v>-8.14</v>
      </c>
      <c r="E38" s="12">
        <v>426.83</v>
      </c>
      <c r="F38" s="12">
        <v>462.26</v>
      </c>
      <c r="G38" s="12">
        <v>758.35</v>
      </c>
      <c r="I38" s="14"/>
      <c r="J38" s="14"/>
      <c r="K38" s="14"/>
      <c r="L38" s="14"/>
      <c r="M38" s="14"/>
    </row>
    <row r="39" spans="2:13" ht="15.75" customHeight="1" x14ac:dyDescent="0.35">
      <c r="B39" s="4" t="s">
        <v>91</v>
      </c>
      <c r="C39" s="33">
        <v>17358.099999999999</v>
      </c>
      <c r="D39" s="33">
        <v>28165.19</v>
      </c>
      <c r="E39" s="33">
        <v>37402.29</v>
      </c>
      <c r="F39" s="33">
        <v>35358.160000000003</v>
      </c>
      <c r="G39" s="33">
        <v>31094.29</v>
      </c>
      <c r="I39" s="25"/>
      <c r="J39" s="25"/>
      <c r="K39" s="25"/>
      <c r="L39" s="25"/>
      <c r="M39" s="25"/>
    </row>
    <row r="40" spans="2:13" ht="14.25" customHeight="1" x14ac:dyDescent="0.35">
      <c r="B40" s="367" t="s">
        <v>50</v>
      </c>
      <c r="C40" s="367"/>
      <c r="D40" s="15"/>
      <c r="E40" s="15"/>
      <c r="F40" s="15"/>
      <c r="G40" s="16"/>
      <c r="J40" s="7"/>
      <c r="K40" s="7"/>
      <c r="L40" s="7"/>
      <c r="M40" s="7"/>
    </row>
    <row r="41" spans="2:13" ht="14.25" customHeight="1" x14ac:dyDescent="0.35">
      <c r="B41" s="367" t="s">
        <v>92</v>
      </c>
      <c r="C41" s="367"/>
      <c r="D41" s="15"/>
      <c r="E41" s="15"/>
      <c r="F41" s="15"/>
      <c r="G41" s="16"/>
      <c r="J41" s="7"/>
      <c r="K41" s="7"/>
      <c r="L41" s="7"/>
      <c r="M41" s="7"/>
    </row>
    <row r="42" spans="2:13" ht="14.25" customHeight="1" x14ac:dyDescent="0.35">
      <c r="B42" s="11" t="s">
        <v>93</v>
      </c>
      <c r="C42" s="12">
        <v>28</v>
      </c>
      <c r="D42" s="12">
        <v>46</v>
      </c>
      <c r="E42" s="12">
        <v>61</v>
      </c>
      <c r="F42" s="12">
        <v>57</v>
      </c>
      <c r="G42" s="12">
        <v>50</v>
      </c>
      <c r="I42" s="14"/>
      <c r="J42" s="14"/>
      <c r="K42" s="14"/>
      <c r="L42" s="14"/>
      <c r="M42" s="14"/>
    </row>
    <row r="43" spans="2:13" ht="14.25" customHeight="1" x14ac:dyDescent="0.35">
      <c r="B43" s="11" t="s">
        <v>94</v>
      </c>
      <c r="C43" s="12">
        <v>28</v>
      </c>
      <c r="D43" s="12">
        <v>46</v>
      </c>
      <c r="E43" s="12">
        <v>61</v>
      </c>
      <c r="F43" s="12">
        <v>57</v>
      </c>
      <c r="G43" s="12">
        <v>50</v>
      </c>
      <c r="I43" s="14"/>
      <c r="J43" s="14"/>
      <c r="K43" s="14"/>
      <c r="L43" s="14"/>
      <c r="M43" s="14"/>
    </row>
    <row r="44" spans="2:13" ht="14.25" customHeight="1" x14ac:dyDescent="0.35">
      <c r="B44" s="367" t="s">
        <v>95</v>
      </c>
      <c r="C44" s="367"/>
      <c r="D44" s="15"/>
      <c r="E44" s="15"/>
      <c r="F44" s="15"/>
      <c r="G44" s="16"/>
      <c r="J44" s="7"/>
      <c r="K44" s="7"/>
      <c r="L44" s="7"/>
      <c r="M44" s="7"/>
    </row>
    <row r="45" spans="2:13" ht="14.25" customHeight="1" x14ac:dyDescent="0.35">
      <c r="B45" s="11" t="s">
        <v>96</v>
      </c>
      <c r="C45" s="17">
        <v>10784.79</v>
      </c>
      <c r="D45" s="17">
        <v>14328.39</v>
      </c>
      <c r="E45" s="17">
        <v>15098.72</v>
      </c>
      <c r="F45" s="17">
        <v>16238.84</v>
      </c>
      <c r="G45" s="12">
        <v>0</v>
      </c>
      <c r="I45" s="14"/>
      <c r="J45" s="21"/>
      <c r="K45" s="21"/>
      <c r="L45" s="21"/>
      <c r="M45" s="21"/>
    </row>
  </sheetData>
  <mergeCells count="8">
    <mergeCell ref="B2:G2"/>
    <mergeCell ref="B3:G3"/>
    <mergeCell ref="B44:C44"/>
    <mergeCell ref="B8:C8"/>
    <mergeCell ref="B16:C16"/>
    <mergeCell ref="B30:C30"/>
    <mergeCell ref="B40:C40"/>
    <mergeCell ref="B41:C41"/>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15"/>
  <sheetViews>
    <sheetView showGridLines="0" zoomScale="98" zoomScaleNormal="115" workbookViewId="0">
      <selection activeCell="I5" sqref="I5"/>
    </sheetView>
  </sheetViews>
  <sheetFormatPr defaultColWidth="8.6328125" defaultRowHeight="14.5" x14ac:dyDescent="0.35"/>
  <cols>
    <col min="1" max="1" width="3.54296875" customWidth="1"/>
    <col min="2" max="2" width="27.453125" customWidth="1"/>
    <col min="3" max="7" width="6" customWidth="1"/>
    <col min="9" max="13" width="6" customWidth="1"/>
  </cols>
  <sheetData>
    <row r="2" spans="2:13" ht="14.25" customHeight="1" x14ac:dyDescent="0.35">
      <c r="B2" s="429" t="s">
        <v>1</v>
      </c>
      <c r="C2" s="430"/>
      <c r="D2" s="430"/>
      <c r="E2" s="430"/>
      <c r="F2" s="430"/>
      <c r="G2" s="431"/>
      <c r="I2" s="1"/>
    </row>
    <row r="3" spans="2:13" ht="14.25" customHeight="1" x14ac:dyDescent="0.35">
      <c r="B3" s="432" t="s">
        <v>97</v>
      </c>
      <c r="C3" s="433"/>
      <c r="D3" s="433"/>
      <c r="E3" s="433"/>
      <c r="F3" s="433"/>
      <c r="G3" s="434"/>
      <c r="I3" s="3"/>
    </row>
    <row r="4" spans="2:13" ht="14.25" customHeight="1" x14ac:dyDescent="0.35">
      <c r="B4" s="4"/>
      <c r="C4" s="15" t="s">
        <v>98</v>
      </c>
      <c r="D4" s="15" t="s">
        <v>99</v>
      </c>
      <c r="E4" s="15" t="s">
        <v>100</v>
      </c>
      <c r="F4" s="15" t="s">
        <v>101</v>
      </c>
      <c r="G4" s="15" t="s">
        <v>102</v>
      </c>
      <c r="H4" s="16"/>
      <c r="I4" s="7"/>
      <c r="J4" s="7"/>
      <c r="K4" s="7"/>
      <c r="L4" s="7"/>
      <c r="M4" s="7"/>
    </row>
    <row r="5" spans="2:13" ht="14.25" customHeight="1" x14ac:dyDescent="0.35">
      <c r="B5" s="9"/>
      <c r="C5" s="9"/>
      <c r="D5" s="9"/>
      <c r="E5" s="9"/>
      <c r="F5" s="9"/>
      <c r="G5" s="9"/>
      <c r="H5" s="9"/>
      <c r="I5" s="10"/>
      <c r="J5" s="10"/>
      <c r="K5" s="10"/>
      <c r="L5" s="10"/>
    </row>
    <row r="6" spans="2:13" ht="14.25" customHeight="1" x14ac:dyDescent="0.35">
      <c r="B6" s="11"/>
      <c r="C6" s="12" t="s">
        <v>4</v>
      </c>
      <c r="D6" s="12" t="s">
        <v>4</v>
      </c>
      <c r="E6" s="12" t="s">
        <v>4</v>
      </c>
      <c r="F6" s="12" t="s">
        <v>4</v>
      </c>
      <c r="G6" s="12" t="s">
        <v>4</v>
      </c>
      <c r="H6" s="16"/>
      <c r="I6" s="14"/>
      <c r="J6" s="14"/>
      <c r="K6" s="14"/>
      <c r="L6" s="14"/>
      <c r="M6" s="14"/>
    </row>
    <row r="7" spans="2:13" ht="14.25" customHeight="1" x14ac:dyDescent="0.35">
      <c r="B7" s="9"/>
      <c r="C7" s="9"/>
      <c r="D7" s="9"/>
      <c r="E7" s="9"/>
      <c r="F7" s="9"/>
      <c r="G7" s="9"/>
      <c r="H7" s="9"/>
      <c r="I7" s="10"/>
      <c r="J7" s="10"/>
      <c r="K7" s="10"/>
      <c r="L7" s="10"/>
    </row>
    <row r="8" spans="2:13" ht="14.25" customHeight="1" x14ac:dyDescent="0.35">
      <c r="B8" s="4" t="s">
        <v>103</v>
      </c>
      <c r="C8" s="15">
        <v>11356.84</v>
      </c>
      <c r="D8" s="15">
        <v>15093.51</v>
      </c>
      <c r="E8" s="15">
        <v>16042.12</v>
      </c>
      <c r="F8" s="15">
        <v>17097.5</v>
      </c>
      <c r="G8" s="15">
        <v>19318.45</v>
      </c>
      <c r="H8" s="16"/>
      <c r="I8" s="7"/>
      <c r="J8" s="7"/>
      <c r="K8" s="7"/>
      <c r="L8" s="7"/>
      <c r="M8" s="7"/>
    </row>
    <row r="9" spans="2:13" ht="14.25" customHeight="1" x14ac:dyDescent="0.35">
      <c r="B9" s="11" t="s">
        <v>104</v>
      </c>
      <c r="C9" s="12">
        <v>2157.35</v>
      </c>
      <c r="D9" s="12">
        <v>1211.01</v>
      </c>
      <c r="E9" s="12">
        <v>401.37</v>
      </c>
      <c r="F9" s="12">
        <v>1171.48</v>
      </c>
      <c r="G9" s="12">
        <v>3243.35</v>
      </c>
      <c r="H9" s="16"/>
      <c r="I9" s="14"/>
      <c r="J9" s="14"/>
      <c r="K9" s="14"/>
      <c r="L9" s="14"/>
      <c r="M9" s="14"/>
    </row>
    <row r="10" spans="2:13" ht="14.25" customHeight="1" x14ac:dyDescent="0.35">
      <c r="B10" s="11" t="s">
        <v>105</v>
      </c>
      <c r="C10" s="373">
        <v>8884.9</v>
      </c>
      <c r="D10" s="373">
        <v>12652.83</v>
      </c>
      <c r="E10" s="373">
        <v>14572.64</v>
      </c>
      <c r="F10" s="373">
        <v>15735.19</v>
      </c>
      <c r="G10" s="373">
        <v>12122.19</v>
      </c>
      <c r="H10" s="16"/>
      <c r="I10" s="372"/>
      <c r="J10" s="372"/>
      <c r="K10" s="372"/>
      <c r="L10" s="372"/>
      <c r="M10" s="372"/>
    </row>
    <row r="11" spans="2:13" ht="14.25" customHeight="1" x14ac:dyDescent="0.35">
      <c r="B11" s="11" t="s">
        <v>106</v>
      </c>
      <c r="C11" s="373"/>
      <c r="D11" s="373"/>
      <c r="E11" s="373"/>
      <c r="F11" s="373"/>
      <c r="G11" s="373"/>
      <c r="H11" s="16"/>
      <c r="I11" s="372"/>
      <c r="J11" s="372"/>
      <c r="K11" s="372"/>
      <c r="L11" s="372"/>
      <c r="M11" s="372"/>
    </row>
    <row r="12" spans="2:13" ht="14.25" customHeight="1" x14ac:dyDescent="0.35">
      <c r="B12" s="11" t="s">
        <v>107</v>
      </c>
      <c r="C12" s="12">
        <v>-10783.37</v>
      </c>
      <c r="D12" s="12">
        <v>-14328.07</v>
      </c>
      <c r="E12" s="12">
        <v>-15097.85</v>
      </c>
      <c r="F12" s="12">
        <v>-16238.52</v>
      </c>
      <c r="G12" s="12">
        <v>-15437.88</v>
      </c>
      <c r="H12" s="16"/>
      <c r="I12" s="14"/>
      <c r="J12" s="14"/>
      <c r="K12" s="14"/>
      <c r="L12" s="14"/>
      <c r="M12" s="14"/>
    </row>
    <row r="13" spans="2:13" ht="15.75" customHeight="1" x14ac:dyDescent="0.35">
      <c r="B13" s="4" t="s">
        <v>108</v>
      </c>
      <c r="C13" s="15">
        <v>258.88</v>
      </c>
      <c r="D13" s="15">
        <v>-464.23</v>
      </c>
      <c r="E13" s="15">
        <v>-123.84</v>
      </c>
      <c r="F13" s="15">
        <v>668.15</v>
      </c>
      <c r="G13" s="15">
        <v>-72.34</v>
      </c>
      <c r="H13" s="16"/>
      <c r="I13" s="7"/>
      <c r="J13" s="7"/>
      <c r="K13" s="7"/>
      <c r="L13" s="7"/>
      <c r="M13" s="7"/>
    </row>
    <row r="14" spans="2:13" ht="14.25" customHeight="1" x14ac:dyDescent="0.35">
      <c r="B14" s="11" t="s">
        <v>109</v>
      </c>
      <c r="C14" s="12">
        <v>212.66</v>
      </c>
      <c r="D14" s="12">
        <v>631.32000000000005</v>
      </c>
      <c r="E14" s="12">
        <v>167.09</v>
      </c>
      <c r="F14" s="12">
        <v>43.25</v>
      </c>
      <c r="G14" s="12">
        <v>711.4</v>
      </c>
      <c r="H14" s="16"/>
      <c r="I14" s="14"/>
      <c r="J14" s="14"/>
      <c r="K14" s="14"/>
      <c r="L14" s="14"/>
      <c r="M14" s="14"/>
    </row>
    <row r="15" spans="2:13" ht="14.25" customHeight="1" x14ac:dyDescent="0.35">
      <c r="B15" s="11" t="s">
        <v>110</v>
      </c>
      <c r="C15" s="12">
        <v>471.54</v>
      </c>
      <c r="D15" s="12">
        <v>167.09</v>
      </c>
      <c r="E15" s="12">
        <v>43.25</v>
      </c>
      <c r="F15" s="12">
        <v>711.4</v>
      </c>
      <c r="G15" s="12">
        <v>639.05999999999995</v>
      </c>
      <c r="H15" s="16"/>
      <c r="I15" s="14"/>
      <c r="J15" s="14"/>
      <c r="K15" s="14"/>
      <c r="L15" s="14"/>
      <c r="M15" s="14"/>
    </row>
  </sheetData>
  <mergeCells count="12">
    <mergeCell ref="B2:G2"/>
    <mergeCell ref="B3:G3"/>
    <mergeCell ref="C10:C11"/>
    <mergeCell ref="D10:D11"/>
    <mergeCell ref="E10:E11"/>
    <mergeCell ref="F10:F11"/>
    <mergeCell ref="G10:G11"/>
    <mergeCell ref="I10:I11"/>
    <mergeCell ref="J10:J11"/>
    <mergeCell ref="K10:K11"/>
    <mergeCell ref="L10:L11"/>
    <mergeCell ref="M10:M11"/>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FC62-5C34-4E08-AF32-361A8FE080CF}">
  <dimension ref="B7:S27"/>
  <sheetViews>
    <sheetView showGridLines="0" zoomScale="76" workbookViewId="0">
      <selection activeCell="R21" sqref="R21"/>
    </sheetView>
  </sheetViews>
  <sheetFormatPr defaultRowHeight="14.5" x14ac:dyDescent="0.35"/>
  <cols>
    <col min="1" max="1" width="2.7265625" customWidth="1"/>
    <col min="2" max="2" width="16.36328125" bestFit="1" customWidth="1"/>
    <col min="18" max="18" width="42.08984375" bestFit="1" customWidth="1"/>
    <col min="19" max="19" width="18.26953125" bestFit="1" customWidth="1"/>
  </cols>
  <sheetData>
    <row r="7" spans="18:19" ht="31" x14ac:dyDescent="0.35">
      <c r="R7" s="239" t="s">
        <v>430</v>
      </c>
    </row>
    <row r="8" spans="18:19" x14ac:dyDescent="0.35">
      <c r="R8" s="278" t="s">
        <v>431</v>
      </c>
      <c r="S8" s="279" t="s">
        <v>432</v>
      </c>
    </row>
    <row r="9" spans="18:19" x14ac:dyDescent="0.35">
      <c r="R9" s="278" t="s">
        <v>433</v>
      </c>
      <c r="S9" s="279" t="s">
        <v>426</v>
      </c>
    </row>
    <row r="10" spans="18:19" x14ac:dyDescent="0.35">
      <c r="R10" s="278" t="s">
        <v>434</v>
      </c>
      <c r="S10" s="279" t="s">
        <v>435</v>
      </c>
    </row>
    <row r="11" spans="18:19" x14ac:dyDescent="0.35">
      <c r="R11" s="278" t="s">
        <v>436</v>
      </c>
      <c r="S11" s="279" t="s">
        <v>437</v>
      </c>
    </row>
    <row r="12" spans="18:19" x14ac:dyDescent="0.35">
      <c r="R12" s="278" t="s">
        <v>438</v>
      </c>
      <c r="S12" s="279" t="s">
        <v>439</v>
      </c>
    </row>
    <row r="23" spans="2:16" ht="18.5" x14ac:dyDescent="0.45">
      <c r="B23" s="277" t="s">
        <v>429</v>
      </c>
    </row>
    <row r="24" spans="2:16" x14ac:dyDescent="0.35">
      <c r="B24" s="371" t="s">
        <v>440</v>
      </c>
      <c r="C24" s="371"/>
      <c r="D24" s="371"/>
      <c r="E24" s="371"/>
      <c r="F24" s="371"/>
      <c r="G24" s="371"/>
      <c r="H24" s="371"/>
      <c r="I24" s="371"/>
      <c r="J24" s="371"/>
      <c r="K24" s="371"/>
      <c r="L24" s="371"/>
      <c r="M24" s="371"/>
      <c r="N24" s="371"/>
      <c r="O24" s="371"/>
      <c r="P24" s="371"/>
    </row>
    <row r="25" spans="2:16" x14ac:dyDescent="0.35">
      <c r="B25" s="371"/>
      <c r="C25" s="371"/>
      <c r="D25" s="371"/>
      <c r="E25" s="371"/>
      <c r="F25" s="371"/>
      <c r="G25" s="371"/>
      <c r="H25" s="371"/>
      <c r="I25" s="371"/>
      <c r="J25" s="371"/>
      <c r="K25" s="371"/>
      <c r="L25" s="371"/>
      <c r="M25" s="371"/>
      <c r="N25" s="371"/>
      <c r="O25" s="371"/>
      <c r="P25" s="371"/>
    </row>
    <row r="26" spans="2:16" x14ac:dyDescent="0.35">
      <c r="B26" s="371"/>
      <c r="C26" s="371"/>
      <c r="D26" s="371"/>
      <c r="E26" s="371"/>
      <c r="F26" s="371"/>
      <c r="G26" s="371"/>
      <c r="H26" s="371"/>
      <c r="I26" s="371"/>
      <c r="J26" s="371"/>
      <c r="K26" s="371"/>
      <c r="L26" s="371"/>
      <c r="M26" s="371"/>
      <c r="N26" s="371"/>
      <c r="O26" s="371"/>
      <c r="P26" s="371"/>
    </row>
    <row r="27" spans="2:16" s="280" customFormat="1" x14ac:dyDescent="0.35">
      <c r="B27" s="371"/>
      <c r="C27" s="371"/>
      <c r="D27" s="371"/>
      <c r="E27" s="371"/>
      <c r="F27" s="371"/>
      <c r="G27" s="371"/>
      <c r="H27" s="371"/>
      <c r="I27" s="371"/>
      <c r="J27" s="371"/>
      <c r="K27" s="371"/>
      <c r="L27" s="371"/>
      <c r="M27" s="371"/>
      <c r="N27" s="371"/>
      <c r="O27" s="371"/>
      <c r="P27" s="371"/>
    </row>
  </sheetData>
  <mergeCells count="1">
    <mergeCell ref="B24:P2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48"/>
  <sheetViews>
    <sheetView showGridLines="0" zoomScale="88" zoomScaleNormal="115" workbookViewId="0">
      <selection activeCell="I2" sqref="I2"/>
    </sheetView>
  </sheetViews>
  <sheetFormatPr defaultColWidth="8.7265625" defaultRowHeight="14.5" x14ac:dyDescent="0.35"/>
  <cols>
    <col min="1" max="1" width="2.7265625" customWidth="1"/>
    <col min="2" max="2" width="24.36328125" customWidth="1"/>
    <col min="3" max="3" width="10.26953125" customWidth="1"/>
    <col min="4" max="7" width="11.26953125" customWidth="1"/>
    <col min="8" max="8" width="7.81640625" customWidth="1"/>
  </cols>
  <sheetData>
    <row r="2" spans="2:8" ht="14.25" customHeight="1" x14ac:dyDescent="0.35">
      <c r="B2" s="382" t="s">
        <v>111</v>
      </c>
      <c r="C2" s="382"/>
      <c r="D2" s="382"/>
      <c r="E2" s="382"/>
      <c r="F2" s="382"/>
      <c r="G2" s="382"/>
      <c r="H2" s="382"/>
    </row>
    <row r="3" spans="2:8" ht="14.25" customHeight="1" x14ac:dyDescent="0.35">
      <c r="B3" s="382"/>
      <c r="C3" s="382"/>
      <c r="D3" s="382"/>
      <c r="E3" s="382"/>
      <c r="F3" s="382"/>
      <c r="G3" s="382"/>
      <c r="H3" s="382"/>
    </row>
    <row r="4" spans="2:8" ht="15" customHeight="1" x14ac:dyDescent="0.35">
      <c r="B4" s="34" t="s">
        <v>112</v>
      </c>
      <c r="C4" s="35" t="s">
        <v>113</v>
      </c>
      <c r="D4" s="35" t="s">
        <v>114</v>
      </c>
      <c r="E4" s="35" t="s">
        <v>115</v>
      </c>
      <c r="F4" s="35" t="s">
        <v>116</v>
      </c>
      <c r="G4" s="35" t="s">
        <v>117</v>
      </c>
      <c r="H4" s="36" t="s">
        <v>118</v>
      </c>
    </row>
    <row r="5" spans="2:8" ht="14.25" customHeight="1" x14ac:dyDescent="0.35">
      <c r="B5" s="374" t="s">
        <v>119</v>
      </c>
      <c r="C5" s="374"/>
      <c r="D5" s="374"/>
      <c r="E5" s="374"/>
      <c r="F5" s="374"/>
      <c r="G5" s="374"/>
      <c r="H5" s="374"/>
    </row>
    <row r="6" spans="2:8" ht="14.25" customHeight="1" x14ac:dyDescent="0.35">
      <c r="B6" s="38" t="s">
        <v>120</v>
      </c>
      <c r="C6" s="39"/>
      <c r="D6" s="40">
        <f>'Historical FS'!D6</f>
        <v>0.26011757896703691</v>
      </c>
      <c r="E6" s="40">
        <f>'Historical FS'!E6</f>
        <v>2.945398729030213E-2</v>
      </c>
      <c r="F6" s="40">
        <f>'Historical FS'!F6</f>
        <v>7.3419813020967339E-3</v>
      </c>
      <c r="G6" s="40">
        <f>'Historical FS'!G6</f>
        <v>0.17459411705131056</v>
      </c>
      <c r="H6" s="41"/>
    </row>
    <row r="7" spans="2:8" ht="14.25" customHeight="1" x14ac:dyDescent="0.35">
      <c r="B7" s="38" t="s">
        <v>121</v>
      </c>
      <c r="C7" s="39"/>
      <c r="D7" s="40">
        <f>IFERROR('Historical FS'!D17/'Historical FS'!C17-1,0)</f>
        <v>0.49117494940363704</v>
      </c>
      <c r="E7" s="40">
        <f>IFERROR('Historical FS'!E17/'Historical FS'!D17-1,0)</f>
        <v>0.30294039280382079</v>
      </c>
      <c r="F7" s="40">
        <f>IFERROR('Historical FS'!F17/'Historical FS'!E17-1,0)</f>
        <v>-1.893791499909625E-2</v>
      </c>
      <c r="G7" s="40">
        <f>IFERROR('Historical FS'!G17/'Historical FS'!F17-1,0)</f>
        <v>-0.12368567161343913</v>
      </c>
      <c r="H7" s="41"/>
    </row>
    <row r="8" spans="2:8" ht="14.25" customHeight="1" x14ac:dyDescent="0.35">
      <c r="B8" s="38" t="s">
        <v>122</v>
      </c>
      <c r="C8" s="39"/>
      <c r="D8" s="40">
        <f>IFERROR('Historical FS'!D23/'Historical FS'!C23-1,0)</f>
        <v>0.58636135711268023</v>
      </c>
      <c r="E8" s="40">
        <f>IFERROR('Historical FS'!E23/'Historical FS'!D23-1,0)</f>
        <v>0.28291021883730672</v>
      </c>
      <c r="F8" s="40">
        <f>IFERROR('Historical FS'!F23/'Historical FS'!E23-1,0)</f>
        <v>-8.0476873766098356E-2</v>
      </c>
      <c r="G8" s="40">
        <f>IFERROR('Historical FS'!G23/'Historical FS'!F23-1,0)</f>
        <v>-0.17965837428186238</v>
      </c>
      <c r="H8" s="41"/>
    </row>
    <row r="9" spans="2:8" ht="14.25" customHeight="1" x14ac:dyDescent="0.35">
      <c r="B9" s="38" t="s">
        <v>123</v>
      </c>
      <c r="C9" s="39"/>
      <c r="D9" s="40">
        <f>IFERROR('Historical FS'!D37/'Historical FS'!C37-1,0)</f>
        <v>0.61805163740056468</v>
      </c>
      <c r="E9" s="40">
        <f>IFERROR('Historical FS'!E37/'Historical FS'!D37-1,0)</f>
        <v>0.31312675327408201</v>
      </c>
      <c r="F9" s="40">
        <f>IFERROR('Historical FS'!F37/'Historical FS'!E37-1,0)</f>
        <v>-5.6911995192502673E-2</v>
      </c>
      <c r="G9" s="40">
        <f>IFERROR('Historical FS'!G37/'Historical FS'!F37-1,0)</f>
        <v>-0.1299549596094588</v>
      </c>
      <c r="H9" s="41"/>
    </row>
    <row r="10" spans="2:8" ht="14.25" customHeight="1" x14ac:dyDescent="0.35">
      <c r="B10" s="38" t="s">
        <v>124</v>
      </c>
      <c r="C10" s="39"/>
      <c r="D10" s="40">
        <f>IFERROR('Historical FS'!D45/'Historical FS'!C45-1,0)</f>
        <v>0.32857385262021777</v>
      </c>
      <c r="E10" s="40">
        <f>IFERROR('Historical FS'!E45/'Historical FS'!D45-1,0)</f>
        <v>5.3762495297796864E-2</v>
      </c>
      <c r="F10" s="40">
        <f>IFERROR('Historical FS'!F45/'Historical FS'!E45-1,0)</f>
        <v>7.5511036697150535E-2</v>
      </c>
      <c r="G10" s="40">
        <f>IFERROR('Historical FS'!G45/'Historical FS'!F45-1,0)</f>
        <v>-1</v>
      </c>
      <c r="H10" s="41"/>
    </row>
    <row r="11" spans="2:8" ht="14.25" customHeight="1" x14ac:dyDescent="0.35">
      <c r="B11" s="42"/>
      <c r="H11" s="43"/>
    </row>
    <row r="12" spans="2:8" ht="14.25" customHeight="1" x14ac:dyDescent="0.35">
      <c r="B12" s="374" t="s">
        <v>125</v>
      </c>
      <c r="C12" s="374"/>
      <c r="D12" s="374"/>
      <c r="E12" s="374"/>
      <c r="F12" s="374"/>
      <c r="G12" s="374"/>
      <c r="H12" s="374"/>
    </row>
    <row r="13" spans="2:8" ht="14.25" customHeight="1" x14ac:dyDescent="0.35">
      <c r="B13" s="38" t="s">
        <v>126</v>
      </c>
      <c r="C13" s="40">
        <f>'Historical FS'!C12</f>
        <v>0.66166050668331611</v>
      </c>
      <c r="D13" s="40">
        <f>'Historical FS'!D12</f>
        <v>0.71502947047892507</v>
      </c>
      <c r="E13" s="40">
        <f>'Historical FS'!E12</f>
        <v>0.73541781223375013</v>
      </c>
      <c r="F13" s="40">
        <f>'Historical FS'!F12</f>
        <v>0.71573267065135171</v>
      </c>
      <c r="G13" s="40">
        <f>'Historical FS'!G12</f>
        <v>0.95045744873717253</v>
      </c>
      <c r="H13" s="41"/>
    </row>
    <row r="14" spans="2:8" ht="14.25" customHeight="1" x14ac:dyDescent="0.35">
      <c r="B14" s="38" t="s">
        <v>127</v>
      </c>
      <c r="C14" s="40">
        <f>'Historical FS'!C18</f>
        <v>0.22504532259020085</v>
      </c>
      <c r="D14" s="40">
        <f>'Historical FS'!D18</f>
        <v>0.26631002783252683</v>
      </c>
      <c r="E14" s="40">
        <f>'Historical FS'!E18</f>
        <v>0.33705837905882058</v>
      </c>
      <c r="F14" s="40">
        <f>'Historical FS'!F18</f>
        <v>0.32826508004663774</v>
      </c>
      <c r="G14" s="40">
        <f>'Historical FS'!G18</f>
        <v>0.24490450699342622</v>
      </c>
      <c r="H14" s="41"/>
    </row>
    <row r="15" spans="2:8" ht="14.25" customHeight="1" x14ac:dyDescent="0.35">
      <c r="B15" s="38" t="s">
        <v>128</v>
      </c>
      <c r="C15" s="40">
        <f>'Historical FS'!C24</f>
        <v>0.18467955174158152</v>
      </c>
      <c r="D15" s="40">
        <f>'Historical FS'!D24</f>
        <v>0.2324929905127531</v>
      </c>
      <c r="E15" s="40">
        <f>'Historical FS'!E24</f>
        <v>0.2897338171684069</v>
      </c>
      <c r="F15" s="40">
        <f>'Historical FS'!F24</f>
        <v>0.2644751735592345</v>
      </c>
      <c r="G15" s="40">
        <f>'Historical FS'!G24</f>
        <v>0.18471060827745608</v>
      </c>
      <c r="H15" s="41"/>
    </row>
    <row r="16" spans="2:8" ht="14.25" customHeight="1" x14ac:dyDescent="0.35">
      <c r="B16" s="38" t="s">
        <v>129</v>
      </c>
      <c r="C16" s="40">
        <f>'Historical FS'!C32</f>
        <v>0.21533238844809438</v>
      </c>
      <c r="D16" s="40">
        <f>'Historical FS'!D32</f>
        <v>0.27492531567918299</v>
      </c>
      <c r="E16" s="40">
        <f>'Historical FS'!E32</f>
        <v>0.33996927292224405</v>
      </c>
      <c r="F16" s="40">
        <f>'Historical FS'!F32</f>
        <v>0.32436549009366888</v>
      </c>
      <c r="G16" s="40">
        <f>'Historical FS'!G32</f>
        <v>0.24444577856724595</v>
      </c>
      <c r="H16" s="41"/>
    </row>
    <row r="17" spans="2:8" ht="14.25" customHeight="1" x14ac:dyDescent="0.35">
      <c r="B17" s="38" t="s">
        <v>130</v>
      </c>
      <c r="C17" s="40">
        <f>'Historical FS'!C38</f>
        <v>0.15847648648525481</v>
      </c>
      <c r="D17" s="40">
        <f>'Historical FS'!D38</f>
        <v>0.20349143820146856</v>
      </c>
      <c r="E17" s="40">
        <f>'Historical FS'!E38</f>
        <v>0.25956483229319471</v>
      </c>
      <c r="F17" s="40">
        <f>'Historical FS'!F38</f>
        <v>0.24300831728382977</v>
      </c>
      <c r="G17" s="40">
        <f>'Historical FS'!G38</f>
        <v>0.18000105581765924</v>
      </c>
      <c r="H17" s="41"/>
    </row>
    <row r="18" spans="2:8" ht="14.25" customHeight="1" x14ac:dyDescent="0.35">
      <c r="B18" s="42"/>
      <c r="H18" s="43"/>
    </row>
    <row r="19" spans="2:8" ht="14.25" customHeight="1" x14ac:dyDescent="0.35">
      <c r="B19" s="374" t="s">
        <v>131</v>
      </c>
      <c r="C19" s="374"/>
      <c r="D19" s="374"/>
      <c r="E19" s="374"/>
      <c r="F19" s="374"/>
      <c r="G19" s="374"/>
      <c r="H19" s="374"/>
    </row>
    <row r="20" spans="2:8" ht="14.25" customHeight="1" x14ac:dyDescent="0.35">
      <c r="B20" s="38" t="s">
        <v>132</v>
      </c>
      <c r="C20" s="40">
        <f>'Historical FS'!C15</f>
        <v>0.43661518409311523</v>
      </c>
      <c r="D20" s="40">
        <f>'Historical FS'!D15</f>
        <v>0.44871944264639818</v>
      </c>
      <c r="E20" s="40">
        <f>'Historical FS'!E15</f>
        <v>0.3983594331749295</v>
      </c>
      <c r="F20" s="40">
        <f>'Historical FS'!F15</f>
        <v>0.38746759060471397</v>
      </c>
      <c r="G20" s="40">
        <f>'Historical FS'!G15</f>
        <v>0.70555294174374628</v>
      </c>
      <c r="H20" s="41"/>
    </row>
    <row r="21" spans="2:8" ht="14.25" customHeight="1" x14ac:dyDescent="0.35">
      <c r="B21" s="38" t="s">
        <v>133</v>
      </c>
      <c r="C21" s="40">
        <f>'Historical FS'!C21</f>
        <v>4.0365770848619358E-2</v>
      </c>
      <c r="D21" s="40">
        <f>'Historical FS'!D21</f>
        <v>3.3817037319773743E-2</v>
      </c>
      <c r="E21" s="40">
        <f>'Historical FS'!E21</f>
        <v>4.7324561890413688E-2</v>
      </c>
      <c r="F21" s="40">
        <f>'Historical FS'!F21</f>
        <v>6.3789906487403264E-2</v>
      </c>
      <c r="G21" s="40">
        <f>'Historical FS'!G21</f>
        <v>6.019389871597014E-2</v>
      </c>
      <c r="H21" s="41"/>
    </row>
    <row r="22" spans="2:8" ht="14.25" customHeight="1" x14ac:dyDescent="0.35">
      <c r="B22" s="38" t="s">
        <v>134</v>
      </c>
      <c r="C22" s="40">
        <f>'Historical FS'!C24</f>
        <v>0.18467955174158152</v>
      </c>
      <c r="D22" s="40">
        <f>'Historical FS'!D24</f>
        <v>0.2324929905127531</v>
      </c>
      <c r="E22" s="40">
        <f>'Historical FS'!E24</f>
        <v>0.2897338171684069</v>
      </c>
      <c r="F22" s="40">
        <f>'Historical FS'!F24</f>
        <v>0.2644751735592345</v>
      </c>
      <c r="G22" s="40">
        <f>'Historical FS'!G24</f>
        <v>0.18471060827745608</v>
      </c>
      <c r="H22" s="41"/>
    </row>
    <row r="23" spans="2:8" ht="14.25" customHeight="1" x14ac:dyDescent="0.35">
      <c r="B23" s="42"/>
      <c r="H23" s="43"/>
    </row>
    <row r="24" spans="2:8" ht="14.25" customHeight="1" x14ac:dyDescent="0.35">
      <c r="B24" s="374" t="s">
        <v>135</v>
      </c>
      <c r="C24" s="374"/>
      <c r="D24" s="374"/>
      <c r="E24" s="374"/>
      <c r="F24" s="374"/>
      <c r="G24" s="374"/>
      <c r="H24" s="374"/>
    </row>
    <row r="25" spans="2:8" ht="14.25" customHeight="1" x14ac:dyDescent="0.35">
      <c r="B25" s="38" t="s">
        <v>136</v>
      </c>
      <c r="C25" s="40">
        <f>IFERROR('Historical FS'!C23/('Historical FS'!C68-'Balance Sheet '!C27),0)</f>
        <v>0.16494408284683593</v>
      </c>
      <c r="D25" s="40">
        <f>IFERROR('Historical FS'!D23/('Historical FS'!D68-'Balance Sheet '!D27),0)</f>
        <v>0.22560641911348056</v>
      </c>
      <c r="E25" s="40">
        <f>IFERROR('Historical FS'!E23/('Historical FS'!E68-'Balance Sheet '!E27),0)</f>
        <v>0.23376494021645844</v>
      </c>
      <c r="F25" s="40">
        <f>IFERROR('Historical FS'!F23/('Historical FS'!F68-'Balance Sheet '!F27),0)</f>
        <v>0.19399445565238183</v>
      </c>
      <c r="G25" s="40">
        <f>IFERROR('Historical FS'!G23/('Historical FS'!G68-'Balance Sheet '!G27),0)</f>
        <v>0.14267895899420008</v>
      </c>
      <c r="H25" s="41"/>
    </row>
    <row r="26" spans="2:8" ht="14.25" customHeight="1" x14ac:dyDescent="0.35">
      <c r="B26" s="38" t="s">
        <v>137</v>
      </c>
      <c r="C26" s="40">
        <f>'Historical FS'!C48</f>
        <v>0.37972141270983339</v>
      </c>
      <c r="D26" s="40">
        <f>'Historical FS'!D48</f>
        <v>0.4906924517329776</v>
      </c>
      <c r="E26" s="40">
        <f>'Historical FS'!E48</f>
        <v>0.59128911843604759</v>
      </c>
      <c r="F26" s="40">
        <f>'Historical FS'!F48</f>
        <v>0.53390027049492783</v>
      </c>
      <c r="G26" s="40">
        <f>'Historical FS'!G48</f>
        <v>1</v>
      </c>
      <c r="H26" s="41"/>
    </row>
    <row r="27" spans="2:8" ht="14.25" customHeight="1" x14ac:dyDescent="0.35">
      <c r="B27" s="38" t="s">
        <v>138</v>
      </c>
      <c r="C27" s="40">
        <f>IFERROR('Historical FS'!C37/('Balance Sheet '!C14+'Balance Sheet '!C15),0)</f>
        <v>0.39681122527576734</v>
      </c>
      <c r="D27" s="40">
        <f>IFERROR('Historical FS'!D37/('Balance Sheet '!D14+'Balance Sheet '!D15),0)</f>
        <v>0.48492292672467052</v>
      </c>
      <c r="E27" s="40">
        <f>IFERROR('Historical FS'!E37/('Balance Sheet '!E14+'Balance Sheet '!E15),0)</f>
        <v>0.44198923451129973</v>
      </c>
      <c r="F27" s="40">
        <f>IFERROR('Historical FS'!F37/('Balance Sheet '!F14+'Balance Sheet '!F15),0)</f>
        <v>0.34857028000507062</v>
      </c>
      <c r="G27" s="40">
        <f>IFERROR('Historical FS'!G37/('Balance Sheet '!G14+'Balance Sheet '!G15),0)</f>
        <v>0.25050483630494291</v>
      </c>
      <c r="H27" s="41"/>
    </row>
    <row r="28" spans="2:8" ht="14.25" customHeight="1" x14ac:dyDescent="0.35">
      <c r="B28" s="38" t="s">
        <v>139</v>
      </c>
      <c r="C28" s="40">
        <f>IFERROR(C27*C26,0)</f>
        <v>0.15067771904083432</v>
      </c>
      <c r="D28" s="40">
        <f>IFERROR(D27*D26,0)</f>
        <v>0.23794801981605962</v>
      </c>
      <c r="E28" s="40">
        <f>IFERROR(E27*E26,0)</f>
        <v>0.26134342483240991</v>
      </c>
      <c r="F28" s="40">
        <f>IFERROR(F27*F26,0)</f>
        <v>0.18610176678119994</v>
      </c>
      <c r="G28" s="40">
        <f>IFERROR(G27*G26,0)</f>
        <v>0.25050483630494291</v>
      </c>
      <c r="H28" s="41"/>
    </row>
    <row r="29" spans="2:8" ht="14.25" customHeight="1" x14ac:dyDescent="0.35">
      <c r="B29" s="38" t="s">
        <v>140</v>
      </c>
      <c r="C29" s="44">
        <f>IFERROR('Historical FS'!C23/'Historical FS'!C26,0)</f>
        <v>37.418678091931525</v>
      </c>
      <c r="D29" s="44">
        <f>IFERROR('Historical FS'!D23/'Historical FS'!D26,0)</f>
        <v>46.970817319635835</v>
      </c>
      <c r="E29" s="44">
        <f>IFERROR('Historical FS'!E23/'Historical FS'!E26,0)</f>
        <v>50.326555768456259</v>
      </c>
      <c r="F29" s="44">
        <f>IFERROR('Historical FS'!F23/'Historical FS'!F26,0)</f>
        <v>42.910111469473222</v>
      </c>
      <c r="G29" s="44">
        <f>IFERROR('Historical FS'!G23/'Historical FS'!G26,0)</f>
        <v>25.574564649005975</v>
      </c>
      <c r="H29" s="41"/>
    </row>
    <row r="30" spans="2:8" ht="14.25" customHeight="1" x14ac:dyDescent="0.35">
      <c r="B30" s="42"/>
      <c r="H30" s="43"/>
    </row>
    <row r="31" spans="2:8" ht="14.25" customHeight="1" x14ac:dyDescent="0.35">
      <c r="B31" s="374" t="s">
        <v>141</v>
      </c>
      <c r="C31" s="374"/>
      <c r="D31" s="374"/>
      <c r="E31" s="374"/>
      <c r="F31" s="374"/>
      <c r="G31" s="374"/>
      <c r="H31" s="374"/>
    </row>
    <row r="32" spans="2:8" ht="14.25" customHeight="1" x14ac:dyDescent="0.35">
      <c r="B32" s="38" t="s">
        <v>142</v>
      </c>
      <c r="C32" s="44">
        <f>IFERROR('Historical FS'!C5/'Historical FS'!C63,0)</f>
        <v>9.6513536623128022</v>
      </c>
      <c r="D32" s="44">
        <f>IFERROR('Historical FS'!D5/'Historical FS'!D63,0)</f>
        <v>10.585515233743324</v>
      </c>
      <c r="E32" s="44">
        <f>IFERROR('Historical FS'!E5/'Historical FS'!E63,0)</f>
        <v>10.736773098466704</v>
      </c>
      <c r="F32" s="44">
        <f>IFERROR('Historical FS'!F5/'Historical FS'!F63,0)</f>
        <v>11.264304997281526</v>
      </c>
      <c r="G32" s="44">
        <f>IFERROR('Historical FS'!G5/'Historical FS'!G63,0)</f>
        <v>11.925867828468924</v>
      </c>
      <c r="H32" s="41"/>
    </row>
    <row r="33" spans="2:8" ht="14.25" customHeight="1" x14ac:dyDescent="0.35">
      <c r="B33" s="38" t="s">
        <v>143</v>
      </c>
      <c r="C33" s="44">
        <f>IFERROR('Historical FS'!C8/'Balance Sheet '!C24,0)</f>
        <v>4.3204562965997724</v>
      </c>
      <c r="D33" s="44">
        <f>IFERROR('Historical FS'!D8/'Balance Sheet '!D24,0)</f>
        <v>4.6083624394386353</v>
      </c>
      <c r="E33" s="44">
        <f>IFERROR('Historical FS'!E8/'Balance Sheet '!E24,0)</f>
        <v>4.4905749703362297</v>
      </c>
      <c r="F33" s="44">
        <f>IFERROR('Historical FS'!F8/'Balance Sheet '!F24,0)</f>
        <v>3.9933938424183517</v>
      </c>
      <c r="G33" s="44">
        <f>IFERROR('Historical FS'!G8/'Balance Sheet '!G24,0)</f>
        <v>0.66454682386002029</v>
      </c>
      <c r="H33" s="41"/>
    </row>
    <row r="34" spans="2:8" ht="14.25" customHeight="1" x14ac:dyDescent="0.35">
      <c r="B34" s="38" t="s">
        <v>144</v>
      </c>
      <c r="C34" s="44">
        <f>IFERROR('Historical FS'!C5/'Historical FS'!C64,0)</f>
        <v>15.505718178323496</v>
      </c>
      <c r="D34" s="44">
        <f>IFERROR('Historical FS'!D5/'Historical FS'!D64,0)</f>
        <v>16.953689169899985</v>
      </c>
      <c r="E34" s="44">
        <f>IFERROR('Historical FS'!E5/'Historical FS'!E64,0)</f>
        <v>13.984549823478492</v>
      </c>
      <c r="F34" s="44">
        <f>IFERROR('Historical FS'!F5/'Historical FS'!F64,0)</f>
        <v>11.366127306024403</v>
      </c>
      <c r="G34" s="44">
        <f>IFERROR('Historical FS'!G5/'Historical FS'!G64,0)</f>
        <v>10.757446196891589</v>
      </c>
      <c r="H34" s="41"/>
    </row>
    <row r="35" spans="2:8" ht="14.25" customHeight="1" x14ac:dyDescent="0.35">
      <c r="B35" s="38" t="s">
        <v>145</v>
      </c>
      <c r="C35" s="44">
        <f>IFERROR('Historical FS'!C5/'Historical FS'!C57,0)</f>
        <v>2.5631953155134135</v>
      </c>
      <c r="D35" s="44">
        <f>IFERROR('Historical FS'!D5/'Historical FS'!D57,0)</f>
        <v>2.9392736384494627</v>
      </c>
      <c r="E35" s="44">
        <f>IFERROR('Historical FS'!E5/'Historical FS'!E57,0)</f>
        <v>2.0153888591988909</v>
      </c>
      <c r="F35" s="44">
        <f>IFERROR('Historical FS'!F5/'Historical FS'!F57,0)</f>
        <v>1.8097625667541954</v>
      </c>
      <c r="G35" s="44">
        <f>IFERROR('Historical FS'!G5/'Historical FS'!G57,0)</f>
        <v>1.8335052695220886</v>
      </c>
      <c r="H35" s="41"/>
    </row>
    <row r="36" spans="2:8" ht="14.25" customHeight="1" x14ac:dyDescent="0.35">
      <c r="B36" s="38" t="s">
        <v>146</v>
      </c>
      <c r="C36" s="44">
        <f>IFERROR('Historical FS'!C5/'Historical FS'!C68,0)</f>
        <v>0.60869658810675553</v>
      </c>
      <c r="D36" s="44">
        <f>IFERROR('Historical FS'!D5/'Historical FS'!D68,0)</f>
        <v>0.65458123596013673</v>
      </c>
      <c r="E36" s="44">
        <f>IFERROR('Historical FS'!E5/'Historical FS'!E68,0)</f>
        <v>0.59882453257271173</v>
      </c>
      <c r="F36" s="44">
        <f>IFERROR('Historical FS'!F5/'Historical FS'!F68,0)</f>
        <v>0.55099853238896157</v>
      </c>
      <c r="G36" s="44">
        <f>IFERROR('Historical FS'!G5/'Historical FS'!G68,0)</f>
        <v>0.58951246527912338</v>
      </c>
      <c r="H36" s="41"/>
    </row>
    <row r="37" spans="2:8" ht="14.25" customHeight="1" x14ac:dyDescent="0.35">
      <c r="B37" s="42"/>
      <c r="H37" s="43"/>
    </row>
    <row r="38" spans="2:8" ht="14.25" customHeight="1" x14ac:dyDescent="0.35">
      <c r="B38" s="374" t="s">
        <v>147</v>
      </c>
      <c r="C38" s="374"/>
      <c r="D38" s="374"/>
      <c r="E38" s="374"/>
      <c r="F38" s="374"/>
      <c r="G38" s="374"/>
      <c r="H38" s="374"/>
    </row>
    <row r="39" spans="2:8" ht="14.25" customHeight="1" x14ac:dyDescent="0.35">
      <c r="B39" s="38" t="s">
        <v>148</v>
      </c>
      <c r="C39" s="45">
        <f>IFERROR('Historical FS'!C63/'Historical FS'!C5*365,0)</f>
        <v>37.818529169154203</v>
      </c>
      <c r="D39" s="45">
        <f>IFERROR('Historical FS'!D63/'Historical FS'!D5*365,0)</f>
        <v>34.481080225220758</v>
      </c>
      <c r="E39" s="45">
        <f>IFERROR('Historical FS'!E63/'Historical FS'!E5*365,0)</f>
        <v>33.995316530636643</v>
      </c>
      <c r="F39" s="45">
        <f>IFERROR('Historical FS'!F63/'Historical FS'!F5*365,0)</f>
        <v>32.403241929980361</v>
      </c>
      <c r="G39" s="45">
        <f>IFERROR('Historical FS'!G63/'Historical FS'!G5*365,0)</f>
        <v>30.605739158762731</v>
      </c>
      <c r="H39" s="41"/>
    </row>
    <row r="40" spans="2:8" ht="14.25" customHeight="1" x14ac:dyDescent="0.35">
      <c r="B40" s="38" t="s">
        <v>149</v>
      </c>
      <c r="C40" s="45">
        <f>IFERROR('Balance Sheet '!C24/'Historical FS'!C8*365,0)</f>
        <v>84.481817415271024</v>
      </c>
      <c r="D40" s="45">
        <f>IFERROR('Balance Sheet '!D24/'Historical FS'!D8*365,0)</f>
        <v>79.203839714582486</v>
      </c>
      <c r="E40" s="45">
        <f>IFERROR('Balance Sheet '!E24/'Historical FS'!E8*365,0)</f>
        <v>81.281350920786622</v>
      </c>
      <c r="F40" s="45">
        <f>IFERROR('Balance Sheet '!F24/'Historical FS'!F8*365,0)</f>
        <v>91.40095227345779</v>
      </c>
      <c r="G40" s="45">
        <f>IFERROR('Balance Sheet '!G24/'Historical FS'!G8*365,0)</f>
        <v>549.24647428137189</v>
      </c>
      <c r="H40" s="41"/>
    </row>
    <row r="41" spans="2:8" ht="14.25" customHeight="1" x14ac:dyDescent="0.35">
      <c r="B41" s="38" t="s">
        <v>150</v>
      </c>
      <c r="C41" s="45">
        <f>IFERROR('Historical FS'!C64/'Historical FS'!C8*365,0)</f>
        <v>69.574209983133287</v>
      </c>
      <c r="D41" s="45">
        <f>IFERROR('Historical FS'!D64/'Historical FS'!D8*365,0)</f>
        <v>75.548996236330439</v>
      </c>
      <c r="E41" s="45">
        <f>IFERROR('Historical FS'!E64/'Historical FS'!E8*365,0)</f>
        <v>98.646974656890904</v>
      </c>
      <c r="F41" s="45">
        <f>IFERROR('Historical FS'!F64/'Historical FS'!F8*365,0)</f>
        <v>112.9674691020265</v>
      </c>
      <c r="G41" s="45">
        <f>IFERROR('Historical FS'!G64/'Historical FS'!G8*365,0)</f>
        <v>684.86553965129963</v>
      </c>
      <c r="H41" s="41"/>
    </row>
    <row r="42" spans="2:8" ht="14.25" customHeight="1" x14ac:dyDescent="0.35">
      <c r="B42" s="38" t="s">
        <v>151</v>
      </c>
      <c r="C42" s="45">
        <f>C39+C41-C40</f>
        <v>22.910921737016466</v>
      </c>
      <c r="D42" s="45">
        <f>D39+D41-D40</f>
        <v>30.826236746968718</v>
      </c>
      <c r="E42" s="45">
        <f>E39+E41-E40</f>
        <v>51.360940266740926</v>
      </c>
      <c r="F42" s="45">
        <f>F39+F41-F40</f>
        <v>53.969758758549062</v>
      </c>
      <c r="G42" s="45">
        <f>G39+G41-G40</f>
        <v>166.22480452869047</v>
      </c>
      <c r="H42" s="41"/>
    </row>
    <row r="43" spans="2:8" ht="14.25" customHeight="1" x14ac:dyDescent="0.35">
      <c r="B43" s="42"/>
      <c r="H43" s="43"/>
    </row>
    <row r="44" spans="2:8" ht="14.25" customHeight="1" x14ac:dyDescent="0.35">
      <c r="B44" s="374" t="s">
        <v>152</v>
      </c>
      <c r="C44" s="374"/>
      <c r="D44" s="374"/>
      <c r="E44" s="374"/>
      <c r="F44" s="374"/>
      <c r="G44" s="374"/>
      <c r="H44" s="374"/>
    </row>
    <row r="45" spans="2:8" ht="14.25" customHeight="1" x14ac:dyDescent="0.35">
      <c r="B45" s="38" t="s">
        <v>153</v>
      </c>
      <c r="C45" s="40">
        <f>IFERROR('Historical FS'!C74/'Historical FS'!C5,0)</f>
        <v>1.9663487173410748E-2</v>
      </c>
      <c r="D45" s="40">
        <f>IFERROR('Historical FS'!D74/'Historical FS'!D5,0)</f>
        <v>8.7594449870529809E-3</v>
      </c>
      <c r="E45" s="40">
        <f>IFERROR('Historical FS'!E74/'Historical FS'!E5,0)</f>
        <v>2.8201150642358369E-3</v>
      </c>
      <c r="F45" s="40">
        <f>IFERROR('Historical FS'!F74/'Historical FS'!F5,0)</f>
        <v>8.1710875690491347E-3</v>
      </c>
      <c r="G45" s="40">
        <f>IFERROR('Historical FS'!G74/'Historical FS'!G5,0)</f>
        <v>1.9259764932708843E-2</v>
      </c>
      <c r="H45" s="41"/>
    </row>
    <row r="46" spans="2:8" ht="14.25" customHeight="1" x14ac:dyDescent="0.35">
      <c r="B46" s="38" t="s">
        <v>154</v>
      </c>
      <c r="C46" s="40">
        <f>IFERROR('Historical FS'!C74/'Historical FS'!C68,0)</f>
        <v>1.1969097552736072E-2</v>
      </c>
      <c r="D46" s="40">
        <f>IFERROR('Historical FS'!D74/'Historical FS'!D68,0)</f>
        <v>5.7337683259499643E-3</v>
      </c>
      <c r="E46" s="40">
        <f>IFERROR('Historical FS'!E74/'Historical FS'!E68,0)</f>
        <v>1.688754085142288E-3</v>
      </c>
      <c r="F46" s="40">
        <f>IFERROR('Historical FS'!F74/'Historical FS'!F68,0)</f>
        <v>4.5022572585677618E-3</v>
      </c>
      <c r="G46" s="40">
        <f>IFERROR('Historical FS'!G74/'Historical FS'!G68,0)</f>
        <v>1.13538715061776E-2</v>
      </c>
      <c r="H46" s="41"/>
    </row>
    <row r="47" spans="2:8" ht="14.25" customHeight="1" x14ac:dyDescent="0.35">
      <c r="B47" s="38" t="s">
        <v>155</v>
      </c>
      <c r="C47" s="40">
        <f>IFERROR('Historical FS'!C74/'Historical FS'!C53,0)</f>
        <v>0.65181463308517829</v>
      </c>
      <c r="D47" s="40">
        <f>IFERROR('Historical FS'!D74/'Historical FS'!D53,0)</f>
        <v>0.29431092684088633</v>
      </c>
      <c r="E47" s="40">
        <f>IFERROR('Historical FS'!E74/'Historical FS'!E53,0)</f>
        <v>6.3820754266960517E-2</v>
      </c>
      <c r="F47" s="40">
        <f>IFERROR('Historical FS'!F74/'Historical FS'!F53,0)</f>
        <v>0.13150285124152486</v>
      </c>
      <c r="G47" s="40">
        <f>IFERROR('Historical FS'!G74/'Historical FS'!G53,0)</f>
        <v>0.2346604483173268</v>
      </c>
      <c r="H47" s="41"/>
    </row>
    <row r="48" spans="2:8" ht="14.25" customHeight="1" x14ac:dyDescent="0.35"/>
  </sheetData>
  <mergeCells count="8">
    <mergeCell ref="B31:H31"/>
    <mergeCell ref="B38:H38"/>
    <mergeCell ref="B44:H44"/>
    <mergeCell ref="B2:H3"/>
    <mergeCell ref="B5:H5"/>
    <mergeCell ref="B12:H12"/>
    <mergeCell ref="B19:H19"/>
    <mergeCell ref="B24:H24"/>
  </mergeCells>
  <pageMargins left="0.7" right="0.7" top="0.75" bottom="0.75" header="0.511811023622047" footer="0.511811023622047"/>
  <pageSetup paperSize="9" orientation="portrait" horizontalDpi="300" verticalDpi="300"/>
  <ignoredErrors>
    <ignoredError sqref="C4:H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63"/>
  <sheetViews>
    <sheetView showGridLines="0" zoomScale="69" zoomScaleNormal="94" workbookViewId="0">
      <selection activeCell="F134" sqref="F134"/>
    </sheetView>
  </sheetViews>
  <sheetFormatPr defaultColWidth="8.7265625" defaultRowHeight="14.5" x14ac:dyDescent="0.35"/>
  <cols>
    <col min="1" max="1" width="2.26953125" customWidth="1"/>
    <col min="2" max="2" width="25.7265625" customWidth="1"/>
    <col min="3" max="7" width="9.6328125" customWidth="1"/>
    <col min="9" max="9" width="8.26953125" customWidth="1"/>
    <col min="10" max="14" width="10.6328125" customWidth="1"/>
  </cols>
  <sheetData>
    <row r="2" spans="2:7" ht="18" customHeight="1" x14ac:dyDescent="0.35">
      <c r="B2" s="383" t="s">
        <v>441</v>
      </c>
      <c r="C2" s="383"/>
      <c r="D2" s="383"/>
      <c r="E2" s="383"/>
      <c r="F2" s="383"/>
      <c r="G2" s="383"/>
    </row>
    <row r="3" spans="2:7" ht="14.25" customHeight="1" x14ac:dyDescent="0.35">
      <c r="B3" s="384" t="s">
        <v>112</v>
      </c>
      <c r="C3" s="385">
        <v>2022</v>
      </c>
      <c r="D3" s="385">
        <v>2023</v>
      </c>
      <c r="E3" s="385">
        <v>2024</v>
      </c>
      <c r="F3" s="385">
        <v>2025</v>
      </c>
      <c r="G3" s="385">
        <v>2026</v>
      </c>
    </row>
    <row r="4" spans="2:7" ht="14.25" customHeight="1" x14ac:dyDescent="0.35">
      <c r="B4" s="47" t="s">
        <v>156</v>
      </c>
      <c r="C4" s="48"/>
      <c r="D4" s="48"/>
      <c r="E4" s="48"/>
      <c r="F4" s="48"/>
      <c r="G4" s="48"/>
    </row>
    <row r="5" spans="2:7" ht="14.25" customHeight="1" x14ac:dyDescent="0.35">
      <c r="B5" s="51" t="s">
        <v>157</v>
      </c>
      <c r="C5" s="52">
        <f>'P &amp; L '!C13</f>
        <v>109713.5</v>
      </c>
      <c r="D5" s="52">
        <f>'P &amp; L '!D13</f>
        <v>138251.91</v>
      </c>
      <c r="E5" s="52">
        <f>'P &amp; L '!E13</f>
        <v>142323.98000000001</v>
      </c>
      <c r="F5" s="52">
        <f>'P &amp; L '!F13</f>
        <v>143368.92000000001</v>
      </c>
      <c r="G5" s="52">
        <f>'P &amp; L '!G13</f>
        <v>168400.29</v>
      </c>
    </row>
    <row r="6" spans="2:7" ht="14.25" customHeight="1" x14ac:dyDescent="0.35">
      <c r="B6" s="51" t="s">
        <v>120</v>
      </c>
      <c r="C6" s="39"/>
      <c r="D6" s="40">
        <f>D5/C5-1</f>
        <v>0.26011757896703691</v>
      </c>
      <c r="E6" s="40">
        <f>E5/D5-1</f>
        <v>2.945398729030213E-2</v>
      </c>
      <c r="F6" s="40">
        <f>F5/E5-1</f>
        <v>7.3419813020967339E-3</v>
      </c>
      <c r="G6" s="40">
        <f>G5/F5-1</f>
        <v>0.17459411705131056</v>
      </c>
    </row>
    <row r="7" spans="2:7" ht="14.25" customHeight="1" x14ac:dyDescent="0.35">
      <c r="B7" s="41"/>
      <c r="C7" s="41"/>
      <c r="D7" s="41"/>
      <c r="E7" s="41"/>
      <c r="F7" s="41"/>
      <c r="G7" s="41"/>
    </row>
    <row r="8" spans="2:7" ht="14.25" customHeight="1" x14ac:dyDescent="0.35">
      <c r="B8" s="51" t="s">
        <v>159</v>
      </c>
      <c r="C8" s="52">
        <f>'P &amp; L '!C17+'P &amp; L '!C18+'P &amp; L '!C19+'P &amp; L '!C20</f>
        <v>37120.409999999996</v>
      </c>
      <c r="D8" s="52">
        <f>'P &amp; L '!D17+'P &amp; L '!D18+'P &amp; L '!D19+'P &amp; L '!D20</f>
        <v>39397.719999999994</v>
      </c>
      <c r="E8" s="52">
        <f>'P &amp; L '!E17+'P &amp; L '!E18+'P &amp; L '!E19+'P &amp; L '!E20</f>
        <v>37656.39</v>
      </c>
      <c r="F8" s="52">
        <f>'P &amp; L '!F17+'P &amp; L '!F18+'P &amp; L '!F19+'P &amp; L '!F20</f>
        <v>40755.1</v>
      </c>
      <c r="G8" s="52">
        <f>'P &amp; L '!G17+'P &amp; L '!G18+'P &amp; L '!G19+'P &amp; L '!G20</f>
        <v>8342.98</v>
      </c>
    </row>
    <row r="9" spans="2:7" ht="14.25" customHeight="1" x14ac:dyDescent="0.35">
      <c r="B9" s="51" t="s">
        <v>160</v>
      </c>
      <c r="C9" s="40">
        <f>C8/C5</f>
        <v>0.33833949331668389</v>
      </c>
      <c r="D9" s="40">
        <f>D8/D5</f>
        <v>0.28497052952107493</v>
      </c>
      <c r="E9" s="40">
        <f>E8/E5</f>
        <v>0.26458218776624992</v>
      </c>
      <c r="F9" s="40">
        <f>F8/F5</f>
        <v>0.28426732934864818</v>
      </c>
      <c r="G9" s="40">
        <f>G8/G5</f>
        <v>4.9542551262827396E-2</v>
      </c>
    </row>
    <row r="10" spans="2:7" ht="14.25" customHeight="1" x14ac:dyDescent="0.35">
      <c r="B10" s="41"/>
      <c r="C10" s="41"/>
      <c r="D10" s="41"/>
      <c r="E10" s="41"/>
      <c r="F10" s="41"/>
      <c r="G10" s="41"/>
    </row>
    <row r="11" spans="2:7" ht="14.25" customHeight="1" x14ac:dyDescent="0.35">
      <c r="B11" s="51" t="s">
        <v>161</v>
      </c>
      <c r="C11" s="52">
        <f>C5-C8</f>
        <v>72593.09</v>
      </c>
      <c r="D11" s="52">
        <f>D5-D8</f>
        <v>98854.19</v>
      </c>
      <c r="E11" s="52">
        <f>E5-E8</f>
        <v>104667.59000000001</v>
      </c>
      <c r="F11" s="52">
        <f>F5-F8</f>
        <v>102613.82</v>
      </c>
      <c r="G11" s="52">
        <f>G5-G8</f>
        <v>160057.31</v>
      </c>
    </row>
    <row r="12" spans="2:7" ht="14.25" customHeight="1" x14ac:dyDescent="0.35">
      <c r="B12" s="51" t="s">
        <v>163</v>
      </c>
      <c r="C12" s="40">
        <f>C11/C5</f>
        <v>0.66166050668331611</v>
      </c>
      <c r="D12" s="40">
        <f>D11/D5</f>
        <v>0.71502947047892507</v>
      </c>
      <c r="E12" s="40">
        <f>E11/E5</f>
        <v>0.73541781223375013</v>
      </c>
      <c r="F12" s="40">
        <f>F11/F5</f>
        <v>0.71573267065135171</v>
      </c>
      <c r="G12" s="40">
        <f>G11/G5</f>
        <v>0.95045744873717253</v>
      </c>
    </row>
    <row r="13" spans="2:7" ht="14.25" customHeight="1" x14ac:dyDescent="0.35">
      <c r="B13" s="41"/>
      <c r="C13" s="41"/>
      <c r="D13" s="41"/>
      <c r="E13" s="41"/>
      <c r="F13" s="41"/>
      <c r="G13" s="41"/>
    </row>
    <row r="14" spans="2:7" ht="14.25" customHeight="1" x14ac:dyDescent="0.35">
      <c r="B14" s="51" t="s">
        <v>166</v>
      </c>
      <c r="C14" s="52">
        <f>'P &amp; L '!C23+'P &amp; L '!C21+'P &amp; L '!C25</f>
        <v>47902.579999999994</v>
      </c>
      <c r="D14" s="52">
        <f>'P &amp; L '!D23+'P &amp; L '!D21+'P &amp; L '!D25</f>
        <v>62036.320000000007</v>
      </c>
      <c r="E14" s="52">
        <f>'P &amp; L '!E23+'P &amp; L '!E21+'P &amp; L '!E25</f>
        <v>56696.100000000006</v>
      </c>
      <c r="F14" s="52">
        <f>'P &amp; L '!F23+'P &amp; L '!F21+('P &amp; L '!F25-'P &amp; L '!F26)</f>
        <v>55550.81</v>
      </c>
      <c r="G14" s="52">
        <f>'P &amp; L '!G23+'P &amp; L '!G21+'P &amp; L '!G25</f>
        <v>118815.31999999999</v>
      </c>
    </row>
    <row r="15" spans="2:7" ht="14.25" customHeight="1" x14ac:dyDescent="0.35">
      <c r="B15" s="51" t="s">
        <v>167</v>
      </c>
      <c r="C15" s="40">
        <f>C14/C5</f>
        <v>0.43661518409311523</v>
      </c>
      <c r="D15" s="40">
        <f>D14/D5</f>
        <v>0.44871944264639818</v>
      </c>
      <c r="E15" s="40">
        <f>E14/E5</f>
        <v>0.3983594331749295</v>
      </c>
      <c r="F15" s="40">
        <f>F14/F5</f>
        <v>0.38746759060471397</v>
      </c>
      <c r="G15" s="40">
        <f>G14/G5</f>
        <v>0.70555294174374628</v>
      </c>
    </row>
    <row r="16" spans="2:7" ht="14.25" customHeight="1" x14ac:dyDescent="0.35">
      <c r="B16" s="41"/>
      <c r="C16" s="41"/>
      <c r="D16" s="41"/>
      <c r="E16" s="41"/>
      <c r="F16" s="41"/>
      <c r="G16" s="41"/>
    </row>
    <row r="17" spans="2:7" ht="14.25" customHeight="1" x14ac:dyDescent="0.35">
      <c r="B17" s="51" t="s">
        <v>165</v>
      </c>
      <c r="C17" s="52">
        <f>C11-C14</f>
        <v>24690.510000000002</v>
      </c>
      <c r="D17" s="52">
        <f>D11-D14</f>
        <v>36817.869999999995</v>
      </c>
      <c r="E17" s="52">
        <f>E11-E14</f>
        <v>47971.490000000005</v>
      </c>
      <c r="F17" s="52">
        <f>F11-F14</f>
        <v>47063.010000000009</v>
      </c>
      <c r="G17" s="60">
        <f>G11-G14</f>
        <v>41241.990000000005</v>
      </c>
    </row>
    <row r="18" spans="2:7" ht="14.25" customHeight="1" x14ac:dyDescent="0.35">
      <c r="B18" s="51" t="s">
        <v>170</v>
      </c>
      <c r="C18" s="40">
        <f>C17/C5</f>
        <v>0.22504532259020085</v>
      </c>
      <c r="D18" s="40">
        <f>D17/D5</f>
        <v>0.26631002783252683</v>
      </c>
      <c r="E18" s="40">
        <f>E17/E5</f>
        <v>0.33705837905882058</v>
      </c>
      <c r="F18" s="40">
        <f>F17/F5</f>
        <v>0.32826508004663774</v>
      </c>
      <c r="G18" s="40">
        <f>G17/G5</f>
        <v>0.24490450699342622</v>
      </c>
    </row>
    <row r="19" spans="2:7" ht="14.25" customHeight="1" x14ac:dyDescent="0.35">
      <c r="B19" s="41"/>
      <c r="C19" s="41"/>
      <c r="D19" s="41"/>
      <c r="E19" s="41"/>
      <c r="F19" s="41"/>
      <c r="G19" s="41"/>
    </row>
    <row r="20" spans="2:7" ht="14.25" customHeight="1" x14ac:dyDescent="0.35">
      <c r="B20" s="51" t="s">
        <v>133</v>
      </c>
      <c r="C20" s="52">
        <f>'P &amp; L '!C24</f>
        <v>4428.67</v>
      </c>
      <c r="D20" s="52">
        <f>'P &amp; L '!D24</f>
        <v>4675.2700000000004</v>
      </c>
      <c r="E20" s="52">
        <f>'P &amp; L '!E24</f>
        <v>6735.42</v>
      </c>
      <c r="F20" s="52">
        <f>'P &amp; L '!F24</f>
        <v>9145.49</v>
      </c>
      <c r="G20" s="52">
        <f>'P &amp; L '!G24</f>
        <v>10136.67</v>
      </c>
    </row>
    <row r="21" spans="2:7" ht="14.25" customHeight="1" x14ac:dyDescent="0.35">
      <c r="B21" s="51" t="s">
        <v>172</v>
      </c>
      <c r="C21" s="40">
        <f>C20/C5</f>
        <v>4.0365770848619358E-2</v>
      </c>
      <c r="D21" s="40">
        <f>D20/D5</f>
        <v>3.3817037319773743E-2</v>
      </c>
      <c r="E21" s="40">
        <f>E20/E5</f>
        <v>4.7324561890413688E-2</v>
      </c>
      <c r="F21" s="40">
        <f>F20/F5</f>
        <v>6.3789906487403264E-2</v>
      </c>
      <c r="G21" s="40">
        <f>G20/G5</f>
        <v>6.019389871597014E-2</v>
      </c>
    </row>
    <row r="22" spans="2:7" ht="14.25" customHeight="1" x14ac:dyDescent="0.35">
      <c r="B22" s="41"/>
      <c r="C22" s="41"/>
      <c r="D22" s="41"/>
      <c r="E22" s="41"/>
      <c r="F22" s="41"/>
      <c r="G22" s="41"/>
    </row>
    <row r="23" spans="2:7" ht="14.25" customHeight="1" x14ac:dyDescent="0.35">
      <c r="B23" s="51" t="s">
        <v>169</v>
      </c>
      <c r="C23" s="52">
        <f>IFERROR(C17-C20,0)</f>
        <v>20261.840000000004</v>
      </c>
      <c r="D23" s="52">
        <f>IFERROR(D17-D20,0)</f>
        <v>32142.599999999995</v>
      </c>
      <c r="E23" s="52">
        <f>IFERROR(E17-E20,0)</f>
        <v>41236.070000000007</v>
      </c>
      <c r="F23" s="52">
        <f>IFERROR(F17-F20,0)</f>
        <v>37917.520000000011</v>
      </c>
      <c r="G23" s="52">
        <f>IFERROR(G17-G20,0)</f>
        <v>31105.320000000007</v>
      </c>
    </row>
    <row r="24" spans="2:7" ht="14.25" customHeight="1" x14ac:dyDescent="0.35">
      <c r="B24" s="51" t="s">
        <v>128</v>
      </c>
      <c r="C24" s="40">
        <f>C23/C5</f>
        <v>0.18467955174158152</v>
      </c>
      <c r="D24" s="40">
        <f>D23/D5</f>
        <v>0.2324929905127531</v>
      </c>
      <c r="E24" s="40">
        <f>E23/E5</f>
        <v>0.2897338171684069</v>
      </c>
      <c r="F24" s="40">
        <f>F23/F5</f>
        <v>0.2644751735592345</v>
      </c>
      <c r="G24" s="40">
        <f>G23/G5</f>
        <v>0.18471060827745608</v>
      </c>
    </row>
    <row r="25" spans="2:7" ht="14.25" customHeight="1" x14ac:dyDescent="0.35">
      <c r="B25" s="41"/>
      <c r="C25" s="41"/>
      <c r="D25" s="41"/>
      <c r="E25" s="41"/>
      <c r="F25" s="41"/>
      <c r="G25" s="41"/>
    </row>
    <row r="26" spans="2:7" ht="14.25" customHeight="1" x14ac:dyDescent="0.35">
      <c r="B26" s="51" t="s">
        <v>171</v>
      </c>
      <c r="C26" s="52">
        <f>'P &amp; L '!C22</f>
        <v>541.49</v>
      </c>
      <c r="D26" s="52">
        <f>'P &amp; L '!D22</f>
        <v>684.31</v>
      </c>
      <c r="E26" s="52">
        <f>'P &amp; L '!E22</f>
        <v>819.37</v>
      </c>
      <c r="F26" s="52">
        <f>'P &amp; L '!F22</f>
        <v>883.65</v>
      </c>
      <c r="G26" s="52">
        <f>'P &amp; L '!G22</f>
        <v>1216.26</v>
      </c>
    </row>
    <row r="27" spans="2:7" ht="14.25" customHeight="1" x14ac:dyDescent="0.35">
      <c r="B27" s="51" t="s">
        <v>178</v>
      </c>
      <c r="C27" s="40">
        <f>C26/C5</f>
        <v>4.9354910744803509E-3</v>
      </c>
      <c r="D27" s="40">
        <f>D26/D5</f>
        <v>4.949732701703723E-3</v>
      </c>
      <c r="E27" s="40">
        <f>E26/E5</f>
        <v>5.757076214422896E-3</v>
      </c>
      <c r="F27" s="40">
        <f>F26/F5</f>
        <v>6.1634697394665448E-3</v>
      </c>
      <c r="G27" s="40">
        <f>G26/G5</f>
        <v>7.2224341181360199E-3</v>
      </c>
    </row>
    <row r="28" spans="2:7" ht="14.25" customHeight="1" x14ac:dyDescent="0.35">
      <c r="B28" s="41"/>
      <c r="C28" s="41"/>
      <c r="D28" s="41"/>
      <c r="E28" s="41"/>
      <c r="F28" s="41"/>
      <c r="G28" s="41"/>
    </row>
    <row r="29" spans="2:7" ht="14.25" customHeight="1" x14ac:dyDescent="0.35">
      <c r="B29" s="51" t="s">
        <v>67</v>
      </c>
      <c r="C29" s="52">
        <f>'P &amp; L '!C14</f>
        <v>3904.52</v>
      </c>
      <c r="D29" s="52">
        <f>'P &amp; L '!D14</f>
        <v>6550.66</v>
      </c>
      <c r="E29" s="52">
        <f>'P &amp; L '!E14</f>
        <v>7969.08</v>
      </c>
      <c r="F29" s="52">
        <f>'P &amp; L '!F14</f>
        <v>9470.06</v>
      </c>
      <c r="G29" s="52">
        <f>'P &amp; L '!G14</f>
        <v>11275.68</v>
      </c>
    </row>
    <row r="30" spans="2:7" ht="14.25" customHeight="1" x14ac:dyDescent="0.35">
      <c r="B30" s="41"/>
      <c r="C30" s="41"/>
      <c r="D30" s="41"/>
      <c r="E30" s="41"/>
      <c r="F30" s="41"/>
      <c r="G30" s="41"/>
    </row>
    <row r="31" spans="2:7" ht="14.25" customHeight="1" x14ac:dyDescent="0.35">
      <c r="B31" s="51" t="s">
        <v>179</v>
      </c>
      <c r="C31" s="52">
        <f>IFERROR(C23-C26+C29,0)</f>
        <v>23624.870000000003</v>
      </c>
      <c r="D31" s="52">
        <f>IFERROR(D23-D26+D29,0)</f>
        <v>38008.949999999997</v>
      </c>
      <c r="E31" s="52">
        <f>IFERROR(E23-E26+E29,0)</f>
        <v>48385.780000000006</v>
      </c>
      <c r="F31" s="52">
        <f>IFERROR(F23-F26+F29,0)</f>
        <v>46503.930000000008</v>
      </c>
      <c r="G31" s="52">
        <f>IFERROR(G23-G26+G29,0)</f>
        <v>41164.740000000005</v>
      </c>
    </row>
    <row r="32" spans="2:7" ht="14.25" customHeight="1" x14ac:dyDescent="0.35">
      <c r="B32" s="51" t="s">
        <v>180</v>
      </c>
      <c r="C32" s="40">
        <f>C31/C5</f>
        <v>0.21533238844809438</v>
      </c>
      <c r="D32" s="40">
        <f>D31/D5</f>
        <v>0.27492531567918299</v>
      </c>
      <c r="E32" s="40">
        <f>E31/E5</f>
        <v>0.33996927292224405</v>
      </c>
      <c r="F32" s="40">
        <f>F31/F5</f>
        <v>0.32436549009366888</v>
      </c>
      <c r="G32" s="40">
        <f>G31/G5</f>
        <v>0.24444577856724595</v>
      </c>
    </row>
    <row r="33" spans="2:7" ht="14.25" customHeight="1" x14ac:dyDescent="0.35">
      <c r="B33" s="41"/>
      <c r="C33" s="41"/>
      <c r="D33" s="41"/>
      <c r="E33" s="41"/>
      <c r="F33" s="41"/>
      <c r="G33" s="41"/>
    </row>
    <row r="34" spans="2:7" ht="14.25" customHeight="1" x14ac:dyDescent="0.35">
      <c r="B34" s="51" t="s">
        <v>174</v>
      </c>
      <c r="C34" s="52">
        <f>'P &amp; L '!C33</f>
        <v>6237.86</v>
      </c>
      <c r="D34" s="52">
        <f>'P &amp; L '!D33</f>
        <v>9875.8700000000008</v>
      </c>
      <c r="E34" s="52">
        <f>'P &amp; L '!E33</f>
        <v>11443.48</v>
      </c>
      <c r="F34" s="52">
        <f>'P &amp; L '!F33</f>
        <v>11664.09</v>
      </c>
      <c r="G34" s="52">
        <f>'P &amp; L '!G33</f>
        <v>10852.51</v>
      </c>
    </row>
    <row r="35" spans="2:7" ht="14.25" customHeight="1" x14ac:dyDescent="0.35">
      <c r="B35" s="51" t="s">
        <v>175</v>
      </c>
      <c r="C35" s="40">
        <f>C34/C31</f>
        <v>0.26403785502311755</v>
      </c>
      <c r="D35" s="40">
        <f>D34/D31</f>
        <v>0.25983011895882419</v>
      </c>
      <c r="E35" s="40">
        <f>E34/E31</f>
        <v>0.23650502275668592</v>
      </c>
      <c r="F35" s="40">
        <f>F34/F31</f>
        <v>0.25081944687255459</v>
      </c>
      <c r="G35" s="40">
        <f>G34/G31</f>
        <v>0.26363606329105926</v>
      </c>
    </row>
    <row r="36" spans="2:7" ht="14.25" customHeight="1" x14ac:dyDescent="0.35">
      <c r="B36" s="41"/>
      <c r="C36" s="41"/>
      <c r="D36" s="41"/>
      <c r="E36" s="41"/>
      <c r="F36" s="41"/>
      <c r="G36" s="41"/>
    </row>
    <row r="37" spans="2:7" ht="14.25" customHeight="1" x14ac:dyDescent="0.35">
      <c r="B37" s="51" t="s">
        <v>176</v>
      </c>
      <c r="C37" s="52">
        <f>IFERROR(C31-C34,0)</f>
        <v>17387.010000000002</v>
      </c>
      <c r="D37" s="52">
        <f>IFERROR(D31-D34,0)</f>
        <v>28133.079999999994</v>
      </c>
      <c r="E37" s="52">
        <f>IFERROR(E31-E34,0)</f>
        <v>36942.300000000003</v>
      </c>
      <c r="F37" s="52">
        <f>IFERROR(F31-F34,0)</f>
        <v>34839.840000000011</v>
      </c>
      <c r="G37" s="52">
        <f>IFERROR(G31-G34,0)</f>
        <v>30312.230000000003</v>
      </c>
    </row>
    <row r="38" spans="2:7" ht="14.25" customHeight="1" x14ac:dyDescent="0.35">
      <c r="B38" s="51" t="s">
        <v>181</v>
      </c>
      <c r="C38" s="40">
        <f>C37/C5</f>
        <v>0.15847648648525481</v>
      </c>
      <c r="D38" s="40">
        <f>D37/D5</f>
        <v>0.20349143820146856</v>
      </c>
      <c r="E38" s="40">
        <f>E37/E5</f>
        <v>0.25956483229319471</v>
      </c>
      <c r="F38" s="40">
        <f>F37/F5</f>
        <v>0.24300831728382977</v>
      </c>
      <c r="G38" s="40">
        <f>G37/G5</f>
        <v>0.18000105581765924</v>
      </c>
    </row>
    <row r="39" spans="2:7" ht="14.25" customHeight="1" x14ac:dyDescent="0.35">
      <c r="B39" s="41"/>
      <c r="C39" s="41"/>
      <c r="D39" s="41"/>
      <c r="E39" s="41"/>
      <c r="F39" s="41"/>
      <c r="G39" s="41"/>
    </row>
    <row r="40" spans="2:7" ht="14.25" customHeight="1" x14ac:dyDescent="0.35">
      <c r="B40" s="51" t="s">
        <v>182</v>
      </c>
      <c r="C40" s="52">
        <f>'Balance Sheet '!C10/'Balance Sheet '!$I$10</f>
        <v>616.27299999999991</v>
      </c>
      <c r="D40" s="52">
        <f>'Balance Sheet '!D10/'Balance Sheet '!$I$10</f>
        <v>616.27299999999991</v>
      </c>
      <c r="E40" s="52">
        <f>'Balance Sheet '!E10/'Balance Sheet '!$I$10</f>
        <v>616.27299999999991</v>
      </c>
      <c r="F40" s="52">
        <f>'Balance Sheet '!F10/'Balance Sheet '!$I$10</f>
        <v>616.27299999999991</v>
      </c>
      <c r="G40" s="52">
        <f>'Balance Sheet '!G10/'Balance Sheet '!$I$10</f>
        <v>616.27299999999991</v>
      </c>
    </row>
    <row r="41" spans="2:7" ht="14.25" customHeight="1" x14ac:dyDescent="0.35">
      <c r="B41" s="41"/>
      <c r="C41" s="41"/>
      <c r="D41" s="41"/>
      <c r="E41" s="41"/>
      <c r="F41" s="41"/>
      <c r="G41" s="41"/>
    </row>
    <row r="42" spans="2:7" ht="14.25" customHeight="1" x14ac:dyDescent="0.35">
      <c r="B42" s="51" t="s">
        <v>183</v>
      </c>
      <c r="C42" s="61">
        <f>IFERROR(C37/C40,0)</f>
        <v>28.213162023973148</v>
      </c>
      <c r="D42" s="61">
        <f>IFERROR(D37/D40,0)</f>
        <v>45.650353009137184</v>
      </c>
      <c r="E42" s="61">
        <f>IFERROR(E37/E40,0)</f>
        <v>59.944699832704025</v>
      </c>
      <c r="F42" s="61">
        <f>IFERROR(F37/F40,0)</f>
        <v>56.533127364009161</v>
      </c>
      <c r="G42" s="61">
        <f>IFERROR(G37/G40,0)</f>
        <v>49.186367080822961</v>
      </c>
    </row>
    <row r="43" spans="2:7" ht="14.25" customHeight="1" x14ac:dyDescent="0.35">
      <c r="B43" s="51" t="s">
        <v>184</v>
      </c>
      <c r="C43" s="41"/>
      <c r="D43" s="40">
        <f>IFERROR(D42/C42-1,0)</f>
        <v>0.6180516374005649</v>
      </c>
      <c r="E43" s="40">
        <f>IFERROR(E42/D42-1,0)</f>
        <v>0.31312675327408179</v>
      </c>
      <c r="F43" s="40">
        <f>IFERROR(F42/E42-1,0)</f>
        <v>-5.6911995192502562E-2</v>
      </c>
      <c r="G43" s="40">
        <f>IFERROR(G42/F42-1,0)</f>
        <v>-0.1299549596094588</v>
      </c>
    </row>
    <row r="44" spans="2:7" ht="14.25" customHeight="1" x14ac:dyDescent="0.35">
      <c r="B44" s="41"/>
      <c r="C44" s="41"/>
      <c r="D44" s="41"/>
      <c r="E44" s="41"/>
      <c r="F44" s="41"/>
      <c r="G44" s="41"/>
    </row>
    <row r="45" spans="2:7" ht="14.25" customHeight="1" x14ac:dyDescent="0.35">
      <c r="B45" s="51" t="s">
        <v>185</v>
      </c>
      <c r="C45" s="61">
        <f>'P &amp; L '!C45/'Historical FS'!C40</f>
        <v>17.500020283218642</v>
      </c>
      <c r="D45" s="61">
        <f>'P &amp; L '!D45/'Historical FS'!D40</f>
        <v>23.250069368607747</v>
      </c>
      <c r="E45" s="61">
        <f>'P &amp; L '!E45/'Historical FS'!E40</f>
        <v>24.50005111371097</v>
      </c>
      <c r="F45" s="61">
        <f>'P &amp; L '!F45/'Historical FS'!F40</f>
        <v>26.350075372440465</v>
      </c>
      <c r="G45" s="61">
        <v>0</v>
      </c>
    </row>
    <row r="46" spans="2:7" ht="14.25" customHeight="1" x14ac:dyDescent="0.35">
      <c r="B46" s="51" t="s">
        <v>186</v>
      </c>
      <c r="C46" s="40">
        <f>IFERROR(C45/C42,0)</f>
        <v>0.62027858729016661</v>
      </c>
      <c r="D46" s="40">
        <f>IFERROR(D45/D42,0)</f>
        <v>0.5093075482670224</v>
      </c>
      <c r="E46" s="40">
        <f>IFERROR(E45/E42,0)</f>
        <v>0.40871088156395236</v>
      </c>
      <c r="F46" s="40">
        <f>IFERROR(F45/F42,0)</f>
        <v>0.46609972950507217</v>
      </c>
      <c r="G46" s="40">
        <f>IFERROR(G45/G42,0)</f>
        <v>0</v>
      </c>
    </row>
    <row r="47" spans="2:7" ht="14.25" customHeight="1" x14ac:dyDescent="0.35">
      <c r="B47" s="41"/>
      <c r="C47" s="41"/>
      <c r="D47" s="41"/>
      <c r="E47" s="41"/>
      <c r="F47" s="41"/>
      <c r="G47" s="41"/>
    </row>
    <row r="48" spans="2:7" ht="14.25" customHeight="1" x14ac:dyDescent="0.35">
      <c r="B48" s="51" t="s">
        <v>187</v>
      </c>
      <c r="C48" s="40">
        <f>IFERROR(IF(C42&gt;C45,1-C46,0),0)</f>
        <v>0.37972141270983339</v>
      </c>
      <c r="D48" s="40">
        <f>IFERROR(IF(D42&gt;D45,1-D46,0),0)</f>
        <v>0.4906924517329776</v>
      </c>
      <c r="E48" s="40">
        <f>IFERROR(IF(E42&gt;E45,1-E46,0),0)</f>
        <v>0.59128911843604759</v>
      </c>
      <c r="F48" s="40">
        <f>IFERROR(IF(F42&gt;F45,1-F46,0),0)</f>
        <v>0.53390027049492783</v>
      </c>
      <c r="G48" s="40">
        <f>IFERROR(IF(G42&gt;G45,1-G46,0),0)</f>
        <v>1</v>
      </c>
    </row>
    <row r="50" spans="2:7" ht="14.25" customHeight="1" x14ac:dyDescent="0.35">
      <c r="B50" s="37" t="s">
        <v>188</v>
      </c>
      <c r="C50" s="46">
        <f>C3</f>
        <v>2022</v>
      </c>
      <c r="D50" s="46">
        <f>D3</f>
        <v>2023</v>
      </c>
      <c r="E50" s="46">
        <f>E3</f>
        <v>2024</v>
      </c>
      <c r="F50" s="46">
        <f>F3</f>
        <v>2025</v>
      </c>
      <c r="G50" s="46">
        <f>G3</f>
        <v>2026</v>
      </c>
    </row>
    <row r="51" spans="2:7" ht="14.25" customHeight="1" x14ac:dyDescent="0.35">
      <c r="B51" s="51" t="s">
        <v>7</v>
      </c>
      <c r="C51" s="52">
        <f>'Balance Sheet '!C11</f>
        <v>6162.73</v>
      </c>
      <c r="D51" s="52">
        <f>'Balance Sheet '!D11</f>
        <v>6162.73</v>
      </c>
      <c r="E51" s="52">
        <f>'Balance Sheet '!E11</f>
        <v>6162.73</v>
      </c>
      <c r="F51" s="52">
        <f>'Balance Sheet '!F11</f>
        <v>6162.73</v>
      </c>
      <c r="G51" s="52">
        <f>'Balance Sheet '!G11</f>
        <v>6162.73</v>
      </c>
    </row>
    <row r="52" spans="2:7" ht="14.25" customHeight="1" x14ac:dyDescent="0.35">
      <c r="B52" s="51" t="s">
        <v>189</v>
      </c>
      <c r="C52" s="52">
        <f>'Balance Sheet '!C12</f>
        <v>36980.31</v>
      </c>
      <c r="D52" s="52">
        <f>'Balance Sheet '!D12</f>
        <v>51082.16</v>
      </c>
      <c r="E52" s="52">
        <f>'Balance Sheet '!E12</f>
        <v>76567.05</v>
      </c>
      <c r="F52" s="52">
        <f>'Balance Sheet '!F12</f>
        <v>92942.19</v>
      </c>
      <c r="G52" s="52">
        <f>'Balance Sheet '!G12</f>
        <v>112938.83</v>
      </c>
    </row>
    <row r="53" spans="2:7" ht="14.25" customHeight="1" x14ac:dyDescent="0.35">
      <c r="B53" s="51" t="s">
        <v>190</v>
      </c>
      <c r="C53" s="52">
        <f>'Balance Sheet '!C17+'Balance Sheet '!C23</f>
        <v>3309.76</v>
      </c>
      <c r="D53" s="52">
        <f>'Balance Sheet '!D17+'Balance Sheet '!D23</f>
        <v>4114.7299999999996</v>
      </c>
      <c r="E53" s="52">
        <f>'Balance Sheet '!E17+'Balance Sheet '!E23</f>
        <v>6289.0199999999995</v>
      </c>
      <c r="F53" s="52">
        <f>'Balance Sheet '!F17+'Balance Sheet '!F23</f>
        <v>8908.4</v>
      </c>
      <c r="G53" s="52">
        <f>'Balance Sheet '!G17+'Balance Sheet '!G23</f>
        <v>13821.460000000001</v>
      </c>
    </row>
    <row r="54" spans="2:7" ht="14.25" customHeight="1" x14ac:dyDescent="0.35">
      <c r="B54" s="51" t="s">
        <v>191</v>
      </c>
      <c r="C54" s="52">
        <f>'Balance Sheet '!C18+'Balance Sheet '!C19+'Balance Sheet '!C20+'Balance Sheet '!C24+'Balance Sheet '!C25+'Balance Sheet '!C26</f>
        <v>133116.74</v>
      </c>
      <c r="D54" s="52">
        <f>'Balance Sheet '!D18+'Balance Sheet '!D19+'Balance Sheet '!D20+'Balance Sheet '!D24+'Balance Sheet '!D25+'Balance Sheet '!D26</f>
        <v>149076.35</v>
      </c>
      <c r="E54" s="52">
        <f>'Balance Sheet '!E18+'Balance Sheet '!E19+'Balance Sheet '!E20+'Balance Sheet '!E24+'Balance Sheet '!E25+'Balance Sheet '!E26</f>
        <v>147801.33999999997</v>
      </c>
      <c r="F54" s="52">
        <f>'Balance Sheet '!F18+'Balance Sheet '!F19+'Balance Sheet '!F20+'Balance Sheet '!F24+'Balance Sheet '!F25+'Balance Sheet '!F26</f>
        <v>151339.28</v>
      </c>
      <c r="G54" s="52">
        <f>'Balance Sheet '!G18+'Balance Sheet '!G19+'Balance Sheet '!G20+'Balance Sheet '!G24+'Balance Sheet '!G25+'Balance Sheet '!G26</f>
        <v>150834.23999999999</v>
      </c>
    </row>
    <row r="55" spans="2:7" ht="15" customHeight="1" x14ac:dyDescent="0.35">
      <c r="B55" s="62" t="s">
        <v>192</v>
      </c>
      <c r="C55" s="63">
        <f>'Balance Sheet '!C28</f>
        <v>180243.33</v>
      </c>
      <c r="D55" s="63">
        <f>'Balance Sheet '!D28</f>
        <v>211206.65</v>
      </c>
      <c r="E55" s="63">
        <f>'Balance Sheet '!E28</f>
        <v>237672.26</v>
      </c>
      <c r="F55" s="63">
        <f>'Balance Sheet '!F28</f>
        <v>260198.37</v>
      </c>
      <c r="G55" s="63">
        <f>'Balance Sheet '!G28</f>
        <v>285660.27</v>
      </c>
    </row>
    <row r="56" spans="2:7" ht="15" customHeight="1" x14ac:dyDescent="0.35">
      <c r="B56" s="64"/>
      <c r="C56" s="64"/>
      <c r="D56" s="64"/>
      <c r="E56" s="64"/>
      <c r="F56" s="64"/>
      <c r="G56" s="64"/>
    </row>
    <row r="57" spans="2:7" ht="14.25" customHeight="1" x14ac:dyDescent="0.35">
      <c r="B57" s="51" t="s">
        <v>193</v>
      </c>
      <c r="C57" s="52">
        <f>'Balance Sheet '!C31+'Balance Sheet '!C32</f>
        <v>42803.41</v>
      </c>
      <c r="D57" s="52">
        <f>'Balance Sheet '!D31+'Balance Sheet '!D32</f>
        <v>47036.08</v>
      </c>
      <c r="E57" s="52">
        <f>'Balance Sheet '!E31+'Balance Sheet '!E32</f>
        <v>70618.62000000001</v>
      </c>
      <c r="F57" s="52">
        <f>'Balance Sheet '!F31+'Balance Sheet '!F32</f>
        <v>79219.740000000005</v>
      </c>
      <c r="G57" s="52">
        <f>'Balance Sheet '!G31+'Balance Sheet '!G32</f>
        <v>91846.09</v>
      </c>
    </row>
    <row r="58" spans="2:7" ht="14.25" customHeight="1" x14ac:dyDescent="0.35">
      <c r="B58" s="51" t="s">
        <v>194</v>
      </c>
      <c r="C58" s="52">
        <f>'Balance Sheet '!C33</f>
        <v>12713.73</v>
      </c>
      <c r="D58" s="52">
        <f>'Balance Sheet '!D33</f>
        <v>15262.62</v>
      </c>
      <c r="E58" s="52">
        <f>'Balance Sheet '!E33</f>
        <v>14738.66</v>
      </c>
      <c r="F58" s="52">
        <f>'Balance Sheet '!F33</f>
        <v>15888.64</v>
      </c>
      <c r="G58" s="52">
        <f>'Balance Sheet '!G33</f>
        <v>18818.580000000002</v>
      </c>
    </row>
    <row r="59" spans="2:7" ht="14.25" customHeight="1" x14ac:dyDescent="0.35">
      <c r="B59" s="51" t="s">
        <v>195</v>
      </c>
      <c r="C59" s="52">
        <f>'Balance Sheet '!C37+'Balance Sheet '!C43</f>
        <v>9706.3799999999992</v>
      </c>
      <c r="D59" s="52">
        <f>'Balance Sheet '!D37+'Balance Sheet '!D43</f>
        <v>7139.41</v>
      </c>
      <c r="E59" s="52">
        <f>'Balance Sheet '!E37+'Balance Sheet '!E43</f>
        <v>7110.41</v>
      </c>
      <c r="F59" s="52">
        <f>'Balance Sheet '!F37+'Balance Sheet '!F43</f>
        <v>7591.33</v>
      </c>
      <c r="G59" s="52">
        <f>'Balance Sheet '!G37+'Balance Sheet '!G43</f>
        <v>10225.880000000001</v>
      </c>
    </row>
    <row r="60" spans="2:7" ht="14.25" customHeight="1" x14ac:dyDescent="0.35">
      <c r="B60" s="51" t="s">
        <v>34</v>
      </c>
      <c r="C60" s="52">
        <f>'Balance Sheet '!C40+'Balance Sheet '!C39</f>
        <v>21261.22</v>
      </c>
      <c r="D60" s="52">
        <f>'Balance Sheet '!D40+'Balance Sheet '!D39</f>
        <v>26278.649999999998</v>
      </c>
      <c r="E60" s="52">
        <f>'Balance Sheet '!E40+'Balance Sheet '!E39</f>
        <v>32159.8</v>
      </c>
      <c r="F60" s="52">
        <f>'Balance Sheet '!F40+'Balance Sheet '!F39</f>
        <v>51644.22</v>
      </c>
      <c r="G60" s="52">
        <f>'Balance Sheet '!G40+'Balance Sheet '!G39</f>
        <v>41190.03</v>
      </c>
    </row>
    <row r="61" spans="2:7" ht="14.25" customHeight="1" x14ac:dyDescent="0.35">
      <c r="B61" s="51" t="s">
        <v>196</v>
      </c>
      <c r="C61" s="65">
        <f>'Balance Sheet '!C41</f>
        <v>87400.38</v>
      </c>
      <c r="D61" s="65">
        <f>'Balance Sheet '!D41</f>
        <v>103123.95</v>
      </c>
      <c r="E61" s="65">
        <f>'Balance Sheet '!E41</f>
        <v>133788.9</v>
      </c>
      <c r="F61" s="65">
        <f>'Balance Sheet '!F41</f>
        <v>164004.95000000001</v>
      </c>
      <c r="G61" s="65">
        <f>'Balance Sheet '!G41</f>
        <v>160132.66</v>
      </c>
    </row>
    <row r="62" spans="2:7" ht="14.25" customHeight="1" x14ac:dyDescent="0.35">
      <c r="B62" s="41"/>
      <c r="C62" s="41"/>
      <c r="D62" s="41"/>
      <c r="E62" s="41"/>
      <c r="F62" s="41"/>
      <c r="G62" s="41"/>
    </row>
    <row r="63" spans="2:7" ht="14.25" customHeight="1" x14ac:dyDescent="0.35">
      <c r="B63" s="51" t="s">
        <v>197</v>
      </c>
      <c r="C63" s="52">
        <f>'Balance Sheet '!C45</f>
        <v>11367.68</v>
      </c>
      <c r="D63" s="52">
        <f>'Balance Sheet '!D45</f>
        <v>13060.48</v>
      </c>
      <c r="E63" s="52">
        <f>'Balance Sheet '!E45</f>
        <v>13255.75</v>
      </c>
      <c r="F63" s="52">
        <f>'Balance Sheet '!F45</f>
        <v>12727.72</v>
      </c>
      <c r="G63" s="52">
        <f>'Balance Sheet '!G45</f>
        <v>14120.59</v>
      </c>
    </row>
    <row r="64" spans="2:7" ht="14.25" customHeight="1" x14ac:dyDescent="0.35">
      <c r="B64" s="51" t="s">
        <v>198</v>
      </c>
      <c r="C64" s="52">
        <f>'Balance Sheet '!C44</f>
        <v>7075.68</v>
      </c>
      <c r="D64" s="52">
        <f>'Balance Sheet '!D44</f>
        <v>8154.68</v>
      </c>
      <c r="E64" s="52">
        <f>'Balance Sheet '!E44</f>
        <v>10177.23</v>
      </c>
      <c r="F64" s="52">
        <f>'Balance Sheet '!F44</f>
        <v>12613.7</v>
      </c>
      <c r="G64" s="52">
        <f>'Balance Sheet '!G44</f>
        <v>15654.3</v>
      </c>
    </row>
    <row r="65" spans="2:7" ht="14.25" customHeight="1" x14ac:dyDescent="0.35">
      <c r="B65" s="51" t="s">
        <v>199</v>
      </c>
      <c r="C65" s="52">
        <f>'Balance Sheet '!C46</f>
        <v>29179.45</v>
      </c>
      <c r="D65" s="52">
        <f>'Balance Sheet '!D46</f>
        <v>39921.85</v>
      </c>
      <c r="E65" s="52">
        <f>'Balance Sheet '!E46</f>
        <v>30235.17</v>
      </c>
      <c r="F65" s="52">
        <f>'Balance Sheet '!F46</f>
        <v>34215.31</v>
      </c>
      <c r="G65" s="52">
        <f>'Balance Sheet '!G46</f>
        <v>52574.37</v>
      </c>
    </row>
    <row r="66" spans="2:7" ht="14.25" customHeight="1" x14ac:dyDescent="0.35">
      <c r="B66" s="51" t="s">
        <v>48</v>
      </c>
      <c r="C66" s="65">
        <f>'Balance Sheet '!C49</f>
        <v>92842.95</v>
      </c>
      <c r="D66" s="65">
        <f>'Balance Sheet '!D49</f>
        <v>108082.7</v>
      </c>
      <c r="E66" s="65">
        <f>'Balance Sheet '!E49</f>
        <v>103883.36</v>
      </c>
      <c r="F66" s="65">
        <f>'Balance Sheet '!F49</f>
        <v>96193.42</v>
      </c>
      <c r="G66" s="65">
        <f>'Balance Sheet '!G49</f>
        <v>125527.61</v>
      </c>
    </row>
    <row r="67" spans="2:7" ht="14.25" customHeight="1" x14ac:dyDescent="0.35">
      <c r="B67" s="41"/>
      <c r="C67" s="41"/>
      <c r="D67" s="41"/>
      <c r="E67" s="41"/>
      <c r="F67" s="41"/>
      <c r="G67" s="41"/>
    </row>
    <row r="68" spans="2:7" ht="15" customHeight="1" x14ac:dyDescent="0.35">
      <c r="B68" s="62" t="s">
        <v>49</v>
      </c>
      <c r="C68" s="63">
        <f>'Balance Sheet '!C50</f>
        <v>180243.33</v>
      </c>
      <c r="D68" s="63">
        <f>'Balance Sheet '!D50</f>
        <v>211206.65</v>
      </c>
      <c r="E68" s="63">
        <f>'Balance Sheet '!E50</f>
        <v>237672.26</v>
      </c>
      <c r="F68" s="63">
        <f>'Balance Sheet '!F50</f>
        <v>260198.37</v>
      </c>
      <c r="G68" s="63">
        <f>'Balance Sheet '!G50</f>
        <v>285660.27</v>
      </c>
    </row>
    <row r="69" spans="2:7" ht="15" customHeight="1" x14ac:dyDescent="0.35"/>
    <row r="70" spans="2:7" ht="15" customHeight="1" x14ac:dyDescent="0.35">
      <c r="B70" s="66" t="s">
        <v>200</v>
      </c>
      <c r="C70" s="67" t="b">
        <f>C68=C55</f>
        <v>1</v>
      </c>
      <c r="D70" s="67" t="b">
        <f>D68=D55</f>
        <v>1</v>
      </c>
      <c r="E70" s="67" t="b">
        <f>E68=E55</f>
        <v>1</v>
      </c>
      <c r="F70" s="67" t="b">
        <f>F68=F55</f>
        <v>1</v>
      </c>
      <c r="G70" s="68" t="b">
        <f>G68=G55</f>
        <v>1</v>
      </c>
    </row>
    <row r="72" spans="2:7" ht="14.25" customHeight="1" x14ac:dyDescent="0.35">
      <c r="B72" s="37" t="s">
        <v>201</v>
      </c>
      <c r="C72" s="69">
        <f>C3</f>
        <v>2022</v>
      </c>
      <c r="D72" s="69">
        <f>D3</f>
        <v>2023</v>
      </c>
      <c r="E72" s="69">
        <f>E3</f>
        <v>2024</v>
      </c>
      <c r="F72" s="69">
        <f>F3</f>
        <v>2025</v>
      </c>
      <c r="G72" s="69">
        <f>G3</f>
        <v>2026</v>
      </c>
    </row>
    <row r="73" spans="2:7" ht="14.25" customHeight="1" x14ac:dyDescent="0.35">
      <c r="B73" s="51" t="s">
        <v>202</v>
      </c>
      <c r="C73" s="41"/>
      <c r="D73" s="41"/>
      <c r="E73" s="41"/>
      <c r="F73" s="41"/>
      <c r="G73" s="41"/>
    </row>
    <row r="74" spans="2:7" ht="14.25" customHeight="1" x14ac:dyDescent="0.35">
      <c r="B74" s="51" t="s">
        <v>203</v>
      </c>
      <c r="C74" s="52">
        <f>'Cash Flow'!C9</f>
        <v>2157.35</v>
      </c>
      <c r="D74" s="52">
        <f>'Cash Flow'!D9</f>
        <v>1211.01</v>
      </c>
      <c r="E74" s="52">
        <f>'Cash Flow'!E9</f>
        <v>401.37</v>
      </c>
      <c r="F74" s="52">
        <f>'Cash Flow'!F9</f>
        <v>1171.48</v>
      </c>
      <c r="G74" s="52">
        <f>'Cash Flow'!G9</f>
        <v>3243.35</v>
      </c>
    </row>
    <row r="75" spans="2:7" ht="14.25" customHeight="1" x14ac:dyDescent="0.35">
      <c r="B75" s="51" t="s">
        <v>204</v>
      </c>
      <c r="C75" s="52">
        <f>'Cash Flow'!C10</f>
        <v>8884.9</v>
      </c>
      <c r="D75" s="52">
        <f>'Cash Flow'!D10</f>
        <v>12652.83</v>
      </c>
      <c r="E75" s="52">
        <f>'Cash Flow'!E10</f>
        <v>14572.64</v>
      </c>
      <c r="F75" s="52">
        <f>'Cash Flow'!F10</f>
        <v>15735.19</v>
      </c>
      <c r="G75" s="52">
        <f>'Cash Flow'!G10</f>
        <v>12122.19</v>
      </c>
    </row>
    <row r="76" spans="2:7" ht="14.25" customHeight="1" x14ac:dyDescent="0.35">
      <c r="B76" s="51" t="s">
        <v>205</v>
      </c>
      <c r="C76" s="52">
        <f>'Cash Flow'!C12</f>
        <v>-10783.37</v>
      </c>
      <c r="D76" s="52">
        <f>'Cash Flow'!D12</f>
        <v>-14328.07</v>
      </c>
      <c r="E76" s="52">
        <f>'Cash Flow'!E12</f>
        <v>-15097.85</v>
      </c>
      <c r="F76" s="52">
        <f>'Cash Flow'!F12</f>
        <v>-16238.52</v>
      </c>
      <c r="G76" s="52">
        <f>'Cash Flow'!G12</f>
        <v>-15437.88</v>
      </c>
    </row>
    <row r="77" spans="2:7" ht="14.25" customHeight="1" x14ac:dyDescent="0.35"/>
    <row r="78" spans="2:7" ht="14.25" customHeight="1" x14ac:dyDescent="0.35">
      <c r="B78" s="51" t="s">
        <v>206</v>
      </c>
      <c r="C78" s="52">
        <f>C74+C75+C76</f>
        <v>258.8799999999992</v>
      </c>
      <c r="D78" s="52">
        <f>D74+D75+D76</f>
        <v>-464.22999999999956</v>
      </c>
      <c r="E78" s="52">
        <f>E74+E75+E76</f>
        <v>-123.84000000000015</v>
      </c>
      <c r="F78" s="52">
        <f>F74+F75+F76</f>
        <v>668.15000000000146</v>
      </c>
      <c r="G78" s="52">
        <f>G74+G75+G76</f>
        <v>-72.339999999998327</v>
      </c>
    </row>
    <row r="141" spans="2:7" x14ac:dyDescent="0.35">
      <c r="B141" s="49"/>
      <c r="C141" s="50">
        <v>2022</v>
      </c>
      <c r="D141" s="50">
        <v>2023</v>
      </c>
      <c r="E141" s="50">
        <v>2024</v>
      </c>
      <c r="F141" s="50">
        <v>2025</v>
      </c>
      <c r="G141" s="50">
        <v>2026</v>
      </c>
    </row>
    <row r="142" spans="2:7" x14ac:dyDescent="0.35">
      <c r="B142" s="53" t="s">
        <v>157</v>
      </c>
      <c r="C142" s="54">
        <v>109713.5</v>
      </c>
      <c r="D142" s="54">
        <v>138251.9</v>
      </c>
      <c r="E142" s="54">
        <v>142324</v>
      </c>
      <c r="F142" s="54">
        <v>143368.9</v>
      </c>
      <c r="G142" s="54">
        <v>168400.3</v>
      </c>
    </row>
    <row r="143" spans="2:7" x14ac:dyDescent="0.35">
      <c r="B143" s="55" t="s">
        <v>120</v>
      </c>
      <c r="C143" s="56" t="s">
        <v>158</v>
      </c>
      <c r="D143" s="57">
        <v>0.26</v>
      </c>
      <c r="E143" s="57">
        <v>2.9000000000000001E-2</v>
      </c>
      <c r="F143" s="57">
        <v>7.0000000000000001E-3</v>
      </c>
      <c r="G143" s="57">
        <v>0.17499999999999999</v>
      </c>
    </row>
    <row r="144" spans="2:7" x14ac:dyDescent="0.35">
      <c r="B144" s="53" t="s">
        <v>159</v>
      </c>
      <c r="C144" s="54">
        <v>37120.400000000001</v>
      </c>
      <c r="D144" s="54">
        <v>39397.699999999997</v>
      </c>
      <c r="E144" s="54">
        <v>37656.400000000001</v>
      </c>
      <c r="F144" s="54">
        <v>40755.1</v>
      </c>
      <c r="G144" s="54">
        <v>8343</v>
      </c>
    </row>
    <row r="145" spans="2:7" x14ac:dyDescent="0.35">
      <c r="B145" s="55" t="s">
        <v>160</v>
      </c>
      <c r="C145" s="57">
        <v>0.33800000000000002</v>
      </c>
      <c r="D145" s="57">
        <v>0.28499999999999998</v>
      </c>
      <c r="E145" s="57">
        <v>0.26500000000000001</v>
      </c>
      <c r="F145" s="57">
        <v>0.28399999999999997</v>
      </c>
      <c r="G145" s="57">
        <v>0.05</v>
      </c>
    </row>
    <row r="146" spans="2:7" x14ac:dyDescent="0.35">
      <c r="B146" s="53" t="s">
        <v>161</v>
      </c>
      <c r="C146" s="54">
        <v>72593.100000000006</v>
      </c>
      <c r="D146" s="54">
        <v>98854.2</v>
      </c>
      <c r="E146" s="54">
        <v>104667.6</v>
      </c>
      <c r="F146" s="54">
        <v>102613.8</v>
      </c>
      <c r="G146" s="54">
        <v>160057.29999999999</v>
      </c>
    </row>
    <row r="147" spans="2:7" x14ac:dyDescent="0.35">
      <c r="B147" s="55" t="s">
        <v>126</v>
      </c>
      <c r="C147" s="57">
        <v>0.66200000000000003</v>
      </c>
      <c r="D147" s="57">
        <v>0.71499999999999997</v>
      </c>
      <c r="E147" s="57">
        <v>0.73499999999999999</v>
      </c>
      <c r="F147" s="57">
        <v>0.71599999999999997</v>
      </c>
      <c r="G147" s="57">
        <v>0.95</v>
      </c>
    </row>
    <row r="148" spans="2:7" x14ac:dyDescent="0.35">
      <c r="B148" s="53" t="s">
        <v>162</v>
      </c>
      <c r="C148" s="54">
        <v>47902.6</v>
      </c>
      <c r="D148" s="54">
        <v>62036.3</v>
      </c>
      <c r="E148" s="54">
        <v>56696.1</v>
      </c>
      <c r="F148" s="58">
        <v>55550.8</v>
      </c>
      <c r="G148" s="54">
        <v>118815.3</v>
      </c>
    </row>
    <row r="149" spans="2:7" x14ac:dyDescent="0.35">
      <c r="B149" s="55" t="s">
        <v>164</v>
      </c>
      <c r="C149" s="57">
        <v>0.437</v>
      </c>
      <c r="D149" s="57">
        <v>0.44900000000000001</v>
      </c>
      <c r="E149" s="57">
        <v>0.39800000000000002</v>
      </c>
      <c r="F149" s="59">
        <v>0.38700000000000001</v>
      </c>
      <c r="G149" s="57">
        <v>0.70599999999999996</v>
      </c>
    </row>
    <row r="150" spans="2:7" x14ac:dyDescent="0.35">
      <c r="B150" s="53" t="s">
        <v>165</v>
      </c>
      <c r="C150" s="54">
        <v>24690.5</v>
      </c>
      <c r="D150" s="54">
        <v>36817.9</v>
      </c>
      <c r="E150" s="54">
        <v>47971.5</v>
      </c>
      <c r="F150" s="58">
        <v>47063</v>
      </c>
      <c r="G150" s="54">
        <v>41242</v>
      </c>
    </row>
    <row r="151" spans="2:7" x14ac:dyDescent="0.35">
      <c r="B151" s="55" t="s">
        <v>127</v>
      </c>
      <c r="C151" s="57">
        <v>0.22500000000000001</v>
      </c>
      <c r="D151" s="57">
        <v>0.26600000000000001</v>
      </c>
      <c r="E151" s="57">
        <v>0.33700000000000002</v>
      </c>
      <c r="F151" s="59">
        <v>0.32800000000000001</v>
      </c>
      <c r="G151" s="57">
        <v>0.245</v>
      </c>
    </row>
    <row r="152" spans="2:7" x14ac:dyDescent="0.35">
      <c r="B152" s="53" t="s">
        <v>133</v>
      </c>
      <c r="C152" s="54">
        <v>4428.7</v>
      </c>
      <c r="D152" s="54">
        <v>4675.3</v>
      </c>
      <c r="E152" s="54">
        <v>6735.4</v>
      </c>
      <c r="F152" s="54">
        <v>9145.5</v>
      </c>
      <c r="G152" s="54">
        <v>10136.700000000001</v>
      </c>
    </row>
    <row r="153" spans="2:7" x14ac:dyDescent="0.35">
      <c r="B153" s="55" t="s">
        <v>168</v>
      </c>
      <c r="C153" s="57">
        <v>0.04</v>
      </c>
      <c r="D153" s="57">
        <v>3.4000000000000002E-2</v>
      </c>
      <c r="E153" s="57">
        <v>4.7E-2</v>
      </c>
      <c r="F153" s="57">
        <v>6.4000000000000001E-2</v>
      </c>
      <c r="G153" s="57">
        <v>0.06</v>
      </c>
    </row>
    <row r="154" spans="2:7" x14ac:dyDescent="0.35">
      <c r="B154" s="53" t="s">
        <v>169</v>
      </c>
      <c r="C154" s="54">
        <v>20261.8</v>
      </c>
      <c r="D154" s="54">
        <v>32142.6</v>
      </c>
      <c r="E154" s="54">
        <v>41236.1</v>
      </c>
      <c r="F154" s="58">
        <v>37917.5</v>
      </c>
      <c r="G154" s="54">
        <v>31105.3</v>
      </c>
    </row>
    <row r="155" spans="2:7" x14ac:dyDescent="0.35">
      <c r="B155" s="55" t="s">
        <v>128</v>
      </c>
      <c r="C155" s="57">
        <v>0.185</v>
      </c>
      <c r="D155" s="57">
        <v>0.23200000000000001</v>
      </c>
      <c r="E155" s="57">
        <v>0.28999999999999998</v>
      </c>
      <c r="F155" s="59">
        <v>0.26400000000000001</v>
      </c>
      <c r="G155" s="57">
        <v>0.185</v>
      </c>
    </row>
    <row r="156" spans="2:7" x14ac:dyDescent="0.35">
      <c r="B156" s="53" t="s">
        <v>171</v>
      </c>
      <c r="C156" s="56">
        <v>541.5</v>
      </c>
      <c r="D156" s="56">
        <v>684.3</v>
      </c>
      <c r="E156" s="56">
        <v>819.4</v>
      </c>
      <c r="F156" s="56">
        <v>883.7</v>
      </c>
      <c r="G156" s="54">
        <v>1216.3</v>
      </c>
    </row>
    <row r="157" spans="2:7" x14ac:dyDescent="0.35">
      <c r="B157" s="53" t="s">
        <v>67</v>
      </c>
      <c r="C157" s="54">
        <v>3904.5</v>
      </c>
      <c r="D157" s="54">
        <v>6550.7</v>
      </c>
      <c r="E157" s="54">
        <v>7969.1</v>
      </c>
      <c r="F157" s="54">
        <v>9470.1</v>
      </c>
      <c r="G157" s="54">
        <v>11275.7</v>
      </c>
    </row>
    <row r="158" spans="2:7" x14ac:dyDescent="0.35">
      <c r="B158" s="53" t="s">
        <v>173</v>
      </c>
      <c r="C158" s="54">
        <v>23624.9</v>
      </c>
      <c r="D158" s="54">
        <v>38009</v>
      </c>
      <c r="E158" s="54">
        <v>48385.8</v>
      </c>
      <c r="F158" s="58">
        <v>46503.9</v>
      </c>
      <c r="G158" s="54">
        <v>41164.699999999997</v>
      </c>
    </row>
    <row r="159" spans="2:7" x14ac:dyDescent="0.35">
      <c r="B159" s="55" t="s">
        <v>129</v>
      </c>
      <c r="C159" s="57">
        <v>0.215</v>
      </c>
      <c r="D159" s="57">
        <v>0.27500000000000002</v>
      </c>
      <c r="E159" s="57">
        <v>0.34</v>
      </c>
      <c r="F159" s="59">
        <v>0.32400000000000001</v>
      </c>
      <c r="G159" s="57">
        <v>0.24399999999999999</v>
      </c>
    </row>
    <row r="160" spans="2:7" x14ac:dyDescent="0.35">
      <c r="B160" s="53" t="s">
        <v>174</v>
      </c>
      <c r="C160" s="54">
        <v>6237.9</v>
      </c>
      <c r="D160" s="54">
        <v>9875.9</v>
      </c>
      <c r="E160" s="54">
        <v>11443.5</v>
      </c>
      <c r="F160" s="54">
        <v>11664.1</v>
      </c>
      <c r="G160" s="54">
        <v>10852.5</v>
      </c>
    </row>
    <row r="161" spans="2:7" x14ac:dyDescent="0.35">
      <c r="B161" s="55" t="s">
        <v>175</v>
      </c>
      <c r="C161" s="57">
        <v>0.26400000000000001</v>
      </c>
      <c r="D161" s="57">
        <v>0.26</v>
      </c>
      <c r="E161" s="57">
        <v>0.23699999999999999</v>
      </c>
      <c r="F161" s="57">
        <v>0.27500000000000002</v>
      </c>
      <c r="G161" s="57">
        <v>0.26400000000000001</v>
      </c>
    </row>
    <row r="162" spans="2:7" x14ac:dyDescent="0.35">
      <c r="B162" s="53" t="s">
        <v>176</v>
      </c>
      <c r="C162" s="54">
        <v>17387</v>
      </c>
      <c r="D162" s="54">
        <v>28133.1</v>
      </c>
      <c r="E162" s="54">
        <v>36942.300000000003</v>
      </c>
      <c r="F162" s="58">
        <v>34839.800000000003</v>
      </c>
      <c r="G162" s="54">
        <v>30312.2</v>
      </c>
    </row>
    <row r="163" spans="2:7" x14ac:dyDescent="0.35">
      <c r="B163" s="55" t="s">
        <v>177</v>
      </c>
      <c r="C163" s="57">
        <v>0.158</v>
      </c>
      <c r="D163" s="57">
        <v>0.20300000000000001</v>
      </c>
      <c r="E163" s="57">
        <v>0.26</v>
      </c>
      <c r="F163" s="59">
        <v>0.24299999999999999</v>
      </c>
      <c r="G163" s="57">
        <v>0.18</v>
      </c>
    </row>
  </sheetData>
  <mergeCells count="1">
    <mergeCell ref="B2:G2"/>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1084"/>
  <sheetViews>
    <sheetView showGridLines="0" zoomScale="72" zoomScaleNormal="72" workbookViewId="0">
      <selection activeCell="L11" sqref="L11"/>
    </sheetView>
  </sheetViews>
  <sheetFormatPr defaultColWidth="8.6328125" defaultRowHeight="14.5" x14ac:dyDescent="0.35"/>
  <cols>
    <col min="1" max="1" width="2.7265625" customWidth="1"/>
    <col min="2" max="2" width="10.08984375" customWidth="1"/>
    <col min="3" max="3" width="19" customWidth="1"/>
    <col min="4" max="4" width="24.6328125" customWidth="1"/>
    <col min="6" max="6" width="17.26953125" customWidth="1"/>
  </cols>
  <sheetData>
    <row r="2" spans="2:11" ht="14.25" customHeight="1" x14ac:dyDescent="0.35">
      <c r="B2" s="386" t="s">
        <v>207</v>
      </c>
      <c r="C2" s="387" t="s">
        <v>208</v>
      </c>
      <c r="D2" s="387" t="s">
        <v>209</v>
      </c>
    </row>
    <row r="3" spans="2:11" ht="14.25" customHeight="1" x14ac:dyDescent="0.35">
      <c r="B3" s="70">
        <v>44565</v>
      </c>
      <c r="C3">
        <v>1.02</v>
      </c>
      <c r="D3">
        <v>-1.48</v>
      </c>
    </row>
    <row r="4" spans="2:11" ht="14.25" customHeight="1" x14ac:dyDescent="0.35">
      <c r="B4" s="70">
        <v>44566</v>
      </c>
      <c r="C4">
        <v>0.67</v>
      </c>
      <c r="D4">
        <v>0.46</v>
      </c>
      <c r="F4" t="s">
        <v>210</v>
      </c>
      <c r="G4" s="71">
        <f>G23</f>
        <v>0.88851666195742096</v>
      </c>
    </row>
    <row r="5" spans="2:11" ht="14.25" customHeight="1" x14ac:dyDescent="0.35">
      <c r="B5" s="70">
        <v>44567</v>
      </c>
      <c r="C5">
        <v>-1</v>
      </c>
      <c r="D5">
        <v>0.62</v>
      </c>
    </row>
    <row r="6" spans="2:11" ht="14.25" customHeight="1" x14ac:dyDescent="0.35">
      <c r="B6" s="70">
        <v>44568</v>
      </c>
      <c r="C6">
        <v>0.38</v>
      </c>
      <c r="D6">
        <v>1.49</v>
      </c>
      <c r="F6" t="s">
        <v>211</v>
      </c>
    </row>
    <row r="7" spans="2:11" ht="15" customHeight="1" x14ac:dyDescent="0.35">
      <c r="B7" s="70">
        <v>44571</v>
      </c>
      <c r="C7">
        <v>1.07</v>
      </c>
      <c r="D7">
        <v>2.39</v>
      </c>
    </row>
    <row r="8" spans="2:11" ht="14.25" customHeight="1" x14ac:dyDescent="0.35">
      <c r="B8" s="70">
        <v>44572</v>
      </c>
      <c r="C8">
        <v>0.28999999999999998</v>
      </c>
      <c r="D8">
        <v>-1.34</v>
      </c>
      <c r="F8" s="375" t="s">
        <v>212</v>
      </c>
      <c r="G8" s="375"/>
    </row>
    <row r="9" spans="2:11" ht="14.25" customHeight="1" x14ac:dyDescent="0.35">
      <c r="B9" s="70">
        <v>44573</v>
      </c>
      <c r="C9">
        <v>0.87</v>
      </c>
      <c r="D9">
        <v>0.5</v>
      </c>
      <c r="F9" t="s">
        <v>213</v>
      </c>
      <c r="G9">
        <v>0.43567516439507198</v>
      </c>
    </row>
    <row r="10" spans="2:11" ht="14.25" customHeight="1" x14ac:dyDescent="0.35">
      <c r="B10" s="70">
        <v>44574</v>
      </c>
      <c r="C10">
        <v>0.25</v>
      </c>
      <c r="D10">
        <v>3.39</v>
      </c>
      <c r="F10" t="s">
        <v>214</v>
      </c>
      <c r="G10">
        <v>0.18981284887067301</v>
      </c>
    </row>
    <row r="11" spans="2:11" ht="14.25" customHeight="1" x14ac:dyDescent="0.35">
      <c r="B11" s="70">
        <v>44575</v>
      </c>
      <c r="C11">
        <v>-0.01</v>
      </c>
      <c r="D11">
        <v>0</v>
      </c>
      <c r="F11" t="s">
        <v>215</v>
      </c>
      <c r="G11">
        <v>0.18906267558258999</v>
      </c>
    </row>
    <row r="12" spans="2:11" ht="14.25" customHeight="1" x14ac:dyDescent="0.35">
      <c r="B12" s="70">
        <v>44578</v>
      </c>
      <c r="C12">
        <v>0.28999999999999998</v>
      </c>
      <c r="D12">
        <v>-0.64</v>
      </c>
      <c r="F12" t="s">
        <v>216</v>
      </c>
      <c r="G12">
        <v>1.6137429590257899</v>
      </c>
    </row>
    <row r="13" spans="2:11" ht="15" customHeight="1" x14ac:dyDescent="0.35">
      <c r="B13" s="70">
        <v>44579</v>
      </c>
      <c r="C13">
        <v>-1.07</v>
      </c>
      <c r="D13">
        <v>-1.77</v>
      </c>
      <c r="F13" s="73" t="s">
        <v>217</v>
      </c>
      <c r="G13" s="73">
        <v>1082</v>
      </c>
    </row>
    <row r="14" spans="2:11" ht="14.25" customHeight="1" x14ac:dyDescent="0.35">
      <c r="B14" s="70">
        <v>44580</v>
      </c>
      <c r="C14">
        <v>-0.96</v>
      </c>
      <c r="D14">
        <v>1.93</v>
      </c>
    </row>
    <row r="15" spans="2:11" ht="15" customHeight="1" x14ac:dyDescent="0.35">
      <c r="B15" s="70">
        <v>44581</v>
      </c>
      <c r="C15">
        <v>-1.01</v>
      </c>
      <c r="D15">
        <v>0.7</v>
      </c>
      <c r="F15" t="s">
        <v>218</v>
      </c>
    </row>
    <row r="16" spans="2:11" ht="14.25" customHeight="1" x14ac:dyDescent="0.35">
      <c r="B16" s="70">
        <v>44582</v>
      </c>
      <c r="C16">
        <v>-0.79</v>
      </c>
      <c r="D16">
        <v>-3.82</v>
      </c>
      <c r="F16" s="72"/>
      <c r="G16" s="72" t="s">
        <v>219</v>
      </c>
      <c r="H16" s="72" t="s">
        <v>220</v>
      </c>
      <c r="I16" s="72" t="s">
        <v>221</v>
      </c>
      <c r="J16" s="72" t="s">
        <v>222</v>
      </c>
      <c r="K16" s="72" t="s">
        <v>223</v>
      </c>
    </row>
    <row r="17" spans="2:14" ht="14.25" customHeight="1" x14ac:dyDescent="0.35">
      <c r="B17" s="70">
        <v>44585</v>
      </c>
      <c r="C17">
        <v>-2.66</v>
      </c>
      <c r="D17">
        <v>-1.54</v>
      </c>
      <c r="F17" t="s">
        <v>224</v>
      </c>
      <c r="G17">
        <v>1</v>
      </c>
      <c r="H17">
        <v>658.92006468968304</v>
      </c>
      <c r="I17">
        <v>658.92006468968304</v>
      </c>
      <c r="J17">
        <v>253.025336793577</v>
      </c>
      <c r="K17">
        <v>2.4008105605579499E-51</v>
      </c>
    </row>
    <row r="18" spans="2:14" ht="14.25" customHeight="1" x14ac:dyDescent="0.35">
      <c r="B18" s="70">
        <v>44586</v>
      </c>
      <c r="C18">
        <v>0.75</v>
      </c>
      <c r="D18">
        <v>3.1</v>
      </c>
      <c r="F18" t="s">
        <v>225</v>
      </c>
      <c r="G18">
        <v>1080</v>
      </c>
      <c r="H18">
        <v>2812.4996448297302</v>
      </c>
      <c r="I18">
        <v>2.6041663378052999</v>
      </c>
    </row>
    <row r="19" spans="2:14" ht="15" customHeight="1" x14ac:dyDescent="0.35">
      <c r="B19" s="70">
        <v>44588</v>
      </c>
      <c r="C19">
        <v>-0.97</v>
      </c>
      <c r="D19">
        <v>-0.37</v>
      </c>
      <c r="F19" s="73" t="s">
        <v>226</v>
      </c>
      <c r="G19" s="73">
        <v>1081</v>
      </c>
      <c r="H19" s="73">
        <v>3471.4197095194099</v>
      </c>
      <c r="I19" s="73"/>
      <c r="J19" s="73"/>
      <c r="K19" s="73"/>
    </row>
    <row r="20" spans="2:14" ht="15" customHeight="1" x14ac:dyDescent="0.35">
      <c r="B20" s="70">
        <v>44589</v>
      </c>
      <c r="C20">
        <v>-0.05</v>
      </c>
      <c r="D20">
        <v>0.69</v>
      </c>
    </row>
    <row r="21" spans="2:14" ht="14.25" customHeight="1" x14ac:dyDescent="0.35">
      <c r="B21" s="70">
        <v>44592</v>
      </c>
      <c r="C21">
        <v>1.39</v>
      </c>
      <c r="D21">
        <v>-1.1399999999999999</v>
      </c>
      <c r="F21" s="72"/>
      <c r="G21" s="72" t="s">
        <v>227</v>
      </c>
      <c r="H21" s="72" t="s">
        <v>216</v>
      </c>
      <c r="I21" s="72" t="s">
        <v>228</v>
      </c>
      <c r="J21" s="72" t="s">
        <v>229</v>
      </c>
      <c r="K21" s="72" t="s">
        <v>230</v>
      </c>
      <c r="L21" s="72" t="s">
        <v>231</v>
      </c>
      <c r="M21" s="72" t="s">
        <v>232</v>
      </c>
      <c r="N21" s="72" t="s">
        <v>233</v>
      </c>
    </row>
    <row r="22" spans="2:14" ht="14.25" customHeight="1" x14ac:dyDescent="0.35">
      <c r="B22" s="70">
        <v>44593</v>
      </c>
      <c r="C22">
        <v>1.37</v>
      </c>
      <c r="D22">
        <v>2.0299999999999998</v>
      </c>
      <c r="F22" t="s">
        <v>234</v>
      </c>
      <c r="G22">
        <v>0.12066617559899299</v>
      </c>
      <c r="H22">
        <v>4.9092473467095998E-2</v>
      </c>
      <c r="I22">
        <v>2.4579363612605198</v>
      </c>
      <c r="J22">
        <v>1.4129996259862099E-2</v>
      </c>
      <c r="K22">
        <v>2.4338742849325301E-2</v>
      </c>
      <c r="L22">
        <v>0.21699360834865999</v>
      </c>
      <c r="M22">
        <v>2.4338742849325301E-2</v>
      </c>
      <c r="N22">
        <v>0.21699360834865999</v>
      </c>
    </row>
    <row r="23" spans="2:14" ht="15" customHeight="1" x14ac:dyDescent="0.35">
      <c r="B23" s="70">
        <v>44594</v>
      </c>
      <c r="C23">
        <v>1.1599999999999999</v>
      </c>
      <c r="D23">
        <v>0.49</v>
      </c>
      <c r="F23" s="73" t="s">
        <v>235</v>
      </c>
      <c r="G23" s="73">
        <v>0.88851666195742096</v>
      </c>
      <c r="H23" s="73">
        <v>5.5857767054375999E-2</v>
      </c>
      <c r="I23" s="73">
        <v>15.906770155929699</v>
      </c>
      <c r="J23" s="73">
        <v>2.4008105605597701E-51</v>
      </c>
      <c r="K23" s="73">
        <v>0.77891462075892004</v>
      </c>
      <c r="L23" s="73">
        <v>0.99811870315592199</v>
      </c>
      <c r="M23" s="73">
        <v>0.77891462075892004</v>
      </c>
      <c r="N23" s="73">
        <v>0.99811870315592199</v>
      </c>
    </row>
    <row r="24" spans="2:14" ht="14.25" customHeight="1" x14ac:dyDescent="0.35">
      <c r="B24" s="70">
        <v>44595</v>
      </c>
      <c r="C24">
        <v>-1.24</v>
      </c>
      <c r="D24">
        <v>-1.56</v>
      </c>
    </row>
    <row r="25" spans="2:14" ht="14.25" customHeight="1" x14ac:dyDescent="0.35">
      <c r="B25" s="70">
        <v>44596</v>
      </c>
      <c r="C25">
        <v>-0.25</v>
      </c>
      <c r="D25">
        <v>-0.56000000000000005</v>
      </c>
    </row>
    <row r="26" spans="2:14" ht="14.25" customHeight="1" x14ac:dyDescent="0.35">
      <c r="B26" s="70">
        <v>44599</v>
      </c>
      <c r="C26">
        <v>-1.73</v>
      </c>
      <c r="D26">
        <v>0.34</v>
      </c>
    </row>
    <row r="27" spans="2:14" ht="14.25" customHeight="1" x14ac:dyDescent="0.35">
      <c r="B27" s="70">
        <v>44600</v>
      </c>
      <c r="C27">
        <v>0.31</v>
      </c>
      <c r="D27">
        <v>-0.62</v>
      </c>
    </row>
    <row r="28" spans="2:14" ht="14.25" customHeight="1" x14ac:dyDescent="0.35">
      <c r="B28" s="70">
        <v>44601</v>
      </c>
      <c r="C28">
        <v>1.1399999999999999</v>
      </c>
      <c r="D28">
        <v>5.41</v>
      </c>
    </row>
    <row r="29" spans="2:14" ht="14.25" customHeight="1" x14ac:dyDescent="0.35">
      <c r="B29" s="70">
        <v>44602</v>
      </c>
      <c r="C29">
        <v>0.81</v>
      </c>
      <c r="D29">
        <v>-0.33</v>
      </c>
    </row>
    <row r="30" spans="2:14" ht="14.25" customHeight="1" x14ac:dyDescent="0.35">
      <c r="B30" s="70">
        <v>44603</v>
      </c>
      <c r="C30">
        <v>-1.31</v>
      </c>
      <c r="D30">
        <v>-0.92</v>
      </c>
    </row>
    <row r="31" spans="2:14" ht="14.25" customHeight="1" x14ac:dyDescent="0.35">
      <c r="B31" s="70">
        <v>44606</v>
      </c>
      <c r="C31">
        <v>-3.06</v>
      </c>
      <c r="D31">
        <v>-2.91</v>
      </c>
    </row>
    <row r="32" spans="2:14" ht="14.25" customHeight="1" x14ac:dyDescent="0.35">
      <c r="B32" s="70">
        <v>44607</v>
      </c>
      <c r="C32">
        <v>3.03</v>
      </c>
      <c r="D32">
        <v>1.24</v>
      </c>
    </row>
    <row r="33" spans="2:4" ht="14.25" customHeight="1" x14ac:dyDescent="0.35">
      <c r="B33" s="70">
        <v>44608</v>
      </c>
      <c r="C33">
        <v>-0.17</v>
      </c>
      <c r="D33">
        <v>0.12</v>
      </c>
    </row>
    <row r="34" spans="2:4" ht="14.25" customHeight="1" x14ac:dyDescent="0.35">
      <c r="B34" s="70">
        <v>44609</v>
      </c>
      <c r="C34">
        <v>-0.1</v>
      </c>
      <c r="D34">
        <v>-0.49</v>
      </c>
    </row>
    <row r="35" spans="2:4" ht="14.25" customHeight="1" x14ac:dyDescent="0.35">
      <c r="B35" s="70">
        <v>44610</v>
      </c>
      <c r="C35">
        <v>-0.16</v>
      </c>
      <c r="D35">
        <v>2.61</v>
      </c>
    </row>
    <row r="36" spans="2:4" ht="14.25" customHeight="1" x14ac:dyDescent="0.35">
      <c r="B36" s="70">
        <v>44613</v>
      </c>
      <c r="C36">
        <v>-0.4</v>
      </c>
      <c r="D36">
        <v>-0.68</v>
      </c>
    </row>
    <row r="37" spans="2:4" ht="14.25" customHeight="1" x14ac:dyDescent="0.35">
      <c r="B37" s="70">
        <v>44614</v>
      </c>
      <c r="C37">
        <v>-0.67</v>
      </c>
      <c r="D37">
        <v>-0.81</v>
      </c>
    </row>
    <row r="38" spans="2:4" ht="14.25" customHeight="1" x14ac:dyDescent="0.35">
      <c r="B38" s="70">
        <v>44615</v>
      </c>
      <c r="C38">
        <v>-0.17</v>
      </c>
      <c r="D38">
        <v>-0.88</v>
      </c>
    </row>
    <row r="39" spans="2:4" ht="14.25" customHeight="1" x14ac:dyDescent="0.35">
      <c r="B39" s="70">
        <v>44616</v>
      </c>
      <c r="C39">
        <v>-4.78</v>
      </c>
      <c r="D39">
        <v>-5.36</v>
      </c>
    </row>
    <row r="40" spans="2:4" ht="14.25" customHeight="1" x14ac:dyDescent="0.35">
      <c r="B40" s="70">
        <v>44617</v>
      </c>
      <c r="C40">
        <v>2.5299999999999998</v>
      </c>
      <c r="D40">
        <v>8.9700000000000006</v>
      </c>
    </row>
    <row r="41" spans="2:4" ht="14.25" customHeight="1" x14ac:dyDescent="0.35">
      <c r="B41" s="70">
        <v>44620</v>
      </c>
      <c r="C41">
        <v>0.81</v>
      </c>
      <c r="D41">
        <v>3.73</v>
      </c>
    </row>
    <row r="42" spans="2:4" ht="14.25" customHeight="1" x14ac:dyDescent="0.35">
      <c r="B42" s="70">
        <v>44622</v>
      </c>
      <c r="C42">
        <v>-1.1200000000000001</v>
      </c>
      <c r="D42">
        <v>8.99</v>
      </c>
    </row>
    <row r="43" spans="2:4" ht="14.25" customHeight="1" x14ac:dyDescent="0.35">
      <c r="B43" s="70">
        <v>44623</v>
      </c>
      <c r="C43">
        <v>-0.65</v>
      </c>
      <c r="D43">
        <v>2.25</v>
      </c>
    </row>
    <row r="44" spans="2:4" ht="14.25" customHeight="1" x14ac:dyDescent="0.35">
      <c r="B44" s="70">
        <v>44624</v>
      </c>
      <c r="C44">
        <v>-1.53</v>
      </c>
      <c r="D44">
        <v>-4.21</v>
      </c>
    </row>
    <row r="45" spans="2:4" ht="14.25" customHeight="1" x14ac:dyDescent="0.35">
      <c r="B45" s="70">
        <v>44627</v>
      </c>
      <c r="C45">
        <v>-2.35</v>
      </c>
      <c r="D45">
        <v>4.25</v>
      </c>
    </row>
    <row r="46" spans="2:4" ht="14.25" customHeight="1" x14ac:dyDescent="0.35">
      <c r="B46" s="70">
        <v>44628</v>
      </c>
      <c r="C46">
        <v>0.95</v>
      </c>
      <c r="D46">
        <v>0.24</v>
      </c>
    </row>
    <row r="47" spans="2:4" ht="14.25" customHeight="1" x14ac:dyDescent="0.35">
      <c r="B47" s="70">
        <v>44629</v>
      </c>
      <c r="C47">
        <v>2.0699999999999998</v>
      </c>
      <c r="D47">
        <v>-1.32</v>
      </c>
    </row>
    <row r="48" spans="2:4" ht="14.25" customHeight="1" x14ac:dyDescent="0.35">
      <c r="B48" s="70">
        <v>44630</v>
      </c>
      <c r="C48">
        <v>1.53</v>
      </c>
      <c r="D48">
        <v>-4.13</v>
      </c>
    </row>
    <row r="49" spans="2:4" ht="14.25" customHeight="1" x14ac:dyDescent="0.35">
      <c r="B49" s="70">
        <v>44631</v>
      </c>
      <c r="C49">
        <v>0.21</v>
      </c>
      <c r="D49">
        <v>1.56</v>
      </c>
    </row>
    <row r="50" spans="2:4" ht="14.25" customHeight="1" x14ac:dyDescent="0.35">
      <c r="B50" s="70">
        <v>44634</v>
      </c>
      <c r="C50">
        <v>1.45</v>
      </c>
      <c r="D50">
        <v>-0.77</v>
      </c>
    </row>
    <row r="51" spans="2:4" ht="14.25" customHeight="1" x14ac:dyDescent="0.35">
      <c r="B51" s="70">
        <v>44635</v>
      </c>
      <c r="C51">
        <v>-1.23</v>
      </c>
      <c r="D51">
        <v>-4.13</v>
      </c>
    </row>
    <row r="52" spans="2:4" ht="14.25" customHeight="1" x14ac:dyDescent="0.35">
      <c r="B52" s="70">
        <v>44636</v>
      </c>
      <c r="C52">
        <v>1.87</v>
      </c>
      <c r="D52">
        <v>2.31</v>
      </c>
    </row>
    <row r="53" spans="2:4" ht="14.25" customHeight="1" x14ac:dyDescent="0.35">
      <c r="B53" s="70">
        <v>44637</v>
      </c>
      <c r="C53">
        <v>1.84</v>
      </c>
      <c r="D53">
        <v>-0.2</v>
      </c>
    </row>
    <row r="54" spans="2:4" ht="14.25" customHeight="1" x14ac:dyDescent="0.35">
      <c r="B54" s="70">
        <v>44641</v>
      </c>
      <c r="C54">
        <v>-0.98</v>
      </c>
      <c r="D54">
        <v>3.26</v>
      </c>
    </row>
    <row r="55" spans="2:4" ht="14.25" customHeight="1" x14ac:dyDescent="0.35">
      <c r="B55" s="70">
        <v>44642</v>
      </c>
      <c r="C55">
        <v>1.1599999999999999</v>
      </c>
      <c r="D55">
        <v>0.57999999999999996</v>
      </c>
    </row>
    <row r="56" spans="2:4" ht="14.25" customHeight="1" x14ac:dyDescent="0.35">
      <c r="B56" s="70">
        <v>44643</v>
      </c>
      <c r="C56">
        <v>-0.4</v>
      </c>
      <c r="D56">
        <v>-0.16</v>
      </c>
    </row>
    <row r="57" spans="2:4" ht="14.25" customHeight="1" x14ac:dyDescent="0.35">
      <c r="B57" s="70">
        <v>44644</v>
      </c>
      <c r="C57">
        <v>-0.13</v>
      </c>
      <c r="D57">
        <v>2.38</v>
      </c>
    </row>
    <row r="58" spans="2:4" ht="14.25" customHeight="1" x14ac:dyDescent="0.35">
      <c r="B58" s="70">
        <v>44645</v>
      </c>
      <c r="C58">
        <v>-0.4</v>
      </c>
      <c r="D58">
        <v>-0.69</v>
      </c>
    </row>
    <row r="59" spans="2:4" ht="14.25" customHeight="1" x14ac:dyDescent="0.35">
      <c r="B59" s="70">
        <v>44648</v>
      </c>
      <c r="C59">
        <v>0.4</v>
      </c>
      <c r="D59">
        <v>2.77</v>
      </c>
    </row>
    <row r="60" spans="2:4" ht="14.25" customHeight="1" x14ac:dyDescent="0.35">
      <c r="B60" s="70">
        <v>44649</v>
      </c>
      <c r="C60">
        <v>0.6</v>
      </c>
      <c r="D60">
        <v>-2.75</v>
      </c>
    </row>
    <row r="61" spans="2:4" ht="14.25" customHeight="1" x14ac:dyDescent="0.35">
      <c r="B61" s="70">
        <v>44650</v>
      </c>
      <c r="C61">
        <v>1</v>
      </c>
      <c r="D61">
        <v>-1.67</v>
      </c>
    </row>
    <row r="62" spans="2:4" ht="14.25" customHeight="1" x14ac:dyDescent="0.35">
      <c r="B62" s="70">
        <v>44651</v>
      </c>
      <c r="C62">
        <v>-0.19</v>
      </c>
      <c r="D62">
        <v>0.08</v>
      </c>
    </row>
    <row r="63" spans="2:4" ht="14.25" customHeight="1" x14ac:dyDescent="0.35">
      <c r="B63" s="70">
        <v>44652</v>
      </c>
      <c r="C63">
        <v>1.18</v>
      </c>
      <c r="D63">
        <v>1.69</v>
      </c>
    </row>
    <row r="64" spans="2:4" ht="14.25" customHeight="1" x14ac:dyDescent="0.35">
      <c r="B64" s="70">
        <v>44655</v>
      </c>
      <c r="C64">
        <v>2.17</v>
      </c>
      <c r="D64">
        <v>0.86</v>
      </c>
    </row>
    <row r="65" spans="2:4" ht="14.25" customHeight="1" x14ac:dyDescent="0.35">
      <c r="B65" s="70">
        <v>44656</v>
      </c>
      <c r="C65">
        <v>-0.53</v>
      </c>
      <c r="D65">
        <v>0.08</v>
      </c>
    </row>
    <row r="66" spans="2:4" ht="14.25" customHeight="1" x14ac:dyDescent="0.35">
      <c r="B66" s="70">
        <v>44657</v>
      </c>
      <c r="C66">
        <v>-0.83</v>
      </c>
      <c r="D66">
        <v>3.17</v>
      </c>
    </row>
    <row r="67" spans="2:4" ht="14.25" customHeight="1" x14ac:dyDescent="0.35">
      <c r="B67" s="70">
        <v>44658</v>
      </c>
      <c r="C67">
        <v>-0.94</v>
      </c>
      <c r="D67">
        <v>-1.6</v>
      </c>
    </row>
    <row r="68" spans="2:4" ht="14.25" customHeight="1" x14ac:dyDescent="0.35">
      <c r="B68" s="70">
        <v>44659</v>
      </c>
      <c r="C68">
        <v>0.82</v>
      </c>
      <c r="D68">
        <v>1.99</v>
      </c>
    </row>
    <row r="69" spans="2:4" ht="14.25" customHeight="1" x14ac:dyDescent="0.35">
      <c r="B69" s="70">
        <v>44662</v>
      </c>
      <c r="C69">
        <v>-0.62</v>
      </c>
      <c r="D69">
        <v>0.95</v>
      </c>
    </row>
    <row r="70" spans="2:4" ht="14.25" customHeight="1" x14ac:dyDescent="0.35">
      <c r="B70" s="70">
        <v>44663</v>
      </c>
      <c r="C70">
        <v>-0.82</v>
      </c>
      <c r="D70">
        <v>-5.3</v>
      </c>
    </row>
    <row r="71" spans="2:4" ht="14.25" customHeight="1" x14ac:dyDescent="0.35">
      <c r="B71" s="70">
        <v>44664</v>
      </c>
      <c r="C71">
        <v>-0.31</v>
      </c>
      <c r="D71">
        <v>0.32</v>
      </c>
    </row>
    <row r="72" spans="2:4" ht="14.25" customHeight="1" x14ac:dyDescent="0.35">
      <c r="B72" s="70">
        <v>44669</v>
      </c>
      <c r="C72">
        <v>-1.73</v>
      </c>
      <c r="D72">
        <v>1.53</v>
      </c>
    </row>
    <row r="73" spans="2:4" ht="14.25" customHeight="1" x14ac:dyDescent="0.35">
      <c r="B73" s="70">
        <v>44670</v>
      </c>
      <c r="C73">
        <v>-1.25</v>
      </c>
      <c r="D73">
        <v>4.38</v>
      </c>
    </row>
    <row r="74" spans="2:4" ht="14.25" customHeight="1" x14ac:dyDescent="0.35">
      <c r="B74" s="70">
        <v>44671</v>
      </c>
      <c r="C74">
        <v>1.05</v>
      </c>
      <c r="D74">
        <v>0.68</v>
      </c>
    </row>
    <row r="75" spans="2:4" ht="14.25" customHeight="1" x14ac:dyDescent="0.35">
      <c r="B75" s="70">
        <v>44672</v>
      </c>
      <c r="C75">
        <v>1.49</v>
      </c>
      <c r="D75">
        <v>3.92</v>
      </c>
    </row>
    <row r="76" spans="2:4" ht="14.25" customHeight="1" x14ac:dyDescent="0.35">
      <c r="B76" s="70">
        <v>44673</v>
      </c>
      <c r="C76">
        <v>-1.27</v>
      </c>
      <c r="D76">
        <v>-2.2999999999999998</v>
      </c>
    </row>
    <row r="77" spans="2:4" ht="14.25" customHeight="1" x14ac:dyDescent="0.35">
      <c r="B77" s="70">
        <v>44676</v>
      </c>
      <c r="C77">
        <v>-1.27</v>
      </c>
      <c r="D77">
        <v>-6.78</v>
      </c>
    </row>
    <row r="78" spans="2:4" ht="14.25" customHeight="1" x14ac:dyDescent="0.35">
      <c r="B78" s="70">
        <v>44677</v>
      </c>
      <c r="C78">
        <v>1.46</v>
      </c>
      <c r="D78">
        <v>1.57</v>
      </c>
    </row>
    <row r="79" spans="2:4" ht="14.25" customHeight="1" x14ac:dyDescent="0.35">
      <c r="B79" s="70">
        <v>44678</v>
      </c>
      <c r="C79">
        <v>-0.94</v>
      </c>
      <c r="D79">
        <v>-2.04</v>
      </c>
    </row>
    <row r="80" spans="2:4" ht="14.25" customHeight="1" x14ac:dyDescent="0.35">
      <c r="B80" s="70">
        <v>44679</v>
      </c>
      <c r="C80">
        <v>1.21</v>
      </c>
      <c r="D80">
        <v>1.47</v>
      </c>
    </row>
    <row r="81" spans="2:4" ht="14.25" customHeight="1" x14ac:dyDescent="0.35">
      <c r="B81" s="70">
        <v>44680</v>
      </c>
      <c r="C81">
        <v>-0.83</v>
      </c>
      <c r="D81">
        <v>-3.89</v>
      </c>
    </row>
    <row r="82" spans="2:4" ht="14.25" customHeight="1" x14ac:dyDescent="0.35">
      <c r="B82" s="70">
        <v>44683</v>
      </c>
      <c r="C82">
        <v>-0.2</v>
      </c>
      <c r="D82">
        <v>2.63</v>
      </c>
    </row>
    <row r="83" spans="2:4" ht="14.25" customHeight="1" x14ac:dyDescent="0.35">
      <c r="B83" s="70">
        <v>44685</v>
      </c>
      <c r="C83">
        <v>-2.29</v>
      </c>
      <c r="D83">
        <v>-0.16</v>
      </c>
    </row>
    <row r="84" spans="2:4" ht="14.25" customHeight="1" x14ac:dyDescent="0.35">
      <c r="B84" s="70">
        <v>44686</v>
      </c>
      <c r="C84">
        <v>0.03</v>
      </c>
      <c r="D84">
        <v>-0.8</v>
      </c>
    </row>
    <row r="85" spans="2:4" ht="14.25" customHeight="1" x14ac:dyDescent="0.35">
      <c r="B85" s="70">
        <v>44687</v>
      </c>
      <c r="C85">
        <v>-1.63</v>
      </c>
      <c r="D85">
        <v>0.83</v>
      </c>
    </row>
    <row r="86" spans="2:4" ht="14.25" customHeight="1" x14ac:dyDescent="0.35">
      <c r="B86" s="70">
        <v>44690</v>
      </c>
      <c r="C86">
        <v>-0.67</v>
      </c>
      <c r="D86">
        <v>-2.3199999999999998</v>
      </c>
    </row>
    <row r="87" spans="2:4" ht="14.25" customHeight="1" x14ac:dyDescent="0.35">
      <c r="B87" s="70">
        <v>44691</v>
      </c>
      <c r="C87">
        <v>-0.38</v>
      </c>
      <c r="D87">
        <v>-7.1</v>
      </c>
    </row>
    <row r="88" spans="2:4" ht="14.25" customHeight="1" x14ac:dyDescent="0.35">
      <c r="B88" s="70">
        <v>44692</v>
      </c>
      <c r="C88">
        <v>-0.45</v>
      </c>
      <c r="D88">
        <v>-0.12</v>
      </c>
    </row>
    <row r="89" spans="2:4" ht="14.25" customHeight="1" x14ac:dyDescent="0.35">
      <c r="B89" s="70">
        <v>44693</v>
      </c>
      <c r="C89">
        <v>-2.2200000000000002</v>
      </c>
      <c r="D89">
        <v>-1.65</v>
      </c>
    </row>
    <row r="90" spans="2:4" ht="14.25" customHeight="1" x14ac:dyDescent="0.35">
      <c r="B90" s="70">
        <v>44694</v>
      </c>
      <c r="C90">
        <v>-0.16</v>
      </c>
      <c r="D90">
        <v>0.99</v>
      </c>
    </row>
    <row r="91" spans="2:4" ht="14.25" customHeight="1" x14ac:dyDescent="0.35">
      <c r="B91" s="70">
        <v>44697</v>
      </c>
      <c r="C91">
        <v>0.38</v>
      </c>
      <c r="D91">
        <v>1.78</v>
      </c>
    </row>
    <row r="92" spans="2:4" ht="14.25" customHeight="1" x14ac:dyDescent="0.35">
      <c r="B92" s="70">
        <v>44698</v>
      </c>
      <c r="C92">
        <v>2.63</v>
      </c>
      <c r="D92">
        <v>7.48</v>
      </c>
    </row>
    <row r="93" spans="2:4" ht="14.25" customHeight="1" x14ac:dyDescent="0.35">
      <c r="B93" s="70">
        <v>44699</v>
      </c>
      <c r="C93">
        <v>-0.12</v>
      </c>
      <c r="D93">
        <v>0.54</v>
      </c>
    </row>
    <row r="94" spans="2:4" ht="14.25" customHeight="1" x14ac:dyDescent="0.35">
      <c r="B94" s="70">
        <v>44700</v>
      </c>
      <c r="C94">
        <v>-2.65</v>
      </c>
      <c r="D94">
        <v>-2.34</v>
      </c>
    </row>
    <row r="95" spans="2:4" ht="14.25" customHeight="1" x14ac:dyDescent="0.35">
      <c r="B95" s="70">
        <v>44701</v>
      </c>
      <c r="C95">
        <v>2.89</v>
      </c>
      <c r="D95">
        <v>2.62</v>
      </c>
    </row>
    <row r="96" spans="2:4" ht="14.25" customHeight="1" x14ac:dyDescent="0.35">
      <c r="B96" s="70">
        <v>44704</v>
      </c>
      <c r="C96">
        <v>-0.32</v>
      </c>
      <c r="D96">
        <v>-0.89</v>
      </c>
    </row>
    <row r="97" spans="2:4" ht="14.25" customHeight="1" x14ac:dyDescent="0.35">
      <c r="B97" s="70">
        <v>44705</v>
      </c>
      <c r="C97">
        <v>-0.55000000000000004</v>
      </c>
      <c r="D97">
        <v>-1.06</v>
      </c>
    </row>
    <row r="98" spans="2:4" ht="14.25" customHeight="1" x14ac:dyDescent="0.35">
      <c r="B98" s="70">
        <v>44706</v>
      </c>
      <c r="C98">
        <v>-0.62</v>
      </c>
      <c r="D98">
        <v>-0.9</v>
      </c>
    </row>
    <row r="99" spans="2:4" ht="14.25" customHeight="1" x14ac:dyDescent="0.35">
      <c r="B99" s="70">
        <v>44707</v>
      </c>
      <c r="C99">
        <v>0.9</v>
      </c>
      <c r="D99">
        <v>1.41</v>
      </c>
    </row>
    <row r="100" spans="2:4" ht="14.25" customHeight="1" x14ac:dyDescent="0.35">
      <c r="B100" s="70">
        <v>44708</v>
      </c>
      <c r="C100">
        <v>1.1299999999999999</v>
      </c>
      <c r="D100">
        <v>-0.76</v>
      </c>
    </row>
    <row r="101" spans="2:4" ht="14.25" customHeight="1" x14ac:dyDescent="0.35">
      <c r="B101" s="70">
        <v>44711</v>
      </c>
      <c r="C101">
        <v>1.89</v>
      </c>
      <c r="D101">
        <v>2.94</v>
      </c>
    </row>
    <row r="102" spans="2:4" ht="14.25" customHeight="1" x14ac:dyDescent="0.35">
      <c r="B102" s="70">
        <v>44712</v>
      </c>
      <c r="C102">
        <v>-0.46</v>
      </c>
      <c r="D102">
        <v>3.04</v>
      </c>
    </row>
    <row r="103" spans="2:4" ht="14.25" customHeight="1" x14ac:dyDescent="0.35">
      <c r="B103" s="70">
        <v>44713</v>
      </c>
      <c r="C103">
        <v>-0.37</v>
      </c>
      <c r="D103">
        <v>1.63</v>
      </c>
    </row>
    <row r="104" spans="2:4" ht="14.25" customHeight="1" x14ac:dyDescent="0.35">
      <c r="B104" s="70">
        <v>44714</v>
      </c>
      <c r="C104">
        <v>0.64</v>
      </c>
      <c r="D104">
        <v>1.1000000000000001</v>
      </c>
    </row>
    <row r="105" spans="2:4" ht="14.25" customHeight="1" x14ac:dyDescent="0.35">
      <c r="B105" s="70">
        <v>44715</v>
      </c>
      <c r="C105">
        <v>-0.26</v>
      </c>
      <c r="D105">
        <v>-0.61</v>
      </c>
    </row>
    <row r="106" spans="2:4" ht="14.25" customHeight="1" x14ac:dyDescent="0.35">
      <c r="B106" s="70">
        <v>44718</v>
      </c>
      <c r="C106">
        <v>-0.09</v>
      </c>
      <c r="D106">
        <v>-1.0900000000000001</v>
      </c>
    </row>
    <row r="107" spans="2:4" ht="14.25" customHeight="1" x14ac:dyDescent="0.35">
      <c r="B107" s="70">
        <v>44719</v>
      </c>
      <c r="C107">
        <v>-0.92</v>
      </c>
      <c r="D107">
        <v>1.39</v>
      </c>
    </row>
    <row r="108" spans="2:4" ht="14.25" customHeight="1" x14ac:dyDescent="0.35">
      <c r="B108" s="70">
        <v>44720</v>
      </c>
      <c r="C108">
        <v>-0.37</v>
      </c>
      <c r="D108">
        <v>0.05</v>
      </c>
    </row>
    <row r="109" spans="2:4" ht="14.25" customHeight="1" x14ac:dyDescent="0.35">
      <c r="B109" s="70">
        <v>44721</v>
      </c>
      <c r="C109">
        <v>0.74</v>
      </c>
      <c r="D109">
        <v>0.56000000000000005</v>
      </c>
    </row>
    <row r="110" spans="2:4" ht="14.25" customHeight="1" x14ac:dyDescent="0.35">
      <c r="B110" s="70">
        <v>44722</v>
      </c>
      <c r="C110">
        <v>-1.68</v>
      </c>
      <c r="D110">
        <v>-0.13</v>
      </c>
    </row>
    <row r="111" spans="2:4" ht="14.25" customHeight="1" x14ac:dyDescent="0.35">
      <c r="B111" s="70">
        <v>44725</v>
      </c>
      <c r="C111">
        <v>-2.64</v>
      </c>
      <c r="D111">
        <v>-3.75</v>
      </c>
    </row>
    <row r="112" spans="2:4" ht="14.25" customHeight="1" x14ac:dyDescent="0.35">
      <c r="B112" s="70">
        <v>44726</v>
      </c>
      <c r="C112">
        <v>-0.27</v>
      </c>
      <c r="D112">
        <v>0.6</v>
      </c>
    </row>
    <row r="113" spans="2:4" ht="14.25" customHeight="1" x14ac:dyDescent="0.35">
      <c r="B113" s="70">
        <v>44727</v>
      </c>
      <c r="C113">
        <v>-0.25</v>
      </c>
      <c r="D113">
        <v>-1.1200000000000001</v>
      </c>
    </row>
    <row r="114" spans="2:4" ht="14.25" customHeight="1" x14ac:dyDescent="0.35">
      <c r="B114" s="70">
        <v>44728</v>
      </c>
      <c r="C114">
        <v>-2.11</v>
      </c>
      <c r="D114">
        <v>-5.34</v>
      </c>
    </row>
    <row r="115" spans="2:4" ht="14.25" customHeight="1" x14ac:dyDescent="0.35">
      <c r="B115" s="70">
        <v>44729</v>
      </c>
      <c r="C115">
        <v>-0.44</v>
      </c>
      <c r="D115">
        <v>1.53</v>
      </c>
    </row>
    <row r="116" spans="2:4" ht="14.25" customHeight="1" x14ac:dyDescent="0.35">
      <c r="B116" s="70">
        <v>44732</v>
      </c>
      <c r="C116">
        <v>0.37</v>
      </c>
      <c r="D116">
        <v>-3.18</v>
      </c>
    </row>
    <row r="117" spans="2:4" ht="14.25" customHeight="1" x14ac:dyDescent="0.35">
      <c r="B117" s="70">
        <v>44733</v>
      </c>
      <c r="C117">
        <v>1.88</v>
      </c>
      <c r="D117">
        <v>4.5</v>
      </c>
    </row>
    <row r="118" spans="2:4" ht="14.25" customHeight="1" x14ac:dyDescent="0.35">
      <c r="B118" s="70">
        <v>44734</v>
      </c>
      <c r="C118">
        <v>-1.44</v>
      </c>
      <c r="D118">
        <v>-2.95</v>
      </c>
    </row>
    <row r="119" spans="2:4" ht="14.25" customHeight="1" x14ac:dyDescent="0.35">
      <c r="B119" s="70">
        <v>44735</v>
      </c>
      <c r="C119">
        <v>0.93</v>
      </c>
      <c r="D119">
        <v>-1.23</v>
      </c>
    </row>
    <row r="120" spans="2:4" ht="14.25" customHeight="1" x14ac:dyDescent="0.35">
      <c r="B120" s="70">
        <v>44736</v>
      </c>
      <c r="C120">
        <v>0.92</v>
      </c>
      <c r="D120">
        <v>-0.34</v>
      </c>
    </row>
    <row r="121" spans="2:4" ht="14.25" customHeight="1" x14ac:dyDescent="0.35">
      <c r="B121" s="70">
        <v>44739</v>
      </c>
      <c r="C121">
        <v>0.85</v>
      </c>
      <c r="D121">
        <v>3.12</v>
      </c>
    </row>
    <row r="122" spans="2:4" ht="14.25" customHeight="1" x14ac:dyDescent="0.35">
      <c r="B122" s="70">
        <v>44740</v>
      </c>
      <c r="C122">
        <v>0.11</v>
      </c>
      <c r="D122">
        <v>2.39</v>
      </c>
    </row>
    <row r="123" spans="2:4" ht="14.25" customHeight="1" x14ac:dyDescent="0.35">
      <c r="B123" s="70">
        <v>44741</v>
      </c>
      <c r="C123">
        <v>-0.32</v>
      </c>
      <c r="D123">
        <v>1.26</v>
      </c>
    </row>
    <row r="124" spans="2:4" ht="14.25" customHeight="1" x14ac:dyDescent="0.35">
      <c r="B124" s="70">
        <v>44742</v>
      </c>
      <c r="C124">
        <v>-0.12</v>
      </c>
      <c r="D124">
        <v>-1.67</v>
      </c>
    </row>
    <row r="125" spans="2:4" ht="14.25" customHeight="1" x14ac:dyDescent="0.35">
      <c r="B125" s="70">
        <v>44743</v>
      </c>
      <c r="C125">
        <v>-0.18</v>
      </c>
      <c r="D125">
        <v>-1.27</v>
      </c>
    </row>
    <row r="126" spans="2:4" ht="14.25" customHeight="1" x14ac:dyDescent="0.35">
      <c r="B126" s="70">
        <v>44746</v>
      </c>
      <c r="C126">
        <v>0.53</v>
      </c>
      <c r="D126">
        <v>-0.65</v>
      </c>
    </row>
    <row r="127" spans="2:4" ht="14.25" customHeight="1" x14ac:dyDescent="0.35">
      <c r="B127" s="70">
        <v>44747</v>
      </c>
      <c r="C127">
        <v>-0.15</v>
      </c>
      <c r="D127">
        <v>0.22</v>
      </c>
    </row>
    <row r="128" spans="2:4" ht="14.25" customHeight="1" x14ac:dyDescent="0.35">
      <c r="B128" s="70">
        <v>44748</v>
      </c>
      <c r="C128">
        <v>1.1299999999999999</v>
      </c>
      <c r="D128">
        <v>-0.41</v>
      </c>
    </row>
    <row r="129" spans="2:4" ht="14.25" customHeight="1" x14ac:dyDescent="0.35">
      <c r="B129" s="70">
        <v>44749</v>
      </c>
      <c r="C129">
        <v>0.89</v>
      </c>
      <c r="D129">
        <v>2.37</v>
      </c>
    </row>
    <row r="130" spans="2:4" ht="14.25" customHeight="1" x14ac:dyDescent="0.35">
      <c r="B130" s="70">
        <v>44750</v>
      </c>
      <c r="C130">
        <v>0.54</v>
      </c>
      <c r="D130">
        <v>2.04</v>
      </c>
    </row>
    <row r="131" spans="2:4" ht="14.25" customHeight="1" x14ac:dyDescent="0.35">
      <c r="B131" s="70">
        <v>44753</v>
      </c>
      <c r="C131">
        <v>-0.03</v>
      </c>
      <c r="D131">
        <v>1.87</v>
      </c>
    </row>
    <row r="132" spans="2:4" ht="14.25" customHeight="1" x14ac:dyDescent="0.35">
      <c r="B132" s="70">
        <v>44754</v>
      </c>
      <c r="C132">
        <v>-0.97</v>
      </c>
      <c r="D132">
        <v>0.28000000000000003</v>
      </c>
    </row>
    <row r="133" spans="2:4" ht="14.25" customHeight="1" x14ac:dyDescent="0.35">
      <c r="B133" s="70">
        <v>44755</v>
      </c>
      <c r="C133">
        <v>-0.56999999999999995</v>
      </c>
      <c r="D133">
        <v>-0.23</v>
      </c>
    </row>
    <row r="134" spans="2:4" ht="14.25" customHeight="1" x14ac:dyDescent="0.35">
      <c r="B134" s="70">
        <v>44756</v>
      </c>
      <c r="C134">
        <v>-0.18</v>
      </c>
      <c r="D134">
        <v>-0.75</v>
      </c>
    </row>
    <row r="135" spans="2:4" ht="14.25" customHeight="1" x14ac:dyDescent="0.35">
      <c r="B135" s="70">
        <v>44757</v>
      </c>
      <c r="C135">
        <v>0.69</v>
      </c>
      <c r="D135">
        <v>0.73</v>
      </c>
    </row>
    <row r="136" spans="2:4" ht="14.25" customHeight="1" x14ac:dyDescent="0.35">
      <c r="B136" s="70">
        <v>44760</v>
      </c>
      <c r="C136">
        <v>1.43</v>
      </c>
      <c r="D136">
        <v>1.1399999999999999</v>
      </c>
    </row>
    <row r="137" spans="2:4" ht="14.25" customHeight="1" x14ac:dyDescent="0.35">
      <c r="B137" s="70">
        <v>44761</v>
      </c>
      <c r="C137">
        <v>0.38</v>
      </c>
      <c r="D137">
        <v>1.35</v>
      </c>
    </row>
    <row r="138" spans="2:4" ht="14.25" customHeight="1" x14ac:dyDescent="0.35">
      <c r="B138" s="70">
        <v>44762</v>
      </c>
      <c r="C138">
        <v>1.1000000000000001</v>
      </c>
      <c r="D138">
        <v>-0.2</v>
      </c>
    </row>
    <row r="139" spans="2:4" ht="14.25" customHeight="1" x14ac:dyDescent="0.35">
      <c r="B139" s="70">
        <v>44763</v>
      </c>
      <c r="C139">
        <v>0.51</v>
      </c>
      <c r="D139">
        <v>0.38</v>
      </c>
    </row>
    <row r="140" spans="2:4" ht="14.25" customHeight="1" x14ac:dyDescent="0.35">
      <c r="B140" s="70">
        <v>44764</v>
      </c>
      <c r="C140">
        <v>0.69</v>
      </c>
      <c r="D140">
        <v>-0.76</v>
      </c>
    </row>
    <row r="141" spans="2:4" ht="14.25" customHeight="1" x14ac:dyDescent="0.35">
      <c r="B141" s="70">
        <v>44767</v>
      </c>
      <c r="C141">
        <v>-0.53</v>
      </c>
      <c r="D141">
        <v>1.93</v>
      </c>
    </row>
    <row r="142" spans="2:4" ht="14.25" customHeight="1" x14ac:dyDescent="0.35">
      <c r="B142" s="70">
        <v>44768</v>
      </c>
      <c r="C142">
        <v>-0.88</v>
      </c>
      <c r="D142">
        <v>0.7</v>
      </c>
    </row>
    <row r="143" spans="2:4" ht="14.25" customHeight="1" x14ac:dyDescent="0.35">
      <c r="B143" s="70">
        <v>44769</v>
      </c>
      <c r="C143">
        <v>0.96</v>
      </c>
      <c r="D143">
        <v>0.56999999999999995</v>
      </c>
    </row>
    <row r="144" spans="2:4" ht="14.25" customHeight="1" x14ac:dyDescent="0.35">
      <c r="B144" s="70">
        <v>44770</v>
      </c>
      <c r="C144">
        <v>1.73</v>
      </c>
      <c r="D144">
        <v>-0.28999999999999998</v>
      </c>
    </row>
    <row r="145" spans="2:4" ht="14.25" customHeight="1" x14ac:dyDescent="0.35">
      <c r="B145" s="70">
        <v>44771</v>
      </c>
      <c r="C145">
        <v>1.35</v>
      </c>
      <c r="D145">
        <v>4.1399999999999997</v>
      </c>
    </row>
    <row r="146" spans="2:4" ht="14.25" customHeight="1" x14ac:dyDescent="0.35">
      <c r="B146" s="70">
        <v>44774</v>
      </c>
      <c r="C146">
        <v>1.06</v>
      </c>
      <c r="D146">
        <v>0.71</v>
      </c>
    </row>
    <row r="147" spans="2:4" ht="14.25" customHeight="1" x14ac:dyDescent="0.35">
      <c r="B147" s="70">
        <v>44775</v>
      </c>
      <c r="C147">
        <v>0.03</v>
      </c>
      <c r="D147">
        <v>1.18</v>
      </c>
    </row>
    <row r="148" spans="2:4" ht="14.25" customHeight="1" x14ac:dyDescent="0.35">
      <c r="B148" s="70">
        <v>44776</v>
      </c>
      <c r="C148">
        <v>0.25</v>
      </c>
      <c r="D148">
        <v>-1.46</v>
      </c>
    </row>
    <row r="149" spans="2:4" ht="14.25" customHeight="1" x14ac:dyDescent="0.35">
      <c r="B149" s="70">
        <v>44777</v>
      </c>
      <c r="C149">
        <v>-0.04</v>
      </c>
      <c r="D149">
        <v>-2.33</v>
      </c>
    </row>
    <row r="150" spans="2:4" ht="14.25" customHeight="1" x14ac:dyDescent="0.35">
      <c r="B150" s="70">
        <v>44778</v>
      </c>
      <c r="C150">
        <v>0.09</v>
      </c>
      <c r="D150">
        <v>0.63</v>
      </c>
    </row>
    <row r="151" spans="2:4" ht="14.25" customHeight="1" x14ac:dyDescent="0.35">
      <c r="B151" s="70">
        <v>44781</v>
      </c>
      <c r="C151">
        <v>0.73</v>
      </c>
      <c r="D151">
        <v>3.33</v>
      </c>
    </row>
    <row r="152" spans="2:4" ht="14.25" customHeight="1" x14ac:dyDescent="0.35">
      <c r="B152" s="70">
        <v>44783</v>
      </c>
      <c r="C152">
        <v>0.06</v>
      </c>
      <c r="D152">
        <v>2.0699999999999998</v>
      </c>
    </row>
    <row r="153" spans="2:4" ht="14.25" customHeight="1" x14ac:dyDescent="0.35">
      <c r="B153" s="70">
        <v>44784</v>
      </c>
      <c r="C153">
        <v>0.71</v>
      </c>
      <c r="D153">
        <v>0.81</v>
      </c>
    </row>
    <row r="154" spans="2:4" ht="14.25" customHeight="1" x14ac:dyDescent="0.35">
      <c r="B154" s="70">
        <v>44785</v>
      </c>
      <c r="C154">
        <v>0.22</v>
      </c>
      <c r="D154">
        <v>1.4</v>
      </c>
    </row>
    <row r="155" spans="2:4" ht="14.25" customHeight="1" x14ac:dyDescent="0.35">
      <c r="B155" s="70">
        <v>44789</v>
      </c>
      <c r="C155">
        <v>0.72</v>
      </c>
      <c r="D155">
        <v>0.56000000000000005</v>
      </c>
    </row>
    <row r="156" spans="2:4" ht="14.25" customHeight="1" x14ac:dyDescent="0.35">
      <c r="B156" s="70">
        <v>44790</v>
      </c>
      <c r="C156">
        <v>0.67</v>
      </c>
      <c r="D156">
        <v>-0.65</v>
      </c>
    </row>
    <row r="157" spans="2:4" ht="14.25" customHeight="1" x14ac:dyDescent="0.35">
      <c r="B157" s="70">
        <v>44791</v>
      </c>
      <c r="C157">
        <v>7.0000000000000007E-2</v>
      </c>
      <c r="D157">
        <v>0.14000000000000001</v>
      </c>
    </row>
    <row r="158" spans="2:4" ht="14.25" customHeight="1" x14ac:dyDescent="0.35">
      <c r="B158" s="70">
        <v>44792</v>
      </c>
      <c r="C158">
        <v>-1.1000000000000001</v>
      </c>
      <c r="D158">
        <v>-2.0699999999999998</v>
      </c>
    </row>
    <row r="159" spans="2:4" ht="14.25" customHeight="1" x14ac:dyDescent="0.35">
      <c r="B159" s="70">
        <v>44795</v>
      </c>
      <c r="C159">
        <v>-1.51</v>
      </c>
      <c r="D159">
        <v>0.53</v>
      </c>
    </row>
    <row r="160" spans="2:4" ht="14.25" customHeight="1" x14ac:dyDescent="0.35">
      <c r="B160" s="70">
        <v>44796</v>
      </c>
      <c r="C160">
        <v>0.5</v>
      </c>
      <c r="D160">
        <v>2.08</v>
      </c>
    </row>
    <row r="161" spans="2:4" ht="14.25" customHeight="1" x14ac:dyDescent="0.35">
      <c r="B161" s="70">
        <v>44797</v>
      </c>
      <c r="C161">
        <v>0.16</v>
      </c>
      <c r="D161">
        <v>0.36</v>
      </c>
    </row>
    <row r="162" spans="2:4" ht="14.25" customHeight="1" x14ac:dyDescent="0.35">
      <c r="B162" s="70">
        <v>44798</v>
      </c>
      <c r="C162">
        <v>-0.47</v>
      </c>
      <c r="D162">
        <v>0.56000000000000005</v>
      </c>
    </row>
    <row r="163" spans="2:4" ht="14.25" customHeight="1" x14ac:dyDescent="0.35">
      <c r="B163" s="70">
        <v>44799</v>
      </c>
      <c r="C163">
        <v>0.21</v>
      </c>
      <c r="D163">
        <v>2.25</v>
      </c>
    </row>
    <row r="164" spans="2:4" ht="14.25" customHeight="1" x14ac:dyDescent="0.35">
      <c r="B164" s="70">
        <v>44802</v>
      </c>
      <c r="C164">
        <v>-1.4</v>
      </c>
      <c r="D164">
        <v>0.28000000000000003</v>
      </c>
    </row>
    <row r="165" spans="2:4" ht="14.25" customHeight="1" x14ac:dyDescent="0.35">
      <c r="B165" s="70">
        <v>44803</v>
      </c>
      <c r="C165">
        <v>2.58</v>
      </c>
      <c r="D165">
        <v>1.82</v>
      </c>
    </row>
    <row r="166" spans="2:4" ht="14.25" customHeight="1" x14ac:dyDescent="0.35">
      <c r="B166" s="70">
        <v>44805</v>
      </c>
      <c r="C166">
        <v>-1.22</v>
      </c>
      <c r="D166">
        <v>-1.92</v>
      </c>
    </row>
    <row r="167" spans="2:4" ht="14.25" customHeight="1" x14ac:dyDescent="0.35">
      <c r="B167" s="70">
        <v>44806</v>
      </c>
      <c r="C167">
        <v>-0.02</v>
      </c>
      <c r="D167">
        <v>-0.43</v>
      </c>
    </row>
    <row r="168" spans="2:4" ht="14.25" customHeight="1" x14ac:dyDescent="0.35">
      <c r="B168" s="70">
        <v>44809</v>
      </c>
      <c r="C168">
        <v>0.72</v>
      </c>
      <c r="D168">
        <v>1</v>
      </c>
    </row>
    <row r="169" spans="2:4" ht="14.25" customHeight="1" x14ac:dyDescent="0.35">
      <c r="B169" s="70">
        <v>44810</v>
      </c>
      <c r="C169">
        <v>-0.06</v>
      </c>
      <c r="D169">
        <v>0.47</v>
      </c>
    </row>
    <row r="170" spans="2:4" ht="14.25" customHeight="1" x14ac:dyDescent="0.35">
      <c r="B170" s="70">
        <v>44811</v>
      </c>
      <c r="C170">
        <v>-0.18</v>
      </c>
      <c r="D170">
        <v>2.64</v>
      </c>
    </row>
    <row r="171" spans="2:4" ht="14.25" customHeight="1" x14ac:dyDescent="0.35">
      <c r="B171" s="70">
        <v>44812</v>
      </c>
      <c r="C171">
        <v>0.99</v>
      </c>
      <c r="D171">
        <v>-1</v>
      </c>
    </row>
    <row r="172" spans="2:4" ht="14.25" customHeight="1" x14ac:dyDescent="0.35">
      <c r="B172" s="70">
        <v>44813</v>
      </c>
      <c r="C172">
        <v>0.19</v>
      </c>
      <c r="D172">
        <v>0.49</v>
      </c>
    </row>
    <row r="173" spans="2:4" ht="14.25" customHeight="1" x14ac:dyDescent="0.35">
      <c r="B173" s="70">
        <v>44816</v>
      </c>
      <c r="C173">
        <v>0.57999999999999996</v>
      </c>
      <c r="D173">
        <v>-2.57</v>
      </c>
    </row>
    <row r="174" spans="2:4" ht="14.25" customHeight="1" x14ac:dyDescent="0.35">
      <c r="B174" s="70">
        <v>44817</v>
      </c>
      <c r="C174">
        <v>0.75</v>
      </c>
      <c r="D174">
        <v>-0.09</v>
      </c>
    </row>
    <row r="175" spans="2:4" ht="14.25" customHeight="1" x14ac:dyDescent="0.35">
      <c r="B175" s="70">
        <v>44818</v>
      </c>
      <c r="C175">
        <v>-0.37</v>
      </c>
      <c r="D175">
        <v>0.28000000000000003</v>
      </c>
    </row>
    <row r="176" spans="2:4" ht="14.25" customHeight="1" x14ac:dyDescent="0.35">
      <c r="B176" s="70">
        <v>44819</v>
      </c>
      <c r="C176">
        <v>-0.7</v>
      </c>
      <c r="D176">
        <v>0.99</v>
      </c>
    </row>
    <row r="177" spans="2:4" ht="14.25" customHeight="1" x14ac:dyDescent="0.35">
      <c r="B177" s="70">
        <v>44820</v>
      </c>
      <c r="C177">
        <v>-1.94</v>
      </c>
      <c r="D177">
        <v>-1.37</v>
      </c>
    </row>
    <row r="178" spans="2:4" ht="14.25" customHeight="1" x14ac:dyDescent="0.35">
      <c r="B178" s="70">
        <v>44823</v>
      </c>
      <c r="C178">
        <v>0.52</v>
      </c>
      <c r="D178">
        <v>-0.5</v>
      </c>
    </row>
    <row r="179" spans="2:4" ht="14.25" customHeight="1" x14ac:dyDescent="0.35">
      <c r="B179" s="70">
        <v>44824</v>
      </c>
      <c r="C179">
        <v>1.1000000000000001</v>
      </c>
      <c r="D179">
        <v>-0.02</v>
      </c>
    </row>
    <row r="180" spans="2:4" ht="14.25" customHeight="1" x14ac:dyDescent="0.35">
      <c r="B180" s="70">
        <v>44825</v>
      </c>
      <c r="C180">
        <v>-0.55000000000000004</v>
      </c>
      <c r="D180">
        <v>0.74</v>
      </c>
    </row>
    <row r="181" spans="2:4" ht="14.25" customHeight="1" x14ac:dyDescent="0.35">
      <c r="B181" s="70">
        <v>44826</v>
      </c>
      <c r="C181">
        <v>-0.5</v>
      </c>
      <c r="D181">
        <v>-1.94</v>
      </c>
    </row>
    <row r="182" spans="2:4" ht="14.25" customHeight="1" x14ac:dyDescent="0.35">
      <c r="B182" s="70">
        <v>44827</v>
      </c>
      <c r="C182">
        <v>-1.72</v>
      </c>
      <c r="D182">
        <v>-1.85</v>
      </c>
    </row>
    <row r="183" spans="2:4" ht="14.25" customHeight="1" x14ac:dyDescent="0.35">
      <c r="B183" s="70">
        <v>44830</v>
      </c>
      <c r="C183">
        <v>-1.8</v>
      </c>
      <c r="D183">
        <v>-3.3</v>
      </c>
    </row>
    <row r="184" spans="2:4" ht="14.25" customHeight="1" x14ac:dyDescent="0.35">
      <c r="B184" s="70">
        <v>44831</v>
      </c>
      <c r="C184">
        <v>-0.05</v>
      </c>
      <c r="D184">
        <v>-0.74</v>
      </c>
    </row>
    <row r="185" spans="2:4" ht="14.25" customHeight="1" x14ac:dyDescent="0.35">
      <c r="B185" s="70">
        <v>44832</v>
      </c>
      <c r="C185">
        <v>-0.87</v>
      </c>
      <c r="D185">
        <v>-1.45</v>
      </c>
    </row>
    <row r="186" spans="2:4" ht="14.25" customHeight="1" x14ac:dyDescent="0.35">
      <c r="B186" s="70">
        <v>44833</v>
      </c>
      <c r="C186">
        <v>-0.24</v>
      </c>
      <c r="D186">
        <v>1.47</v>
      </c>
    </row>
    <row r="187" spans="2:4" ht="14.25" customHeight="1" x14ac:dyDescent="0.35">
      <c r="B187" s="70">
        <v>44834</v>
      </c>
      <c r="C187">
        <v>1.64</v>
      </c>
      <c r="D187">
        <v>-0.77</v>
      </c>
    </row>
    <row r="188" spans="2:4" ht="14.25" customHeight="1" x14ac:dyDescent="0.35">
      <c r="B188" s="70">
        <v>44837</v>
      </c>
      <c r="C188">
        <v>-1.21</v>
      </c>
      <c r="D188">
        <v>1.27</v>
      </c>
    </row>
    <row r="189" spans="2:4" ht="14.25" customHeight="1" x14ac:dyDescent="0.35">
      <c r="B189" s="70">
        <v>44838</v>
      </c>
      <c r="C189">
        <v>2.29</v>
      </c>
      <c r="D189">
        <v>3.86</v>
      </c>
    </row>
    <row r="190" spans="2:4" ht="14.25" customHeight="1" x14ac:dyDescent="0.35">
      <c r="B190" s="70">
        <v>44840</v>
      </c>
      <c r="C190">
        <v>0.33</v>
      </c>
      <c r="D190">
        <v>4.59</v>
      </c>
    </row>
    <row r="191" spans="2:4" ht="14.25" customHeight="1" x14ac:dyDescent="0.35">
      <c r="B191" s="70">
        <v>44841</v>
      </c>
      <c r="C191">
        <v>-0.1</v>
      </c>
      <c r="D191">
        <v>-1.63</v>
      </c>
    </row>
    <row r="192" spans="2:4" ht="14.25" customHeight="1" x14ac:dyDescent="0.35">
      <c r="B192" s="70">
        <v>44844</v>
      </c>
      <c r="C192">
        <v>-0.43</v>
      </c>
      <c r="D192">
        <v>7.0000000000000007E-2</v>
      </c>
    </row>
    <row r="193" spans="2:4" ht="14.25" customHeight="1" x14ac:dyDescent="0.35">
      <c r="B193" s="70">
        <v>44845</v>
      </c>
      <c r="C193">
        <v>-1.49</v>
      </c>
      <c r="D193">
        <v>-1.91</v>
      </c>
    </row>
    <row r="194" spans="2:4" ht="14.25" customHeight="1" x14ac:dyDescent="0.35">
      <c r="B194" s="70">
        <v>44846</v>
      </c>
      <c r="C194">
        <v>0.82</v>
      </c>
      <c r="D194">
        <v>2.95</v>
      </c>
    </row>
    <row r="195" spans="2:4" ht="14.25" customHeight="1" x14ac:dyDescent="0.35">
      <c r="B195" s="70">
        <v>44847</v>
      </c>
      <c r="C195">
        <v>-0.64</v>
      </c>
      <c r="D195">
        <v>1.06</v>
      </c>
    </row>
    <row r="196" spans="2:4" ht="14.25" customHeight="1" x14ac:dyDescent="0.35">
      <c r="B196" s="70">
        <v>44848</v>
      </c>
      <c r="C196">
        <v>1.01</v>
      </c>
      <c r="D196">
        <v>0.77</v>
      </c>
    </row>
    <row r="197" spans="2:4" ht="14.25" customHeight="1" x14ac:dyDescent="0.35">
      <c r="B197" s="70">
        <v>44851</v>
      </c>
      <c r="C197">
        <v>0.73</v>
      </c>
      <c r="D197">
        <v>0.7</v>
      </c>
    </row>
    <row r="198" spans="2:4" ht="14.25" customHeight="1" x14ac:dyDescent="0.35">
      <c r="B198" s="70">
        <v>44852</v>
      </c>
      <c r="C198">
        <v>1.01</v>
      </c>
      <c r="D198">
        <v>1.55</v>
      </c>
    </row>
    <row r="199" spans="2:4" ht="14.25" customHeight="1" x14ac:dyDescent="0.35">
      <c r="B199" s="70">
        <v>44853</v>
      </c>
      <c r="C199">
        <v>0.14000000000000001</v>
      </c>
      <c r="D199">
        <v>-1.45</v>
      </c>
    </row>
    <row r="200" spans="2:4" ht="14.25" customHeight="1" x14ac:dyDescent="0.35">
      <c r="B200" s="70">
        <v>44854</v>
      </c>
      <c r="C200">
        <v>0.3</v>
      </c>
      <c r="D200">
        <v>1.18</v>
      </c>
    </row>
    <row r="201" spans="2:4" ht="14.25" customHeight="1" x14ac:dyDescent="0.35">
      <c r="B201" s="70">
        <v>44855</v>
      </c>
      <c r="C201">
        <v>7.0000000000000007E-2</v>
      </c>
      <c r="D201">
        <v>-0.95</v>
      </c>
    </row>
    <row r="202" spans="2:4" ht="14.25" customHeight="1" x14ac:dyDescent="0.35">
      <c r="B202" s="70">
        <v>44858</v>
      </c>
      <c r="C202">
        <v>0.88</v>
      </c>
      <c r="D202">
        <v>0.75</v>
      </c>
    </row>
    <row r="203" spans="2:4" ht="14.25" customHeight="1" x14ac:dyDescent="0.35">
      <c r="B203" s="70">
        <v>44859</v>
      </c>
      <c r="C203">
        <v>-0.42</v>
      </c>
      <c r="D203">
        <v>-0.23</v>
      </c>
    </row>
    <row r="204" spans="2:4" ht="14.25" customHeight="1" x14ac:dyDescent="0.35">
      <c r="B204" s="70">
        <v>44861</v>
      </c>
      <c r="C204">
        <v>0.46</v>
      </c>
      <c r="D204">
        <v>0.4</v>
      </c>
    </row>
    <row r="205" spans="2:4" ht="14.25" customHeight="1" x14ac:dyDescent="0.35">
      <c r="B205" s="70">
        <v>44862</v>
      </c>
      <c r="C205">
        <v>0.28000000000000003</v>
      </c>
      <c r="D205">
        <v>1.45</v>
      </c>
    </row>
    <row r="206" spans="2:4" ht="14.25" customHeight="1" x14ac:dyDescent="0.35">
      <c r="B206" s="70">
        <v>44865</v>
      </c>
      <c r="C206">
        <v>1.27</v>
      </c>
      <c r="D206">
        <v>0.63</v>
      </c>
    </row>
    <row r="207" spans="2:4" ht="14.25" customHeight="1" x14ac:dyDescent="0.35">
      <c r="B207" s="70">
        <v>44866</v>
      </c>
      <c r="C207">
        <v>0.74</v>
      </c>
      <c r="D207">
        <v>-0.12</v>
      </c>
    </row>
    <row r="208" spans="2:4" ht="14.25" customHeight="1" x14ac:dyDescent="0.35">
      <c r="B208" s="70">
        <v>44867</v>
      </c>
      <c r="C208">
        <v>-0.34</v>
      </c>
      <c r="D208">
        <v>0.06</v>
      </c>
    </row>
    <row r="209" spans="2:4" ht="14.25" customHeight="1" x14ac:dyDescent="0.35">
      <c r="B209" s="70">
        <v>44868</v>
      </c>
      <c r="C209">
        <v>-0.17</v>
      </c>
      <c r="D209">
        <v>0.16</v>
      </c>
    </row>
    <row r="210" spans="2:4" ht="14.25" customHeight="1" x14ac:dyDescent="0.35">
      <c r="B210" s="70">
        <v>44869</v>
      </c>
      <c r="C210">
        <v>0.36</v>
      </c>
      <c r="D210">
        <v>-0.06</v>
      </c>
    </row>
    <row r="211" spans="2:4" ht="14.25" customHeight="1" x14ac:dyDescent="0.35">
      <c r="B211" s="70">
        <v>44872</v>
      </c>
      <c r="C211">
        <v>0.47</v>
      </c>
      <c r="D211">
        <v>1.42</v>
      </c>
    </row>
    <row r="212" spans="2:4" ht="14.25" customHeight="1" x14ac:dyDescent="0.35">
      <c r="B212" s="70">
        <v>44874</v>
      </c>
      <c r="C212">
        <v>-0.25</v>
      </c>
      <c r="D212">
        <v>2.5</v>
      </c>
    </row>
    <row r="213" spans="2:4" ht="14.25" customHeight="1" x14ac:dyDescent="0.35">
      <c r="B213" s="70">
        <v>44875</v>
      </c>
      <c r="C213">
        <v>-0.71</v>
      </c>
      <c r="D213">
        <v>-0.86</v>
      </c>
    </row>
    <row r="214" spans="2:4" ht="14.25" customHeight="1" x14ac:dyDescent="0.35">
      <c r="B214" s="70">
        <v>44876</v>
      </c>
      <c r="C214">
        <v>1.78</v>
      </c>
      <c r="D214">
        <v>-0.14000000000000001</v>
      </c>
    </row>
    <row r="215" spans="2:4" ht="14.25" customHeight="1" x14ac:dyDescent="0.35">
      <c r="B215" s="70">
        <v>44879</v>
      </c>
      <c r="C215">
        <v>-0.11</v>
      </c>
      <c r="D215">
        <v>-2.39</v>
      </c>
    </row>
    <row r="216" spans="2:4" ht="14.25" customHeight="1" x14ac:dyDescent="0.35">
      <c r="B216" s="70">
        <v>44880</v>
      </c>
      <c r="C216">
        <v>0.41</v>
      </c>
      <c r="D216">
        <v>-0.02</v>
      </c>
    </row>
    <row r="217" spans="2:4" ht="14.25" customHeight="1" x14ac:dyDescent="0.35">
      <c r="B217" s="70">
        <v>44881</v>
      </c>
      <c r="C217">
        <v>0.03</v>
      </c>
      <c r="D217">
        <v>1.18</v>
      </c>
    </row>
    <row r="218" spans="2:4" ht="14.25" customHeight="1" x14ac:dyDescent="0.35">
      <c r="B218" s="70">
        <v>44882</v>
      </c>
      <c r="C218">
        <v>-0.36</v>
      </c>
      <c r="D218">
        <v>-1.06</v>
      </c>
    </row>
    <row r="219" spans="2:4" ht="14.25" customHeight="1" x14ac:dyDescent="0.35">
      <c r="B219" s="70">
        <v>44883</v>
      </c>
      <c r="C219">
        <v>-0.2</v>
      </c>
      <c r="D219">
        <v>-1.23</v>
      </c>
    </row>
    <row r="220" spans="2:4" ht="14.25" customHeight="1" x14ac:dyDescent="0.35">
      <c r="B220" s="70">
        <v>44886</v>
      </c>
      <c r="C220">
        <v>-0.81</v>
      </c>
      <c r="D220">
        <v>-0.04</v>
      </c>
    </row>
    <row r="221" spans="2:4" ht="14.25" customHeight="1" x14ac:dyDescent="0.35">
      <c r="B221" s="70">
        <v>44887</v>
      </c>
      <c r="C221">
        <v>0.46</v>
      </c>
      <c r="D221">
        <v>-0.15</v>
      </c>
    </row>
    <row r="222" spans="2:4" ht="14.25" customHeight="1" x14ac:dyDescent="0.35">
      <c r="B222" s="70">
        <v>44888</v>
      </c>
      <c r="C222">
        <v>0.13</v>
      </c>
      <c r="D222">
        <v>0.65</v>
      </c>
    </row>
    <row r="223" spans="2:4" ht="14.25" customHeight="1" x14ac:dyDescent="0.35">
      <c r="B223" s="70">
        <v>44889</v>
      </c>
      <c r="C223">
        <v>1.19</v>
      </c>
      <c r="D223">
        <v>-0.91</v>
      </c>
    </row>
    <row r="224" spans="2:4" ht="14.25" customHeight="1" x14ac:dyDescent="0.35">
      <c r="B224" s="70">
        <v>44890</v>
      </c>
      <c r="C224">
        <v>0.16</v>
      </c>
      <c r="D224">
        <v>1.27</v>
      </c>
    </row>
    <row r="225" spans="2:4" ht="14.25" customHeight="1" x14ac:dyDescent="0.35">
      <c r="B225" s="70">
        <v>44893</v>
      </c>
      <c r="C225">
        <v>0.27</v>
      </c>
      <c r="D225">
        <v>-0.67</v>
      </c>
    </row>
    <row r="226" spans="2:4" ht="14.25" customHeight="1" x14ac:dyDescent="0.35">
      <c r="B226" s="70">
        <v>44894</v>
      </c>
      <c r="C226">
        <v>0.3</v>
      </c>
      <c r="D226">
        <v>-1.1499999999999999</v>
      </c>
    </row>
    <row r="227" spans="2:4" ht="14.25" customHeight="1" x14ac:dyDescent="0.35">
      <c r="B227" s="70">
        <v>44895</v>
      </c>
      <c r="C227">
        <v>0.75</v>
      </c>
      <c r="D227">
        <v>0.02</v>
      </c>
    </row>
    <row r="228" spans="2:4" ht="14.25" customHeight="1" x14ac:dyDescent="0.35">
      <c r="B228" s="70">
        <v>44896</v>
      </c>
      <c r="C228">
        <v>0.28999999999999998</v>
      </c>
      <c r="D228">
        <v>-0.51</v>
      </c>
    </row>
    <row r="229" spans="2:4" ht="14.25" customHeight="1" x14ac:dyDescent="0.35">
      <c r="B229" s="70">
        <v>44897</v>
      </c>
      <c r="C229">
        <v>-0.62</v>
      </c>
      <c r="D229">
        <v>0.22</v>
      </c>
    </row>
    <row r="230" spans="2:4" ht="14.25" customHeight="1" x14ac:dyDescent="0.35">
      <c r="B230" s="70">
        <v>44900</v>
      </c>
      <c r="C230">
        <v>0.03</v>
      </c>
      <c r="D230">
        <v>2.0499999999999998</v>
      </c>
    </row>
    <row r="231" spans="2:4" ht="14.25" customHeight="1" x14ac:dyDescent="0.35">
      <c r="B231" s="70">
        <v>44901</v>
      </c>
      <c r="C231">
        <v>-0.31</v>
      </c>
      <c r="D231">
        <v>0.17</v>
      </c>
    </row>
    <row r="232" spans="2:4" ht="14.25" customHeight="1" x14ac:dyDescent="0.35">
      <c r="B232" s="70">
        <v>44902</v>
      </c>
      <c r="C232">
        <v>-0.44</v>
      </c>
      <c r="D232">
        <v>-0.82</v>
      </c>
    </row>
    <row r="233" spans="2:4" ht="14.25" customHeight="1" x14ac:dyDescent="0.35">
      <c r="B233" s="70">
        <v>44903</v>
      </c>
      <c r="C233">
        <v>0.26</v>
      </c>
      <c r="D233">
        <v>0.28000000000000003</v>
      </c>
    </row>
    <row r="234" spans="2:4" ht="14.25" customHeight="1" x14ac:dyDescent="0.35">
      <c r="B234" s="70">
        <v>44904</v>
      </c>
      <c r="C234">
        <v>-0.61</v>
      </c>
      <c r="D234">
        <v>-0.67</v>
      </c>
    </row>
    <row r="235" spans="2:4" ht="14.25" customHeight="1" x14ac:dyDescent="0.35">
      <c r="B235" s="70">
        <v>44907</v>
      </c>
      <c r="C235">
        <v>0</v>
      </c>
      <c r="D235">
        <v>1.55</v>
      </c>
    </row>
    <row r="236" spans="2:4" ht="14.25" customHeight="1" x14ac:dyDescent="0.35">
      <c r="B236" s="70">
        <v>44908</v>
      </c>
      <c r="C236">
        <v>0.6</v>
      </c>
      <c r="D236">
        <v>-0.37</v>
      </c>
    </row>
    <row r="237" spans="2:4" ht="14.25" customHeight="1" x14ac:dyDescent="0.35">
      <c r="B237" s="70">
        <v>44909</v>
      </c>
      <c r="C237">
        <v>0.28000000000000003</v>
      </c>
      <c r="D237">
        <v>0.26</v>
      </c>
    </row>
    <row r="238" spans="2:4" ht="14.25" customHeight="1" x14ac:dyDescent="0.35">
      <c r="B238" s="70">
        <v>44910</v>
      </c>
      <c r="C238">
        <v>-1.32</v>
      </c>
      <c r="D238">
        <v>-1.7</v>
      </c>
    </row>
    <row r="239" spans="2:4" ht="14.25" customHeight="1" x14ac:dyDescent="0.35">
      <c r="B239" s="70">
        <v>44911</v>
      </c>
      <c r="C239">
        <v>-0.79</v>
      </c>
      <c r="D239">
        <v>-1.56</v>
      </c>
    </row>
    <row r="240" spans="2:4" ht="14.25" customHeight="1" x14ac:dyDescent="0.35">
      <c r="B240" s="70">
        <v>44914</v>
      </c>
      <c r="C240">
        <v>0.83</v>
      </c>
      <c r="D240">
        <v>1.18</v>
      </c>
    </row>
    <row r="241" spans="2:4" ht="14.25" customHeight="1" x14ac:dyDescent="0.35">
      <c r="B241" s="70">
        <v>44915</v>
      </c>
      <c r="C241">
        <v>-0.19</v>
      </c>
      <c r="D241">
        <v>-0.53</v>
      </c>
    </row>
    <row r="242" spans="2:4" ht="14.25" customHeight="1" x14ac:dyDescent="0.35">
      <c r="B242" s="70">
        <v>44916</v>
      </c>
      <c r="C242">
        <v>-1.01</v>
      </c>
      <c r="D242">
        <v>-1</v>
      </c>
    </row>
    <row r="243" spans="2:4" ht="14.25" customHeight="1" x14ac:dyDescent="0.35">
      <c r="B243" s="70">
        <v>44917</v>
      </c>
      <c r="C243">
        <v>-0.39</v>
      </c>
      <c r="D243">
        <v>-0.51</v>
      </c>
    </row>
    <row r="244" spans="2:4" ht="14.25" customHeight="1" x14ac:dyDescent="0.35">
      <c r="B244" s="70">
        <v>44918</v>
      </c>
      <c r="C244">
        <v>-1.77</v>
      </c>
      <c r="D244">
        <v>-3.44</v>
      </c>
    </row>
    <row r="245" spans="2:4" ht="14.25" customHeight="1" x14ac:dyDescent="0.35">
      <c r="B245" s="70">
        <v>44921</v>
      </c>
      <c r="C245">
        <v>1.17</v>
      </c>
      <c r="D245">
        <v>2.65</v>
      </c>
    </row>
    <row r="246" spans="2:4" ht="14.25" customHeight="1" x14ac:dyDescent="0.35">
      <c r="B246" s="70">
        <v>44922</v>
      </c>
      <c r="C246">
        <v>0.65</v>
      </c>
      <c r="D246">
        <v>0.23</v>
      </c>
    </row>
    <row r="247" spans="2:4" ht="14.25" customHeight="1" x14ac:dyDescent="0.35">
      <c r="B247" s="70">
        <v>44923</v>
      </c>
      <c r="C247">
        <v>-0.05</v>
      </c>
      <c r="D247">
        <v>0.88</v>
      </c>
    </row>
    <row r="248" spans="2:4" ht="14.25" customHeight="1" x14ac:dyDescent="0.35">
      <c r="B248" s="70">
        <v>44924</v>
      </c>
      <c r="C248">
        <v>0.38</v>
      </c>
      <c r="D248">
        <v>-0.69</v>
      </c>
    </row>
    <row r="249" spans="2:4" ht="14.25" customHeight="1" x14ac:dyDescent="0.35">
      <c r="B249" s="70">
        <v>44925</v>
      </c>
      <c r="C249">
        <v>-0.47</v>
      </c>
      <c r="D249">
        <v>1.53</v>
      </c>
    </row>
    <row r="250" spans="2:4" ht="14.25" customHeight="1" x14ac:dyDescent="0.35">
      <c r="B250" s="70">
        <v>44928</v>
      </c>
      <c r="C250">
        <v>0.51</v>
      </c>
      <c r="D250">
        <v>-0.13</v>
      </c>
    </row>
    <row r="251" spans="2:4" ht="14.25" customHeight="1" x14ac:dyDescent="0.35">
      <c r="B251" s="70">
        <v>44929</v>
      </c>
      <c r="C251">
        <v>0.19</v>
      </c>
      <c r="D251">
        <v>-0.28999999999999998</v>
      </c>
    </row>
    <row r="252" spans="2:4" ht="14.25" customHeight="1" x14ac:dyDescent="0.35">
      <c r="B252" s="70">
        <v>44930</v>
      </c>
      <c r="C252">
        <v>-1.04</v>
      </c>
      <c r="D252">
        <v>-3.1</v>
      </c>
    </row>
    <row r="253" spans="2:4" ht="14.25" customHeight="1" x14ac:dyDescent="0.35">
      <c r="B253" s="70">
        <v>44931</v>
      </c>
      <c r="C253">
        <v>-0.28000000000000003</v>
      </c>
      <c r="D253">
        <v>0.46</v>
      </c>
    </row>
    <row r="254" spans="2:4" ht="14.25" customHeight="1" x14ac:dyDescent="0.35">
      <c r="B254" s="70">
        <v>44932</v>
      </c>
      <c r="C254">
        <v>-0.74</v>
      </c>
      <c r="D254">
        <v>-1.79</v>
      </c>
    </row>
    <row r="255" spans="2:4" ht="14.25" customHeight="1" x14ac:dyDescent="0.35">
      <c r="B255" s="70">
        <v>44935</v>
      </c>
      <c r="C255">
        <v>1.35</v>
      </c>
      <c r="D255">
        <v>0.33</v>
      </c>
    </row>
    <row r="256" spans="2:4" ht="14.25" customHeight="1" x14ac:dyDescent="0.35">
      <c r="B256" s="70">
        <v>44936</v>
      </c>
      <c r="C256">
        <v>-1.03</v>
      </c>
      <c r="D256">
        <v>0.84</v>
      </c>
    </row>
    <row r="257" spans="2:4" ht="14.25" customHeight="1" x14ac:dyDescent="0.35">
      <c r="B257" s="70">
        <v>44937</v>
      </c>
      <c r="C257">
        <v>-0.1</v>
      </c>
      <c r="D257">
        <v>-1.55</v>
      </c>
    </row>
    <row r="258" spans="2:4" ht="14.25" customHeight="1" x14ac:dyDescent="0.35">
      <c r="B258" s="70">
        <v>44938</v>
      </c>
      <c r="C258">
        <v>-0.21</v>
      </c>
      <c r="D258">
        <v>0.23</v>
      </c>
    </row>
    <row r="259" spans="2:4" ht="14.25" customHeight="1" x14ac:dyDescent="0.35">
      <c r="B259" s="70">
        <v>44939</v>
      </c>
      <c r="C259">
        <v>0.55000000000000004</v>
      </c>
      <c r="D259">
        <v>0.56000000000000005</v>
      </c>
    </row>
    <row r="260" spans="2:4" ht="14.25" customHeight="1" x14ac:dyDescent="0.35">
      <c r="B260" s="70">
        <v>44942</v>
      </c>
      <c r="C260">
        <v>-0.34</v>
      </c>
      <c r="D260">
        <v>-0.63</v>
      </c>
    </row>
    <row r="261" spans="2:4" ht="14.25" customHeight="1" x14ac:dyDescent="0.35">
      <c r="B261" s="70">
        <v>44943</v>
      </c>
      <c r="C261">
        <v>0.89</v>
      </c>
      <c r="D261">
        <v>-0.3</v>
      </c>
    </row>
    <row r="262" spans="2:4" ht="14.25" customHeight="1" x14ac:dyDescent="0.35">
      <c r="B262" s="70">
        <v>44944</v>
      </c>
      <c r="C262">
        <v>0.62</v>
      </c>
      <c r="D262">
        <v>1.76</v>
      </c>
    </row>
    <row r="263" spans="2:4" ht="14.25" customHeight="1" x14ac:dyDescent="0.35">
      <c r="B263" s="70">
        <v>44945</v>
      </c>
      <c r="C263">
        <v>-0.32</v>
      </c>
      <c r="D263">
        <v>3.27</v>
      </c>
    </row>
    <row r="264" spans="2:4" ht="14.25" customHeight="1" x14ac:dyDescent="0.35">
      <c r="B264" s="70">
        <v>44946</v>
      </c>
      <c r="C264">
        <v>-0.44</v>
      </c>
      <c r="D264">
        <v>1.36</v>
      </c>
    </row>
    <row r="265" spans="2:4" ht="14.25" customHeight="1" x14ac:dyDescent="0.35">
      <c r="B265" s="70">
        <v>44949</v>
      </c>
      <c r="C265">
        <v>0.5</v>
      </c>
      <c r="D265">
        <v>1.37</v>
      </c>
    </row>
    <row r="266" spans="2:4" ht="14.25" customHeight="1" x14ac:dyDescent="0.35">
      <c r="B266" s="70">
        <v>44950</v>
      </c>
      <c r="C266">
        <v>0</v>
      </c>
      <c r="D266">
        <v>-1.0900000000000001</v>
      </c>
    </row>
    <row r="267" spans="2:4" ht="14.25" customHeight="1" x14ac:dyDescent="0.35">
      <c r="B267" s="70">
        <v>44951</v>
      </c>
      <c r="C267">
        <v>-1.25</v>
      </c>
      <c r="D267">
        <v>-0.64</v>
      </c>
    </row>
    <row r="268" spans="2:4" ht="14.25" customHeight="1" x14ac:dyDescent="0.35">
      <c r="B268" s="70">
        <v>44953</v>
      </c>
      <c r="C268">
        <v>-1.61</v>
      </c>
      <c r="D268">
        <v>-1.66</v>
      </c>
    </row>
    <row r="269" spans="2:4" ht="14.25" customHeight="1" x14ac:dyDescent="0.35">
      <c r="B269" s="70">
        <v>44956</v>
      </c>
      <c r="C269">
        <v>0.25</v>
      </c>
      <c r="D269">
        <v>1.55</v>
      </c>
    </row>
    <row r="270" spans="2:4" ht="14.25" customHeight="1" x14ac:dyDescent="0.35">
      <c r="B270" s="70">
        <v>44957</v>
      </c>
      <c r="C270">
        <v>7.0000000000000007E-2</v>
      </c>
      <c r="D270">
        <v>-0.44</v>
      </c>
    </row>
    <row r="271" spans="2:4" ht="14.25" customHeight="1" x14ac:dyDescent="0.35">
      <c r="B271" s="70">
        <v>44958</v>
      </c>
      <c r="C271">
        <v>-0.26</v>
      </c>
      <c r="D271">
        <v>-1.87</v>
      </c>
    </row>
    <row r="272" spans="2:4" ht="14.25" customHeight="1" x14ac:dyDescent="0.35">
      <c r="B272" s="70">
        <v>44959</v>
      </c>
      <c r="C272">
        <v>-0.03</v>
      </c>
      <c r="D272">
        <v>-1.36</v>
      </c>
    </row>
    <row r="273" spans="2:4" ht="14.25" customHeight="1" x14ac:dyDescent="0.35">
      <c r="B273" s="70">
        <v>44960</v>
      </c>
      <c r="C273">
        <v>1.38</v>
      </c>
      <c r="D273">
        <v>0.56999999999999995</v>
      </c>
    </row>
    <row r="274" spans="2:4" ht="14.25" customHeight="1" x14ac:dyDescent="0.35">
      <c r="B274" s="70">
        <v>44963</v>
      </c>
      <c r="C274">
        <v>-0.5</v>
      </c>
      <c r="D274">
        <v>0.32</v>
      </c>
    </row>
    <row r="275" spans="2:4" ht="14.25" customHeight="1" x14ac:dyDescent="0.35">
      <c r="B275" s="70">
        <v>44964</v>
      </c>
      <c r="C275">
        <v>-0.24</v>
      </c>
      <c r="D275">
        <v>0.05</v>
      </c>
    </row>
    <row r="276" spans="2:4" ht="14.25" customHeight="1" x14ac:dyDescent="0.35">
      <c r="B276" s="70">
        <v>44965</v>
      </c>
      <c r="C276">
        <v>0.85</v>
      </c>
      <c r="D276">
        <v>0.49</v>
      </c>
    </row>
    <row r="277" spans="2:4" ht="14.25" customHeight="1" x14ac:dyDescent="0.35">
      <c r="B277" s="70">
        <v>44966</v>
      </c>
      <c r="C277">
        <v>0.12</v>
      </c>
      <c r="D277">
        <v>-0.44</v>
      </c>
    </row>
    <row r="278" spans="2:4" ht="14.25" customHeight="1" x14ac:dyDescent="0.35">
      <c r="B278" s="70">
        <v>44967</v>
      </c>
      <c r="C278">
        <v>-0.21</v>
      </c>
      <c r="D278">
        <v>-1.42</v>
      </c>
    </row>
    <row r="279" spans="2:4" ht="14.25" customHeight="1" x14ac:dyDescent="0.35">
      <c r="B279" s="70">
        <v>44970</v>
      </c>
      <c r="C279">
        <v>-0.48</v>
      </c>
      <c r="D279">
        <v>0.73</v>
      </c>
    </row>
    <row r="280" spans="2:4" ht="14.25" customHeight="1" x14ac:dyDescent="0.35">
      <c r="B280" s="70">
        <v>44971</v>
      </c>
      <c r="C280">
        <v>0.89</v>
      </c>
      <c r="D280">
        <v>-0.61</v>
      </c>
    </row>
    <row r="281" spans="2:4" ht="14.25" customHeight="1" x14ac:dyDescent="0.35">
      <c r="B281" s="70">
        <v>44972</v>
      </c>
      <c r="C281">
        <v>0.48</v>
      </c>
      <c r="D281">
        <v>0.54</v>
      </c>
    </row>
    <row r="282" spans="2:4" ht="14.25" customHeight="1" x14ac:dyDescent="0.35">
      <c r="B282" s="70">
        <v>44973</v>
      </c>
      <c r="C282">
        <v>0.11</v>
      </c>
      <c r="D282">
        <v>1.2</v>
      </c>
    </row>
    <row r="283" spans="2:4" ht="14.25" customHeight="1" x14ac:dyDescent="0.35">
      <c r="B283" s="70">
        <v>44974</v>
      </c>
      <c r="C283">
        <v>-0.51</v>
      </c>
      <c r="D283">
        <v>0.95</v>
      </c>
    </row>
    <row r="284" spans="2:4" ht="14.25" customHeight="1" x14ac:dyDescent="0.35">
      <c r="B284" s="70">
        <v>44977</v>
      </c>
      <c r="C284">
        <v>-0.56000000000000005</v>
      </c>
      <c r="D284">
        <v>0.37</v>
      </c>
    </row>
    <row r="285" spans="2:4" ht="14.25" customHeight="1" x14ac:dyDescent="0.35">
      <c r="B285" s="70">
        <v>44978</v>
      </c>
      <c r="C285">
        <v>-0.1</v>
      </c>
      <c r="D285">
        <v>-1.95</v>
      </c>
    </row>
    <row r="286" spans="2:4" ht="14.25" customHeight="1" x14ac:dyDescent="0.35">
      <c r="B286" s="70">
        <v>44979</v>
      </c>
      <c r="C286">
        <v>-1.53</v>
      </c>
      <c r="D286">
        <v>-1.03</v>
      </c>
    </row>
    <row r="287" spans="2:4" ht="14.25" customHeight="1" x14ac:dyDescent="0.35">
      <c r="B287" s="70">
        <v>44980</v>
      </c>
      <c r="C287">
        <v>-0.25</v>
      </c>
      <c r="D287">
        <v>1.44</v>
      </c>
    </row>
    <row r="288" spans="2:4" ht="14.25" customHeight="1" x14ac:dyDescent="0.35">
      <c r="B288" s="70">
        <v>44981</v>
      </c>
      <c r="C288">
        <v>-0.26</v>
      </c>
      <c r="D288">
        <v>1</v>
      </c>
    </row>
    <row r="289" spans="2:4" ht="14.25" customHeight="1" x14ac:dyDescent="0.35">
      <c r="B289" s="70">
        <v>44984</v>
      </c>
      <c r="C289">
        <v>-0.42</v>
      </c>
      <c r="D289">
        <v>-0.05</v>
      </c>
    </row>
    <row r="290" spans="2:4" ht="14.25" customHeight="1" x14ac:dyDescent="0.35">
      <c r="B290" s="70">
        <v>44985</v>
      </c>
      <c r="C290">
        <v>-0.51</v>
      </c>
      <c r="D290">
        <v>-0.71</v>
      </c>
    </row>
    <row r="291" spans="2:4" ht="14.25" customHeight="1" x14ac:dyDescent="0.35">
      <c r="B291" s="70">
        <v>44986</v>
      </c>
      <c r="C291">
        <v>0.85</v>
      </c>
      <c r="D291">
        <v>1.56</v>
      </c>
    </row>
    <row r="292" spans="2:4" ht="14.25" customHeight="1" x14ac:dyDescent="0.35">
      <c r="B292" s="70">
        <v>44987</v>
      </c>
      <c r="C292">
        <v>-0.74</v>
      </c>
      <c r="D292">
        <v>1.87</v>
      </c>
    </row>
    <row r="293" spans="2:4" ht="14.25" customHeight="1" x14ac:dyDescent="0.35">
      <c r="B293" s="70">
        <v>44988</v>
      </c>
      <c r="C293">
        <v>1.57</v>
      </c>
      <c r="D293">
        <v>0.04</v>
      </c>
    </row>
    <row r="294" spans="2:4" ht="14.25" customHeight="1" x14ac:dyDescent="0.35">
      <c r="B294" s="70">
        <v>44991</v>
      </c>
      <c r="C294">
        <v>0.67</v>
      </c>
      <c r="D294">
        <v>0.87</v>
      </c>
    </row>
    <row r="295" spans="2:4" ht="14.25" customHeight="1" x14ac:dyDescent="0.35">
      <c r="B295" s="70">
        <v>44993</v>
      </c>
      <c r="C295">
        <v>0.24</v>
      </c>
      <c r="D295">
        <v>-0.02</v>
      </c>
    </row>
    <row r="296" spans="2:4" ht="14.25" customHeight="1" x14ac:dyDescent="0.35">
      <c r="B296" s="70">
        <v>44994</v>
      </c>
      <c r="C296">
        <v>-0.93</v>
      </c>
      <c r="D296">
        <v>-0.02</v>
      </c>
    </row>
    <row r="297" spans="2:4" ht="14.25" customHeight="1" x14ac:dyDescent="0.35">
      <c r="B297" s="70">
        <v>44995</v>
      </c>
      <c r="C297">
        <v>-1</v>
      </c>
      <c r="D297">
        <v>-0.2</v>
      </c>
    </row>
    <row r="298" spans="2:4" ht="14.25" customHeight="1" x14ac:dyDescent="0.35">
      <c r="B298" s="70">
        <v>44998</v>
      </c>
      <c r="C298">
        <v>-1.49</v>
      </c>
      <c r="D298">
        <v>-1.58</v>
      </c>
    </row>
    <row r="299" spans="2:4" ht="14.25" customHeight="1" x14ac:dyDescent="0.35">
      <c r="B299" s="70">
        <v>44999</v>
      </c>
      <c r="C299">
        <v>-0.65</v>
      </c>
      <c r="D299">
        <v>0.11</v>
      </c>
    </row>
    <row r="300" spans="2:4" ht="14.25" customHeight="1" x14ac:dyDescent="0.35">
      <c r="B300" s="70">
        <v>45000</v>
      </c>
      <c r="C300">
        <v>-0.42</v>
      </c>
      <c r="D300">
        <v>-0.52</v>
      </c>
    </row>
    <row r="301" spans="2:4" ht="14.25" customHeight="1" x14ac:dyDescent="0.35">
      <c r="B301" s="70">
        <v>45001</v>
      </c>
      <c r="C301">
        <v>0.08</v>
      </c>
      <c r="D301">
        <v>0.43</v>
      </c>
    </row>
    <row r="302" spans="2:4" ht="14.25" customHeight="1" x14ac:dyDescent="0.35">
      <c r="B302" s="70">
        <v>45002</v>
      </c>
      <c r="C302">
        <v>0.67</v>
      </c>
      <c r="D302">
        <v>0.36</v>
      </c>
    </row>
    <row r="303" spans="2:4" ht="14.25" customHeight="1" x14ac:dyDescent="0.35">
      <c r="B303" s="70">
        <v>45005</v>
      </c>
      <c r="C303">
        <v>-0.65</v>
      </c>
      <c r="D303">
        <v>-2.08</v>
      </c>
    </row>
    <row r="304" spans="2:4" ht="14.25" customHeight="1" x14ac:dyDescent="0.35">
      <c r="B304" s="70">
        <v>45006</v>
      </c>
      <c r="C304">
        <v>0.7</v>
      </c>
      <c r="D304">
        <v>0</v>
      </c>
    </row>
    <row r="305" spans="2:4" ht="14.25" customHeight="1" x14ac:dyDescent="0.35">
      <c r="B305" s="70">
        <v>45007</v>
      </c>
      <c r="C305">
        <v>0.26</v>
      </c>
      <c r="D305">
        <v>-1.43</v>
      </c>
    </row>
    <row r="306" spans="2:4" ht="14.25" customHeight="1" x14ac:dyDescent="0.35">
      <c r="B306" s="70">
        <v>45008</v>
      </c>
      <c r="C306">
        <v>-0.44</v>
      </c>
      <c r="D306">
        <v>-0.28000000000000003</v>
      </c>
    </row>
    <row r="307" spans="2:4" ht="14.25" customHeight="1" x14ac:dyDescent="0.35">
      <c r="B307" s="70">
        <v>45009</v>
      </c>
      <c r="C307">
        <v>-0.77</v>
      </c>
      <c r="D307">
        <v>-2.2999999999999998</v>
      </c>
    </row>
    <row r="308" spans="2:4" ht="14.25" customHeight="1" x14ac:dyDescent="0.35">
      <c r="B308" s="70">
        <v>45012</v>
      </c>
      <c r="C308">
        <v>0.24</v>
      </c>
      <c r="D308">
        <v>-0.02</v>
      </c>
    </row>
    <row r="309" spans="2:4" ht="14.25" customHeight="1" x14ac:dyDescent="0.35">
      <c r="B309" s="70">
        <v>45013</v>
      </c>
      <c r="C309">
        <v>-0.2</v>
      </c>
      <c r="D309">
        <v>0.24</v>
      </c>
    </row>
    <row r="310" spans="2:4" ht="14.25" customHeight="1" x14ac:dyDescent="0.35">
      <c r="B310" s="70">
        <v>45014</v>
      </c>
      <c r="C310">
        <v>0.76</v>
      </c>
      <c r="D310">
        <v>1.94</v>
      </c>
    </row>
    <row r="311" spans="2:4" ht="14.25" customHeight="1" x14ac:dyDescent="0.35">
      <c r="B311" s="70">
        <v>45016</v>
      </c>
      <c r="C311">
        <v>1.63</v>
      </c>
      <c r="D311">
        <v>0.33</v>
      </c>
    </row>
    <row r="312" spans="2:4" ht="14.25" customHeight="1" x14ac:dyDescent="0.35">
      <c r="B312" s="70">
        <v>45019</v>
      </c>
      <c r="C312">
        <v>0.22</v>
      </c>
      <c r="D312">
        <v>3.04</v>
      </c>
    </row>
    <row r="313" spans="2:4" ht="14.25" customHeight="1" x14ac:dyDescent="0.35">
      <c r="B313" s="70">
        <v>45021</v>
      </c>
      <c r="C313">
        <v>0.91</v>
      </c>
      <c r="D313">
        <v>1.07</v>
      </c>
    </row>
    <row r="314" spans="2:4" ht="14.25" customHeight="1" x14ac:dyDescent="0.35">
      <c r="B314" s="70">
        <v>45022</v>
      </c>
      <c r="C314">
        <v>0.24</v>
      </c>
      <c r="D314">
        <v>-0.36</v>
      </c>
    </row>
    <row r="315" spans="2:4" ht="14.25" customHeight="1" x14ac:dyDescent="0.35">
      <c r="B315" s="70">
        <v>45026</v>
      </c>
      <c r="C315">
        <v>0.14000000000000001</v>
      </c>
      <c r="D315">
        <v>0.16</v>
      </c>
    </row>
    <row r="316" spans="2:4" ht="14.25" customHeight="1" x14ac:dyDescent="0.35">
      <c r="B316" s="70">
        <v>45027</v>
      </c>
      <c r="C316">
        <v>0.56000000000000005</v>
      </c>
      <c r="D316">
        <v>0.72</v>
      </c>
    </row>
    <row r="317" spans="2:4" ht="14.25" customHeight="1" x14ac:dyDescent="0.35">
      <c r="B317" s="70">
        <v>45028</v>
      </c>
      <c r="C317">
        <v>0.51</v>
      </c>
      <c r="D317">
        <v>1.81</v>
      </c>
    </row>
    <row r="318" spans="2:4" ht="14.25" customHeight="1" x14ac:dyDescent="0.35">
      <c r="B318" s="70">
        <v>45029</v>
      </c>
      <c r="C318">
        <v>0.09</v>
      </c>
      <c r="D318">
        <v>-0.97</v>
      </c>
    </row>
    <row r="319" spans="2:4" ht="14.25" customHeight="1" x14ac:dyDescent="0.35">
      <c r="B319" s="70">
        <v>45033</v>
      </c>
      <c r="C319">
        <v>-0.68</v>
      </c>
      <c r="D319">
        <v>1.82</v>
      </c>
    </row>
    <row r="320" spans="2:4" ht="14.25" customHeight="1" x14ac:dyDescent="0.35">
      <c r="B320" s="70">
        <v>45034</v>
      </c>
      <c r="C320">
        <v>-0.26</v>
      </c>
      <c r="D320">
        <v>1.1299999999999999</v>
      </c>
    </row>
    <row r="321" spans="2:4" ht="14.25" customHeight="1" x14ac:dyDescent="0.35">
      <c r="B321" s="70">
        <v>45035</v>
      </c>
      <c r="C321">
        <v>-0.23</v>
      </c>
      <c r="D321">
        <v>-0.78</v>
      </c>
    </row>
    <row r="322" spans="2:4" ht="14.25" customHeight="1" x14ac:dyDescent="0.35">
      <c r="B322" s="70">
        <v>45036</v>
      </c>
      <c r="C322">
        <v>0.03</v>
      </c>
      <c r="D322">
        <v>-0.37</v>
      </c>
    </row>
    <row r="323" spans="2:4" ht="14.25" customHeight="1" x14ac:dyDescent="0.35">
      <c r="B323" s="70">
        <v>45037</v>
      </c>
      <c r="C323">
        <v>0</v>
      </c>
      <c r="D323">
        <v>0.22</v>
      </c>
    </row>
    <row r="324" spans="2:4" ht="14.25" customHeight="1" x14ac:dyDescent="0.35">
      <c r="B324" s="70">
        <v>45040</v>
      </c>
      <c r="C324">
        <v>0.68</v>
      </c>
      <c r="D324">
        <v>0.65</v>
      </c>
    </row>
    <row r="325" spans="2:4" ht="14.25" customHeight="1" x14ac:dyDescent="0.35">
      <c r="B325" s="70">
        <v>45041</v>
      </c>
      <c r="C325">
        <v>0.15</v>
      </c>
      <c r="D325">
        <v>-0.56000000000000005</v>
      </c>
    </row>
    <row r="326" spans="2:4" ht="14.25" customHeight="1" x14ac:dyDescent="0.35">
      <c r="B326" s="70">
        <v>45042</v>
      </c>
      <c r="C326">
        <v>0.25</v>
      </c>
      <c r="D326">
        <v>-0.22</v>
      </c>
    </row>
    <row r="327" spans="2:4" ht="14.25" customHeight="1" x14ac:dyDescent="0.35">
      <c r="B327" s="70">
        <v>45043</v>
      </c>
      <c r="C327">
        <v>0.56999999999999995</v>
      </c>
      <c r="D327">
        <v>0.87</v>
      </c>
    </row>
    <row r="328" spans="2:4" ht="14.25" customHeight="1" x14ac:dyDescent="0.35">
      <c r="B328" s="70">
        <v>45044</v>
      </c>
      <c r="C328">
        <v>0.84</v>
      </c>
      <c r="D328">
        <v>0.57999999999999996</v>
      </c>
    </row>
    <row r="329" spans="2:4" ht="14.25" customHeight="1" x14ac:dyDescent="0.35">
      <c r="B329" s="70">
        <v>45048</v>
      </c>
      <c r="C329">
        <v>0.46</v>
      </c>
      <c r="D329">
        <v>1.29</v>
      </c>
    </row>
    <row r="330" spans="2:4" ht="14.25" customHeight="1" x14ac:dyDescent="0.35">
      <c r="B330" s="70">
        <v>45049</v>
      </c>
      <c r="C330">
        <v>-0.32</v>
      </c>
      <c r="D330">
        <v>0.34</v>
      </c>
    </row>
    <row r="331" spans="2:4" ht="14.25" customHeight="1" x14ac:dyDescent="0.35">
      <c r="B331" s="70">
        <v>45050</v>
      </c>
      <c r="C331">
        <v>0.92</v>
      </c>
      <c r="D331">
        <v>0.23</v>
      </c>
    </row>
    <row r="332" spans="2:4" ht="14.25" customHeight="1" x14ac:dyDescent="0.35">
      <c r="B332" s="70">
        <v>45051</v>
      </c>
      <c r="C332">
        <v>-1.02</v>
      </c>
      <c r="D332">
        <v>-0.02</v>
      </c>
    </row>
    <row r="333" spans="2:4" ht="14.25" customHeight="1" x14ac:dyDescent="0.35">
      <c r="B333" s="70">
        <v>45054</v>
      </c>
      <c r="C333">
        <v>1.08</v>
      </c>
      <c r="D333">
        <v>-1.92</v>
      </c>
    </row>
    <row r="334" spans="2:4" ht="14.25" customHeight="1" x14ac:dyDescent="0.35">
      <c r="B334" s="70">
        <v>45055</v>
      </c>
      <c r="C334">
        <v>0.01</v>
      </c>
      <c r="D334">
        <v>1.5</v>
      </c>
    </row>
    <row r="335" spans="2:4" ht="14.25" customHeight="1" x14ac:dyDescent="0.35">
      <c r="B335" s="70">
        <v>45056</v>
      </c>
      <c r="C335">
        <v>0.27</v>
      </c>
      <c r="D335">
        <v>0.08</v>
      </c>
    </row>
    <row r="336" spans="2:4" ht="14.25" customHeight="1" x14ac:dyDescent="0.35">
      <c r="B336" s="70">
        <v>45057</v>
      </c>
      <c r="C336">
        <v>-0.1</v>
      </c>
      <c r="D336">
        <v>-0.17</v>
      </c>
    </row>
    <row r="337" spans="2:4" ht="14.25" customHeight="1" x14ac:dyDescent="0.35">
      <c r="B337" s="70">
        <v>45058</v>
      </c>
      <c r="C337">
        <v>0.1</v>
      </c>
      <c r="D337">
        <v>-0.47</v>
      </c>
    </row>
    <row r="338" spans="2:4" ht="14.25" customHeight="1" x14ac:dyDescent="0.35">
      <c r="B338" s="70">
        <v>45061</v>
      </c>
      <c r="C338">
        <v>0.46</v>
      </c>
      <c r="D338">
        <v>1.1299999999999999</v>
      </c>
    </row>
    <row r="339" spans="2:4" ht="14.25" customHeight="1" x14ac:dyDescent="0.35">
      <c r="B339" s="70">
        <v>45062</v>
      </c>
      <c r="C339">
        <v>-0.61</v>
      </c>
      <c r="D339">
        <v>1.37</v>
      </c>
    </row>
    <row r="340" spans="2:4" ht="14.25" customHeight="1" x14ac:dyDescent="0.35">
      <c r="B340" s="70">
        <v>45063</v>
      </c>
      <c r="C340">
        <v>-0.56999999999999995</v>
      </c>
      <c r="D340">
        <v>0.27</v>
      </c>
    </row>
    <row r="341" spans="2:4" ht="14.25" customHeight="1" x14ac:dyDescent="0.35">
      <c r="B341" s="70">
        <v>45064</v>
      </c>
      <c r="C341">
        <v>-0.28000000000000003</v>
      </c>
      <c r="D341">
        <v>-0.83</v>
      </c>
    </row>
    <row r="342" spans="2:4" ht="14.25" customHeight="1" x14ac:dyDescent="0.35">
      <c r="B342" s="70">
        <v>45065</v>
      </c>
      <c r="C342">
        <v>0.41</v>
      </c>
      <c r="D342">
        <v>0.13</v>
      </c>
    </row>
    <row r="343" spans="2:4" ht="14.25" customHeight="1" x14ac:dyDescent="0.35">
      <c r="B343" s="70">
        <v>45068</v>
      </c>
      <c r="C343">
        <v>0.61</v>
      </c>
      <c r="D343">
        <v>-0.5</v>
      </c>
    </row>
    <row r="344" spans="2:4" ht="14.25" customHeight="1" x14ac:dyDescent="0.35">
      <c r="B344" s="70">
        <v>45069</v>
      </c>
      <c r="C344">
        <v>0.18</v>
      </c>
      <c r="D344">
        <v>0.25</v>
      </c>
    </row>
    <row r="345" spans="2:4" ht="14.25" customHeight="1" x14ac:dyDescent="0.35">
      <c r="B345" s="70">
        <v>45070</v>
      </c>
      <c r="C345">
        <v>-0.34</v>
      </c>
      <c r="D345">
        <v>0.71</v>
      </c>
    </row>
    <row r="346" spans="2:4" ht="14.25" customHeight="1" x14ac:dyDescent="0.35">
      <c r="B346" s="70">
        <v>45071</v>
      </c>
      <c r="C346">
        <v>0.2</v>
      </c>
      <c r="D346">
        <v>-0.39</v>
      </c>
    </row>
    <row r="347" spans="2:4" ht="14.25" customHeight="1" x14ac:dyDescent="0.35">
      <c r="B347" s="70">
        <v>45072</v>
      </c>
      <c r="C347">
        <v>0.97</v>
      </c>
      <c r="D347">
        <v>0.6</v>
      </c>
    </row>
    <row r="348" spans="2:4" ht="14.25" customHeight="1" x14ac:dyDescent="0.35">
      <c r="B348" s="70">
        <v>45075</v>
      </c>
      <c r="C348">
        <v>0.54</v>
      </c>
      <c r="D348">
        <v>1.9</v>
      </c>
    </row>
    <row r="349" spans="2:4" ht="14.25" customHeight="1" x14ac:dyDescent="0.35">
      <c r="B349" s="70">
        <v>45076</v>
      </c>
      <c r="C349">
        <v>0.19</v>
      </c>
      <c r="D349">
        <v>-0.73</v>
      </c>
    </row>
    <row r="350" spans="2:4" ht="14.25" customHeight="1" x14ac:dyDescent="0.35">
      <c r="B350" s="70">
        <v>45077</v>
      </c>
      <c r="C350">
        <v>-0.53</v>
      </c>
      <c r="D350">
        <v>-1.25</v>
      </c>
    </row>
    <row r="351" spans="2:4" ht="14.25" customHeight="1" x14ac:dyDescent="0.35">
      <c r="B351" s="70">
        <v>45078</v>
      </c>
      <c r="C351">
        <v>-0.25</v>
      </c>
      <c r="D351">
        <v>-4.5199999999999996</v>
      </c>
    </row>
    <row r="352" spans="2:4" ht="14.25" customHeight="1" x14ac:dyDescent="0.35">
      <c r="B352" s="70">
        <v>45079</v>
      </c>
      <c r="C352">
        <v>0.25</v>
      </c>
      <c r="D352">
        <v>0.24</v>
      </c>
    </row>
    <row r="353" spans="2:4" ht="14.25" customHeight="1" x14ac:dyDescent="0.35">
      <c r="B353" s="70">
        <v>45082</v>
      </c>
      <c r="C353">
        <v>0.32</v>
      </c>
      <c r="D353">
        <v>-0.52</v>
      </c>
    </row>
    <row r="354" spans="2:4" ht="14.25" customHeight="1" x14ac:dyDescent="0.35">
      <c r="B354" s="70">
        <v>45083</v>
      </c>
      <c r="C354">
        <v>0.03</v>
      </c>
      <c r="D354">
        <v>-0.83</v>
      </c>
    </row>
    <row r="355" spans="2:4" ht="14.25" customHeight="1" x14ac:dyDescent="0.35">
      <c r="B355" s="70">
        <v>45084</v>
      </c>
      <c r="C355">
        <v>0.68</v>
      </c>
      <c r="D355">
        <v>1.27</v>
      </c>
    </row>
    <row r="356" spans="2:4" ht="14.25" customHeight="1" x14ac:dyDescent="0.35">
      <c r="B356" s="70">
        <v>45085</v>
      </c>
      <c r="C356">
        <v>-0.49</v>
      </c>
      <c r="D356">
        <v>-1.1299999999999999</v>
      </c>
    </row>
    <row r="357" spans="2:4" ht="14.25" customHeight="1" x14ac:dyDescent="0.35">
      <c r="B357" s="70">
        <v>45086</v>
      </c>
      <c r="C357">
        <v>-0.38</v>
      </c>
      <c r="D357">
        <v>-0.2</v>
      </c>
    </row>
    <row r="358" spans="2:4" ht="14.25" customHeight="1" x14ac:dyDescent="0.35">
      <c r="B358" s="70">
        <v>45089</v>
      </c>
      <c r="C358">
        <v>0.21</v>
      </c>
      <c r="D358">
        <v>0.59</v>
      </c>
    </row>
    <row r="359" spans="2:4" ht="14.25" customHeight="1" x14ac:dyDescent="0.35">
      <c r="B359" s="70">
        <v>45090</v>
      </c>
      <c r="C359">
        <v>0.62</v>
      </c>
      <c r="D359">
        <v>-0.02</v>
      </c>
    </row>
    <row r="360" spans="2:4" ht="14.25" customHeight="1" x14ac:dyDescent="0.35">
      <c r="B360" s="70">
        <v>45091</v>
      </c>
      <c r="C360">
        <v>0.21</v>
      </c>
      <c r="D360">
        <v>0</v>
      </c>
    </row>
    <row r="361" spans="2:4" ht="14.25" customHeight="1" x14ac:dyDescent="0.35">
      <c r="B361" s="70">
        <v>45092</v>
      </c>
      <c r="C361">
        <v>-0.36</v>
      </c>
      <c r="D361">
        <v>-0.15</v>
      </c>
    </row>
    <row r="362" spans="2:4" ht="14.25" customHeight="1" x14ac:dyDescent="0.35">
      <c r="B362" s="70">
        <v>45093</v>
      </c>
      <c r="C362">
        <v>0.74</v>
      </c>
      <c r="D362">
        <v>-0.02</v>
      </c>
    </row>
    <row r="363" spans="2:4" ht="14.25" customHeight="1" x14ac:dyDescent="0.35">
      <c r="B363" s="70">
        <v>45096</v>
      </c>
      <c r="C363">
        <v>-0.37</v>
      </c>
      <c r="D363">
        <v>-0.61</v>
      </c>
    </row>
    <row r="364" spans="2:4" ht="14.25" customHeight="1" x14ac:dyDescent="0.35">
      <c r="B364" s="70">
        <v>45097</v>
      </c>
      <c r="C364">
        <v>0.33</v>
      </c>
      <c r="D364">
        <v>0.04</v>
      </c>
    </row>
    <row r="365" spans="2:4" ht="14.25" customHeight="1" x14ac:dyDescent="0.35">
      <c r="B365" s="70">
        <v>45098</v>
      </c>
      <c r="C365">
        <v>0.21</v>
      </c>
      <c r="D365">
        <v>0.53</v>
      </c>
    </row>
    <row r="366" spans="2:4" ht="14.25" customHeight="1" x14ac:dyDescent="0.35">
      <c r="B366" s="70">
        <v>45099</v>
      </c>
      <c r="C366">
        <v>-0.45</v>
      </c>
      <c r="D366">
        <v>-0.66</v>
      </c>
    </row>
    <row r="367" spans="2:4" ht="14.25" customHeight="1" x14ac:dyDescent="0.35">
      <c r="B367" s="70">
        <v>45100</v>
      </c>
      <c r="C367">
        <v>-0.56000000000000005</v>
      </c>
      <c r="D367">
        <v>-0.46</v>
      </c>
    </row>
    <row r="368" spans="2:4" ht="14.25" customHeight="1" x14ac:dyDescent="0.35">
      <c r="B368" s="70">
        <v>45103</v>
      </c>
      <c r="C368">
        <v>0.14000000000000001</v>
      </c>
      <c r="D368">
        <v>-0.71</v>
      </c>
    </row>
    <row r="369" spans="2:4" ht="14.25" customHeight="1" x14ac:dyDescent="0.35">
      <c r="B369" s="70">
        <v>45104</v>
      </c>
      <c r="C369">
        <v>0.68</v>
      </c>
      <c r="D369">
        <v>0.38</v>
      </c>
    </row>
    <row r="370" spans="2:4" ht="14.25" customHeight="1" x14ac:dyDescent="0.35">
      <c r="B370" s="70">
        <v>45105</v>
      </c>
      <c r="C370">
        <v>0.82</v>
      </c>
      <c r="D370">
        <v>0.93</v>
      </c>
    </row>
    <row r="371" spans="2:4" ht="14.25" customHeight="1" x14ac:dyDescent="0.35">
      <c r="B371" s="70">
        <v>45107</v>
      </c>
      <c r="C371">
        <v>1.1399999999999999</v>
      </c>
      <c r="D371">
        <v>1.65</v>
      </c>
    </row>
    <row r="372" spans="2:4" ht="14.25" customHeight="1" x14ac:dyDescent="0.35">
      <c r="B372" s="70">
        <v>45110</v>
      </c>
      <c r="C372">
        <v>0.7</v>
      </c>
      <c r="D372">
        <v>0.28000000000000003</v>
      </c>
    </row>
    <row r="373" spans="2:4" ht="14.25" customHeight="1" x14ac:dyDescent="0.35">
      <c r="B373" s="70">
        <v>45111</v>
      </c>
      <c r="C373">
        <v>0.34</v>
      </c>
      <c r="D373">
        <v>0.06</v>
      </c>
    </row>
    <row r="374" spans="2:4" ht="14.25" customHeight="1" x14ac:dyDescent="0.35">
      <c r="B374" s="70">
        <v>45112</v>
      </c>
      <c r="C374">
        <v>0.05</v>
      </c>
      <c r="D374">
        <v>-0.17</v>
      </c>
    </row>
    <row r="375" spans="2:4" ht="14.25" customHeight="1" x14ac:dyDescent="0.35">
      <c r="B375" s="70">
        <v>45113</v>
      </c>
      <c r="C375">
        <v>0.51</v>
      </c>
      <c r="D375">
        <v>1.38</v>
      </c>
    </row>
    <row r="376" spans="2:4" ht="14.25" customHeight="1" x14ac:dyDescent="0.35">
      <c r="B376" s="70">
        <v>45114</v>
      </c>
      <c r="C376">
        <v>-0.85</v>
      </c>
      <c r="D376">
        <v>-0.26</v>
      </c>
    </row>
    <row r="377" spans="2:4" ht="14.25" customHeight="1" x14ac:dyDescent="0.35">
      <c r="B377" s="70">
        <v>45117</v>
      </c>
      <c r="C377">
        <v>0.12</v>
      </c>
      <c r="D377">
        <v>-0.11</v>
      </c>
    </row>
    <row r="378" spans="2:4" ht="14.25" customHeight="1" x14ac:dyDescent="0.35">
      <c r="B378" s="70">
        <v>45118</v>
      </c>
      <c r="C378">
        <v>0.43</v>
      </c>
      <c r="D378">
        <v>0.11</v>
      </c>
    </row>
    <row r="379" spans="2:4" ht="14.25" customHeight="1" x14ac:dyDescent="0.35">
      <c r="B379" s="70">
        <v>45119</v>
      </c>
      <c r="C379">
        <v>-0.28000000000000003</v>
      </c>
      <c r="D379">
        <v>0.17</v>
      </c>
    </row>
    <row r="380" spans="2:4" ht="14.25" customHeight="1" x14ac:dyDescent="0.35">
      <c r="B380" s="70">
        <v>45120</v>
      </c>
      <c r="C380">
        <v>0.15</v>
      </c>
      <c r="D380">
        <v>-1.92</v>
      </c>
    </row>
    <row r="381" spans="2:4" ht="14.25" customHeight="1" x14ac:dyDescent="0.35">
      <c r="B381" s="70">
        <v>45121</v>
      </c>
      <c r="C381">
        <v>0.78</v>
      </c>
      <c r="D381">
        <v>0.5</v>
      </c>
    </row>
    <row r="382" spans="2:4" ht="14.25" customHeight="1" x14ac:dyDescent="0.35">
      <c r="B382" s="70">
        <v>45124</v>
      </c>
      <c r="C382">
        <v>0.75</v>
      </c>
      <c r="D382">
        <v>-0.37</v>
      </c>
    </row>
    <row r="383" spans="2:4" ht="14.25" customHeight="1" x14ac:dyDescent="0.35">
      <c r="B383" s="70">
        <v>45125</v>
      </c>
      <c r="C383">
        <v>0.19</v>
      </c>
      <c r="D383">
        <v>-0.85</v>
      </c>
    </row>
    <row r="384" spans="2:4" ht="14.25" customHeight="1" x14ac:dyDescent="0.35">
      <c r="B384" s="70">
        <v>45126</v>
      </c>
      <c r="C384">
        <v>0.42</v>
      </c>
      <c r="D384">
        <v>0.15</v>
      </c>
    </row>
    <row r="385" spans="2:4" ht="14.25" customHeight="1" x14ac:dyDescent="0.35">
      <c r="B385" s="70">
        <v>45127</v>
      </c>
      <c r="C385">
        <v>0.74</v>
      </c>
      <c r="D385">
        <v>0.5</v>
      </c>
    </row>
    <row r="386" spans="2:4" ht="14.25" customHeight="1" x14ac:dyDescent="0.35">
      <c r="B386" s="70">
        <v>45128</v>
      </c>
      <c r="C386">
        <v>-1.17</v>
      </c>
      <c r="D386">
        <v>-0.33</v>
      </c>
    </row>
    <row r="387" spans="2:4" ht="14.25" customHeight="1" x14ac:dyDescent="0.35">
      <c r="B387" s="70">
        <v>45131</v>
      </c>
      <c r="C387">
        <v>-0.37</v>
      </c>
      <c r="D387">
        <v>0.85</v>
      </c>
    </row>
    <row r="388" spans="2:4" ht="14.25" customHeight="1" x14ac:dyDescent="0.35">
      <c r="B388" s="70">
        <v>45132</v>
      </c>
      <c r="C388">
        <v>0.04</v>
      </c>
      <c r="D388">
        <v>-0.43</v>
      </c>
    </row>
    <row r="389" spans="2:4" ht="14.25" customHeight="1" x14ac:dyDescent="0.35">
      <c r="B389" s="70">
        <v>45133</v>
      </c>
      <c r="C389">
        <v>0.5</v>
      </c>
      <c r="D389">
        <v>0.24</v>
      </c>
    </row>
    <row r="390" spans="2:4" ht="14.25" customHeight="1" x14ac:dyDescent="0.35">
      <c r="B390" s="70">
        <v>45134</v>
      </c>
      <c r="C390">
        <v>-0.6</v>
      </c>
      <c r="D390">
        <v>-0.63</v>
      </c>
    </row>
    <row r="391" spans="2:4" ht="14.25" customHeight="1" x14ac:dyDescent="0.35">
      <c r="B391" s="70">
        <v>45135</v>
      </c>
      <c r="C391">
        <v>-7.0000000000000007E-2</v>
      </c>
      <c r="D391">
        <v>-0.85</v>
      </c>
    </row>
    <row r="392" spans="2:4" ht="14.25" customHeight="1" x14ac:dyDescent="0.35">
      <c r="B392" s="70">
        <v>45138</v>
      </c>
      <c r="C392">
        <v>0.55000000000000004</v>
      </c>
      <c r="D392">
        <v>0.95</v>
      </c>
    </row>
    <row r="393" spans="2:4" ht="14.25" customHeight="1" x14ac:dyDescent="0.35">
      <c r="B393" s="70">
        <v>45139</v>
      </c>
      <c r="C393">
        <v>-0.1</v>
      </c>
      <c r="D393">
        <v>4.84</v>
      </c>
    </row>
    <row r="394" spans="2:4" ht="14.25" customHeight="1" x14ac:dyDescent="0.35">
      <c r="B394" s="70">
        <v>45140</v>
      </c>
      <c r="C394">
        <v>-1.05</v>
      </c>
      <c r="D394">
        <v>-2.41</v>
      </c>
    </row>
    <row r="395" spans="2:4" ht="14.25" customHeight="1" x14ac:dyDescent="0.35">
      <c r="B395" s="70">
        <v>45141</v>
      </c>
      <c r="C395">
        <v>-0.74</v>
      </c>
      <c r="D395">
        <v>-1.92</v>
      </c>
    </row>
    <row r="396" spans="2:4" ht="14.25" customHeight="1" x14ac:dyDescent="0.35">
      <c r="B396" s="70">
        <v>45142</v>
      </c>
      <c r="C396">
        <v>0.7</v>
      </c>
      <c r="D396">
        <v>1.61</v>
      </c>
    </row>
    <row r="397" spans="2:4" ht="14.25" customHeight="1" x14ac:dyDescent="0.35">
      <c r="B397" s="70">
        <v>45145</v>
      </c>
      <c r="C397">
        <v>0.41</v>
      </c>
      <c r="D397">
        <v>-0.34</v>
      </c>
    </row>
    <row r="398" spans="2:4" ht="14.25" customHeight="1" x14ac:dyDescent="0.35">
      <c r="B398" s="70">
        <v>45146</v>
      </c>
      <c r="C398">
        <v>-0.13</v>
      </c>
      <c r="D398">
        <v>-1.1599999999999999</v>
      </c>
    </row>
    <row r="399" spans="2:4" ht="14.25" customHeight="1" x14ac:dyDescent="0.35">
      <c r="B399" s="70">
        <v>45147</v>
      </c>
      <c r="C399">
        <v>0.32</v>
      </c>
      <c r="D399">
        <v>1.95</v>
      </c>
    </row>
    <row r="400" spans="2:4" ht="14.25" customHeight="1" x14ac:dyDescent="0.35">
      <c r="B400" s="70">
        <v>45148</v>
      </c>
      <c r="C400">
        <v>-0.46</v>
      </c>
      <c r="D400">
        <v>0.06</v>
      </c>
    </row>
    <row r="401" spans="2:4" ht="14.25" customHeight="1" x14ac:dyDescent="0.35">
      <c r="B401" s="70">
        <v>45149</v>
      </c>
      <c r="C401">
        <v>-0.59</v>
      </c>
      <c r="D401">
        <v>0</v>
      </c>
    </row>
    <row r="402" spans="2:4" ht="14.25" customHeight="1" x14ac:dyDescent="0.35">
      <c r="B402" s="70">
        <v>45152</v>
      </c>
      <c r="C402">
        <v>0.03</v>
      </c>
      <c r="D402">
        <v>-0.43</v>
      </c>
    </row>
    <row r="403" spans="2:4" ht="14.25" customHeight="1" x14ac:dyDescent="0.35">
      <c r="B403" s="70">
        <v>45154</v>
      </c>
      <c r="C403">
        <v>0.16</v>
      </c>
      <c r="D403">
        <v>-0.36</v>
      </c>
    </row>
    <row r="404" spans="2:4" ht="14.25" customHeight="1" x14ac:dyDescent="0.35">
      <c r="B404" s="70">
        <v>45155</v>
      </c>
      <c r="C404">
        <v>-0.51</v>
      </c>
      <c r="D404">
        <v>-0.32</v>
      </c>
    </row>
    <row r="405" spans="2:4" ht="14.25" customHeight="1" x14ac:dyDescent="0.35">
      <c r="B405" s="70">
        <v>45156</v>
      </c>
      <c r="C405">
        <v>-0.28000000000000003</v>
      </c>
      <c r="D405">
        <v>-0.37</v>
      </c>
    </row>
    <row r="406" spans="2:4" ht="14.25" customHeight="1" x14ac:dyDescent="0.35">
      <c r="B406" s="70">
        <v>45159</v>
      </c>
      <c r="C406">
        <v>0.43</v>
      </c>
      <c r="D406">
        <v>1.17</v>
      </c>
    </row>
    <row r="407" spans="2:4" ht="14.25" customHeight="1" x14ac:dyDescent="0.35">
      <c r="B407" s="70">
        <v>45160</v>
      </c>
      <c r="C407">
        <v>0.01</v>
      </c>
      <c r="D407">
        <v>0.28000000000000003</v>
      </c>
    </row>
    <row r="408" spans="2:4" ht="14.25" customHeight="1" x14ac:dyDescent="0.35">
      <c r="B408" s="70">
        <v>45161</v>
      </c>
      <c r="C408">
        <v>0.25</v>
      </c>
      <c r="D408">
        <v>0.06</v>
      </c>
    </row>
    <row r="409" spans="2:4" ht="14.25" customHeight="1" x14ac:dyDescent="0.35">
      <c r="B409" s="70">
        <v>45162</v>
      </c>
      <c r="C409">
        <v>-0.28999999999999998</v>
      </c>
      <c r="D409">
        <v>-0.71</v>
      </c>
    </row>
    <row r="410" spans="2:4" ht="14.25" customHeight="1" x14ac:dyDescent="0.35">
      <c r="B410" s="70">
        <v>45163</v>
      </c>
      <c r="C410">
        <v>-0.62</v>
      </c>
      <c r="D410">
        <v>-0.68</v>
      </c>
    </row>
    <row r="411" spans="2:4" ht="14.25" customHeight="1" x14ac:dyDescent="0.35">
      <c r="B411" s="70">
        <v>45166</v>
      </c>
      <c r="C411">
        <v>0.21</v>
      </c>
      <c r="D411">
        <v>0.77</v>
      </c>
    </row>
    <row r="412" spans="2:4" ht="14.25" customHeight="1" x14ac:dyDescent="0.35">
      <c r="B412" s="70">
        <v>45167</v>
      </c>
      <c r="C412">
        <v>0.19</v>
      </c>
      <c r="D412">
        <v>0.22</v>
      </c>
    </row>
    <row r="413" spans="2:4" ht="14.25" customHeight="1" x14ac:dyDescent="0.35">
      <c r="B413" s="70">
        <v>45168</v>
      </c>
      <c r="C413">
        <v>0.02</v>
      </c>
      <c r="D413">
        <v>-0.52</v>
      </c>
    </row>
    <row r="414" spans="2:4" ht="14.25" customHeight="1" x14ac:dyDescent="0.35">
      <c r="B414" s="70">
        <v>45169</v>
      </c>
      <c r="C414">
        <v>-0.48</v>
      </c>
      <c r="D414">
        <v>0.56999999999999995</v>
      </c>
    </row>
    <row r="415" spans="2:4" ht="14.25" customHeight="1" x14ac:dyDescent="0.35">
      <c r="B415" s="70">
        <v>45170</v>
      </c>
      <c r="C415">
        <v>0.94</v>
      </c>
      <c r="D415">
        <v>2.98</v>
      </c>
    </row>
    <row r="416" spans="2:4" ht="14.25" customHeight="1" x14ac:dyDescent="0.35">
      <c r="B416" s="70">
        <v>45173</v>
      </c>
      <c r="C416">
        <v>0.48</v>
      </c>
      <c r="D416">
        <v>4.5999999999999996</v>
      </c>
    </row>
    <row r="417" spans="2:4" ht="14.25" customHeight="1" x14ac:dyDescent="0.35">
      <c r="B417" s="70">
        <v>45174</v>
      </c>
      <c r="C417">
        <v>0.24</v>
      </c>
      <c r="D417">
        <v>3.05</v>
      </c>
    </row>
    <row r="418" spans="2:4" ht="14.25" customHeight="1" x14ac:dyDescent="0.35">
      <c r="B418" s="70">
        <v>45175</v>
      </c>
      <c r="C418">
        <v>0.18</v>
      </c>
      <c r="D418">
        <v>0.18</v>
      </c>
    </row>
    <row r="419" spans="2:4" ht="14.25" customHeight="1" x14ac:dyDescent="0.35">
      <c r="B419" s="70">
        <v>45176</v>
      </c>
      <c r="C419">
        <v>0.59</v>
      </c>
      <c r="D419">
        <v>7.11</v>
      </c>
    </row>
    <row r="420" spans="2:4" ht="14.25" customHeight="1" x14ac:dyDescent="0.35">
      <c r="B420" s="70">
        <v>45177</v>
      </c>
      <c r="C420">
        <v>0.47</v>
      </c>
      <c r="D420">
        <v>2.96</v>
      </c>
    </row>
    <row r="421" spans="2:4" ht="14.25" customHeight="1" x14ac:dyDescent="0.35">
      <c r="B421" s="70">
        <v>45180</v>
      </c>
      <c r="C421">
        <v>0.89</v>
      </c>
      <c r="D421">
        <v>-1.1200000000000001</v>
      </c>
    </row>
    <row r="422" spans="2:4" ht="14.25" customHeight="1" x14ac:dyDescent="0.35">
      <c r="B422" s="70">
        <v>45181</v>
      </c>
      <c r="C422">
        <v>-0.02</v>
      </c>
      <c r="D422">
        <v>-2.94</v>
      </c>
    </row>
    <row r="423" spans="2:4" ht="14.25" customHeight="1" x14ac:dyDescent="0.35">
      <c r="B423" s="70">
        <v>45182</v>
      </c>
      <c r="C423">
        <v>0.38</v>
      </c>
      <c r="D423">
        <v>3.29</v>
      </c>
    </row>
    <row r="424" spans="2:4" ht="14.25" customHeight="1" x14ac:dyDescent="0.35">
      <c r="B424" s="70">
        <v>45183</v>
      </c>
      <c r="C424">
        <v>0.16</v>
      </c>
      <c r="D424">
        <v>-0.75</v>
      </c>
    </row>
    <row r="425" spans="2:4" ht="14.25" customHeight="1" x14ac:dyDescent="0.35">
      <c r="B425" s="70">
        <v>45184</v>
      </c>
      <c r="C425">
        <v>0.44</v>
      </c>
      <c r="D425">
        <v>0.63</v>
      </c>
    </row>
    <row r="426" spans="2:4" ht="14.25" customHeight="1" x14ac:dyDescent="0.35">
      <c r="B426" s="70">
        <v>45187</v>
      </c>
      <c r="C426">
        <v>-0.28999999999999998</v>
      </c>
      <c r="D426">
        <v>0.7</v>
      </c>
    </row>
    <row r="427" spans="2:4" ht="14.25" customHeight="1" x14ac:dyDescent="0.35">
      <c r="B427" s="70">
        <v>45189</v>
      </c>
      <c r="C427">
        <v>-1.1499999999999999</v>
      </c>
      <c r="D427">
        <v>1.08</v>
      </c>
    </row>
    <row r="428" spans="2:4" ht="14.25" customHeight="1" x14ac:dyDescent="0.35">
      <c r="B428" s="70">
        <v>45190</v>
      </c>
      <c r="C428">
        <v>-0.8</v>
      </c>
      <c r="D428">
        <v>-1.35</v>
      </c>
    </row>
    <row r="429" spans="2:4" ht="14.25" customHeight="1" x14ac:dyDescent="0.35">
      <c r="B429" s="70">
        <v>45191</v>
      </c>
      <c r="C429">
        <v>-0.34</v>
      </c>
      <c r="D429">
        <v>1.03</v>
      </c>
    </row>
    <row r="430" spans="2:4" ht="14.25" customHeight="1" x14ac:dyDescent="0.35">
      <c r="B430" s="70">
        <v>45194</v>
      </c>
      <c r="C430">
        <v>0</v>
      </c>
      <c r="D430">
        <v>1.66</v>
      </c>
    </row>
    <row r="431" spans="2:4" ht="14.25" customHeight="1" x14ac:dyDescent="0.35">
      <c r="B431" s="70">
        <v>45195</v>
      </c>
      <c r="C431">
        <v>-0.05</v>
      </c>
      <c r="D431">
        <v>-0.45</v>
      </c>
    </row>
    <row r="432" spans="2:4" ht="14.25" customHeight="1" x14ac:dyDescent="0.35">
      <c r="B432" s="70">
        <v>45196</v>
      </c>
      <c r="C432">
        <v>0.26</v>
      </c>
      <c r="D432">
        <v>1.67</v>
      </c>
    </row>
    <row r="433" spans="2:4" ht="14.25" customHeight="1" x14ac:dyDescent="0.35">
      <c r="B433" s="70">
        <v>45197</v>
      </c>
      <c r="C433">
        <v>-0.98</v>
      </c>
      <c r="D433">
        <v>-0.46</v>
      </c>
    </row>
    <row r="434" spans="2:4" ht="14.25" customHeight="1" x14ac:dyDescent="0.35">
      <c r="B434" s="70">
        <v>45198</v>
      </c>
      <c r="C434">
        <v>0.59</v>
      </c>
      <c r="D434">
        <v>1.72</v>
      </c>
    </row>
    <row r="435" spans="2:4" ht="14.25" customHeight="1" x14ac:dyDescent="0.35">
      <c r="B435" s="70">
        <v>45202</v>
      </c>
      <c r="C435">
        <v>-0.56000000000000005</v>
      </c>
      <c r="D435">
        <v>-1.1200000000000001</v>
      </c>
    </row>
    <row r="436" spans="2:4" ht="14.25" customHeight="1" x14ac:dyDescent="0.35">
      <c r="B436" s="70">
        <v>45203</v>
      </c>
      <c r="C436">
        <v>-0.47</v>
      </c>
      <c r="D436">
        <v>-1.35</v>
      </c>
    </row>
    <row r="437" spans="2:4" ht="14.25" customHeight="1" x14ac:dyDescent="0.35">
      <c r="B437" s="70">
        <v>45204</v>
      </c>
      <c r="C437">
        <v>0.56000000000000005</v>
      </c>
      <c r="D437">
        <v>0.49</v>
      </c>
    </row>
    <row r="438" spans="2:4" ht="14.25" customHeight="1" x14ac:dyDescent="0.35">
      <c r="B438" s="70">
        <v>45205</v>
      </c>
      <c r="C438">
        <v>0.55000000000000004</v>
      </c>
      <c r="D438">
        <v>-0.54</v>
      </c>
    </row>
    <row r="439" spans="2:4" ht="14.25" customHeight="1" x14ac:dyDescent="0.35">
      <c r="B439" s="70">
        <v>45208</v>
      </c>
      <c r="C439">
        <v>-0.72</v>
      </c>
      <c r="D439">
        <v>0</v>
      </c>
    </row>
    <row r="440" spans="2:4" ht="14.25" customHeight="1" x14ac:dyDescent="0.35">
      <c r="B440" s="70">
        <v>45209</v>
      </c>
      <c r="C440">
        <v>0.91</v>
      </c>
      <c r="D440">
        <v>5.37</v>
      </c>
    </row>
    <row r="441" spans="2:4" ht="14.25" customHeight="1" x14ac:dyDescent="0.35">
      <c r="B441" s="70">
        <v>45210</v>
      </c>
      <c r="C441">
        <v>0.62</v>
      </c>
      <c r="D441">
        <v>-0.46</v>
      </c>
    </row>
    <row r="442" spans="2:4" ht="14.25" customHeight="1" x14ac:dyDescent="0.35">
      <c r="B442" s="70">
        <v>45211</v>
      </c>
      <c r="C442">
        <v>-0.09</v>
      </c>
      <c r="D442">
        <v>1.77</v>
      </c>
    </row>
    <row r="443" spans="2:4" ht="14.25" customHeight="1" x14ac:dyDescent="0.35">
      <c r="B443" s="70">
        <v>45212</v>
      </c>
      <c r="C443">
        <v>-0.22</v>
      </c>
      <c r="D443">
        <v>0.24</v>
      </c>
    </row>
    <row r="444" spans="2:4" ht="14.25" customHeight="1" x14ac:dyDescent="0.35">
      <c r="B444" s="70">
        <v>45215</v>
      </c>
      <c r="C444">
        <v>-0.1</v>
      </c>
      <c r="D444">
        <v>1.32</v>
      </c>
    </row>
    <row r="445" spans="2:4" ht="14.25" customHeight="1" x14ac:dyDescent="0.35">
      <c r="B445" s="70">
        <v>45216</v>
      </c>
      <c r="C445">
        <v>0.4</v>
      </c>
      <c r="D445">
        <v>1.73</v>
      </c>
    </row>
    <row r="446" spans="2:4" ht="14.25" customHeight="1" x14ac:dyDescent="0.35">
      <c r="B446" s="70">
        <v>45217</v>
      </c>
      <c r="C446">
        <v>-0.71</v>
      </c>
      <c r="D446">
        <v>-0.14000000000000001</v>
      </c>
    </row>
    <row r="447" spans="2:4" ht="14.25" customHeight="1" x14ac:dyDescent="0.35">
      <c r="B447" s="70">
        <v>45218</v>
      </c>
      <c r="C447">
        <v>-0.24</v>
      </c>
      <c r="D447">
        <v>-0.68</v>
      </c>
    </row>
    <row r="448" spans="2:4" ht="14.25" customHeight="1" x14ac:dyDescent="0.35">
      <c r="B448" s="70">
        <v>45219</v>
      </c>
      <c r="C448">
        <v>-0.42</v>
      </c>
      <c r="D448">
        <v>-0.76</v>
      </c>
    </row>
    <row r="449" spans="2:4" ht="14.25" customHeight="1" x14ac:dyDescent="0.35">
      <c r="B449" s="70">
        <v>45222</v>
      </c>
      <c r="C449">
        <v>-1.34</v>
      </c>
      <c r="D449">
        <v>-2.02</v>
      </c>
    </row>
    <row r="450" spans="2:4" ht="14.25" customHeight="1" x14ac:dyDescent="0.35">
      <c r="B450" s="70">
        <v>45224</v>
      </c>
      <c r="C450">
        <v>-0.83</v>
      </c>
      <c r="D450">
        <v>1.37</v>
      </c>
    </row>
    <row r="451" spans="2:4" ht="14.25" customHeight="1" x14ac:dyDescent="0.35">
      <c r="B451" s="70">
        <v>45225</v>
      </c>
      <c r="C451">
        <v>-1.39</v>
      </c>
      <c r="D451">
        <v>-1.63</v>
      </c>
    </row>
    <row r="452" spans="2:4" ht="14.25" customHeight="1" x14ac:dyDescent="0.35">
      <c r="B452" s="70">
        <v>45226</v>
      </c>
      <c r="C452">
        <v>1.01</v>
      </c>
      <c r="D452">
        <v>2.85</v>
      </c>
    </row>
    <row r="453" spans="2:4" ht="14.25" customHeight="1" x14ac:dyDescent="0.35">
      <c r="B453" s="70">
        <v>45229</v>
      </c>
      <c r="C453">
        <v>0.49</v>
      </c>
      <c r="D453">
        <v>0.19</v>
      </c>
    </row>
    <row r="454" spans="2:4" ht="14.25" customHeight="1" x14ac:dyDescent="0.35">
      <c r="B454" s="70">
        <v>45230</v>
      </c>
      <c r="C454">
        <v>-0.32</v>
      </c>
      <c r="D454">
        <v>-0.1</v>
      </c>
    </row>
    <row r="455" spans="2:4" ht="14.25" customHeight="1" x14ac:dyDescent="0.35">
      <c r="B455" s="70">
        <v>45231</v>
      </c>
      <c r="C455">
        <v>-0.47</v>
      </c>
      <c r="D455">
        <v>-2.42</v>
      </c>
    </row>
    <row r="456" spans="2:4" ht="14.25" customHeight="1" x14ac:dyDescent="0.35">
      <c r="B456" s="70">
        <v>45232</v>
      </c>
      <c r="C456">
        <v>0.76</v>
      </c>
      <c r="D456">
        <v>0.72</v>
      </c>
    </row>
    <row r="457" spans="2:4" ht="14.25" customHeight="1" x14ac:dyDescent="0.35">
      <c r="B457" s="70">
        <v>45233</v>
      </c>
      <c r="C457">
        <v>0.51</v>
      </c>
      <c r="D457">
        <v>1.02</v>
      </c>
    </row>
    <row r="458" spans="2:4" ht="14.25" customHeight="1" x14ac:dyDescent="0.35">
      <c r="B458" s="70">
        <v>45236</v>
      </c>
      <c r="C458">
        <v>0.94</v>
      </c>
      <c r="D458">
        <v>1.46</v>
      </c>
    </row>
    <row r="459" spans="2:4" ht="14.25" customHeight="1" x14ac:dyDescent="0.35">
      <c r="B459" s="70">
        <v>45237</v>
      </c>
      <c r="C459">
        <v>-0.03</v>
      </c>
      <c r="D459">
        <v>-0.73</v>
      </c>
    </row>
    <row r="460" spans="2:4" ht="14.25" customHeight="1" x14ac:dyDescent="0.35">
      <c r="B460" s="70">
        <v>45238</v>
      </c>
      <c r="C460">
        <v>0.19</v>
      </c>
      <c r="D460">
        <v>1</v>
      </c>
    </row>
    <row r="461" spans="2:4" ht="14.25" customHeight="1" x14ac:dyDescent="0.35">
      <c r="B461" s="70">
        <v>45239</v>
      </c>
      <c r="C461">
        <v>-0.25</v>
      </c>
      <c r="D461">
        <v>1.94</v>
      </c>
    </row>
    <row r="462" spans="2:4" ht="14.25" customHeight="1" x14ac:dyDescent="0.35">
      <c r="B462" s="70">
        <v>45240</v>
      </c>
      <c r="C462">
        <v>0.15</v>
      </c>
      <c r="D462">
        <v>-0.05</v>
      </c>
    </row>
    <row r="463" spans="2:4" ht="14.25" customHeight="1" x14ac:dyDescent="0.35">
      <c r="B463" s="70">
        <v>45243</v>
      </c>
      <c r="C463">
        <v>0.09</v>
      </c>
      <c r="D463">
        <v>8.02</v>
      </c>
    </row>
    <row r="464" spans="2:4" ht="14.25" customHeight="1" x14ac:dyDescent="0.35">
      <c r="B464" s="70">
        <v>45245</v>
      </c>
      <c r="C464">
        <v>1.19</v>
      </c>
      <c r="D464">
        <v>0.36</v>
      </c>
    </row>
    <row r="465" spans="2:4" ht="14.25" customHeight="1" x14ac:dyDescent="0.35">
      <c r="B465" s="70">
        <v>45246</v>
      </c>
      <c r="C465">
        <v>0.46</v>
      </c>
      <c r="D465">
        <v>-1.37</v>
      </c>
    </row>
    <row r="466" spans="2:4" ht="14.25" customHeight="1" x14ac:dyDescent="0.35">
      <c r="B466" s="70">
        <v>45247</v>
      </c>
      <c r="C466">
        <v>-0.17</v>
      </c>
      <c r="D466">
        <v>-0.16</v>
      </c>
    </row>
    <row r="467" spans="2:4" ht="14.25" customHeight="1" x14ac:dyDescent="0.35">
      <c r="B467" s="70">
        <v>45250</v>
      </c>
      <c r="C467">
        <v>-0.19</v>
      </c>
      <c r="D467">
        <v>0.72</v>
      </c>
    </row>
    <row r="468" spans="2:4" ht="14.25" customHeight="1" x14ac:dyDescent="0.35">
      <c r="B468" s="70">
        <v>45251</v>
      </c>
      <c r="C468">
        <v>0.45</v>
      </c>
      <c r="D468">
        <v>0.51</v>
      </c>
    </row>
    <row r="469" spans="2:4" ht="14.25" customHeight="1" x14ac:dyDescent="0.35">
      <c r="B469" s="70">
        <v>45252</v>
      </c>
      <c r="C469">
        <v>0.14000000000000001</v>
      </c>
      <c r="D469">
        <v>-0.61</v>
      </c>
    </row>
    <row r="470" spans="2:4" ht="14.25" customHeight="1" x14ac:dyDescent="0.35">
      <c r="B470" s="70">
        <v>45253</v>
      </c>
      <c r="C470">
        <v>-0.05</v>
      </c>
      <c r="D470">
        <v>0.69</v>
      </c>
    </row>
    <row r="471" spans="2:4" ht="14.25" customHeight="1" x14ac:dyDescent="0.35">
      <c r="B471" s="70">
        <v>45254</v>
      </c>
      <c r="C471">
        <v>-0.04</v>
      </c>
      <c r="D471">
        <v>-0.49</v>
      </c>
    </row>
    <row r="472" spans="2:4" ht="14.25" customHeight="1" x14ac:dyDescent="0.35">
      <c r="B472" s="70">
        <v>45258</v>
      </c>
      <c r="C472">
        <v>0.48</v>
      </c>
      <c r="D472">
        <v>2.75</v>
      </c>
    </row>
    <row r="473" spans="2:4" ht="14.25" customHeight="1" x14ac:dyDescent="0.35">
      <c r="B473" s="70">
        <v>45259</v>
      </c>
      <c r="C473">
        <v>1.04</v>
      </c>
      <c r="D473">
        <v>0.12</v>
      </c>
    </row>
    <row r="474" spans="2:4" ht="14.25" customHeight="1" x14ac:dyDescent="0.35">
      <c r="B474" s="70">
        <v>45260</v>
      </c>
      <c r="C474">
        <v>0.18</v>
      </c>
      <c r="D474">
        <v>-0.06</v>
      </c>
    </row>
    <row r="475" spans="2:4" ht="14.25" customHeight="1" x14ac:dyDescent="0.35">
      <c r="B475" s="70">
        <v>45261</v>
      </c>
      <c r="C475">
        <v>0.67</v>
      </c>
      <c r="D475">
        <v>1.32</v>
      </c>
    </row>
    <row r="476" spans="2:4" ht="14.25" customHeight="1" x14ac:dyDescent="0.35">
      <c r="B476" s="70">
        <v>45264</v>
      </c>
      <c r="C476">
        <v>2.0699999999999998</v>
      </c>
      <c r="D476">
        <v>2.3199999999999998</v>
      </c>
    </row>
    <row r="477" spans="2:4" ht="14.25" customHeight="1" x14ac:dyDescent="0.35">
      <c r="B477" s="70">
        <v>45265</v>
      </c>
      <c r="C477">
        <v>0.81</v>
      </c>
      <c r="D477">
        <v>0.24</v>
      </c>
    </row>
    <row r="478" spans="2:4" ht="14.25" customHeight="1" x14ac:dyDescent="0.35">
      <c r="B478" s="70">
        <v>45266</v>
      </c>
      <c r="C478">
        <v>0.4</v>
      </c>
      <c r="D478">
        <v>-0.96</v>
      </c>
    </row>
    <row r="479" spans="2:4" ht="14.25" customHeight="1" x14ac:dyDescent="0.35">
      <c r="B479" s="70">
        <v>45267</v>
      </c>
      <c r="C479">
        <v>-0.17</v>
      </c>
      <c r="D479">
        <v>-0.06</v>
      </c>
    </row>
    <row r="480" spans="2:4" ht="14.25" customHeight="1" x14ac:dyDescent="0.35">
      <c r="B480" s="70">
        <v>45268</v>
      </c>
      <c r="C480">
        <v>0.33</v>
      </c>
      <c r="D480">
        <v>-0.27</v>
      </c>
    </row>
    <row r="481" spans="2:4" ht="14.25" customHeight="1" x14ac:dyDescent="0.35">
      <c r="B481" s="70">
        <v>45271</v>
      </c>
      <c r="C481">
        <v>0.13</v>
      </c>
      <c r="D481">
        <v>0.75</v>
      </c>
    </row>
    <row r="482" spans="2:4" ht="14.25" customHeight="1" x14ac:dyDescent="0.35">
      <c r="B482" s="70">
        <v>45272</v>
      </c>
      <c r="C482">
        <v>-0.43</v>
      </c>
      <c r="D482">
        <v>-1.74</v>
      </c>
    </row>
    <row r="483" spans="2:4" ht="14.25" customHeight="1" x14ac:dyDescent="0.35">
      <c r="B483" s="70">
        <v>45273</v>
      </c>
      <c r="C483">
        <v>0.1</v>
      </c>
      <c r="D483">
        <v>-0.66</v>
      </c>
    </row>
    <row r="484" spans="2:4" ht="14.25" customHeight="1" x14ac:dyDescent="0.35">
      <c r="B484" s="70">
        <v>45274</v>
      </c>
      <c r="C484">
        <v>1.23</v>
      </c>
      <c r="D484">
        <v>0.7</v>
      </c>
    </row>
    <row r="485" spans="2:4" ht="14.25" customHeight="1" x14ac:dyDescent="0.35">
      <c r="B485" s="70">
        <v>45275</v>
      </c>
      <c r="C485">
        <v>1.29</v>
      </c>
      <c r="D485">
        <v>0.69</v>
      </c>
    </row>
    <row r="486" spans="2:4" ht="14.25" customHeight="1" x14ac:dyDescent="0.35">
      <c r="B486" s="70">
        <v>45278</v>
      </c>
      <c r="C486">
        <v>-0.18</v>
      </c>
      <c r="D486">
        <v>-0.67</v>
      </c>
    </row>
    <row r="487" spans="2:4" ht="14.25" customHeight="1" x14ac:dyDescent="0.35">
      <c r="B487" s="70">
        <v>45279</v>
      </c>
      <c r="C487">
        <v>0.16</v>
      </c>
      <c r="D487">
        <v>5.55</v>
      </c>
    </row>
    <row r="488" spans="2:4" ht="14.25" customHeight="1" x14ac:dyDescent="0.35">
      <c r="B488" s="70">
        <v>45280</v>
      </c>
      <c r="C488">
        <v>-1.41</v>
      </c>
      <c r="D488">
        <v>-4.03</v>
      </c>
    </row>
    <row r="489" spans="2:4" ht="14.25" customHeight="1" x14ac:dyDescent="0.35">
      <c r="B489" s="70">
        <v>45281</v>
      </c>
      <c r="C489">
        <v>0.5</v>
      </c>
      <c r="D489">
        <v>0.95</v>
      </c>
    </row>
    <row r="490" spans="2:4" ht="14.25" customHeight="1" x14ac:dyDescent="0.35">
      <c r="B490" s="70">
        <v>45282</v>
      </c>
      <c r="C490">
        <v>0.44</v>
      </c>
      <c r="D490">
        <v>2.1800000000000002</v>
      </c>
    </row>
    <row r="491" spans="2:4" ht="14.25" customHeight="1" x14ac:dyDescent="0.35">
      <c r="B491" s="70">
        <v>45286</v>
      </c>
      <c r="C491">
        <v>0.43</v>
      </c>
      <c r="D491">
        <v>0.77</v>
      </c>
    </row>
    <row r="492" spans="2:4" ht="14.25" customHeight="1" x14ac:dyDescent="0.35">
      <c r="B492" s="70">
        <v>45287</v>
      </c>
      <c r="C492">
        <v>1</v>
      </c>
      <c r="D492">
        <v>-0.12</v>
      </c>
    </row>
    <row r="493" spans="2:4" ht="14.25" customHeight="1" x14ac:dyDescent="0.35">
      <c r="B493" s="70">
        <v>45288</v>
      </c>
      <c r="C493">
        <v>0.56999999999999995</v>
      </c>
      <c r="D493">
        <v>4.2</v>
      </c>
    </row>
    <row r="494" spans="2:4" ht="14.25" customHeight="1" x14ac:dyDescent="0.35">
      <c r="B494" s="70">
        <v>45289</v>
      </c>
      <c r="C494">
        <v>-0.22</v>
      </c>
      <c r="D494">
        <v>-1.3</v>
      </c>
    </row>
    <row r="495" spans="2:4" ht="14.25" customHeight="1" x14ac:dyDescent="0.35">
      <c r="B495" s="70">
        <v>45292</v>
      </c>
      <c r="C495">
        <v>0.05</v>
      </c>
      <c r="D495">
        <v>1.54</v>
      </c>
    </row>
    <row r="496" spans="2:4" ht="14.25" customHeight="1" x14ac:dyDescent="0.35">
      <c r="B496" s="70">
        <v>45293</v>
      </c>
      <c r="C496">
        <v>-0.35</v>
      </c>
      <c r="D496">
        <v>2.84</v>
      </c>
    </row>
    <row r="497" spans="2:4" ht="14.25" customHeight="1" x14ac:dyDescent="0.35">
      <c r="B497" s="70">
        <v>45294</v>
      </c>
      <c r="C497">
        <v>-0.69</v>
      </c>
      <c r="D497">
        <v>-2.06</v>
      </c>
    </row>
    <row r="498" spans="2:4" ht="14.25" customHeight="1" x14ac:dyDescent="0.35">
      <c r="B498" s="70">
        <v>45295</v>
      </c>
      <c r="C498">
        <v>0.66</v>
      </c>
      <c r="D498">
        <v>0.05</v>
      </c>
    </row>
    <row r="499" spans="2:4" ht="14.25" customHeight="1" x14ac:dyDescent="0.35">
      <c r="B499" s="70">
        <v>45296</v>
      </c>
      <c r="C499">
        <v>0.24</v>
      </c>
      <c r="D499">
        <v>-0.13</v>
      </c>
    </row>
    <row r="500" spans="2:4" ht="14.25" customHeight="1" x14ac:dyDescent="0.35">
      <c r="B500" s="70">
        <v>45299</v>
      </c>
      <c r="C500">
        <v>-0.91</v>
      </c>
      <c r="D500">
        <v>-1</v>
      </c>
    </row>
    <row r="501" spans="2:4" ht="14.25" customHeight="1" x14ac:dyDescent="0.35">
      <c r="B501" s="70">
        <v>45300</v>
      </c>
      <c r="C501">
        <v>0.15</v>
      </c>
      <c r="D501">
        <v>1.3</v>
      </c>
    </row>
    <row r="502" spans="2:4" ht="14.25" customHeight="1" x14ac:dyDescent="0.35">
      <c r="B502" s="70">
        <v>45301</v>
      </c>
      <c r="C502">
        <v>0.34</v>
      </c>
      <c r="D502">
        <v>-0.86</v>
      </c>
    </row>
    <row r="503" spans="2:4" ht="14.25" customHeight="1" x14ac:dyDescent="0.35">
      <c r="B503" s="70">
        <v>45302</v>
      </c>
      <c r="C503">
        <v>0.13</v>
      </c>
      <c r="D503">
        <v>0.6</v>
      </c>
    </row>
    <row r="504" spans="2:4" ht="14.25" customHeight="1" x14ac:dyDescent="0.35">
      <c r="B504" s="70">
        <v>45303</v>
      </c>
      <c r="C504">
        <v>1.1399999999999999</v>
      </c>
      <c r="D504">
        <v>-0.85</v>
      </c>
    </row>
    <row r="505" spans="2:4" ht="14.25" customHeight="1" x14ac:dyDescent="0.35">
      <c r="B505" s="70">
        <v>45306</v>
      </c>
      <c r="C505">
        <v>0.93</v>
      </c>
      <c r="D505">
        <v>0.93</v>
      </c>
    </row>
    <row r="506" spans="2:4" ht="14.25" customHeight="1" x14ac:dyDescent="0.35">
      <c r="B506" s="70">
        <v>45307</v>
      </c>
      <c r="C506">
        <v>-0.28999999999999998</v>
      </c>
      <c r="D506">
        <v>-0.71</v>
      </c>
    </row>
    <row r="507" spans="2:4" ht="14.25" customHeight="1" x14ac:dyDescent="0.35">
      <c r="B507" s="70">
        <v>45308</v>
      </c>
      <c r="C507">
        <v>-2.09</v>
      </c>
      <c r="D507">
        <v>-0.59</v>
      </c>
    </row>
    <row r="508" spans="2:4" ht="14.25" customHeight="1" x14ac:dyDescent="0.35">
      <c r="B508" s="70">
        <v>45309</v>
      </c>
      <c r="C508">
        <v>-0.51</v>
      </c>
      <c r="D508">
        <v>-1.05</v>
      </c>
    </row>
    <row r="509" spans="2:4" ht="14.25" customHeight="1" x14ac:dyDescent="0.35">
      <c r="B509" s="70">
        <v>45310</v>
      </c>
      <c r="C509">
        <v>0.75</v>
      </c>
      <c r="D509">
        <v>2.02</v>
      </c>
    </row>
    <row r="510" spans="2:4" ht="14.25" customHeight="1" x14ac:dyDescent="0.35">
      <c r="B510" s="70">
        <v>45314</v>
      </c>
      <c r="C510">
        <v>-1.77</v>
      </c>
      <c r="D510">
        <v>-2.0699999999999998</v>
      </c>
    </row>
    <row r="511" spans="2:4" ht="14.25" customHeight="1" x14ac:dyDescent="0.35">
      <c r="B511" s="70">
        <v>45315</v>
      </c>
      <c r="C511">
        <v>1.01</v>
      </c>
      <c r="D511">
        <v>1.95</v>
      </c>
    </row>
    <row r="512" spans="2:4" ht="14.25" customHeight="1" x14ac:dyDescent="0.35">
      <c r="B512" s="70">
        <v>45316</v>
      </c>
      <c r="C512">
        <v>-0.47</v>
      </c>
      <c r="D512">
        <v>1.78</v>
      </c>
    </row>
    <row r="513" spans="2:4" ht="14.25" customHeight="1" x14ac:dyDescent="0.35">
      <c r="B513" s="70">
        <v>45320</v>
      </c>
      <c r="C513">
        <v>1.8</v>
      </c>
      <c r="D513">
        <v>6.01</v>
      </c>
    </row>
    <row r="514" spans="2:4" ht="14.25" customHeight="1" x14ac:dyDescent="0.35">
      <c r="B514" s="70">
        <v>45321</v>
      </c>
      <c r="C514">
        <v>-0.99</v>
      </c>
      <c r="D514">
        <v>-2.48</v>
      </c>
    </row>
    <row r="515" spans="2:4" ht="14.25" customHeight="1" x14ac:dyDescent="0.35">
      <c r="B515" s="70">
        <v>45322</v>
      </c>
      <c r="C515">
        <v>0.95</v>
      </c>
      <c r="D515">
        <v>0.89</v>
      </c>
    </row>
    <row r="516" spans="2:4" ht="14.25" customHeight="1" x14ac:dyDescent="0.35">
      <c r="B516" s="70">
        <v>45323</v>
      </c>
      <c r="C516">
        <v>-0.13</v>
      </c>
      <c r="D516">
        <v>0.14000000000000001</v>
      </c>
    </row>
    <row r="517" spans="2:4" ht="14.25" customHeight="1" x14ac:dyDescent="0.35">
      <c r="B517" s="70">
        <v>45324</v>
      </c>
      <c r="C517">
        <v>0.72</v>
      </c>
      <c r="D517">
        <v>3.22</v>
      </c>
    </row>
    <row r="518" spans="2:4" ht="14.25" customHeight="1" x14ac:dyDescent="0.35">
      <c r="B518" s="70">
        <v>45327</v>
      </c>
      <c r="C518">
        <v>-0.38</v>
      </c>
      <c r="D518">
        <v>4.87</v>
      </c>
    </row>
    <row r="519" spans="2:4" ht="14.25" customHeight="1" x14ac:dyDescent="0.35">
      <c r="B519" s="70">
        <v>45328</v>
      </c>
      <c r="C519">
        <v>0.72</v>
      </c>
      <c r="D519">
        <v>1.91</v>
      </c>
    </row>
    <row r="520" spans="2:4" ht="14.25" customHeight="1" x14ac:dyDescent="0.35">
      <c r="B520" s="70">
        <v>45329</v>
      </c>
      <c r="C520">
        <v>0.01</v>
      </c>
      <c r="D520">
        <v>0.89</v>
      </c>
    </row>
    <row r="521" spans="2:4" ht="14.25" customHeight="1" x14ac:dyDescent="0.35">
      <c r="B521" s="70">
        <v>45330</v>
      </c>
      <c r="C521">
        <v>-0.97</v>
      </c>
      <c r="D521">
        <v>1.45</v>
      </c>
    </row>
    <row r="522" spans="2:4" ht="14.25" customHeight="1" x14ac:dyDescent="0.35">
      <c r="B522" s="70">
        <v>45331</v>
      </c>
      <c r="C522">
        <v>0.3</v>
      </c>
      <c r="D522">
        <v>-0.65</v>
      </c>
    </row>
    <row r="523" spans="2:4" ht="14.25" customHeight="1" x14ac:dyDescent="0.35">
      <c r="B523" s="70">
        <v>45334</v>
      </c>
      <c r="C523">
        <v>-0.76</v>
      </c>
      <c r="D523">
        <v>-5.13</v>
      </c>
    </row>
    <row r="524" spans="2:4" ht="14.25" customHeight="1" x14ac:dyDescent="0.35">
      <c r="B524" s="70">
        <v>45335</v>
      </c>
      <c r="C524">
        <v>0.59</v>
      </c>
      <c r="D524">
        <v>4.5199999999999996</v>
      </c>
    </row>
    <row r="525" spans="2:4" ht="14.25" customHeight="1" x14ac:dyDescent="0.35">
      <c r="B525" s="70">
        <v>45336</v>
      </c>
      <c r="C525">
        <v>0.45</v>
      </c>
      <c r="D525">
        <v>3.09</v>
      </c>
    </row>
    <row r="526" spans="2:4" ht="14.25" customHeight="1" x14ac:dyDescent="0.35">
      <c r="B526" s="70">
        <v>45337</v>
      </c>
      <c r="C526">
        <v>0.32</v>
      </c>
      <c r="D526">
        <v>2.25</v>
      </c>
    </row>
    <row r="527" spans="2:4" ht="14.25" customHeight="1" x14ac:dyDescent="0.35">
      <c r="B527" s="70">
        <v>45338</v>
      </c>
      <c r="C527">
        <v>0.59</v>
      </c>
      <c r="D527">
        <v>0.66</v>
      </c>
    </row>
    <row r="528" spans="2:4" ht="14.25" customHeight="1" x14ac:dyDescent="0.35">
      <c r="B528" s="70">
        <v>45341</v>
      </c>
      <c r="C528">
        <v>0.37</v>
      </c>
      <c r="D528">
        <v>-3.96</v>
      </c>
    </row>
    <row r="529" spans="2:4" ht="14.25" customHeight="1" x14ac:dyDescent="0.35">
      <c r="B529" s="70">
        <v>45342</v>
      </c>
      <c r="C529">
        <v>0.34</v>
      </c>
      <c r="D529">
        <v>-2.0299999999999998</v>
      </c>
    </row>
    <row r="530" spans="2:4" ht="14.25" customHeight="1" x14ac:dyDescent="0.35">
      <c r="B530" s="70">
        <v>45343</v>
      </c>
      <c r="C530">
        <v>-0.64</v>
      </c>
      <c r="D530">
        <v>-3.03</v>
      </c>
    </row>
    <row r="531" spans="2:4" ht="14.25" customHeight="1" x14ac:dyDescent="0.35">
      <c r="B531" s="70">
        <v>45344</v>
      </c>
      <c r="C531">
        <v>0.74</v>
      </c>
      <c r="D531">
        <v>2.82</v>
      </c>
    </row>
    <row r="532" spans="2:4" ht="14.25" customHeight="1" x14ac:dyDescent="0.35">
      <c r="B532" s="70">
        <v>45345</v>
      </c>
      <c r="C532">
        <v>-0.02</v>
      </c>
      <c r="D532">
        <v>-0.28000000000000003</v>
      </c>
    </row>
    <row r="533" spans="2:4" ht="14.25" customHeight="1" x14ac:dyDescent="0.35">
      <c r="B533" s="70">
        <v>45348</v>
      </c>
      <c r="C533">
        <v>-0.41</v>
      </c>
      <c r="D533">
        <v>-0.36</v>
      </c>
    </row>
    <row r="534" spans="2:4" ht="14.25" customHeight="1" x14ac:dyDescent="0.35">
      <c r="B534" s="70">
        <v>45349</v>
      </c>
      <c r="C534">
        <v>0.34</v>
      </c>
      <c r="D534">
        <v>-0.2</v>
      </c>
    </row>
    <row r="535" spans="2:4" ht="14.25" customHeight="1" x14ac:dyDescent="0.35">
      <c r="B535" s="70">
        <v>45350</v>
      </c>
      <c r="C535">
        <v>-1.1100000000000001</v>
      </c>
      <c r="D535">
        <v>-1.63</v>
      </c>
    </row>
    <row r="536" spans="2:4" ht="14.25" customHeight="1" x14ac:dyDescent="0.35">
      <c r="B536" s="70">
        <v>45351</v>
      </c>
      <c r="C536">
        <v>0.14000000000000001</v>
      </c>
      <c r="D536">
        <v>0.57999999999999996</v>
      </c>
    </row>
    <row r="537" spans="2:4" ht="14.25" customHeight="1" x14ac:dyDescent="0.35">
      <c r="B537" s="70">
        <v>45352</v>
      </c>
      <c r="C537">
        <v>1.62</v>
      </c>
      <c r="D537">
        <v>2.21</v>
      </c>
    </row>
    <row r="538" spans="2:4" ht="14.25" customHeight="1" x14ac:dyDescent="0.35">
      <c r="B538" s="70">
        <v>45355</v>
      </c>
      <c r="C538">
        <v>0.3</v>
      </c>
      <c r="D538">
        <v>2.0299999999999998</v>
      </c>
    </row>
    <row r="539" spans="2:4" ht="14.25" customHeight="1" x14ac:dyDescent="0.35">
      <c r="B539" s="70">
        <v>45356</v>
      </c>
      <c r="C539">
        <v>-0.22</v>
      </c>
      <c r="D539">
        <v>1.1499999999999999</v>
      </c>
    </row>
    <row r="540" spans="2:4" ht="14.25" customHeight="1" x14ac:dyDescent="0.35">
      <c r="B540" s="70">
        <v>45357</v>
      </c>
      <c r="C540">
        <v>0.53</v>
      </c>
      <c r="D540">
        <v>0.21</v>
      </c>
    </row>
    <row r="541" spans="2:4" ht="14.25" customHeight="1" x14ac:dyDescent="0.35">
      <c r="B541" s="70">
        <v>45358</v>
      </c>
      <c r="C541">
        <v>0.09</v>
      </c>
      <c r="D541">
        <v>-0.65</v>
      </c>
    </row>
    <row r="542" spans="2:4" ht="14.25" customHeight="1" x14ac:dyDescent="0.35">
      <c r="B542" s="70">
        <v>45362</v>
      </c>
      <c r="C542">
        <v>-0.72</v>
      </c>
      <c r="D542">
        <v>-1.02</v>
      </c>
    </row>
    <row r="543" spans="2:4" ht="14.25" customHeight="1" x14ac:dyDescent="0.35">
      <c r="B543" s="70">
        <v>45363</v>
      </c>
      <c r="C543">
        <v>0.01</v>
      </c>
      <c r="D543">
        <v>-1.01</v>
      </c>
    </row>
    <row r="544" spans="2:4" ht="14.25" customHeight="1" x14ac:dyDescent="0.35">
      <c r="B544" s="70">
        <v>45364</v>
      </c>
      <c r="C544">
        <v>-1.51</v>
      </c>
      <c r="D544">
        <v>-7.18</v>
      </c>
    </row>
    <row r="545" spans="2:4" ht="14.25" customHeight="1" x14ac:dyDescent="0.35">
      <c r="B545" s="70">
        <v>45365</v>
      </c>
      <c r="C545">
        <v>0.68</v>
      </c>
      <c r="D545">
        <v>2.5499999999999998</v>
      </c>
    </row>
    <row r="546" spans="2:4" ht="14.25" customHeight="1" x14ac:dyDescent="0.35">
      <c r="B546" s="70">
        <v>45366</v>
      </c>
      <c r="C546">
        <v>-0.56000000000000005</v>
      </c>
      <c r="D546">
        <v>-2.91</v>
      </c>
    </row>
    <row r="547" spans="2:4" ht="14.25" customHeight="1" x14ac:dyDescent="0.35">
      <c r="B547" s="70">
        <v>45369</v>
      </c>
      <c r="C547">
        <v>0.15</v>
      </c>
      <c r="D547">
        <v>1.59</v>
      </c>
    </row>
    <row r="548" spans="2:4" ht="14.25" customHeight="1" x14ac:dyDescent="0.35">
      <c r="B548" s="70">
        <v>45370</v>
      </c>
      <c r="C548">
        <v>-1.08</v>
      </c>
      <c r="D548">
        <v>-0.66</v>
      </c>
    </row>
    <row r="549" spans="2:4" ht="14.25" customHeight="1" x14ac:dyDescent="0.35">
      <c r="B549" s="70">
        <v>45371</v>
      </c>
      <c r="C549">
        <v>0.1</v>
      </c>
      <c r="D549">
        <v>0.11</v>
      </c>
    </row>
    <row r="550" spans="2:4" ht="14.25" customHeight="1" x14ac:dyDescent="0.35">
      <c r="B550" s="70">
        <v>45372</v>
      </c>
      <c r="C550">
        <v>0.79</v>
      </c>
      <c r="D550">
        <v>2.99</v>
      </c>
    </row>
    <row r="551" spans="2:4" ht="14.25" customHeight="1" x14ac:dyDescent="0.35">
      <c r="B551" s="70">
        <v>45373</v>
      </c>
      <c r="C551">
        <v>0.39</v>
      </c>
      <c r="D551">
        <v>-0.02</v>
      </c>
    </row>
    <row r="552" spans="2:4" ht="14.25" customHeight="1" x14ac:dyDescent="0.35">
      <c r="B552" s="70">
        <v>45377</v>
      </c>
      <c r="C552">
        <v>-0.42</v>
      </c>
      <c r="D552">
        <v>0.93</v>
      </c>
    </row>
    <row r="553" spans="2:4" ht="14.25" customHeight="1" x14ac:dyDescent="0.35">
      <c r="B553" s="70">
        <v>45378</v>
      </c>
      <c r="C553">
        <v>0.54</v>
      </c>
      <c r="D553">
        <v>-1.49</v>
      </c>
    </row>
    <row r="554" spans="2:4" ht="14.25" customHeight="1" x14ac:dyDescent="0.35">
      <c r="B554" s="70">
        <v>45379</v>
      </c>
      <c r="C554">
        <v>0.92</v>
      </c>
      <c r="D554">
        <v>1.08</v>
      </c>
    </row>
    <row r="555" spans="2:4" ht="14.25" customHeight="1" x14ac:dyDescent="0.35">
      <c r="B555" s="70">
        <v>45383</v>
      </c>
      <c r="C555">
        <v>0.61</v>
      </c>
      <c r="D555">
        <v>1.83</v>
      </c>
    </row>
    <row r="556" spans="2:4" ht="14.25" customHeight="1" x14ac:dyDescent="0.35">
      <c r="B556" s="70">
        <v>45384</v>
      </c>
      <c r="C556">
        <v>-0.04</v>
      </c>
      <c r="D556">
        <v>0.26</v>
      </c>
    </row>
    <row r="557" spans="2:4" ht="14.25" customHeight="1" x14ac:dyDescent="0.35">
      <c r="B557" s="70">
        <v>45385</v>
      </c>
      <c r="C557">
        <v>-0.08</v>
      </c>
      <c r="D557">
        <v>0.52</v>
      </c>
    </row>
    <row r="558" spans="2:4" ht="14.25" customHeight="1" x14ac:dyDescent="0.35">
      <c r="B558" s="70">
        <v>45386</v>
      </c>
      <c r="C558">
        <v>0.36</v>
      </c>
      <c r="D558">
        <v>0.75</v>
      </c>
    </row>
    <row r="559" spans="2:4" ht="14.25" customHeight="1" x14ac:dyDescent="0.35">
      <c r="B559" s="70">
        <v>45387</v>
      </c>
      <c r="C559">
        <v>0</v>
      </c>
      <c r="D559">
        <v>-0.42</v>
      </c>
    </row>
    <row r="560" spans="2:4" ht="14.25" customHeight="1" x14ac:dyDescent="0.35">
      <c r="B560" s="70">
        <v>45390</v>
      </c>
      <c r="C560">
        <v>0.68</v>
      </c>
      <c r="D560">
        <v>0.1</v>
      </c>
    </row>
    <row r="561" spans="2:4" ht="14.25" customHeight="1" x14ac:dyDescent="0.35">
      <c r="B561" s="70">
        <v>45391</v>
      </c>
      <c r="C561">
        <v>-0.1</v>
      </c>
      <c r="D561">
        <v>-1.69</v>
      </c>
    </row>
    <row r="562" spans="2:4" ht="14.25" customHeight="1" x14ac:dyDescent="0.35">
      <c r="B562" s="70">
        <v>45392</v>
      </c>
      <c r="C562">
        <v>0.49</v>
      </c>
      <c r="D562">
        <v>3.75</v>
      </c>
    </row>
    <row r="563" spans="2:4" ht="14.25" customHeight="1" x14ac:dyDescent="0.35">
      <c r="B563" s="70">
        <v>45394</v>
      </c>
      <c r="C563">
        <v>-1.03</v>
      </c>
      <c r="D563">
        <v>-0.16</v>
      </c>
    </row>
    <row r="564" spans="2:4" ht="14.25" customHeight="1" x14ac:dyDescent="0.35">
      <c r="B564" s="70">
        <v>45397</v>
      </c>
      <c r="C564">
        <v>-1.1000000000000001</v>
      </c>
      <c r="D564">
        <v>-1.01</v>
      </c>
    </row>
    <row r="565" spans="2:4" ht="14.25" customHeight="1" x14ac:dyDescent="0.35">
      <c r="B565" s="70">
        <v>45398</v>
      </c>
      <c r="C565">
        <v>-0.56000000000000005</v>
      </c>
      <c r="D565">
        <v>0.49</v>
      </c>
    </row>
    <row r="566" spans="2:4" ht="14.25" customHeight="1" x14ac:dyDescent="0.35">
      <c r="B566" s="70">
        <v>45400</v>
      </c>
      <c r="C566">
        <v>-0.69</v>
      </c>
      <c r="D566">
        <v>-3.22</v>
      </c>
    </row>
    <row r="567" spans="2:4" ht="14.25" customHeight="1" x14ac:dyDescent="0.35">
      <c r="B567" s="70">
        <v>45401</v>
      </c>
      <c r="C567">
        <v>0.69</v>
      </c>
      <c r="D567">
        <v>-0.75</v>
      </c>
    </row>
    <row r="568" spans="2:4" ht="14.25" customHeight="1" x14ac:dyDescent="0.35">
      <c r="B568" s="70">
        <v>45404</v>
      </c>
      <c r="C568">
        <v>0.86</v>
      </c>
      <c r="D568">
        <v>1.76</v>
      </c>
    </row>
    <row r="569" spans="2:4" ht="14.25" customHeight="1" x14ac:dyDescent="0.35">
      <c r="B569" s="70">
        <v>45405</v>
      </c>
      <c r="C569">
        <v>0.14000000000000001</v>
      </c>
      <c r="D569">
        <v>-0.45</v>
      </c>
    </row>
    <row r="570" spans="2:4" ht="14.25" customHeight="1" x14ac:dyDescent="0.35">
      <c r="B570" s="70">
        <v>45406</v>
      </c>
      <c r="C570">
        <v>0.15</v>
      </c>
      <c r="D570">
        <v>0.66</v>
      </c>
    </row>
    <row r="571" spans="2:4" ht="14.25" customHeight="1" x14ac:dyDescent="0.35">
      <c r="B571" s="70">
        <v>45407</v>
      </c>
      <c r="C571">
        <v>0.75</v>
      </c>
      <c r="D571">
        <v>1.94</v>
      </c>
    </row>
    <row r="572" spans="2:4" ht="14.25" customHeight="1" x14ac:dyDescent="0.35">
      <c r="B572" s="70">
        <v>45408</v>
      </c>
      <c r="C572">
        <v>-0.67</v>
      </c>
      <c r="D572">
        <v>0.74</v>
      </c>
    </row>
    <row r="573" spans="2:4" ht="14.25" customHeight="1" x14ac:dyDescent="0.35">
      <c r="B573" s="70">
        <v>45411</v>
      </c>
      <c r="C573">
        <v>1</v>
      </c>
      <c r="D573">
        <v>-0.56000000000000005</v>
      </c>
    </row>
    <row r="574" spans="2:4" ht="14.25" customHeight="1" x14ac:dyDescent="0.35">
      <c r="B574" s="70">
        <v>45412</v>
      </c>
      <c r="C574">
        <v>-0.17</v>
      </c>
      <c r="D574">
        <v>0.23</v>
      </c>
    </row>
    <row r="575" spans="2:4" ht="14.25" customHeight="1" x14ac:dyDescent="0.35">
      <c r="B575" s="70">
        <v>45414</v>
      </c>
      <c r="C575">
        <v>0.19</v>
      </c>
      <c r="D575">
        <v>-0.09</v>
      </c>
    </row>
    <row r="576" spans="2:4" ht="14.25" customHeight="1" x14ac:dyDescent="0.35">
      <c r="B576" s="70">
        <v>45415</v>
      </c>
      <c r="C576">
        <v>-0.76</v>
      </c>
      <c r="D576">
        <v>4.5599999999999996</v>
      </c>
    </row>
    <row r="577" spans="2:4" ht="14.25" customHeight="1" x14ac:dyDescent="0.35">
      <c r="B577" s="70">
        <v>45418</v>
      </c>
      <c r="C577">
        <v>-0.15</v>
      </c>
      <c r="D577">
        <v>-2.95</v>
      </c>
    </row>
    <row r="578" spans="2:4" ht="14.25" customHeight="1" x14ac:dyDescent="0.35">
      <c r="B578" s="70">
        <v>45419</v>
      </c>
      <c r="C578">
        <v>-0.62</v>
      </c>
      <c r="D578">
        <v>-1</v>
      </c>
    </row>
    <row r="579" spans="2:4" ht="14.25" customHeight="1" x14ac:dyDescent="0.35">
      <c r="B579" s="70">
        <v>45420</v>
      </c>
      <c r="C579">
        <v>0</v>
      </c>
      <c r="D579">
        <v>1.85</v>
      </c>
    </row>
    <row r="580" spans="2:4" ht="14.25" customHeight="1" x14ac:dyDescent="0.35">
      <c r="B580" s="70">
        <v>45421</v>
      </c>
      <c r="C580">
        <v>-1.55</v>
      </c>
      <c r="D580">
        <v>-4.51</v>
      </c>
    </row>
    <row r="581" spans="2:4" ht="14.25" customHeight="1" x14ac:dyDescent="0.35">
      <c r="B581" s="70">
        <v>45422</v>
      </c>
      <c r="C581">
        <v>0.44</v>
      </c>
      <c r="D581">
        <v>1.33</v>
      </c>
    </row>
    <row r="582" spans="2:4" ht="14.25" customHeight="1" x14ac:dyDescent="0.35">
      <c r="B582" s="70">
        <v>45425</v>
      </c>
      <c r="C582">
        <v>0.22</v>
      </c>
      <c r="D582">
        <v>-1.2</v>
      </c>
    </row>
    <row r="583" spans="2:4" ht="14.25" customHeight="1" x14ac:dyDescent="0.35">
      <c r="B583" s="70">
        <v>45426</v>
      </c>
      <c r="C583">
        <v>0.51</v>
      </c>
      <c r="D583">
        <v>1.06</v>
      </c>
    </row>
    <row r="584" spans="2:4" ht="14.25" customHeight="1" x14ac:dyDescent="0.35">
      <c r="B584" s="70">
        <v>45427</v>
      </c>
      <c r="C584">
        <v>-0.08</v>
      </c>
      <c r="D584">
        <v>4.2699999999999996</v>
      </c>
    </row>
    <row r="585" spans="2:4" ht="14.25" customHeight="1" x14ac:dyDescent="0.35">
      <c r="B585" s="70">
        <v>45428</v>
      </c>
      <c r="C585">
        <v>0.92</v>
      </c>
      <c r="D585">
        <v>0.1</v>
      </c>
    </row>
    <row r="586" spans="2:4" ht="14.25" customHeight="1" x14ac:dyDescent="0.35">
      <c r="B586" s="70">
        <v>45429</v>
      </c>
      <c r="C586">
        <v>0.28000000000000003</v>
      </c>
      <c r="D586">
        <v>0.42</v>
      </c>
    </row>
    <row r="587" spans="2:4" ht="14.25" customHeight="1" x14ac:dyDescent="0.35">
      <c r="B587" s="70">
        <v>45433</v>
      </c>
      <c r="C587">
        <v>0.28000000000000003</v>
      </c>
      <c r="D587">
        <v>4.34</v>
      </c>
    </row>
    <row r="588" spans="2:4" ht="14.25" customHeight="1" x14ac:dyDescent="0.35">
      <c r="B588" s="70">
        <v>45434</v>
      </c>
      <c r="C588">
        <v>0.31</v>
      </c>
      <c r="D588">
        <v>2.25</v>
      </c>
    </row>
    <row r="589" spans="2:4" ht="14.25" customHeight="1" x14ac:dyDescent="0.35">
      <c r="B589" s="70">
        <v>45435</v>
      </c>
      <c r="C589">
        <v>1.64</v>
      </c>
      <c r="D589">
        <v>-0.88</v>
      </c>
    </row>
    <row r="590" spans="2:4" ht="14.25" customHeight="1" x14ac:dyDescent="0.35">
      <c r="B590" s="70">
        <v>45436</v>
      </c>
      <c r="C590">
        <v>-0.05</v>
      </c>
      <c r="D590">
        <v>0.74</v>
      </c>
    </row>
    <row r="591" spans="2:4" ht="14.25" customHeight="1" x14ac:dyDescent="0.35">
      <c r="B591" s="70">
        <v>45439</v>
      </c>
      <c r="C591">
        <v>-0.11</v>
      </c>
      <c r="D591">
        <v>-1.31</v>
      </c>
    </row>
    <row r="592" spans="2:4" ht="14.25" customHeight="1" x14ac:dyDescent="0.35">
      <c r="B592" s="70">
        <v>45440</v>
      </c>
      <c r="C592">
        <v>-0.19</v>
      </c>
      <c r="D592">
        <v>-1.38</v>
      </c>
    </row>
    <row r="593" spans="2:4" ht="14.25" customHeight="1" x14ac:dyDescent="0.35">
      <c r="B593" s="70">
        <v>45441</v>
      </c>
      <c r="C593">
        <v>-0.8</v>
      </c>
      <c r="D593">
        <v>-0.25</v>
      </c>
    </row>
    <row r="594" spans="2:4" ht="14.25" customHeight="1" x14ac:dyDescent="0.35">
      <c r="B594" s="70">
        <v>45442</v>
      </c>
      <c r="C594">
        <v>-0.95</v>
      </c>
      <c r="D594">
        <v>-0.88</v>
      </c>
    </row>
    <row r="595" spans="2:4" ht="14.25" customHeight="1" x14ac:dyDescent="0.35">
      <c r="B595" s="70">
        <v>45443</v>
      </c>
      <c r="C595">
        <v>0.19</v>
      </c>
      <c r="D595">
        <v>1.88</v>
      </c>
    </row>
    <row r="596" spans="2:4" ht="14.25" customHeight="1" x14ac:dyDescent="0.35">
      <c r="B596" s="70">
        <v>45446</v>
      </c>
      <c r="C596">
        <v>3.25</v>
      </c>
      <c r="D596">
        <v>4.3099999999999996</v>
      </c>
    </row>
    <row r="597" spans="2:4" ht="14.25" customHeight="1" x14ac:dyDescent="0.35">
      <c r="B597" s="70">
        <v>45447</v>
      </c>
      <c r="C597">
        <v>-5.93</v>
      </c>
      <c r="D597">
        <v>-13.75</v>
      </c>
    </row>
    <row r="598" spans="2:4" ht="14.25" customHeight="1" x14ac:dyDescent="0.35">
      <c r="B598" s="70">
        <v>45448</v>
      </c>
      <c r="C598">
        <v>3.36</v>
      </c>
      <c r="D598">
        <v>4.22</v>
      </c>
    </row>
    <row r="599" spans="2:4" ht="14.25" customHeight="1" x14ac:dyDescent="0.35">
      <c r="B599" s="70">
        <v>45449</v>
      </c>
      <c r="C599">
        <v>0.89</v>
      </c>
      <c r="D599">
        <v>2.69</v>
      </c>
    </row>
    <row r="600" spans="2:4" ht="14.25" customHeight="1" x14ac:dyDescent="0.35">
      <c r="B600" s="70">
        <v>45450</v>
      </c>
      <c r="C600">
        <v>2.0499999999999998</v>
      </c>
      <c r="D600">
        <v>1.31</v>
      </c>
    </row>
    <row r="601" spans="2:4" ht="14.25" customHeight="1" x14ac:dyDescent="0.35">
      <c r="B601" s="70">
        <v>45453</v>
      </c>
      <c r="C601">
        <v>-0.13</v>
      </c>
      <c r="D601">
        <v>-0.3</v>
      </c>
    </row>
    <row r="602" spans="2:4" ht="14.25" customHeight="1" x14ac:dyDescent="0.35">
      <c r="B602" s="70">
        <v>45454</v>
      </c>
      <c r="C602">
        <v>0.02</v>
      </c>
      <c r="D602">
        <v>-0.28000000000000003</v>
      </c>
    </row>
    <row r="603" spans="2:4" ht="14.25" customHeight="1" x14ac:dyDescent="0.35">
      <c r="B603" s="70">
        <v>45455</v>
      </c>
      <c r="C603">
        <v>0.25</v>
      </c>
      <c r="D603">
        <v>2.59</v>
      </c>
    </row>
    <row r="604" spans="2:4" ht="14.25" customHeight="1" x14ac:dyDescent="0.35">
      <c r="B604" s="70">
        <v>45456</v>
      </c>
      <c r="C604">
        <v>0.33</v>
      </c>
      <c r="D604">
        <v>-0.16</v>
      </c>
    </row>
    <row r="605" spans="2:4" ht="14.25" customHeight="1" x14ac:dyDescent="0.35">
      <c r="B605" s="70">
        <v>45457</v>
      </c>
      <c r="C605">
        <v>0.28999999999999998</v>
      </c>
      <c r="D605">
        <v>-0.19</v>
      </c>
    </row>
    <row r="606" spans="2:4" ht="14.25" customHeight="1" x14ac:dyDescent="0.35">
      <c r="B606" s="70">
        <v>45461</v>
      </c>
      <c r="C606">
        <v>0.39</v>
      </c>
      <c r="D606">
        <v>0.43</v>
      </c>
    </row>
    <row r="607" spans="2:4" ht="14.25" customHeight="1" x14ac:dyDescent="0.35">
      <c r="B607" s="70">
        <v>45462</v>
      </c>
      <c r="C607">
        <v>-0.18</v>
      </c>
      <c r="D607">
        <v>-2.27</v>
      </c>
    </row>
    <row r="608" spans="2:4" ht="14.25" customHeight="1" x14ac:dyDescent="0.35">
      <c r="B608" s="70">
        <v>45463</v>
      </c>
      <c r="C608">
        <v>0.22</v>
      </c>
      <c r="D608">
        <v>1.0900000000000001</v>
      </c>
    </row>
    <row r="609" spans="2:4" ht="14.25" customHeight="1" x14ac:dyDescent="0.35">
      <c r="B609" s="70">
        <v>45464</v>
      </c>
      <c r="C609">
        <v>-0.28000000000000003</v>
      </c>
      <c r="D609">
        <v>-0.61</v>
      </c>
    </row>
    <row r="610" spans="2:4" ht="14.25" customHeight="1" x14ac:dyDescent="0.35">
      <c r="B610" s="70">
        <v>45467</v>
      </c>
      <c r="C610">
        <v>0.16</v>
      </c>
      <c r="D610">
        <v>-1.35</v>
      </c>
    </row>
    <row r="611" spans="2:4" ht="14.25" customHeight="1" x14ac:dyDescent="0.35">
      <c r="B611" s="70">
        <v>45468</v>
      </c>
      <c r="C611">
        <v>0.78</v>
      </c>
      <c r="D611">
        <v>-0.94</v>
      </c>
    </row>
    <row r="612" spans="2:4" ht="14.25" customHeight="1" x14ac:dyDescent="0.35">
      <c r="B612" s="70">
        <v>45469</v>
      </c>
      <c r="C612">
        <v>0.62</v>
      </c>
      <c r="D612">
        <v>-0.11</v>
      </c>
    </row>
    <row r="613" spans="2:4" ht="14.25" customHeight="1" x14ac:dyDescent="0.35">
      <c r="B613" s="70">
        <v>45470</v>
      </c>
      <c r="C613">
        <v>0.74</v>
      </c>
      <c r="D613">
        <v>-0.36</v>
      </c>
    </row>
    <row r="614" spans="2:4" ht="14.25" customHeight="1" x14ac:dyDescent="0.35">
      <c r="B614" s="70">
        <v>45471</v>
      </c>
      <c r="C614">
        <v>-0.14000000000000001</v>
      </c>
      <c r="D614">
        <v>1.31</v>
      </c>
    </row>
    <row r="615" spans="2:4" ht="14.25" customHeight="1" x14ac:dyDescent="0.35">
      <c r="B615" s="70">
        <v>45474</v>
      </c>
      <c r="C615">
        <v>0.55000000000000004</v>
      </c>
      <c r="D615">
        <v>0.35</v>
      </c>
    </row>
    <row r="616" spans="2:4" ht="14.25" customHeight="1" x14ac:dyDescent="0.35">
      <c r="B616" s="70">
        <v>45475</v>
      </c>
      <c r="C616">
        <v>-7.0000000000000007E-2</v>
      </c>
      <c r="D616">
        <v>0.91</v>
      </c>
    </row>
    <row r="617" spans="2:4" ht="14.25" customHeight="1" x14ac:dyDescent="0.35">
      <c r="B617" s="70">
        <v>45476</v>
      </c>
      <c r="C617">
        <v>0.67</v>
      </c>
      <c r="D617">
        <v>1.22</v>
      </c>
    </row>
    <row r="618" spans="2:4" ht="14.25" customHeight="1" x14ac:dyDescent="0.35">
      <c r="B618" s="70">
        <v>45477</v>
      </c>
      <c r="C618">
        <v>0.06</v>
      </c>
      <c r="D618">
        <v>0.95</v>
      </c>
    </row>
    <row r="619" spans="2:4" ht="14.25" customHeight="1" x14ac:dyDescent="0.35">
      <c r="B619" s="70">
        <v>45478</v>
      </c>
      <c r="C619">
        <v>0.09</v>
      </c>
      <c r="D619">
        <v>0.4</v>
      </c>
    </row>
    <row r="620" spans="2:4" ht="14.25" customHeight="1" x14ac:dyDescent="0.35">
      <c r="B620" s="70">
        <v>45481</v>
      </c>
      <c r="C620">
        <v>-0.01</v>
      </c>
      <c r="D620">
        <v>0.37</v>
      </c>
    </row>
    <row r="621" spans="2:4" ht="14.25" customHeight="1" x14ac:dyDescent="0.35">
      <c r="B621" s="70">
        <v>45482</v>
      </c>
      <c r="C621">
        <v>0.46</v>
      </c>
      <c r="D621">
        <v>0.1</v>
      </c>
    </row>
    <row r="622" spans="2:4" ht="14.25" customHeight="1" x14ac:dyDescent="0.35">
      <c r="B622" s="70">
        <v>45483</v>
      </c>
      <c r="C622">
        <v>-0.45</v>
      </c>
      <c r="D622">
        <v>-0.62</v>
      </c>
    </row>
    <row r="623" spans="2:4" ht="14.25" customHeight="1" x14ac:dyDescent="0.35">
      <c r="B623" s="70">
        <v>45484</v>
      </c>
      <c r="C623">
        <v>-0.03</v>
      </c>
      <c r="D623">
        <v>1.9</v>
      </c>
    </row>
    <row r="624" spans="2:4" ht="14.25" customHeight="1" x14ac:dyDescent="0.35">
      <c r="B624" s="70">
        <v>45485</v>
      </c>
      <c r="C624">
        <v>0.77</v>
      </c>
      <c r="D624">
        <v>-0.77</v>
      </c>
    </row>
    <row r="625" spans="2:4" ht="14.25" customHeight="1" x14ac:dyDescent="0.35">
      <c r="B625" s="70">
        <v>45488</v>
      </c>
      <c r="C625">
        <v>0.35</v>
      </c>
      <c r="D625">
        <v>0.31</v>
      </c>
    </row>
    <row r="626" spans="2:4" ht="14.25" customHeight="1" x14ac:dyDescent="0.35">
      <c r="B626" s="70">
        <v>45489</v>
      </c>
      <c r="C626">
        <v>0.11</v>
      </c>
      <c r="D626">
        <v>2.95</v>
      </c>
    </row>
    <row r="627" spans="2:4" ht="14.25" customHeight="1" x14ac:dyDescent="0.35">
      <c r="B627" s="70">
        <v>45491</v>
      </c>
      <c r="C627">
        <v>0.76</v>
      </c>
      <c r="D627">
        <v>-1.41</v>
      </c>
    </row>
    <row r="628" spans="2:4" ht="14.25" customHeight="1" x14ac:dyDescent="0.35">
      <c r="B628" s="70">
        <v>45492</v>
      </c>
      <c r="C628">
        <v>-1.0900000000000001</v>
      </c>
      <c r="D628">
        <v>-3.41</v>
      </c>
    </row>
    <row r="629" spans="2:4" ht="14.25" customHeight="1" x14ac:dyDescent="0.35">
      <c r="B629" s="70">
        <v>45495</v>
      </c>
      <c r="C629">
        <v>-0.09</v>
      </c>
      <c r="D629">
        <v>0.66</v>
      </c>
    </row>
    <row r="630" spans="2:4" ht="14.25" customHeight="1" x14ac:dyDescent="0.35">
      <c r="B630" s="70">
        <v>45496</v>
      </c>
      <c r="C630">
        <v>-0.12</v>
      </c>
      <c r="D630">
        <v>-0.86</v>
      </c>
    </row>
    <row r="631" spans="2:4" ht="14.25" customHeight="1" x14ac:dyDescent="0.35">
      <c r="B631" s="70">
        <v>45497</v>
      </c>
      <c r="C631">
        <v>-0.27</v>
      </c>
      <c r="D631">
        <v>1.4</v>
      </c>
    </row>
    <row r="632" spans="2:4" ht="14.25" customHeight="1" x14ac:dyDescent="0.35">
      <c r="B632" s="70">
        <v>45498</v>
      </c>
      <c r="C632">
        <v>-0.03</v>
      </c>
      <c r="D632">
        <v>0.04</v>
      </c>
    </row>
    <row r="633" spans="2:4" ht="14.25" customHeight="1" x14ac:dyDescent="0.35">
      <c r="B633" s="70">
        <v>45499</v>
      </c>
      <c r="C633">
        <v>1.76</v>
      </c>
      <c r="D633">
        <v>3.21</v>
      </c>
    </row>
    <row r="634" spans="2:4" ht="14.25" customHeight="1" x14ac:dyDescent="0.35">
      <c r="B634" s="70">
        <v>45502</v>
      </c>
      <c r="C634">
        <v>0.01</v>
      </c>
      <c r="D634">
        <v>0.45</v>
      </c>
    </row>
    <row r="635" spans="2:4" ht="14.25" customHeight="1" x14ac:dyDescent="0.35">
      <c r="B635" s="70">
        <v>45503</v>
      </c>
      <c r="C635">
        <v>0.09</v>
      </c>
      <c r="D635">
        <v>1.41</v>
      </c>
    </row>
    <row r="636" spans="2:4" ht="14.25" customHeight="1" x14ac:dyDescent="0.35">
      <c r="B636" s="70">
        <v>45504</v>
      </c>
      <c r="C636">
        <v>0.38</v>
      </c>
      <c r="D636">
        <v>0.55000000000000004</v>
      </c>
    </row>
    <row r="637" spans="2:4" ht="14.25" customHeight="1" x14ac:dyDescent="0.35">
      <c r="B637" s="70">
        <v>45505</v>
      </c>
      <c r="C637">
        <v>0.24</v>
      </c>
      <c r="D637">
        <v>3.49</v>
      </c>
    </row>
    <row r="638" spans="2:4" ht="14.25" customHeight="1" x14ac:dyDescent="0.35">
      <c r="B638" s="70">
        <v>45506</v>
      </c>
      <c r="C638">
        <v>-1.17</v>
      </c>
      <c r="D638">
        <v>-2.94</v>
      </c>
    </row>
    <row r="639" spans="2:4" ht="14.25" customHeight="1" x14ac:dyDescent="0.35">
      <c r="B639" s="70">
        <v>45509</v>
      </c>
      <c r="C639">
        <v>-2.68</v>
      </c>
      <c r="D639">
        <v>-3.37</v>
      </c>
    </row>
    <row r="640" spans="2:4" ht="14.25" customHeight="1" x14ac:dyDescent="0.35">
      <c r="B640" s="70">
        <v>45510</v>
      </c>
      <c r="C640">
        <v>-0.26</v>
      </c>
      <c r="D640">
        <v>-1.42</v>
      </c>
    </row>
    <row r="641" spans="2:4" ht="14.25" customHeight="1" x14ac:dyDescent="0.35">
      <c r="B641" s="70">
        <v>45511</v>
      </c>
      <c r="C641">
        <v>1.27</v>
      </c>
      <c r="D641">
        <v>6.39</v>
      </c>
    </row>
    <row r="642" spans="2:4" ht="14.25" customHeight="1" x14ac:dyDescent="0.35">
      <c r="B642" s="70">
        <v>45512</v>
      </c>
      <c r="C642">
        <v>-0.74</v>
      </c>
      <c r="D642">
        <v>-1.51</v>
      </c>
    </row>
    <row r="643" spans="2:4" ht="14.25" customHeight="1" x14ac:dyDescent="0.35">
      <c r="B643" s="70">
        <v>45513</v>
      </c>
      <c r="C643">
        <v>1.04</v>
      </c>
      <c r="D643">
        <v>1.21</v>
      </c>
    </row>
    <row r="644" spans="2:4" ht="14.25" customHeight="1" x14ac:dyDescent="0.35">
      <c r="B644" s="70">
        <v>45516</v>
      </c>
      <c r="C644">
        <v>-0.08</v>
      </c>
      <c r="D644">
        <v>-1.1000000000000001</v>
      </c>
    </row>
    <row r="645" spans="2:4" ht="14.25" customHeight="1" x14ac:dyDescent="0.35">
      <c r="B645" s="70">
        <v>45517</v>
      </c>
      <c r="C645">
        <v>-0.85</v>
      </c>
      <c r="D645">
        <v>-0.42</v>
      </c>
    </row>
    <row r="646" spans="2:4" ht="14.25" customHeight="1" x14ac:dyDescent="0.35">
      <c r="B646" s="70">
        <v>45518</v>
      </c>
      <c r="C646">
        <v>0.02</v>
      </c>
      <c r="D646">
        <v>-3.27</v>
      </c>
    </row>
    <row r="647" spans="2:4" ht="14.25" customHeight="1" x14ac:dyDescent="0.35">
      <c r="B647" s="70">
        <v>45520</v>
      </c>
      <c r="C647">
        <v>1.65</v>
      </c>
      <c r="D647">
        <v>2.52</v>
      </c>
    </row>
    <row r="648" spans="2:4" ht="14.25" customHeight="1" x14ac:dyDescent="0.35">
      <c r="B648" s="70">
        <v>45523</v>
      </c>
      <c r="C648">
        <v>0.13</v>
      </c>
      <c r="D648">
        <v>1.89</v>
      </c>
    </row>
    <row r="649" spans="2:4" ht="14.25" customHeight="1" x14ac:dyDescent="0.35">
      <c r="B649" s="70">
        <v>45524</v>
      </c>
      <c r="C649">
        <v>0.51</v>
      </c>
      <c r="D649">
        <v>0.5</v>
      </c>
    </row>
    <row r="650" spans="2:4" ht="14.25" customHeight="1" x14ac:dyDescent="0.35">
      <c r="B650" s="70">
        <v>45525</v>
      </c>
      <c r="C650">
        <v>0.28999999999999998</v>
      </c>
      <c r="D650">
        <v>1.45</v>
      </c>
    </row>
    <row r="651" spans="2:4" ht="14.25" customHeight="1" x14ac:dyDescent="0.35">
      <c r="B651" s="70">
        <v>45526</v>
      </c>
      <c r="C651">
        <v>0.17</v>
      </c>
      <c r="D651">
        <v>-0.63</v>
      </c>
    </row>
    <row r="652" spans="2:4" ht="14.25" customHeight="1" x14ac:dyDescent="0.35">
      <c r="B652" s="70">
        <v>45527</v>
      </c>
      <c r="C652">
        <v>0.05</v>
      </c>
      <c r="D652">
        <v>1.89</v>
      </c>
    </row>
    <row r="653" spans="2:4" ht="14.25" customHeight="1" x14ac:dyDescent="0.35">
      <c r="B653" s="70">
        <v>45530</v>
      </c>
      <c r="C653">
        <v>0.76</v>
      </c>
      <c r="D653">
        <v>-0.14000000000000001</v>
      </c>
    </row>
    <row r="654" spans="2:4" ht="14.25" customHeight="1" x14ac:dyDescent="0.35">
      <c r="B654" s="70">
        <v>45531</v>
      </c>
      <c r="C654">
        <v>0.03</v>
      </c>
      <c r="D654">
        <v>-1.25</v>
      </c>
    </row>
    <row r="655" spans="2:4" ht="14.25" customHeight="1" x14ac:dyDescent="0.35">
      <c r="B655" s="70">
        <v>45532</v>
      </c>
      <c r="C655">
        <v>0.14000000000000001</v>
      </c>
      <c r="D655">
        <v>-0.95</v>
      </c>
    </row>
    <row r="656" spans="2:4" ht="14.25" customHeight="1" x14ac:dyDescent="0.35">
      <c r="B656" s="70">
        <v>45533</v>
      </c>
      <c r="C656">
        <v>0.4</v>
      </c>
      <c r="D656">
        <v>0.23</v>
      </c>
    </row>
    <row r="657" spans="2:4" ht="14.25" customHeight="1" x14ac:dyDescent="0.35">
      <c r="B657" s="70">
        <v>45534</v>
      </c>
      <c r="C657">
        <v>0.33</v>
      </c>
      <c r="D657">
        <v>-0.49</v>
      </c>
    </row>
    <row r="658" spans="2:4" ht="14.25" customHeight="1" x14ac:dyDescent="0.35">
      <c r="B658" s="70">
        <v>45537</v>
      </c>
      <c r="C658">
        <v>0.17</v>
      </c>
      <c r="D658">
        <v>-0.78</v>
      </c>
    </row>
    <row r="659" spans="2:4" ht="14.25" customHeight="1" x14ac:dyDescent="0.35">
      <c r="B659" s="70">
        <v>45538</v>
      </c>
      <c r="C659">
        <v>0</v>
      </c>
      <c r="D659">
        <v>-0.24</v>
      </c>
    </row>
    <row r="660" spans="2:4" ht="14.25" customHeight="1" x14ac:dyDescent="0.35">
      <c r="B660" s="70">
        <v>45539</v>
      </c>
      <c r="C660">
        <v>-0.32</v>
      </c>
      <c r="D660">
        <v>-3.07</v>
      </c>
    </row>
    <row r="661" spans="2:4" ht="14.25" customHeight="1" x14ac:dyDescent="0.35">
      <c r="B661" s="70">
        <v>45540</v>
      </c>
      <c r="C661">
        <v>-0.21</v>
      </c>
      <c r="D661">
        <v>-1.32</v>
      </c>
    </row>
    <row r="662" spans="2:4" ht="14.25" customHeight="1" x14ac:dyDescent="0.35">
      <c r="B662" s="70">
        <v>45541</v>
      </c>
      <c r="C662">
        <v>-1.17</v>
      </c>
      <c r="D662">
        <v>-1.7</v>
      </c>
    </row>
    <row r="663" spans="2:4" ht="14.25" customHeight="1" x14ac:dyDescent="0.35">
      <c r="B663" s="70">
        <v>45544</v>
      </c>
      <c r="C663">
        <v>0.34</v>
      </c>
      <c r="D663">
        <v>-0.84</v>
      </c>
    </row>
    <row r="664" spans="2:4" ht="14.25" customHeight="1" x14ac:dyDescent="0.35">
      <c r="B664" s="70">
        <v>45545</v>
      </c>
      <c r="C664">
        <v>0.42</v>
      </c>
      <c r="D664">
        <v>1.37</v>
      </c>
    </row>
    <row r="665" spans="2:4" ht="14.25" customHeight="1" x14ac:dyDescent="0.35">
      <c r="B665" s="70">
        <v>45546</v>
      </c>
      <c r="C665">
        <v>-0.49</v>
      </c>
      <c r="D665">
        <v>-1.46</v>
      </c>
    </row>
    <row r="666" spans="2:4" ht="14.25" customHeight="1" x14ac:dyDescent="0.35">
      <c r="B666" s="70">
        <v>45547</v>
      </c>
      <c r="C666">
        <v>1.89</v>
      </c>
      <c r="D666">
        <v>2.42</v>
      </c>
    </row>
    <row r="667" spans="2:4" ht="14.25" customHeight="1" x14ac:dyDescent="0.35">
      <c r="B667" s="70">
        <v>45548</v>
      </c>
      <c r="C667">
        <v>-0.13</v>
      </c>
      <c r="D667">
        <v>-1.0900000000000001</v>
      </c>
    </row>
    <row r="668" spans="2:4" ht="14.25" customHeight="1" x14ac:dyDescent="0.35">
      <c r="B668" s="70">
        <v>45551</v>
      </c>
      <c r="C668">
        <v>0.11</v>
      </c>
      <c r="D668">
        <v>0.61</v>
      </c>
    </row>
    <row r="669" spans="2:4" ht="14.25" customHeight="1" x14ac:dyDescent="0.35">
      <c r="B669" s="70">
        <v>45552</v>
      </c>
      <c r="C669">
        <v>0.14000000000000001</v>
      </c>
      <c r="D669">
        <v>-0.96</v>
      </c>
    </row>
    <row r="670" spans="2:4" ht="14.25" customHeight="1" x14ac:dyDescent="0.35">
      <c r="B670" s="70">
        <v>45553</v>
      </c>
      <c r="C670">
        <v>-0.16</v>
      </c>
      <c r="D670">
        <v>-0.28999999999999998</v>
      </c>
    </row>
    <row r="671" spans="2:4" ht="14.25" customHeight="1" x14ac:dyDescent="0.35">
      <c r="B671" s="70">
        <v>45554</v>
      </c>
      <c r="C671">
        <v>0.15</v>
      </c>
      <c r="D671">
        <v>-1.88</v>
      </c>
    </row>
    <row r="672" spans="2:4" ht="14.25" customHeight="1" x14ac:dyDescent="0.35">
      <c r="B672" s="70">
        <v>45555</v>
      </c>
      <c r="C672">
        <v>1.48</v>
      </c>
      <c r="D672">
        <v>2.72</v>
      </c>
    </row>
    <row r="673" spans="2:4" ht="14.25" customHeight="1" x14ac:dyDescent="0.35">
      <c r="B673" s="70">
        <v>45558</v>
      </c>
      <c r="C673">
        <v>0.56999999999999995</v>
      </c>
      <c r="D673">
        <v>1.97</v>
      </c>
    </row>
    <row r="674" spans="2:4" ht="14.25" customHeight="1" x14ac:dyDescent="0.35">
      <c r="B674" s="70">
        <v>45559</v>
      </c>
      <c r="C674">
        <v>0.01</v>
      </c>
      <c r="D674">
        <v>0.74</v>
      </c>
    </row>
    <row r="675" spans="2:4" ht="14.25" customHeight="1" x14ac:dyDescent="0.35">
      <c r="B675" s="70">
        <v>45560</v>
      </c>
      <c r="C675">
        <v>0.25</v>
      </c>
      <c r="D675">
        <v>0.2</v>
      </c>
    </row>
    <row r="676" spans="2:4" ht="14.25" customHeight="1" x14ac:dyDescent="0.35">
      <c r="B676" s="70">
        <v>45561</v>
      </c>
      <c r="C676">
        <v>0.81</v>
      </c>
      <c r="D676">
        <v>0.25</v>
      </c>
    </row>
    <row r="677" spans="2:4" ht="14.25" customHeight="1" x14ac:dyDescent="0.35">
      <c r="B677" s="70">
        <v>45562</v>
      </c>
      <c r="C677">
        <v>-0.14000000000000001</v>
      </c>
      <c r="D677">
        <v>1.89</v>
      </c>
    </row>
    <row r="678" spans="2:4" ht="14.25" customHeight="1" x14ac:dyDescent="0.35">
      <c r="B678" s="70">
        <v>45565</v>
      </c>
      <c r="C678">
        <v>-1.41</v>
      </c>
      <c r="D678">
        <v>-1.1499999999999999</v>
      </c>
    </row>
    <row r="679" spans="2:4" ht="14.25" customHeight="1" x14ac:dyDescent="0.35">
      <c r="B679" s="70">
        <v>45566</v>
      </c>
      <c r="C679">
        <v>-0.05</v>
      </c>
      <c r="D679">
        <v>-0.32</v>
      </c>
    </row>
    <row r="680" spans="2:4" ht="14.25" customHeight="1" x14ac:dyDescent="0.35">
      <c r="B680" s="70">
        <v>45568</v>
      </c>
      <c r="C680">
        <v>-2.12</v>
      </c>
      <c r="D680">
        <v>-1.21</v>
      </c>
    </row>
    <row r="681" spans="2:4" ht="14.25" customHeight="1" x14ac:dyDescent="0.35">
      <c r="B681" s="70">
        <v>45569</v>
      </c>
      <c r="C681">
        <v>-0.93</v>
      </c>
      <c r="D681">
        <v>-1.03</v>
      </c>
    </row>
    <row r="682" spans="2:4" ht="14.25" customHeight="1" x14ac:dyDescent="0.35">
      <c r="B682" s="70">
        <v>45572</v>
      </c>
      <c r="C682">
        <v>-0.87</v>
      </c>
      <c r="D682">
        <v>-3.37</v>
      </c>
    </row>
    <row r="683" spans="2:4" ht="14.25" customHeight="1" x14ac:dyDescent="0.35">
      <c r="B683" s="70">
        <v>45573</v>
      </c>
      <c r="C683">
        <v>0.88</v>
      </c>
      <c r="D683">
        <v>2.37</v>
      </c>
    </row>
    <row r="684" spans="2:4" ht="14.25" customHeight="1" x14ac:dyDescent="0.35">
      <c r="B684" s="70">
        <v>45574</v>
      </c>
      <c r="C684">
        <v>-0.12</v>
      </c>
      <c r="D684">
        <v>-1</v>
      </c>
    </row>
    <row r="685" spans="2:4" ht="14.25" customHeight="1" x14ac:dyDescent="0.35">
      <c r="B685" s="70">
        <v>45575</v>
      </c>
      <c r="C685">
        <v>7.0000000000000007E-2</v>
      </c>
      <c r="D685">
        <v>0.24</v>
      </c>
    </row>
    <row r="686" spans="2:4" ht="14.25" customHeight="1" x14ac:dyDescent="0.35">
      <c r="B686" s="70">
        <v>45576</v>
      </c>
      <c r="C686">
        <v>-0.14000000000000001</v>
      </c>
      <c r="D686">
        <v>0.99</v>
      </c>
    </row>
    <row r="687" spans="2:4" ht="14.25" customHeight="1" x14ac:dyDescent="0.35">
      <c r="B687" s="70">
        <v>45579</v>
      </c>
      <c r="C687">
        <v>0.66</v>
      </c>
      <c r="D687">
        <v>1.0900000000000001</v>
      </c>
    </row>
    <row r="688" spans="2:4" ht="14.25" customHeight="1" x14ac:dyDescent="0.35">
      <c r="B688" s="70">
        <v>45580</v>
      </c>
      <c r="C688">
        <v>-0.28000000000000003</v>
      </c>
      <c r="D688">
        <v>-0.77</v>
      </c>
    </row>
    <row r="689" spans="2:4" ht="14.25" customHeight="1" x14ac:dyDescent="0.35">
      <c r="B689" s="70">
        <v>45581</v>
      </c>
      <c r="C689">
        <v>-0.34</v>
      </c>
      <c r="D689">
        <v>0.26</v>
      </c>
    </row>
    <row r="690" spans="2:4" ht="14.25" customHeight="1" x14ac:dyDescent="0.35">
      <c r="B690" s="70">
        <v>45582</v>
      </c>
      <c r="C690">
        <v>-0.89</v>
      </c>
      <c r="D690">
        <v>-1.18</v>
      </c>
    </row>
    <row r="691" spans="2:4" ht="14.25" customHeight="1" x14ac:dyDescent="0.35">
      <c r="B691" s="70">
        <v>45583</v>
      </c>
      <c r="C691">
        <v>0.42</v>
      </c>
      <c r="D691">
        <v>0.47</v>
      </c>
    </row>
    <row r="692" spans="2:4" ht="14.25" customHeight="1" x14ac:dyDescent="0.35">
      <c r="B692" s="70">
        <v>45586</v>
      </c>
      <c r="C692">
        <v>-0.28999999999999998</v>
      </c>
      <c r="D692">
        <v>-1.38</v>
      </c>
    </row>
    <row r="693" spans="2:4" ht="14.25" customHeight="1" x14ac:dyDescent="0.35">
      <c r="B693" s="70">
        <v>45587</v>
      </c>
      <c r="C693">
        <v>-1.25</v>
      </c>
      <c r="D693">
        <v>-3.51</v>
      </c>
    </row>
    <row r="694" spans="2:4" ht="14.25" customHeight="1" x14ac:dyDescent="0.35">
      <c r="B694" s="70">
        <v>45588</v>
      </c>
      <c r="C694">
        <v>-0.15</v>
      </c>
      <c r="D694">
        <v>1.23</v>
      </c>
    </row>
    <row r="695" spans="2:4" ht="14.25" customHeight="1" x14ac:dyDescent="0.35">
      <c r="B695" s="70">
        <v>45589</v>
      </c>
      <c r="C695">
        <v>-0.15</v>
      </c>
      <c r="D695">
        <v>0.66</v>
      </c>
    </row>
    <row r="696" spans="2:4" ht="14.25" customHeight="1" x14ac:dyDescent="0.35">
      <c r="B696" s="70">
        <v>45590</v>
      </c>
      <c r="C696">
        <v>-0.9</v>
      </c>
      <c r="D696">
        <v>-3.38</v>
      </c>
    </row>
    <row r="697" spans="2:4" ht="14.25" customHeight="1" x14ac:dyDescent="0.35">
      <c r="B697" s="70">
        <v>45593</v>
      </c>
      <c r="C697">
        <v>0.65</v>
      </c>
      <c r="D697">
        <v>-4.22</v>
      </c>
    </row>
    <row r="698" spans="2:4" ht="14.25" customHeight="1" x14ac:dyDescent="0.35">
      <c r="B698" s="70">
        <v>45594</v>
      </c>
      <c r="C698">
        <v>0.52</v>
      </c>
      <c r="D698">
        <v>0.88</v>
      </c>
    </row>
    <row r="699" spans="2:4" ht="14.25" customHeight="1" x14ac:dyDescent="0.35">
      <c r="B699" s="70">
        <v>45595</v>
      </c>
      <c r="C699">
        <v>-0.51</v>
      </c>
      <c r="D699">
        <v>0.81</v>
      </c>
    </row>
    <row r="700" spans="2:4" ht="14.25" customHeight="1" x14ac:dyDescent="0.35">
      <c r="B700" s="70">
        <v>45596</v>
      </c>
      <c r="C700">
        <v>-0.56000000000000005</v>
      </c>
      <c r="D700">
        <v>0.65</v>
      </c>
    </row>
    <row r="701" spans="2:4" ht="14.25" customHeight="1" x14ac:dyDescent="0.35">
      <c r="B701" s="70">
        <v>45597</v>
      </c>
      <c r="C701">
        <v>0.41</v>
      </c>
      <c r="D701">
        <v>0.46</v>
      </c>
    </row>
    <row r="702" spans="2:4" ht="14.25" customHeight="1" x14ac:dyDescent="0.35">
      <c r="B702" s="70">
        <v>45600</v>
      </c>
      <c r="C702">
        <v>-1.27</v>
      </c>
      <c r="D702">
        <v>-2.39</v>
      </c>
    </row>
    <row r="703" spans="2:4" ht="14.25" customHeight="1" x14ac:dyDescent="0.35">
      <c r="B703" s="70">
        <v>45601</v>
      </c>
      <c r="C703">
        <v>0.91</v>
      </c>
      <c r="D703">
        <v>1.72</v>
      </c>
    </row>
    <row r="704" spans="2:4" ht="14.25" customHeight="1" x14ac:dyDescent="0.35">
      <c r="B704" s="70">
        <v>45602</v>
      </c>
      <c r="C704">
        <v>1.1200000000000001</v>
      </c>
      <c r="D704">
        <v>0.21</v>
      </c>
    </row>
    <row r="705" spans="2:4" ht="14.25" customHeight="1" x14ac:dyDescent="0.35">
      <c r="B705" s="70">
        <v>45603</v>
      </c>
      <c r="C705">
        <v>-1.1599999999999999</v>
      </c>
      <c r="D705">
        <v>-0.1</v>
      </c>
    </row>
    <row r="706" spans="2:4" ht="14.25" customHeight="1" x14ac:dyDescent="0.35">
      <c r="B706" s="70">
        <v>45604</v>
      </c>
      <c r="C706">
        <v>-0.21</v>
      </c>
      <c r="D706">
        <v>-2.6</v>
      </c>
    </row>
    <row r="707" spans="2:4" ht="14.25" customHeight="1" x14ac:dyDescent="0.35">
      <c r="B707" s="70">
        <v>45607</v>
      </c>
      <c r="C707">
        <v>-0.03</v>
      </c>
      <c r="D707">
        <v>-0.59</v>
      </c>
    </row>
    <row r="708" spans="2:4" ht="14.25" customHeight="1" x14ac:dyDescent="0.35">
      <c r="B708" s="70">
        <v>45608</v>
      </c>
      <c r="C708">
        <v>-1.07</v>
      </c>
      <c r="D708">
        <v>-1.78</v>
      </c>
    </row>
    <row r="709" spans="2:4" ht="14.25" customHeight="1" x14ac:dyDescent="0.35">
      <c r="B709" s="70">
        <v>45609</v>
      </c>
      <c r="C709">
        <v>-1.36</v>
      </c>
      <c r="D709">
        <v>-1.73</v>
      </c>
    </row>
    <row r="710" spans="2:4" ht="14.25" customHeight="1" x14ac:dyDescent="0.35">
      <c r="B710" s="70">
        <v>45610</v>
      </c>
      <c r="C710">
        <v>-0.11</v>
      </c>
      <c r="D710">
        <v>0.7</v>
      </c>
    </row>
    <row r="711" spans="2:4" ht="14.25" customHeight="1" x14ac:dyDescent="0.35">
      <c r="B711" s="70">
        <v>45614</v>
      </c>
      <c r="C711">
        <v>-0.34</v>
      </c>
      <c r="D711">
        <v>0.88</v>
      </c>
    </row>
    <row r="712" spans="2:4" ht="14.25" customHeight="1" x14ac:dyDescent="0.35">
      <c r="B712" s="70">
        <v>45615</v>
      </c>
      <c r="C712">
        <v>0.28000000000000003</v>
      </c>
      <c r="D712">
        <v>-0.27</v>
      </c>
    </row>
    <row r="713" spans="2:4" ht="14.25" customHeight="1" x14ac:dyDescent="0.35">
      <c r="B713" s="70">
        <v>45617</v>
      </c>
      <c r="C713">
        <v>-0.72</v>
      </c>
      <c r="D713">
        <v>-1.52</v>
      </c>
    </row>
    <row r="714" spans="2:4" ht="14.25" customHeight="1" x14ac:dyDescent="0.35">
      <c r="B714" s="70">
        <v>45618</v>
      </c>
      <c r="C714">
        <v>2.39</v>
      </c>
      <c r="D714">
        <v>1.98</v>
      </c>
    </row>
    <row r="715" spans="2:4" ht="14.25" customHeight="1" x14ac:dyDescent="0.35">
      <c r="B715" s="70">
        <v>45621</v>
      </c>
      <c r="C715">
        <v>1.32</v>
      </c>
      <c r="D715">
        <v>0.82</v>
      </c>
    </row>
    <row r="716" spans="2:4" ht="14.25" customHeight="1" x14ac:dyDescent="0.35">
      <c r="B716" s="70">
        <v>45622</v>
      </c>
      <c r="C716">
        <v>-0.11</v>
      </c>
      <c r="D716">
        <v>-1.43</v>
      </c>
    </row>
    <row r="717" spans="2:4" ht="14.25" customHeight="1" x14ac:dyDescent="0.35">
      <c r="B717" s="70">
        <v>45623</v>
      </c>
      <c r="C717">
        <v>0.33</v>
      </c>
      <c r="D717">
        <v>1.37</v>
      </c>
    </row>
    <row r="718" spans="2:4" ht="14.25" customHeight="1" x14ac:dyDescent="0.35">
      <c r="B718" s="70">
        <v>45624</v>
      </c>
      <c r="C718">
        <v>-1.49</v>
      </c>
      <c r="D718">
        <v>-0.47</v>
      </c>
    </row>
    <row r="719" spans="2:4" ht="14.25" customHeight="1" x14ac:dyDescent="0.35">
      <c r="B719" s="70">
        <v>45625</v>
      </c>
      <c r="C719">
        <v>0.91</v>
      </c>
      <c r="D719">
        <v>0.28999999999999998</v>
      </c>
    </row>
    <row r="720" spans="2:4" ht="14.25" customHeight="1" x14ac:dyDescent="0.35">
      <c r="B720" s="70">
        <v>45628</v>
      </c>
      <c r="C720">
        <v>0.6</v>
      </c>
      <c r="D720">
        <v>1.27</v>
      </c>
    </row>
    <row r="721" spans="2:4" ht="14.25" customHeight="1" x14ac:dyDescent="0.35">
      <c r="B721" s="70">
        <v>45629</v>
      </c>
      <c r="C721">
        <v>0.75</v>
      </c>
      <c r="D721">
        <v>0.09</v>
      </c>
    </row>
    <row r="722" spans="2:4" ht="14.25" customHeight="1" x14ac:dyDescent="0.35">
      <c r="B722" s="70">
        <v>45630</v>
      </c>
      <c r="C722">
        <v>0.04</v>
      </c>
      <c r="D722">
        <v>-1.29</v>
      </c>
    </row>
    <row r="723" spans="2:4" ht="14.25" customHeight="1" x14ac:dyDescent="0.35">
      <c r="B723" s="70">
        <v>45631</v>
      </c>
      <c r="C723">
        <v>0.98</v>
      </c>
      <c r="D723">
        <v>0.42</v>
      </c>
    </row>
    <row r="724" spans="2:4" ht="14.25" customHeight="1" x14ac:dyDescent="0.35">
      <c r="B724" s="70">
        <v>45632</v>
      </c>
      <c r="C724">
        <v>-0.12</v>
      </c>
      <c r="D724">
        <v>-0.3</v>
      </c>
    </row>
    <row r="725" spans="2:4" ht="14.25" customHeight="1" x14ac:dyDescent="0.35">
      <c r="B725" s="70">
        <v>45635</v>
      </c>
      <c r="C725">
        <v>-0.24</v>
      </c>
      <c r="D725">
        <v>-0.76</v>
      </c>
    </row>
    <row r="726" spans="2:4" ht="14.25" customHeight="1" x14ac:dyDescent="0.35">
      <c r="B726" s="70">
        <v>45636</v>
      </c>
      <c r="C726">
        <v>-0.04</v>
      </c>
      <c r="D726">
        <v>0.01</v>
      </c>
    </row>
    <row r="727" spans="2:4" ht="14.25" customHeight="1" x14ac:dyDescent="0.35">
      <c r="B727" s="70">
        <v>45637</v>
      </c>
      <c r="C727">
        <v>0.13</v>
      </c>
      <c r="D727">
        <v>0.7</v>
      </c>
    </row>
    <row r="728" spans="2:4" ht="14.25" customHeight="1" x14ac:dyDescent="0.35">
      <c r="B728" s="70">
        <v>45638</v>
      </c>
      <c r="C728">
        <v>-0.38</v>
      </c>
      <c r="D728">
        <v>-1.88</v>
      </c>
    </row>
    <row r="729" spans="2:4" ht="14.25" customHeight="1" x14ac:dyDescent="0.35">
      <c r="B729" s="70">
        <v>45639</v>
      </c>
      <c r="C729">
        <v>0.89</v>
      </c>
      <c r="D729">
        <v>0.28999999999999998</v>
      </c>
    </row>
    <row r="730" spans="2:4" ht="14.25" customHeight="1" x14ac:dyDescent="0.35">
      <c r="B730" s="70">
        <v>45642</v>
      </c>
      <c r="C730">
        <v>-0.4</v>
      </c>
      <c r="D730">
        <v>0.04</v>
      </c>
    </row>
    <row r="731" spans="2:4" ht="14.25" customHeight="1" x14ac:dyDescent="0.35">
      <c r="B731" s="70">
        <v>45643</v>
      </c>
      <c r="C731">
        <v>-1.35</v>
      </c>
      <c r="D731">
        <v>-1.84</v>
      </c>
    </row>
    <row r="732" spans="2:4" ht="14.25" customHeight="1" x14ac:dyDescent="0.35">
      <c r="B732" s="70">
        <v>45644</v>
      </c>
      <c r="C732">
        <v>-0.56000000000000005</v>
      </c>
      <c r="D732">
        <v>-1.76</v>
      </c>
    </row>
    <row r="733" spans="2:4" ht="14.25" customHeight="1" x14ac:dyDescent="0.35">
      <c r="B733" s="70">
        <v>45645</v>
      </c>
      <c r="C733">
        <v>-1.02</v>
      </c>
      <c r="D733">
        <v>-0.97</v>
      </c>
    </row>
    <row r="734" spans="2:4" ht="14.25" customHeight="1" x14ac:dyDescent="0.35">
      <c r="B734" s="70">
        <v>45646</v>
      </c>
      <c r="C734">
        <v>-1.52</v>
      </c>
      <c r="D734">
        <v>-2.54</v>
      </c>
    </row>
    <row r="735" spans="2:4" ht="14.25" customHeight="1" x14ac:dyDescent="0.35">
      <c r="B735" s="70">
        <v>45649</v>
      </c>
      <c r="C735">
        <v>0.7</v>
      </c>
      <c r="D735">
        <v>0.25</v>
      </c>
    </row>
    <row r="736" spans="2:4" ht="14.25" customHeight="1" x14ac:dyDescent="0.35">
      <c r="B736" s="70">
        <v>45650</v>
      </c>
      <c r="C736">
        <v>-0.11</v>
      </c>
      <c r="D736">
        <v>0.4</v>
      </c>
    </row>
    <row r="737" spans="2:4" ht="14.25" customHeight="1" x14ac:dyDescent="0.35">
      <c r="B737" s="70">
        <v>45652</v>
      </c>
      <c r="C737">
        <v>0.1</v>
      </c>
      <c r="D737">
        <v>0.55000000000000004</v>
      </c>
    </row>
    <row r="738" spans="2:4" ht="14.25" customHeight="1" x14ac:dyDescent="0.35">
      <c r="B738" s="70">
        <v>45653</v>
      </c>
      <c r="C738">
        <v>0.27</v>
      </c>
      <c r="D738">
        <v>-1.58</v>
      </c>
    </row>
    <row r="739" spans="2:4" ht="14.25" customHeight="1" x14ac:dyDescent="0.35">
      <c r="B739" s="70">
        <v>45656</v>
      </c>
      <c r="C739">
        <v>-0.71</v>
      </c>
      <c r="D739">
        <v>-0.68</v>
      </c>
    </row>
    <row r="740" spans="2:4" ht="14.25" customHeight="1" x14ac:dyDescent="0.35">
      <c r="B740" s="70">
        <v>45657</v>
      </c>
      <c r="C740">
        <v>0</v>
      </c>
      <c r="D740">
        <v>1.65</v>
      </c>
    </row>
    <row r="741" spans="2:4" ht="14.25" customHeight="1" x14ac:dyDescent="0.35">
      <c r="B741" s="70">
        <v>45658</v>
      </c>
      <c r="C741">
        <v>0.41</v>
      </c>
      <c r="D741">
        <v>0.59</v>
      </c>
    </row>
    <row r="742" spans="2:4" ht="14.25" customHeight="1" x14ac:dyDescent="0.35">
      <c r="B742" s="70">
        <v>45659</v>
      </c>
      <c r="C742">
        <v>1.88</v>
      </c>
      <c r="D742">
        <v>1.7</v>
      </c>
    </row>
    <row r="743" spans="2:4" ht="14.25" customHeight="1" x14ac:dyDescent="0.35">
      <c r="B743" s="70">
        <v>45660</v>
      </c>
      <c r="C743">
        <v>-0.76</v>
      </c>
      <c r="D743">
        <v>0.18</v>
      </c>
    </row>
    <row r="744" spans="2:4" ht="14.25" customHeight="1" x14ac:dyDescent="0.35">
      <c r="B744" s="70">
        <v>45663</v>
      </c>
      <c r="C744">
        <v>-1.62</v>
      </c>
      <c r="D744">
        <v>-3.79</v>
      </c>
    </row>
    <row r="745" spans="2:4" ht="14.25" customHeight="1" x14ac:dyDescent="0.35">
      <c r="B745" s="70">
        <v>45664</v>
      </c>
      <c r="C745">
        <v>0.39</v>
      </c>
      <c r="D745">
        <v>0.28000000000000003</v>
      </c>
    </row>
    <row r="746" spans="2:4" ht="14.25" customHeight="1" x14ac:dyDescent="0.35">
      <c r="B746" s="70">
        <v>45665</v>
      </c>
      <c r="C746">
        <v>-0.08</v>
      </c>
      <c r="D746">
        <v>0.14000000000000001</v>
      </c>
    </row>
    <row r="747" spans="2:4" ht="14.25" customHeight="1" x14ac:dyDescent="0.35">
      <c r="B747" s="70">
        <v>45666</v>
      </c>
      <c r="C747">
        <v>-0.69</v>
      </c>
      <c r="D747">
        <v>-2.14</v>
      </c>
    </row>
    <row r="748" spans="2:4" ht="14.25" customHeight="1" x14ac:dyDescent="0.35">
      <c r="B748" s="70">
        <v>45667</v>
      </c>
      <c r="C748">
        <v>-0.4</v>
      </c>
      <c r="D748">
        <v>-0.99</v>
      </c>
    </row>
    <row r="749" spans="2:4" ht="14.25" customHeight="1" x14ac:dyDescent="0.35">
      <c r="B749" s="70">
        <v>45670</v>
      </c>
      <c r="C749">
        <v>-1.47</v>
      </c>
      <c r="D749">
        <v>-1.52</v>
      </c>
    </row>
    <row r="750" spans="2:4" ht="14.25" customHeight="1" x14ac:dyDescent="0.35">
      <c r="B750" s="70">
        <v>45671</v>
      </c>
      <c r="C750">
        <v>0.39</v>
      </c>
      <c r="D750">
        <v>1.75</v>
      </c>
    </row>
    <row r="751" spans="2:4" ht="14.25" customHeight="1" x14ac:dyDescent="0.35">
      <c r="B751" s="70">
        <v>45672</v>
      </c>
      <c r="C751">
        <v>0.16</v>
      </c>
      <c r="D751">
        <v>1.45</v>
      </c>
    </row>
    <row r="752" spans="2:4" ht="14.25" customHeight="1" x14ac:dyDescent="0.35">
      <c r="B752" s="70">
        <v>45673</v>
      </c>
      <c r="C752">
        <v>0.42</v>
      </c>
      <c r="D752">
        <v>1.1299999999999999</v>
      </c>
    </row>
    <row r="753" spans="2:4" ht="14.25" customHeight="1" x14ac:dyDescent="0.35">
      <c r="B753" s="70">
        <v>45674</v>
      </c>
      <c r="C753">
        <v>-0.47</v>
      </c>
      <c r="D753">
        <v>2.3199999999999998</v>
      </c>
    </row>
    <row r="754" spans="2:4" ht="14.25" customHeight="1" x14ac:dyDescent="0.35">
      <c r="B754" s="70">
        <v>45677</v>
      </c>
      <c r="C754">
        <v>0.61</v>
      </c>
      <c r="D754">
        <v>-0.15</v>
      </c>
    </row>
    <row r="755" spans="2:4" ht="14.25" customHeight="1" x14ac:dyDescent="0.35">
      <c r="B755" s="70">
        <v>45678</v>
      </c>
      <c r="C755">
        <v>-1.37</v>
      </c>
      <c r="D755">
        <v>-1.42</v>
      </c>
    </row>
    <row r="756" spans="2:4" ht="14.25" customHeight="1" x14ac:dyDescent="0.35">
      <c r="B756" s="70">
        <v>45679</v>
      </c>
      <c r="C756">
        <v>0.56999999999999995</v>
      </c>
      <c r="D756">
        <v>-0.62</v>
      </c>
    </row>
    <row r="757" spans="2:4" ht="14.25" customHeight="1" x14ac:dyDescent="0.35">
      <c r="B757" s="70">
        <v>45680</v>
      </c>
      <c r="C757">
        <v>0.22</v>
      </c>
      <c r="D757">
        <v>1.74</v>
      </c>
    </row>
    <row r="758" spans="2:4" ht="14.25" customHeight="1" x14ac:dyDescent="0.35">
      <c r="B758" s="70">
        <v>45681</v>
      </c>
      <c r="C758">
        <v>-0.49</v>
      </c>
      <c r="D758">
        <v>-0.71</v>
      </c>
    </row>
    <row r="759" spans="2:4" ht="14.25" customHeight="1" x14ac:dyDescent="0.35">
      <c r="B759" s="70">
        <v>45684</v>
      </c>
      <c r="C759">
        <v>-1.1399999999999999</v>
      </c>
      <c r="D759">
        <v>-1.91</v>
      </c>
    </row>
    <row r="760" spans="2:4" ht="14.25" customHeight="1" x14ac:dyDescent="0.35">
      <c r="B760" s="70">
        <v>45685</v>
      </c>
      <c r="C760">
        <v>0.56000000000000005</v>
      </c>
      <c r="D760">
        <v>-1.36</v>
      </c>
    </row>
    <row r="761" spans="2:4" ht="14.25" customHeight="1" x14ac:dyDescent="0.35">
      <c r="B761" s="70">
        <v>45686</v>
      </c>
      <c r="C761">
        <v>0.9</v>
      </c>
      <c r="D761">
        <v>2.37</v>
      </c>
    </row>
    <row r="762" spans="2:4" ht="14.25" customHeight="1" x14ac:dyDescent="0.35">
      <c r="B762" s="70">
        <v>45687</v>
      </c>
      <c r="C762">
        <v>0.37</v>
      </c>
      <c r="D762">
        <v>1.48</v>
      </c>
    </row>
    <row r="763" spans="2:4" ht="14.25" customHeight="1" x14ac:dyDescent="0.35">
      <c r="B763" s="70">
        <v>45688</v>
      </c>
      <c r="C763">
        <v>1.1100000000000001</v>
      </c>
      <c r="D763">
        <v>4.34</v>
      </c>
    </row>
    <row r="764" spans="2:4" ht="14.25" customHeight="1" x14ac:dyDescent="0.35">
      <c r="B764" s="70">
        <v>45691</v>
      </c>
      <c r="C764">
        <v>-0.52</v>
      </c>
      <c r="D764">
        <v>-2.93</v>
      </c>
    </row>
    <row r="765" spans="2:4" ht="14.25" customHeight="1" x14ac:dyDescent="0.35">
      <c r="B765" s="70">
        <v>45692</v>
      </c>
      <c r="C765">
        <v>1.62</v>
      </c>
      <c r="D765">
        <v>0.68</v>
      </c>
    </row>
    <row r="766" spans="2:4" ht="14.25" customHeight="1" x14ac:dyDescent="0.35">
      <c r="B766" s="70">
        <v>45693</v>
      </c>
      <c r="C766">
        <v>-0.18</v>
      </c>
      <c r="D766">
        <v>1.67</v>
      </c>
    </row>
    <row r="767" spans="2:4" ht="14.25" customHeight="1" x14ac:dyDescent="0.35">
      <c r="B767" s="70">
        <v>45694</v>
      </c>
      <c r="C767">
        <v>-0.39</v>
      </c>
      <c r="D767">
        <v>-0.85</v>
      </c>
    </row>
    <row r="768" spans="2:4" ht="14.25" customHeight="1" x14ac:dyDescent="0.35">
      <c r="B768" s="70">
        <v>45695</v>
      </c>
      <c r="C768">
        <v>-0.18</v>
      </c>
      <c r="D768">
        <v>-0.36</v>
      </c>
    </row>
    <row r="769" spans="2:4" ht="14.25" customHeight="1" x14ac:dyDescent="0.35">
      <c r="B769" s="70">
        <v>45698</v>
      </c>
      <c r="C769">
        <v>-0.76</v>
      </c>
      <c r="D769">
        <v>-2.0499999999999998</v>
      </c>
    </row>
    <row r="770" spans="2:4" ht="14.25" customHeight="1" x14ac:dyDescent="0.35">
      <c r="B770" s="70">
        <v>45699</v>
      </c>
      <c r="C770">
        <v>-1.32</v>
      </c>
      <c r="D770">
        <v>-3.1</v>
      </c>
    </row>
    <row r="771" spans="2:4" ht="14.25" customHeight="1" x14ac:dyDescent="0.35">
      <c r="B771" s="70">
        <v>45700</v>
      </c>
      <c r="C771">
        <v>-0.12</v>
      </c>
      <c r="D771">
        <v>0.38</v>
      </c>
    </row>
    <row r="772" spans="2:4" ht="14.25" customHeight="1" x14ac:dyDescent="0.35">
      <c r="B772" s="70">
        <v>45701</v>
      </c>
      <c r="C772">
        <v>-0.06</v>
      </c>
      <c r="D772">
        <v>0.36</v>
      </c>
    </row>
    <row r="773" spans="2:4" ht="14.25" customHeight="1" x14ac:dyDescent="0.35">
      <c r="B773" s="70">
        <v>45702</v>
      </c>
      <c r="C773">
        <v>-0.44</v>
      </c>
      <c r="D773">
        <v>-2.06</v>
      </c>
    </row>
    <row r="774" spans="2:4" ht="14.25" customHeight="1" x14ac:dyDescent="0.35">
      <c r="B774" s="70">
        <v>45705</v>
      </c>
      <c r="C774">
        <v>0.13</v>
      </c>
      <c r="D774">
        <v>1.67</v>
      </c>
    </row>
    <row r="775" spans="2:4" ht="14.25" customHeight="1" x14ac:dyDescent="0.35">
      <c r="B775" s="70">
        <v>45706</v>
      </c>
      <c r="C775">
        <v>-0.06</v>
      </c>
      <c r="D775">
        <v>0.28000000000000003</v>
      </c>
    </row>
    <row r="776" spans="2:4" ht="14.25" customHeight="1" x14ac:dyDescent="0.35">
      <c r="B776" s="70">
        <v>45707</v>
      </c>
      <c r="C776">
        <v>-0.05</v>
      </c>
      <c r="D776">
        <v>0.33</v>
      </c>
    </row>
    <row r="777" spans="2:4" ht="14.25" customHeight="1" x14ac:dyDescent="0.35">
      <c r="B777" s="70">
        <v>45708</v>
      </c>
      <c r="C777">
        <v>-0.09</v>
      </c>
      <c r="D777">
        <v>1.56</v>
      </c>
    </row>
    <row r="778" spans="2:4" ht="14.25" customHeight="1" x14ac:dyDescent="0.35">
      <c r="B778" s="70">
        <v>45709</v>
      </c>
      <c r="C778">
        <v>-0.51</v>
      </c>
      <c r="D778">
        <v>0.54</v>
      </c>
    </row>
    <row r="779" spans="2:4" ht="14.25" customHeight="1" x14ac:dyDescent="0.35">
      <c r="B779" s="70">
        <v>45712</v>
      </c>
      <c r="C779">
        <v>-1.06</v>
      </c>
      <c r="D779">
        <v>-1.39</v>
      </c>
    </row>
    <row r="780" spans="2:4" ht="14.25" customHeight="1" x14ac:dyDescent="0.35">
      <c r="B780" s="70">
        <v>45713</v>
      </c>
      <c r="C780">
        <v>-0.03</v>
      </c>
      <c r="D780">
        <v>-1</v>
      </c>
    </row>
    <row r="781" spans="2:4" ht="14.25" customHeight="1" x14ac:dyDescent="0.35">
      <c r="B781" s="70">
        <v>45715</v>
      </c>
      <c r="C781">
        <v>-0.01</v>
      </c>
      <c r="D781">
        <v>0.75</v>
      </c>
    </row>
    <row r="782" spans="2:4" ht="14.25" customHeight="1" x14ac:dyDescent="0.35">
      <c r="B782" s="70">
        <v>45716</v>
      </c>
      <c r="C782">
        <v>-1.86</v>
      </c>
      <c r="D782">
        <v>1.51</v>
      </c>
    </row>
    <row r="783" spans="2:4" ht="14.25" customHeight="1" x14ac:dyDescent="0.35">
      <c r="B783" s="70">
        <v>45719</v>
      </c>
      <c r="C783">
        <v>-0.02</v>
      </c>
      <c r="D783">
        <v>-2.44</v>
      </c>
    </row>
    <row r="784" spans="2:4" ht="14.25" customHeight="1" x14ac:dyDescent="0.35">
      <c r="B784" s="70">
        <v>45720</v>
      </c>
      <c r="C784">
        <v>-0.17</v>
      </c>
      <c r="D784">
        <v>0.97</v>
      </c>
    </row>
    <row r="785" spans="2:4" ht="14.25" customHeight="1" x14ac:dyDescent="0.35">
      <c r="B785" s="70">
        <v>45721</v>
      </c>
      <c r="C785">
        <v>1.1499999999999999</v>
      </c>
      <c r="D785">
        <v>1.21</v>
      </c>
    </row>
    <row r="786" spans="2:4" ht="14.25" customHeight="1" x14ac:dyDescent="0.35">
      <c r="B786" s="70">
        <v>45722</v>
      </c>
      <c r="C786">
        <v>0.93</v>
      </c>
      <c r="D786">
        <v>3.9</v>
      </c>
    </row>
    <row r="787" spans="2:4" ht="14.25" customHeight="1" x14ac:dyDescent="0.35">
      <c r="B787" s="70">
        <v>45723</v>
      </c>
      <c r="C787">
        <v>0.03</v>
      </c>
      <c r="D787">
        <v>-0.51</v>
      </c>
    </row>
    <row r="788" spans="2:4" ht="14.25" customHeight="1" x14ac:dyDescent="0.35">
      <c r="B788" s="70">
        <v>45726</v>
      </c>
      <c r="C788">
        <v>-0.41</v>
      </c>
      <c r="D788">
        <v>-1.44</v>
      </c>
    </row>
    <row r="789" spans="2:4" ht="14.25" customHeight="1" x14ac:dyDescent="0.35">
      <c r="B789" s="70">
        <v>45727</v>
      </c>
      <c r="C789">
        <v>0.17</v>
      </c>
      <c r="D789">
        <v>1.04</v>
      </c>
    </row>
    <row r="790" spans="2:4" ht="14.25" customHeight="1" x14ac:dyDescent="0.35">
      <c r="B790" s="70">
        <v>45728</v>
      </c>
      <c r="C790">
        <v>-0.12</v>
      </c>
      <c r="D790">
        <v>0.44</v>
      </c>
    </row>
    <row r="791" spans="2:4" ht="14.25" customHeight="1" x14ac:dyDescent="0.35">
      <c r="B791" s="70">
        <v>45729</v>
      </c>
      <c r="C791">
        <v>-0.33</v>
      </c>
      <c r="D791">
        <v>-0.63</v>
      </c>
    </row>
    <row r="792" spans="2:4" ht="14.25" customHeight="1" x14ac:dyDescent="0.35">
      <c r="B792" s="70">
        <v>45733</v>
      </c>
      <c r="C792">
        <v>0.5</v>
      </c>
      <c r="D792">
        <v>1.97</v>
      </c>
    </row>
    <row r="793" spans="2:4" ht="14.25" customHeight="1" x14ac:dyDescent="0.35">
      <c r="B793" s="70">
        <v>45734</v>
      </c>
      <c r="C793">
        <v>1.45</v>
      </c>
      <c r="D793">
        <v>0</v>
      </c>
    </row>
    <row r="794" spans="2:4" ht="14.25" customHeight="1" x14ac:dyDescent="0.35">
      <c r="B794" s="70">
        <v>45735</v>
      </c>
      <c r="C794">
        <v>0.32</v>
      </c>
      <c r="D794">
        <v>2.62</v>
      </c>
    </row>
    <row r="795" spans="2:4" ht="14.25" customHeight="1" x14ac:dyDescent="0.35">
      <c r="B795" s="70">
        <v>45736</v>
      </c>
      <c r="C795">
        <v>1.24</v>
      </c>
      <c r="D795">
        <v>0.14000000000000001</v>
      </c>
    </row>
    <row r="796" spans="2:4" ht="14.25" customHeight="1" x14ac:dyDescent="0.35">
      <c r="B796" s="70">
        <v>45737</v>
      </c>
      <c r="C796">
        <v>0.69</v>
      </c>
      <c r="D796">
        <v>2.27</v>
      </c>
    </row>
    <row r="797" spans="2:4" ht="14.25" customHeight="1" x14ac:dyDescent="0.35">
      <c r="B797" s="70">
        <v>45740</v>
      </c>
      <c r="C797">
        <v>1.32</v>
      </c>
      <c r="D797">
        <v>0.15</v>
      </c>
    </row>
    <row r="798" spans="2:4" ht="14.25" customHeight="1" x14ac:dyDescent="0.35">
      <c r="B798" s="70">
        <v>45741</v>
      </c>
      <c r="C798">
        <v>0.04</v>
      </c>
      <c r="D798">
        <v>-1.9</v>
      </c>
    </row>
    <row r="799" spans="2:4" ht="14.25" customHeight="1" x14ac:dyDescent="0.35">
      <c r="B799" s="70">
        <v>45742</v>
      </c>
      <c r="C799">
        <v>-0.77</v>
      </c>
      <c r="D799">
        <v>-0.88</v>
      </c>
    </row>
    <row r="800" spans="2:4" ht="14.25" customHeight="1" x14ac:dyDescent="0.35">
      <c r="B800" s="70">
        <v>45743</v>
      </c>
      <c r="C800">
        <v>0.45</v>
      </c>
      <c r="D800">
        <v>0.52</v>
      </c>
    </row>
    <row r="801" spans="2:4" ht="14.25" customHeight="1" x14ac:dyDescent="0.35">
      <c r="B801" s="70">
        <v>45744</v>
      </c>
      <c r="C801">
        <v>-0.31</v>
      </c>
      <c r="D801">
        <v>0.34</v>
      </c>
    </row>
    <row r="802" spans="2:4" ht="14.25" customHeight="1" x14ac:dyDescent="0.35">
      <c r="B802" s="70">
        <v>45748</v>
      </c>
      <c r="C802">
        <v>-1.5</v>
      </c>
      <c r="D802">
        <v>-0.14000000000000001</v>
      </c>
    </row>
    <row r="803" spans="2:4" ht="14.25" customHeight="1" x14ac:dyDescent="0.35">
      <c r="B803" s="70">
        <v>45749</v>
      </c>
      <c r="C803">
        <v>0.72</v>
      </c>
      <c r="D803">
        <v>-0.04</v>
      </c>
    </row>
    <row r="804" spans="2:4" ht="14.25" customHeight="1" x14ac:dyDescent="0.35">
      <c r="B804" s="70">
        <v>45750</v>
      </c>
      <c r="C804">
        <v>-0.35</v>
      </c>
      <c r="D804">
        <v>-0.11</v>
      </c>
    </row>
    <row r="805" spans="2:4" ht="14.25" customHeight="1" x14ac:dyDescent="0.35">
      <c r="B805" s="70">
        <v>45751</v>
      </c>
      <c r="C805">
        <v>-1.49</v>
      </c>
      <c r="D805">
        <v>-3.02</v>
      </c>
    </row>
    <row r="806" spans="2:4" ht="14.25" customHeight="1" x14ac:dyDescent="0.35">
      <c r="B806" s="70">
        <v>45754</v>
      </c>
      <c r="C806">
        <v>-3.24</v>
      </c>
      <c r="D806">
        <v>-1.96</v>
      </c>
    </row>
    <row r="807" spans="2:4" ht="14.25" customHeight="1" x14ac:dyDescent="0.35">
      <c r="B807" s="70">
        <v>45755</v>
      </c>
      <c r="C807">
        <v>1.69</v>
      </c>
      <c r="D807">
        <v>1.42</v>
      </c>
    </row>
    <row r="808" spans="2:4" ht="14.25" customHeight="1" x14ac:dyDescent="0.35">
      <c r="B808" s="70">
        <v>45756</v>
      </c>
      <c r="C808">
        <v>-0.61</v>
      </c>
      <c r="D808">
        <v>-2.15</v>
      </c>
    </row>
    <row r="809" spans="2:4" ht="14.25" customHeight="1" x14ac:dyDescent="0.35">
      <c r="B809" s="70">
        <v>45758</v>
      </c>
      <c r="C809">
        <v>1.92</v>
      </c>
      <c r="D809">
        <v>4.67</v>
      </c>
    </row>
    <row r="810" spans="2:4" ht="14.25" customHeight="1" x14ac:dyDescent="0.35">
      <c r="B810" s="70">
        <v>45762</v>
      </c>
      <c r="C810">
        <v>2.19</v>
      </c>
      <c r="D810">
        <v>0.8</v>
      </c>
    </row>
    <row r="811" spans="2:4" ht="14.25" customHeight="1" x14ac:dyDescent="0.35">
      <c r="B811" s="70">
        <v>45763</v>
      </c>
      <c r="C811">
        <v>0.47</v>
      </c>
      <c r="D811">
        <v>1.01</v>
      </c>
    </row>
    <row r="812" spans="2:4" ht="14.25" customHeight="1" x14ac:dyDescent="0.35">
      <c r="B812" s="70">
        <v>45764</v>
      </c>
      <c r="C812">
        <v>1.77</v>
      </c>
      <c r="D812">
        <v>-0.1</v>
      </c>
    </row>
    <row r="813" spans="2:4" ht="14.25" customHeight="1" x14ac:dyDescent="0.35">
      <c r="B813" s="70">
        <v>45768</v>
      </c>
      <c r="C813">
        <v>1.1499999999999999</v>
      </c>
      <c r="D813">
        <v>0.41</v>
      </c>
    </row>
    <row r="814" spans="2:4" ht="14.25" customHeight="1" x14ac:dyDescent="0.35">
      <c r="B814" s="70">
        <v>45769</v>
      </c>
      <c r="C814">
        <v>0.17</v>
      </c>
      <c r="D814">
        <v>-0.47</v>
      </c>
    </row>
    <row r="815" spans="2:4" ht="14.25" customHeight="1" x14ac:dyDescent="0.35">
      <c r="B815" s="70">
        <v>45770</v>
      </c>
      <c r="C815">
        <v>0.67</v>
      </c>
      <c r="D815">
        <v>0.09</v>
      </c>
    </row>
    <row r="816" spans="2:4" ht="14.25" customHeight="1" x14ac:dyDescent="0.35">
      <c r="B816" s="70">
        <v>45771</v>
      </c>
      <c r="C816">
        <v>-0.34</v>
      </c>
      <c r="D816">
        <v>0.23</v>
      </c>
    </row>
    <row r="817" spans="2:4" ht="14.25" customHeight="1" x14ac:dyDescent="0.35">
      <c r="B817" s="70">
        <v>45772</v>
      </c>
      <c r="C817">
        <v>-0.86</v>
      </c>
      <c r="D817">
        <v>-1.68</v>
      </c>
    </row>
    <row r="818" spans="2:4" ht="14.25" customHeight="1" x14ac:dyDescent="0.35">
      <c r="B818" s="70">
        <v>45775</v>
      </c>
      <c r="C818">
        <v>1.2</v>
      </c>
      <c r="D818">
        <v>1.02</v>
      </c>
    </row>
    <row r="819" spans="2:4" ht="14.25" customHeight="1" x14ac:dyDescent="0.35">
      <c r="B819" s="70">
        <v>45776</v>
      </c>
      <c r="C819">
        <v>0.03</v>
      </c>
      <c r="D819">
        <v>-2.0299999999999998</v>
      </c>
    </row>
    <row r="820" spans="2:4" ht="14.25" customHeight="1" x14ac:dyDescent="0.35">
      <c r="B820" s="70">
        <v>45777</v>
      </c>
      <c r="C820">
        <v>-0.01</v>
      </c>
      <c r="D820">
        <v>-0.98</v>
      </c>
    </row>
    <row r="821" spans="2:4" ht="14.25" customHeight="1" x14ac:dyDescent="0.35">
      <c r="B821" s="70">
        <v>45779</v>
      </c>
      <c r="C821">
        <v>0.05</v>
      </c>
      <c r="D821">
        <v>-0.47</v>
      </c>
    </row>
    <row r="822" spans="2:4" ht="14.25" customHeight="1" x14ac:dyDescent="0.35">
      <c r="B822" s="70">
        <v>45782</v>
      </c>
      <c r="C822">
        <v>0.47</v>
      </c>
      <c r="D822">
        <v>0.55000000000000004</v>
      </c>
    </row>
    <row r="823" spans="2:4" ht="14.25" customHeight="1" x14ac:dyDescent="0.35">
      <c r="B823" s="70">
        <v>45783</v>
      </c>
      <c r="C823">
        <v>-0.33</v>
      </c>
      <c r="D823">
        <v>-1.91</v>
      </c>
    </row>
    <row r="824" spans="2:4" ht="14.25" customHeight="1" x14ac:dyDescent="0.35">
      <c r="B824" s="70">
        <v>45784</v>
      </c>
      <c r="C824">
        <v>0.14000000000000001</v>
      </c>
      <c r="D824">
        <v>1.34</v>
      </c>
    </row>
    <row r="825" spans="2:4" ht="14.25" customHeight="1" x14ac:dyDescent="0.35">
      <c r="B825" s="70">
        <v>45785</v>
      </c>
      <c r="C825">
        <v>-0.57999999999999996</v>
      </c>
      <c r="D825">
        <v>0.56000000000000005</v>
      </c>
    </row>
    <row r="826" spans="2:4" ht="14.25" customHeight="1" x14ac:dyDescent="0.35">
      <c r="B826" s="70">
        <v>45786</v>
      </c>
      <c r="C826">
        <v>-1.1000000000000001</v>
      </c>
      <c r="D826">
        <v>-0.79</v>
      </c>
    </row>
    <row r="827" spans="2:4" ht="14.25" customHeight="1" x14ac:dyDescent="0.35">
      <c r="B827" s="70">
        <v>45789</v>
      </c>
      <c r="C827">
        <v>3.82</v>
      </c>
      <c r="D827">
        <v>3.43</v>
      </c>
    </row>
    <row r="828" spans="2:4" ht="14.25" customHeight="1" x14ac:dyDescent="0.35">
      <c r="B828" s="70">
        <v>45790</v>
      </c>
      <c r="C828">
        <v>-1.39</v>
      </c>
      <c r="D828">
        <v>-0.09</v>
      </c>
    </row>
    <row r="829" spans="2:4" ht="14.25" customHeight="1" x14ac:dyDescent="0.35">
      <c r="B829" s="70">
        <v>45791</v>
      </c>
      <c r="C829">
        <v>0.36</v>
      </c>
      <c r="D829">
        <v>2.0099999999999998</v>
      </c>
    </row>
    <row r="830" spans="2:4" ht="14.25" customHeight="1" x14ac:dyDescent="0.35">
      <c r="B830" s="70">
        <v>45792</v>
      </c>
      <c r="C830">
        <v>1.6</v>
      </c>
      <c r="D830">
        <v>0.38</v>
      </c>
    </row>
    <row r="831" spans="2:4" ht="14.25" customHeight="1" x14ac:dyDescent="0.35">
      <c r="B831" s="70">
        <v>45793</v>
      </c>
      <c r="C831">
        <v>-0.17</v>
      </c>
      <c r="D831">
        <v>0.04</v>
      </c>
    </row>
    <row r="832" spans="2:4" ht="14.25" customHeight="1" x14ac:dyDescent="0.35">
      <c r="B832" s="70">
        <v>45796</v>
      </c>
      <c r="C832">
        <v>-0.3</v>
      </c>
      <c r="D832">
        <v>-0.52</v>
      </c>
    </row>
    <row r="833" spans="2:4" ht="14.25" customHeight="1" x14ac:dyDescent="0.35">
      <c r="B833" s="70">
        <v>45797</v>
      </c>
      <c r="C833">
        <v>-1.05</v>
      </c>
      <c r="D833">
        <v>1.34</v>
      </c>
    </row>
    <row r="834" spans="2:4" ht="14.25" customHeight="1" x14ac:dyDescent="0.35">
      <c r="B834" s="70">
        <v>45798</v>
      </c>
      <c r="C834">
        <v>0.52</v>
      </c>
      <c r="D834">
        <v>-0.67</v>
      </c>
    </row>
    <row r="835" spans="2:4" ht="14.25" customHeight="1" x14ac:dyDescent="0.35">
      <c r="B835" s="70">
        <v>45799</v>
      </c>
      <c r="C835">
        <v>-0.82</v>
      </c>
      <c r="D835">
        <v>-1.6</v>
      </c>
    </row>
    <row r="836" spans="2:4" ht="14.25" customHeight="1" x14ac:dyDescent="0.35">
      <c r="B836" s="70">
        <v>45800</v>
      </c>
      <c r="C836">
        <v>0.99</v>
      </c>
      <c r="D836">
        <v>0.66</v>
      </c>
    </row>
    <row r="837" spans="2:4" ht="14.25" customHeight="1" x14ac:dyDescent="0.35">
      <c r="B837" s="70">
        <v>45803</v>
      </c>
      <c r="C837">
        <v>0.6</v>
      </c>
      <c r="D837">
        <v>0.3</v>
      </c>
    </row>
    <row r="838" spans="2:4" ht="14.25" customHeight="1" x14ac:dyDescent="0.35">
      <c r="B838" s="70">
        <v>45804</v>
      </c>
      <c r="C838">
        <v>-0.7</v>
      </c>
      <c r="D838">
        <v>-0.68</v>
      </c>
    </row>
    <row r="839" spans="2:4" ht="14.25" customHeight="1" x14ac:dyDescent="0.35">
      <c r="B839" s="70">
        <v>45805</v>
      </c>
      <c r="C839">
        <v>-0.3</v>
      </c>
      <c r="D839">
        <v>-0.44</v>
      </c>
    </row>
    <row r="840" spans="2:4" ht="14.25" customHeight="1" x14ac:dyDescent="0.35">
      <c r="B840" s="70">
        <v>45806</v>
      </c>
      <c r="C840">
        <v>0.33</v>
      </c>
      <c r="D840">
        <v>0</v>
      </c>
    </row>
    <row r="841" spans="2:4" ht="14.25" customHeight="1" x14ac:dyDescent="0.35">
      <c r="B841" s="70">
        <v>45807</v>
      </c>
      <c r="C841">
        <v>-0.33</v>
      </c>
      <c r="D841">
        <v>-0.23</v>
      </c>
    </row>
    <row r="842" spans="2:4" ht="14.25" customHeight="1" x14ac:dyDescent="0.35">
      <c r="B842" s="70">
        <v>45810</v>
      </c>
      <c r="C842">
        <v>-0.14000000000000001</v>
      </c>
      <c r="D842">
        <v>0.6</v>
      </c>
    </row>
    <row r="843" spans="2:4" ht="14.25" customHeight="1" x14ac:dyDescent="0.35">
      <c r="B843" s="70">
        <v>45811</v>
      </c>
      <c r="C843">
        <v>-0.7</v>
      </c>
      <c r="D843">
        <v>-1.71</v>
      </c>
    </row>
    <row r="844" spans="2:4" ht="14.25" customHeight="1" x14ac:dyDescent="0.35">
      <c r="B844" s="70">
        <v>45812</v>
      </c>
      <c r="C844">
        <v>0.32</v>
      </c>
      <c r="D844">
        <v>0.45</v>
      </c>
    </row>
    <row r="845" spans="2:4" ht="14.25" customHeight="1" x14ac:dyDescent="0.35">
      <c r="B845" s="70">
        <v>45813</v>
      </c>
      <c r="C845">
        <v>0.53</v>
      </c>
      <c r="D845">
        <v>0.08</v>
      </c>
    </row>
    <row r="846" spans="2:4" ht="14.25" customHeight="1" x14ac:dyDescent="0.35">
      <c r="B846" s="70">
        <v>45814</v>
      </c>
      <c r="C846">
        <v>1.02</v>
      </c>
      <c r="D846">
        <v>1.03</v>
      </c>
    </row>
    <row r="847" spans="2:4" ht="14.25" customHeight="1" x14ac:dyDescent="0.35">
      <c r="B847" s="70">
        <v>45817</v>
      </c>
      <c r="C847">
        <v>0.4</v>
      </c>
      <c r="D847">
        <v>0.51</v>
      </c>
    </row>
    <row r="848" spans="2:4" ht="14.25" customHeight="1" x14ac:dyDescent="0.35">
      <c r="B848" s="70">
        <v>45818</v>
      </c>
      <c r="C848">
        <v>0</v>
      </c>
      <c r="D848">
        <v>-0.36</v>
      </c>
    </row>
    <row r="849" spans="2:4" ht="14.25" customHeight="1" x14ac:dyDescent="0.35">
      <c r="B849" s="70">
        <v>45819</v>
      </c>
      <c r="C849">
        <v>0.15</v>
      </c>
      <c r="D849">
        <v>0.64</v>
      </c>
    </row>
    <row r="850" spans="2:4" ht="14.25" customHeight="1" x14ac:dyDescent="0.35">
      <c r="B850" s="70">
        <v>45820</v>
      </c>
      <c r="C850">
        <v>-1.01</v>
      </c>
      <c r="D850">
        <v>-2.34</v>
      </c>
    </row>
    <row r="851" spans="2:4" ht="14.25" customHeight="1" x14ac:dyDescent="0.35">
      <c r="B851" s="70">
        <v>45821</v>
      </c>
      <c r="C851">
        <v>-0.68</v>
      </c>
      <c r="D851">
        <v>-0.38</v>
      </c>
    </row>
    <row r="852" spans="2:4" ht="14.25" customHeight="1" x14ac:dyDescent="0.35">
      <c r="B852" s="70">
        <v>45824</v>
      </c>
      <c r="C852">
        <v>0.92</v>
      </c>
      <c r="D852">
        <v>0.81</v>
      </c>
    </row>
    <row r="853" spans="2:4" ht="14.25" customHeight="1" x14ac:dyDescent="0.35">
      <c r="B853" s="70">
        <v>45825</v>
      </c>
      <c r="C853">
        <v>-0.37</v>
      </c>
      <c r="D853">
        <v>-0.77</v>
      </c>
    </row>
    <row r="854" spans="2:4" ht="14.25" customHeight="1" x14ac:dyDescent="0.35">
      <c r="B854" s="70">
        <v>45826</v>
      </c>
      <c r="C854">
        <v>-0.17</v>
      </c>
      <c r="D854">
        <v>-0.24</v>
      </c>
    </row>
    <row r="855" spans="2:4" ht="14.25" customHeight="1" x14ac:dyDescent="0.35">
      <c r="B855" s="70">
        <v>45827</v>
      </c>
      <c r="C855">
        <v>-0.08</v>
      </c>
      <c r="D855">
        <v>-1.56</v>
      </c>
    </row>
    <row r="856" spans="2:4" ht="14.25" customHeight="1" x14ac:dyDescent="0.35">
      <c r="B856" s="70">
        <v>45828</v>
      </c>
      <c r="C856">
        <v>1.29</v>
      </c>
      <c r="D856">
        <v>1.25</v>
      </c>
    </row>
    <row r="857" spans="2:4" ht="14.25" customHeight="1" x14ac:dyDescent="0.35">
      <c r="B857" s="70">
        <v>45831</v>
      </c>
      <c r="C857">
        <v>-0.56000000000000005</v>
      </c>
      <c r="D857">
        <v>0.89</v>
      </c>
    </row>
    <row r="858" spans="2:4" ht="14.25" customHeight="1" x14ac:dyDescent="0.35">
      <c r="B858" s="70">
        <v>45832</v>
      </c>
      <c r="C858">
        <v>0.28999999999999998</v>
      </c>
      <c r="D858">
        <v>0.04</v>
      </c>
    </row>
    <row r="859" spans="2:4" ht="14.25" customHeight="1" x14ac:dyDescent="0.35">
      <c r="B859" s="70">
        <v>45833</v>
      </c>
      <c r="C859">
        <v>0.8</v>
      </c>
      <c r="D859">
        <v>-0.23</v>
      </c>
    </row>
    <row r="860" spans="2:4" ht="14.25" customHeight="1" x14ac:dyDescent="0.35">
      <c r="B860" s="70">
        <v>45834</v>
      </c>
      <c r="C860">
        <v>1.21</v>
      </c>
      <c r="D860">
        <v>0.61</v>
      </c>
    </row>
    <row r="861" spans="2:4" ht="14.25" customHeight="1" x14ac:dyDescent="0.35">
      <c r="B861" s="70">
        <v>45835</v>
      </c>
      <c r="C861">
        <v>0.35</v>
      </c>
      <c r="D861">
        <v>0</v>
      </c>
    </row>
    <row r="862" spans="2:4" ht="14.25" customHeight="1" x14ac:dyDescent="0.35">
      <c r="B862" s="70">
        <v>45838</v>
      </c>
      <c r="C862">
        <v>-0.47</v>
      </c>
      <c r="D862">
        <v>-0.56000000000000005</v>
      </c>
    </row>
    <row r="863" spans="2:4" ht="14.25" customHeight="1" x14ac:dyDescent="0.35">
      <c r="B863" s="70">
        <v>45839</v>
      </c>
      <c r="C863">
        <v>0.1</v>
      </c>
      <c r="D863">
        <v>-0.56000000000000005</v>
      </c>
    </row>
    <row r="864" spans="2:4" ht="14.25" customHeight="1" x14ac:dyDescent="0.35">
      <c r="B864" s="70">
        <v>45840</v>
      </c>
      <c r="C864">
        <v>-0.35</v>
      </c>
      <c r="D864">
        <v>-0.73</v>
      </c>
    </row>
    <row r="865" spans="2:4" ht="14.25" customHeight="1" x14ac:dyDescent="0.35">
      <c r="B865" s="70">
        <v>45841</v>
      </c>
      <c r="C865">
        <v>-0.19</v>
      </c>
      <c r="D865">
        <v>-0.12</v>
      </c>
    </row>
    <row r="866" spans="2:4" ht="14.25" customHeight="1" x14ac:dyDescent="0.35">
      <c r="B866" s="70">
        <v>45842</v>
      </c>
      <c r="C866">
        <v>0.22</v>
      </c>
      <c r="D866">
        <v>-0.09</v>
      </c>
    </row>
    <row r="867" spans="2:4" ht="14.25" customHeight="1" x14ac:dyDescent="0.35">
      <c r="B867" s="70">
        <v>45845</v>
      </c>
      <c r="C867">
        <v>0</v>
      </c>
      <c r="D867">
        <v>-0.48</v>
      </c>
    </row>
    <row r="868" spans="2:4" ht="14.25" customHeight="1" x14ac:dyDescent="0.35">
      <c r="B868" s="70">
        <v>45846</v>
      </c>
      <c r="C868">
        <v>0.24</v>
      </c>
      <c r="D868">
        <v>-0.36</v>
      </c>
    </row>
    <row r="869" spans="2:4" ht="14.25" customHeight="1" x14ac:dyDescent="0.35">
      <c r="B869" s="70">
        <v>45847</v>
      </c>
      <c r="C869">
        <v>-0.18</v>
      </c>
      <c r="D869">
        <v>1.2</v>
      </c>
    </row>
    <row r="870" spans="2:4" ht="14.25" customHeight="1" x14ac:dyDescent="0.35">
      <c r="B870" s="70">
        <v>45848</v>
      </c>
      <c r="C870">
        <v>-0.47</v>
      </c>
      <c r="D870">
        <v>-0.88</v>
      </c>
    </row>
    <row r="871" spans="2:4" ht="14.25" customHeight="1" x14ac:dyDescent="0.35">
      <c r="B871" s="70">
        <v>45849</v>
      </c>
      <c r="C871">
        <v>-0.81</v>
      </c>
      <c r="D871">
        <v>-0.81</v>
      </c>
    </row>
    <row r="872" spans="2:4" ht="14.25" customHeight="1" x14ac:dyDescent="0.35">
      <c r="B872" s="70">
        <v>45852</v>
      </c>
      <c r="C872">
        <v>-0.27</v>
      </c>
      <c r="D872">
        <v>0.76</v>
      </c>
    </row>
    <row r="873" spans="2:4" ht="14.25" customHeight="1" x14ac:dyDescent="0.35">
      <c r="B873" s="70">
        <v>45853</v>
      </c>
      <c r="C873">
        <v>0.45</v>
      </c>
      <c r="D873">
        <v>0.68</v>
      </c>
    </row>
    <row r="874" spans="2:4" ht="14.25" customHeight="1" x14ac:dyDescent="0.35">
      <c r="B874" s="70">
        <v>45854</v>
      </c>
      <c r="C874">
        <v>0.06</v>
      </c>
      <c r="D874">
        <v>0</v>
      </c>
    </row>
    <row r="875" spans="2:4" ht="14.25" customHeight="1" x14ac:dyDescent="0.35">
      <c r="B875" s="70">
        <v>45855</v>
      </c>
      <c r="C875">
        <v>-0.4</v>
      </c>
      <c r="D875">
        <v>-0.14000000000000001</v>
      </c>
    </row>
    <row r="876" spans="2:4" ht="14.25" customHeight="1" x14ac:dyDescent="0.35">
      <c r="B876" s="70">
        <v>45856</v>
      </c>
      <c r="C876">
        <v>-0.56999999999999995</v>
      </c>
      <c r="D876">
        <v>0.67</v>
      </c>
    </row>
    <row r="877" spans="2:4" ht="14.25" customHeight="1" x14ac:dyDescent="0.35">
      <c r="B877" s="70">
        <v>45859</v>
      </c>
      <c r="C877">
        <v>0.49</v>
      </c>
      <c r="D877">
        <v>-0.44</v>
      </c>
    </row>
    <row r="878" spans="2:4" ht="14.25" customHeight="1" x14ac:dyDescent="0.35">
      <c r="B878" s="70">
        <v>45860</v>
      </c>
      <c r="C878">
        <v>-0.12</v>
      </c>
      <c r="D878">
        <v>0.59</v>
      </c>
    </row>
    <row r="879" spans="2:4" ht="14.25" customHeight="1" x14ac:dyDescent="0.35">
      <c r="B879" s="70">
        <v>45861</v>
      </c>
      <c r="C879">
        <v>0.63</v>
      </c>
      <c r="D879">
        <v>0.42</v>
      </c>
    </row>
    <row r="880" spans="2:4" ht="14.25" customHeight="1" x14ac:dyDescent="0.35">
      <c r="B880" s="70">
        <v>45862</v>
      </c>
      <c r="C880">
        <v>-0.63</v>
      </c>
      <c r="D880">
        <v>-1.33</v>
      </c>
    </row>
    <row r="881" spans="2:4" ht="14.25" customHeight="1" x14ac:dyDescent="0.35">
      <c r="B881" s="70">
        <v>45863</v>
      </c>
      <c r="C881">
        <v>-0.9</v>
      </c>
      <c r="D881">
        <v>-1.23</v>
      </c>
    </row>
    <row r="882" spans="2:4" ht="14.25" customHeight="1" x14ac:dyDescent="0.35">
      <c r="B882" s="70">
        <v>45866</v>
      </c>
      <c r="C882">
        <v>-0.63</v>
      </c>
      <c r="D882">
        <v>-0.64</v>
      </c>
    </row>
    <row r="883" spans="2:4" ht="14.25" customHeight="1" x14ac:dyDescent="0.35">
      <c r="B883" s="70">
        <v>45867</v>
      </c>
      <c r="C883">
        <v>0.56999999999999995</v>
      </c>
      <c r="D883">
        <v>1.4</v>
      </c>
    </row>
    <row r="884" spans="2:4" ht="14.25" customHeight="1" x14ac:dyDescent="0.35">
      <c r="B884" s="70">
        <v>45868</v>
      </c>
      <c r="C884">
        <v>0.14000000000000001</v>
      </c>
      <c r="D884">
        <v>-0.98</v>
      </c>
    </row>
    <row r="885" spans="2:4" ht="14.25" customHeight="1" x14ac:dyDescent="0.35">
      <c r="B885" s="70">
        <v>45869</v>
      </c>
      <c r="C885">
        <v>-0.35</v>
      </c>
      <c r="D885">
        <v>-0.93</v>
      </c>
    </row>
    <row r="886" spans="2:4" ht="14.25" customHeight="1" x14ac:dyDescent="0.35">
      <c r="B886" s="70">
        <v>45870</v>
      </c>
      <c r="C886">
        <v>-0.82</v>
      </c>
      <c r="D886">
        <v>-1.02</v>
      </c>
    </row>
    <row r="887" spans="2:4" ht="14.25" customHeight="1" x14ac:dyDescent="0.35">
      <c r="B887" s="70">
        <v>45873</v>
      </c>
      <c r="C887">
        <v>0.64</v>
      </c>
      <c r="D887">
        <v>0.59</v>
      </c>
    </row>
    <row r="888" spans="2:4" ht="14.25" customHeight="1" x14ac:dyDescent="0.35">
      <c r="B888" s="70">
        <v>45874</v>
      </c>
      <c r="C888">
        <v>-0.3</v>
      </c>
      <c r="D888">
        <v>1.28</v>
      </c>
    </row>
    <row r="889" spans="2:4" ht="14.25" customHeight="1" x14ac:dyDescent="0.35">
      <c r="B889" s="70">
        <v>45875</v>
      </c>
      <c r="C889">
        <v>-0.31</v>
      </c>
      <c r="D889">
        <v>0.76</v>
      </c>
    </row>
    <row r="890" spans="2:4" ht="14.25" customHeight="1" x14ac:dyDescent="0.35">
      <c r="B890" s="70">
        <v>45876</v>
      </c>
      <c r="C890">
        <v>0.09</v>
      </c>
      <c r="D890">
        <v>0.72</v>
      </c>
    </row>
    <row r="891" spans="2:4" ht="14.25" customHeight="1" x14ac:dyDescent="0.35">
      <c r="B891" s="70">
        <v>45877</v>
      </c>
      <c r="C891">
        <v>-0.95</v>
      </c>
      <c r="D891">
        <v>0.04</v>
      </c>
    </row>
    <row r="892" spans="2:4" ht="14.25" customHeight="1" x14ac:dyDescent="0.35">
      <c r="B892" s="70">
        <v>45880</v>
      </c>
      <c r="C892">
        <v>0.91</v>
      </c>
      <c r="D892">
        <v>0.74</v>
      </c>
    </row>
    <row r="893" spans="2:4" ht="14.25" customHeight="1" x14ac:dyDescent="0.35">
      <c r="B893" s="70">
        <v>45881</v>
      </c>
      <c r="C893">
        <v>-0.4</v>
      </c>
      <c r="D893">
        <v>0.75</v>
      </c>
    </row>
    <row r="894" spans="2:4" ht="14.25" customHeight="1" x14ac:dyDescent="0.35">
      <c r="B894" s="70">
        <v>45882</v>
      </c>
      <c r="C894">
        <v>0.54</v>
      </c>
      <c r="D894">
        <v>0.19</v>
      </c>
    </row>
    <row r="895" spans="2:4" ht="14.25" customHeight="1" x14ac:dyDescent="0.35">
      <c r="B895" s="70">
        <v>45883</v>
      </c>
      <c r="C895">
        <v>0.05</v>
      </c>
      <c r="D895">
        <v>-0.43</v>
      </c>
    </row>
    <row r="896" spans="2:4" ht="14.25" customHeight="1" x14ac:dyDescent="0.35">
      <c r="B896" s="70">
        <v>45887</v>
      </c>
      <c r="C896">
        <v>1</v>
      </c>
      <c r="D896">
        <v>0.87</v>
      </c>
    </row>
    <row r="897" spans="2:4" ht="14.25" customHeight="1" x14ac:dyDescent="0.35">
      <c r="B897" s="70">
        <v>45888</v>
      </c>
      <c r="C897">
        <v>0.42</v>
      </c>
      <c r="D897">
        <v>-0.63</v>
      </c>
    </row>
    <row r="898" spans="2:4" ht="14.25" customHeight="1" x14ac:dyDescent="0.35">
      <c r="B898" s="70">
        <v>45889</v>
      </c>
      <c r="C898">
        <v>0.28000000000000003</v>
      </c>
      <c r="D898">
        <v>-0.17</v>
      </c>
    </row>
    <row r="899" spans="2:4" ht="14.25" customHeight="1" x14ac:dyDescent="0.35">
      <c r="B899" s="70">
        <v>45890</v>
      </c>
      <c r="C899">
        <v>0.13</v>
      </c>
      <c r="D899">
        <v>-0.37</v>
      </c>
    </row>
    <row r="900" spans="2:4" ht="14.25" customHeight="1" x14ac:dyDescent="0.35">
      <c r="B900" s="70">
        <v>45891</v>
      </c>
      <c r="C900">
        <v>-0.85</v>
      </c>
      <c r="D900">
        <v>-0.98</v>
      </c>
    </row>
    <row r="901" spans="2:4" ht="14.25" customHeight="1" x14ac:dyDescent="0.35">
      <c r="B901" s="70">
        <v>45894</v>
      </c>
      <c r="C901">
        <v>0.39</v>
      </c>
      <c r="D901">
        <v>1.48</v>
      </c>
    </row>
    <row r="902" spans="2:4" ht="14.25" customHeight="1" x14ac:dyDescent="0.35">
      <c r="B902" s="70">
        <v>45895</v>
      </c>
      <c r="C902">
        <v>-1.02</v>
      </c>
      <c r="D902">
        <v>-1.99</v>
      </c>
    </row>
    <row r="903" spans="2:4" ht="14.25" customHeight="1" x14ac:dyDescent="0.35">
      <c r="B903" s="70">
        <v>45897</v>
      </c>
      <c r="C903">
        <v>-0.85</v>
      </c>
      <c r="D903">
        <v>0.5</v>
      </c>
    </row>
    <row r="904" spans="2:4" ht="14.25" customHeight="1" x14ac:dyDescent="0.35">
      <c r="B904" s="70">
        <v>45898</v>
      </c>
      <c r="C904">
        <v>-0.3</v>
      </c>
      <c r="D904">
        <v>0.13</v>
      </c>
    </row>
    <row r="905" spans="2:4" ht="14.25" customHeight="1" x14ac:dyDescent="0.35">
      <c r="B905" s="70">
        <v>45901</v>
      </c>
      <c r="C905">
        <v>0.81</v>
      </c>
      <c r="D905">
        <v>0.83</v>
      </c>
    </row>
    <row r="906" spans="2:4" ht="14.25" customHeight="1" x14ac:dyDescent="0.35">
      <c r="B906" s="70">
        <v>45902</v>
      </c>
      <c r="C906">
        <v>-0.18</v>
      </c>
      <c r="D906">
        <v>0.57999999999999996</v>
      </c>
    </row>
    <row r="907" spans="2:4" ht="14.25" customHeight="1" x14ac:dyDescent="0.35">
      <c r="B907" s="70">
        <v>45903</v>
      </c>
      <c r="C907">
        <v>0.55000000000000004</v>
      </c>
      <c r="D907">
        <v>2.5499999999999998</v>
      </c>
    </row>
    <row r="908" spans="2:4" ht="14.25" customHeight="1" x14ac:dyDescent="0.35">
      <c r="B908" s="70">
        <v>45904</v>
      </c>
      <c r="C908">
        <v>0.08</v>
      </c>
      <c r="D908">
        <v>0.42</v>
      </c>
    </row>
    <row r="909" spans="2:4" ht="14.25" customHeight="1" x14ac:dyDescent="0.35">
      <c r="B909" s="70">
        <v>45905</v>
      </c>
      <c r="C909">
        <v>0.03</v>
      </c>
      <c r="D909">
        <v>0.31</v>
      </c>
    </row>
    <row r="910" spans="2:4" ht="14.25" customHeight="1" x14ac:dyDescent="0.35">
      <c r="B910" s="70">
        <v>45908</v>
      </c>
      <c r="C910">
        <v>0.13</v>
      </c>
      <c r="D910">
        <v>-1.43</v>
      </c>
    </row>
    <row r="911" spans="2:4" ht="14.25" customHeight="1" x14ac:dyDescent="0.35">
      <c r="B911" s="70">
        <v>45909</v>
      </c>
      <c r="C911">
        <v>0.39</v>
      </c>
      <c r="D911">
        <v>0.23</v>
      </c>
    </row>
    <row r="912" spans="2:4" ht="14.25" customHeight="1" x14ac:dyDescent="0.35">
      <c r="B912" s="70">
        <v>45910</v>
      </c>
      <c r="C912">
        <v>0.42</v>
      </c>
      <c r="D912">
        <v>1.02</v>
      </c>
    </row>
    <row r="913" spans="2:4" ht="14.25" customHeight="1" x14ac:dyDescent="0.35">
      <c r="B913" s="70">
        <v>45911</v>
      </c>
      <c r="C913">
        <v>0.13</v>
      </c>
      <c r="D913">
        <v>0.37</v>
      </c>
    </row>
    <row r="914" spans="2:4" ht="14.25" customHeight="1" x14ac:dyDescent="0.35">
      <c r="B914" s="70">
        <v>45912</v>
      </c>
      <c r="C914">
        <v>0.43</v>
      </c>
      <c r="D914">
        <v>0.25</v>
      </c>
    </row>
    <row r="915" spans="2:4" ht="14.25" customHeight="1" x14ac:dyDescent="0.35">
      <c r="B915" s="70">
        <v>45915</v>
      </c>
      <c r="C915">
        <v>-0.18</v>
      </c>
      <c r="D915">
        <v>0.1</v>
      </c>
    </row>
    <row r="916" spans="2:4" ht="14.25" customHeight="1" x14ac:dyDescent="0.35">
      <c r="B916" s="70">
        <v>45916</v>
      </c>
      <c r="C916">
        <v>0.68</v>
      </c>
      <c r="D916">
        <v>0.27</v>
      </c>
    </row>
    <row r="917" spans="2:4" ht="14.25" customHeight="1" x14ac:dyDescent="0.35">
      <c r="B917" s="70">
        <v>45917</v>
      </c>
      <c r="C917">
        <v>0.36</v>
      </c>
      <c r="D917">
        <v>1</v>
      </c>
    </row>
    <row r="918" spans="2:4" ht="14.25" customHeight="1" x14ac:dyDescent="0.35">
      <c r="B918" s="70">
        <v>45918</v>
      </c>
      <c r="C918">
        <v>0.37</v>
      </c>
      <c r="D918">
        <v>-1.65</v>
      </c>
    </row>
    <row r="919" spans="2:4" ht="14.25" customHeight="1" x14ac:dyDescent="0.35">
      <c r="B919" s="70">
        <v>45919</v>
      </c>
      <c r="C919">
        <v>-0.38</v>
      </c>
      <c r="D919">
        <v>0.34</v>
      </c>
    </row>
    <row r="920" spans="2:4" ht="14.25" customHeight="1" x14ac:dyDescent="0.35">
      <c r="B920" s="70">
        <v>45922</v>
      </c>
      <c r="C920">
        <v>-0.49</v>
      </c>
      <c r="D920">
        <v>0.05</v>
      </c>
    </row>
    <row r="921" spans="2:4" ht="14.25" customHeight="1" x14ac:dyDescent="0.35">
      <c r="B921" s="70">
        <v>45923</v>
      </c>
      <c r="C921">
        <v>-0.13</v>
      </c>
      <c r="D921">
        <v>-0.16</v>
      </c>
    </row>
    <row r="922" spans="2:4" ht="14.25" customHeight="1" x14ac:dyDescent="0.35">
      <c r="B922" s="70">
        <v>45924</v>
      </c>
      <c r="C922">
        <v>-0.45</v>
      </c>
      <c r="D922">
        <v>-0.3</v>
      </c>
    </row>
    <row r="923" spans="2:4" ht="14.25" customHeight="1" x14ac:dyDescent="0.35">
      <c r="B923" s="70">
        <v>45925</v>
      </c>
      <c r="C923">
        <v>-0.66</v>
      </c>
      <c r="D923">
        <v>-0.09</v>
      </c>
    </row>
    <row r="924" spans="2:4" ht="14.25" customHeight="1" x14ac:dyDescent="0.35">
      <c r="B924" s="70">
        <v>45926</v>
      </c>
      <c r="C924">
        <v>-0.95</v>
      </c>
      <c r="D924">
        <v>-0.85</v>
      </c>
    </row>
    <row r="925" spans="2:4" ht="14.25" customHeight="1" x14ac:dyDescent="0.35">
      <c r="B925" s="70">
        <v>45929</v>
      </c>
      <c r="C925">
        <v>-0.08</v>
      </c>
      <c r="D925">
        <v>-0.22</v>
      </c>
    </row>
    <row r="926" spans="2:4" ht="14.25" customHeight="1" x14ac:dyDescent="0.35">
      <c r="B926" s="70">
        <v>45930</v>
      </c>
      <c r="C926">
        <v>-0.1</v>
      </c>
      <c r="D926">
        <v>0.42</v>
      </c>
    </row>
    <row r="927" spans="2:4" ht="14.25" customHeight="1" x14ac:dyDescent="0.35">
      <c r="B927" s="70">
        <v>45931</v>
      </c>
      <c r="C927">
        <v>0.92</v>
      </c>
      <c r="D927">
        <v>-0.37</v>
      </c>
    </row>
    <row r="928" spans="2:4" ht="14.25" customHeight="1" x14ac:dyDescent="0.35">
      <c r="B928" s="70">
        <v>45933</v>
      </c>
      <c r="C928">
        <v>0.23</v>
      </c>
      <c r="D928">
        <v>-1.33</v>
      </c>
    </row>
    <row r="929" spans="2:4" ht="14.25" customHeight="1" x14ac:dyDescent="0.35">
      <c r="B929" s="70">
        <v>45936</v>
      </c>
      <c r="C929">
        <v>0.74</v>
      </c>
      <c r="D929">
        <v>-0.38</v>
      </c>
    </row>
    <row r="930" spans="2:4" ht="14.25" customHeight="1" x14ac:dyDescent="0.35">
      <c r="B930" s="70">
        <v>45937</v>
      </c>
      <c r="C930">
        <v>0.12</v>
      </c>
      <c r="D930">
        <v>0.73</v>
      </c>
    </row>
    <row r="931" spans="2:4" ht="14.25" customHeight="1" x14ac:dyDescent="0.35">
      <c r="B931" s="70">
        <v>45938</v>
      </c>
      <c r="C931">
        <v>-0.25</v>
      </c>
      <c r="D931">
        <v>-0.68</v>
      </c>
    </row>
    <row r="932" spans="2:4" ht="14.25" customHeight="1" x14ac:dyDescent="0.35">
      <c r="B932" s="70">
        <v>45939</v>
      </c>
      <c r="C932">
        <v>0.54</v>
      </c>
      <c r="D932">
        <v>0.33</v>
      </c>
    </row>
    <row r="933" spans="2:4" ht="14.25" customHeight="1" x14ac:dyDescent="0.35">
      <c r="B933" s="70">
        <v>45940</v>
      </c>
      <c r="C933">
        <v>0.41</v>
      </c>
      <c r="D933">
        <v>0.3</v>
      </c>
    </row>
    <row r="934" spans="2:4" ht="14.25" customHeight="1" x14ac:dyDescent="0.35">
      <c r="B934" s="70">
        <v>45943</v>
      </c>
      <c r="C934">
        <v>-0.23</v>
      </c>
      <c r="D934">
        <v>-0.77</v>
      </c>
    </row>
    <row r="935" spans="2:4" ht="14.25" customHeight="1" x14ac:dyDescent="0.35">
      <c r="B935" s="70">
        <v>45944</v>
      </c>
      <c r="C935">
        <v>-0.32</v>
      </c>
      <c r="D935">
        <v>-0.16</v>
      </c>
    </row>
    <row r="936" spans="2:4" ht="14.25" customHeight="1" x14ac:dyDescent="0.35">
      <c r="B936" s="70">
        <v>45945</v>
      </c>
      <c r="C936">
        <v>0.71</v>
      </c>
      <c r="D936">
        <v>0.87</v>
      </c>
    </row>
    <row r="937" spans="2:4" ht="14.25" customHeight="1" x14ac:dyDescent="0.35">
      <c r="B937" s="70">
        <v>45946</v>
      </c>
      <c r="C937">
        <v>1.03</v>
      </c>
      <c r="D937">
        <v>0.87</v>
      </c>
    </row>
    <row r="938" spans="2:4" ht="14.25" customHeight="1" x14ac:dyDescent="0.35">
      <c r="B938" s="70">
        <v>45947</v>
      </c>
      <c r="C938">
        <v>0.49</v>
      </c>
      <c r="D938">
        <v>0.31</v>
      </c>
    </row>
    <row r="939" spans="2:4" ht="14.25" customHeight="1" x14ac:dyDescent="0.35">
      <c r="B939" s="70">
        <v>45950</v>
      </c>
      <c r="C939">
        <v>0.52</v>
      </c>
      <c r="D939">
        <v>0.46</v>
      </c>
    </row>
    <row r="940" spans="2:4" ht="14.25" customHeight="1" x14ac:dyDescent="0.35">
      <c r="B940" s="70">
        <v>45951</v>
      </c>
      <c r="C940">
        <v>0.1</v>
      </c>
      <c r="D940">
        <v>0.13</v>
      </c>
    </row>
    <row r="941" spans="2:4" ht="14.25" customHeight="1" x14ac:dyDescent="0.35">
      <c r="B941" s="70">
        <v>45953</v>
      </c>
      <c r="C941">
        <v>0.09</v>
      </c>
      <c r="D941">
        <v>0.4</v>
      </c>
    </row>
    <row r="942" spans="2:4" ht="14.25" customHeight="1" x14ac:dyDescent="0.35">
      <c r="B942" s="70">
        <v>45954</v>
      </c>
      <c r="C942">
        <v>-0.37</v>
      </c>
      <c r="D942">
        <v>0.36</v>
      </c>
    </row>
    <row r="943" spans="2:4" ht="14.25" customHeight="1" x14ac:dyDescent="0.35">
      <c r="B943" s="70">
        <v>45957</v>
      </c>
      <c r="C943">
        <v>0.66</v>
      </c>
      <c r="D943">
        <v>0.67</v>
      </c>
    </row>
    <row r="944" spans="2:4" ht="14.25" customHeight="1" x14ac:dyDescent="0.35">
      <c r="B944" s="70">
        <v>45958</v>
      </c>
      <c r="C944">
        <v>-0.11</v>
      </c>
      <c r="D944">
        <v>-1.34</v>
      </c>
    </row>
    <row r="945" spans="2:4" ht="14.25" customHeight="1" x14ac:dyDescent="0.35">
      <c r="B945" s="70">
        <v>45959</v>
      </c>
      <c r="C945">
        <v>0.45</v>
      </c>
      <c r="D945">
        <v>-2.4</v>
      </c>
    </row>
    <row r="946" spans="2:4" ht="14.25" customHeight="1" x14ac:dyDescent="0.35">
      <c r="B946" s="70">
        <v>45960</v>
      </c>
      <c r="C946">
        <v>-0.68</v>
      </c>
      <c r="D946">
        <v>1.49</v>
      </c>
    </row>
    <row r="947" spans="2:4" ht="14.25" customHeight="1" x14ac:dyDescent="0.35">
      <c r="B947" s="70">
        <v>45961</v>
      </c>
      <c r="C947">
        <v>-0.6</v>
      </c>
      <c r="D947">
        <v>0.25</v>
      </c>
    </row>
    <row r="948" spans="2:4" ht="14.25" customHeight="1" x14ac:dyDescent="0.35">
      <c r="B948" s="70">
        <v>45964</v>
      </c>
      <c r="C948">
        <v>0.16</v>
      </c>
      <c r="D948">
        <v>-0.03</v>
      </c>
    </row>
    <row r="949" spans="2:4" ht="14.25" customHeight="1" x14ac:dyDescent="0.35">
      <c r="B949" s="70">
        <v>45965</v>
      </c>
      <c r="C949">
        <v>-0.64</v>
      </c>
      <c r="D949">
        <v>-0.2</v>
      </c>
    </row>
    <row r="950" spans="2:4" ht="14.25" customHeight="1" x14ac:dyDescent="0.35">
      <c r="B950" s="70">
        <v>45967</v>
      </c>
      <c r="C950">
        <v>-0.34</v>
      </c>
      <c r="D950">
        <v>-1.17</v>
      </c>
    </row>
    <row r="951" spans="2:4" ht="14.25" customHeight="1" x14ac:dyDescent="0.35">
      <c r="B951" s="70">
        <v>45968</v>
      </c>
      <c r="C951">
        <v>-7.0000000000000007E-2</v>
      </c>
      <c r="D951">
        <v>0.76</v>
      </c>
    </row>
    <row r="952" spans="2:4" ht="14.25" customHeight="1" x14ac:dyDescent="0.35">
      <c r="B952" s="70">
        <v>45971</v>
      </c>
      <c r="C952">
        <v>0.32</v>
      </c>
      <c r="D952">
        <v>1.42</v>
      </c>
    </row>
    <row r="953" spans="2:4" ht="14.25" customHeight="1" x14ac:dyDescent="0.35">
      <c r="B953" s="70">
        <v>45972</v>
      </c>
      <c r="C953">
        <v>0.47</v>
      </c>
      <c r="D953">
        <v>0.38</v>
      </c>
    </row>
    <row r="954" spans="2:4" ht="14.25" customHeight="1" x14ac:dyDescent="0.35">
      <c r="B954" s="70">
        <v>45973</v>
      </c>
      <c r="C954">
        <v>0.7</v>
      </c>
      <c r="D954">
        <v>0.97</v>
      </c>
    </row>
    <row r="955" spans="2:4" ht="14.25" customHeight="1" x14ac:dyDescent="0.35">
      <c r="B955" s="70">
        <v>45974</v>
      </c>
      <c r="C955">
        <v>0.01</v>
      </c>
      <c r="D955">
        <v>-0.85</v>
      </c>
    </row>
    <row r="956" spans="2:4" ht="14.25" customHeight="1" x14ac:dyDescent="0.35">
      <c r="B956" s="70">
        <v>45975</v>
      </c>
      <c r="C956">
        <v>0.12</v>
      </c>
      <c r="D956">
        <v>0.98</v>
      </c>
    </row>
    <row r="957" spans="2:4" ht="14.25" customHeight="1" x14ac:dyDescent="0.35">
      <c r="B957" s="70">
        <v>45978</v>
      </c>
      <c r="C957">
        <v>0.4</v>
      </c>
      <c r="D957">
        <v>0.23</v>
      </c>
    </row>
    <row r="958" spans="2:4" ht="14.25" customHeight="1" x14ac:dyDescent="0.35">
      <c r="B958" s="70">
        <v>45979</v>
      </c>
      <c r="C958">
        <v>-0.4</v>
      </c>
      <c r="D958">
        <v>-1.01</v>
      </c>
    </row>
    <row r="959" spans="2:4" ht="14.25" customHeight="1" x14ac:dyDescent="0.35">
      <c r="B959" s="70">
        <v>45980</v>
      </c>
      <c r="C959">
        <v>0.55000000000000004</v>
      </c>
      <c r="D959">
        <v>-1.28</v>
      </c>
    </row>
    <row r="960" spans="2:4" ht="14.25" customHeight="1" x14ac:dyDescent="0.35">
      <c r="B960" s="70">
        <v>45981</v>
      </c>
      <c r="C960">
        <v>0.54</v>
      </c>
      <c r="D960">
        <v>0.16</v>
      </c>
    </row>
    <row r="961" spans="2:4" ht="14.25" customHeight="1" x14ac:dyDescent="0.35">
      <c r="B961" s="70">
        <v>45982</v>
      </c>
      <c r="C961">
        <v>-0.47</v>
      </c>
      <c r="D961">
        <v>-0.38</v>
      </c>
    </row>
    <row r="962" spans="2:4" ht="14.25" customHeight="1" x14ac:dyDescent="0.35">
      <c r="B962" s="70">
        <v>45985</v>
      </c>
      <c r="C962">
        <v>-0.42</v>
      </c>
      <c r="D962">
        <v>-1.49</v>
      </c>
    </row>
    <row r="963" spans="2:4" ht="14.25" customHeight="1" x14ac:dyDescent="0.35">
      <c r="B963" s="70">
        <v>45986</v>
      </c>
      <c r="C963">
        <v>-0.28999999999999998</v>
      </c>
      <c r="D963">
        <v>-0.67</v>
      </c>
    </row>
    <row r="964" spans="2:4" ht="14.25" customHeight="1" x14ac:dyDescent="0.35">
      <c r="B964" s="70">
        <v>45987</v>
      </c>
      <c r="C964">
        <v>1.24</v>
      </c>
      <c r="D964">
        <v>1.97</v>
      </c>
    </row>
    <row r="965" spans="2:4" ht="14.25" customHeight="1" x14ac:dyDescent="0.35">
      <c r="B965" s="70">
        <v>45988</v>
      </c>
      <c r="C965">
        <v>0.04</v>
      </c>
      <c r="D965">
        <v>0.19</v>
      </c>
    </row>
    <row r="966" spans="2:4" ht="14.25" customHeight="1" x14ac:dyDescent="0.35">
      <c r="B966" s="70">
        <v>45989</v>
      </c>
      <c r="C966">
        <v>-0.05</v>
      </c>
      <c r="D966">
        <v>-0.5</v>
      </c>
    </row>
    <row r="967" spans="2:4" ht="14.25" customHeight="1" x14ac:dyDescent="0.35">
      <c r="B967" s="70">
        <v>45992</v>
      </c>
      <c r="C967">
        <v>-0.1</v>
      </c>
      <c r="D967">
        <v>0.93</v>
      </c>
    </row>
    <row r="968" spans="2:4" ht="14.25" customHeight="1" x14ac:dyDescent="0.35">
      <c r="B968" s="70">
        <v>45993</v>
      </c>
      <c r="C968">
        <v>-0.55000000000000004</v>
      </c>
      <c r="D968">
        <v>-0.18</v>
      </c>
    </row>
    <row r="969" spans="2:4" ht="14.25" customHeight="1" x14ac:dyDescent="0.35">
      <c r="B969" s="70">
        <v>45994</v>
      </c>
      <c r="C969">
        <v>-0.18</v>
      </c>
      <c r="D969">
        <v>-0.98</v>
      </c>
    </row>
    <row r="970" spans="2:4" ht="14.25" customHeight="1" x14ac:dyDescent="0.35">
      <c r="B970" s="70">
        <v>45995</v>
      </c>
      <c r="C970">
        <v>0.18</v>
      </c>
      <c r="D970">
        <v>1.01</v>
      </c>
    </row>
    <row r="971" spans="2:4" ht="14.25" customHeight="1" x14ac:dyDescent="0.35">
      <c r="B971" s="70">
        <v>45996</v>
      </c>
      <c r="C971">
        <v>0.59</v>
      </c>
      <c r="D971">
        <v>0.24</v>
      </c>
    </row>
    <row r="972" spans="2:4" ht="14.25" customHeight="1" x14ac:dyDescent="0.35">
      <c r="B972" s="70">
        <v>45999</v>
      </c>
      <c r="C972">
        <v>-0.86</v>
      </c>
      <c r="D972">
        <v>-0.68</v>
      </c>
    </row>
    <row r="973" spans="2:4" ht="14.25" customHeight="1" x14ac:dyDescent="0.35">
      <c r="B973" s="70">
        <v>46000</v>
      </c>
      <c r="C973">
        <v>-0.47</v>
      </c>
      <c r="D973">
        <v>0.53</v>
      </c>
    </row>
    <row r="974" spans="2:4" ht="14.25" customHeight="1" x14ac:dyDescent="0.35">
      <c r="B974" s="70">
        <v>46001</v>
      </c>
      <c r="C974">
        <v>-0.32</v>
      </c>
      <c r="D974">
        <v>0.74</v>
      </c>
    </row>
    <row r="975" spans="2:4" ht="14.25" customHeight="1" x14ac:dyDescent="0.35">
      <c r="B975" s="70">
        <v>46002</v>
      </c>
      <c r="C975">
        <v>0.55000000000000004</v>
      </c>
      <c r="D975">
        <v>0.48</v>
      </c>
    </row>
    <row r="976" spans="2:4" ht="14.25" customHeight="1" x14ac:dyDescent="0.35">
      <c r="B976" s="70">
        <v>46003</v>
      </c>
      <c r="C976">
        <v>0.56999999999999995</v>
      </c>
      <c r="D976">
        <v>-0.17</v>
      </c>
    </row>
    <row r="977" spans="2:4" ht="14.25" customHeight="1" x14ac:dyDescent="0.35">
      <c r="B977" s="70">
        <v>46006</v>
      </c>
      <c r="C977">
        <v>-0.08</v>
      </c>
      <c r="D977">
        <v>0.28999999999999998</v>
      </c>
    </row>
    <row r="978" spans="2:4" ht="14.25" customHeight="1" x14ac:dyDescent="0.35">
      <c r="B978" s="70">
        <v>46007</v>
      </c>
      <c r="C978">
        <v>-0.64</v>
      </c>
      <c r="D978">
        <v>-0.74</v>
      </c>
    </row>
    <row r="979" spans="2:4" ht="14.25" customHeight="1" x14ac:dyDescent="0.35">
      <c r="B979" s="70">
        <v>46008</v>
      </c>
      <c r="C979">
        <v>-0.16</v>
      </c>
      <c r="D979">
        <v>0.83</v>
      </c>
    </row>
    <row r="980" spans="2:4" ht="14.25" customHeight="1" x14ac:dyDescent="0.35">
      <c r="B980" s="70">
        <v>46009</v>
      </c>
      <c r="C980">
        <v>-0.01</v>
      </c>
      <c r="D980">
        <v>0.14000000000000001</v>
      </c>
    </row>
    <row r="981" spans="2:4" ht="14.25" customHeight="1" x14ac:dyDescent="0.35">
      <c r="B981" s="70">
        <v>46010</v>
      </c>
      <c r="C981">
        <v>0.57999999999999996</v>
      </c>
      <c r="D981">
        <v>0.08</v>
      </c>
    </row>
    <row r="982" spans="2:4" ht="14.25" customHeight="1" x14ac:dyDescent="0.35">
      <c r="B982" s="70">
        <v>46013</v>
      </c>
      <c r="C982">
        <v>0.79</v>
      </c>
      <c r="D982">
        <v>0.17</v>
      </c>
    </row>
    <row r="983" spans="2:4" ht="14.25" customHeight="1" x14ac:dyDescent="0.35">
      <c r="B983" s="70">
        <v>46014</v>
      </c>
      <c r="C983">
        <v>0.02</v>
      </c>
      <c r="D983">
        <v>3.66</v>
      </c>
    </row>
    <row r="984" spans="2:4" ht="14.25" customHeight="1" x14ac:dyDescent="0.35">
      <c r="B984" s="70">
        <v>46015</v>
      </c>
      <c r="C984">
        <v>-0.13</v>
      </c>
      <c r="D984">
        <v>0.49</v>
      </c>
    </row>
    <row r="985" spans="2:4" ht="14.25" customHeight="1" x14ac:dyDescent="0.35">
      <c r="B985" s="70">
        <v>46017</v>
      </c>
      <c r="C985">
        <v>-0.38</v>
      </c>
      <c r="D985">
        <v>-0.05</v>
      </c>
    </row>
    <row r="986" spans="2:4" ht="14.25" customHeight="1" x14ac:dyDescent="0.35">
      <c r="B986" s="70">
        <v>46020</v>
      </c>
      <c r="C986">
        <v>-0.38</v>
      </c>
      <c r="D986">
        <v>-0.37</v>
      </c>
    </row>
    <row r="987" spans="2:4" ht="14.25" customHeight="1" x14ac:dyDescent="0.35">
      <c r="B987" s="70">
        <v>46021</v>
      </c>
      <c r="C987">
        <v>-0.01</v>
      </c>
      <c r="D987">
        <v>-0.66</v>
      </c>
    </row>
    <row r="988" spans="2:4" ht="14.25" customHeight="1" x14ac:dyDescent="0.35">
      <c r="B988" s="70">
        <v>46022</v>
      </c>
      <c r="C988">
        <v>0.74</v>
      </c>
      <c r="D988">
        <v>0.25</v>
      </c>
    </row>
    <row r="989" spans="2:4" ht="14.25" customHeight="1" x14ac:dyDescent="0.35">
      <c r="B989" s="70">
        <v>46023</v>
      </c>
      <c r="C989">
        <v>0.06</v>
      </c>
      <c r="D989">
        <v>0.36</v>
      </c>
    </row>
    <row r="990" spans="2:4" ht="14.25" customHeight="1" x14ac:dyDescent="0.35">
      <c r="B990" s="70">
        <v>46024</v>
      </c>
      <c r="C990">
        <v>0.7</v>
      </c>
      <c r="D990">
        <v>6.85</v>
      </c>
    </row>
    <row r="991" spans="2:4" ht="14.25" customHeight="1" x14ac:dyDescent="0.35">
      <c r="B991" s="70">
        <v>46027</v>
      </c>
      <c r="C991">
        <v>-0.3</v>
      </c>
      <c r="D991">
        <v>-0.11</v>
      </c>
    </row>
    <row r="992" spans="2:4" ht="14.25" customHeight="1" x14ac:dyDescent="0.35">
      <c r="B992" s="70">
        <v>46028</v>
      </c>
      <c r="C992">
        <v>-0.27</v>
      </c>
      <c r="D992">
        <v>-0.09</v>
      </c>
    </row>
    <row r="993" spans="2:4" ht="14.25" customHeight="1" x14ac:dyDescent="0.35">
      <c r="B993" s="70">
        <v>46029</v>
      </c>
      <c r="C993">
        <v>-0.14000000000000001</v>
      </c>
      <c r="D993">
        <v>1.08</v>
      </c>
    </row>
    <row r="994" spans="2:4" ht="14.25" customHeight="1" x14ac:dyDescent="0.35">
      <c r="B994" s="70">
        <v>46030</v>
      </c>
      <c r="C994">
        <v>-1.01</v>
      </c>
      <c r="D994">
        <v>-1.48</v>
      </c>
    </row>
    <row r="995" spans="2:4" ht="14.25" customHeight="1" x14ac:dyDescent="0.35">
      <c r="B995" s="70">
        <v>46031</v>
      </c>
      <c r="C995">
        <v>-0.75</v>
      </c>
      <c r="D995">
        <v>-1.62</v>
      </c>
    </row>
    <row r="996" spans="2:4" ht="14.25" customHeight="1" x14ac:dyDescent="0.35">
      <c r="B996" s="70">
        <v>46034</v>
      </c>
      <c r="C996">
        <v>0.42</v>
      </c>
      <c r="D996">
        <v>3.33</v>
      </c>
    </row>
    <row r="997" spans="2:4" ht="14.25" customHeight="1" x14ac:dyDescent="0.35">
      <c r="B997" s="70">
        <v>46035</v>
      </c>
      <c r="C997">
        <v>-0.22</v>
      </c>
      <c r="D997">
        <v>-0.79</v>
      </c>
    </row>
    <row r="998" spans="2:4" ht="14.25" customHeight="1" x14ac:dyDescent="0.35">
      <c r="B998" s="70">
        <v>46036</v>
      </c>
      <c r="C998">
        <v>-0.26</v>
      </c>
      <c r="D998">
        <v>0.77</v>
      </c>
    </row>
    <row r="999" spans="2:4" ht="14.25" customHeight="1" x14ac:dyDescent="0.35">
      <c r="B999" s="70">
        <v>46038</v>
      </c>
      <c r="C999">
        <v>0.11</v>
      </c>
      <c r="D999">
        <v>-0.28000000000000003</v>
      </c>
    </row>
    <row r="1000" spans="2:4" ht="14.25" customHeight="1" x14ac:dyDescent="0.35">
      <c r="B1000" s="70">
        <v>46041</v>
      </c>
      <c r="C1000">
        <v>-0.42</v>
      </c>
      <c r="D1000">
        <v>-0.2</v>
      </c>
    </row>
    <row r="1001" spans="2:4" ht="14.25" customHeight="1" x14ac:dyDescent="0.35">
      <c r="B1001" s="70">
        <v>46042</v>
      </c>
      <c r="C1001">
        <v>-1.38</v>
      </c>
      <c r="D1001">
        <v>-3.45</v>
      </c>
    </row>
    <row r="1002" spans="2:4" ht="14.25" customHeight="1" x14ac:dyDescent="0.35">
      <c r="B1002" s="70">
        <v>46043</v>
      </c>
      <c r="C1002">
        <v>-0.3</v>
      </c>
      <c r="D1002">
        <v>-0.3</v>
      </c>
    </row>
    <row r="1003" spans="2:4" ht="14.25" customHeight="1" x14ac:dyDescent="0.35">
      <c r="B1003" s="70">
        <v>46044</v>
      </c>
      <c r="C1003">
        <v>0.53</v>
      </c>
      <c r="D1003">
        <v>2.21</v>
      </c>
    </row>
    <row r="1004" spans="2:4" ht="14.25" customHeight="1" x14ac:dyDescent="0.35">
      <c r="B1004" s="70">
        <v>46045</v>
      </c>
      <c r="C1004">
        <v>-0.95</v>
      </c>
      <c r="D1004">
        <v>-1.1299999999999999</v>
      </c>
    </row>
    <row r="1005" spans="2:4" ht="14.25" customHeight="1" x14ac:dyDescent="0.35">
      <c r="B1005" s="70">
        <v>46049</v>
      </c>
      <c r="C1005">
        <v>0.51</v>
      </c>
      <c r="D1005">
        <v>1.08</v>
      </c>
    </row>
    <row r="1006" spans="2:4" ht="14.25" customHeight="1" x14ac:dyDescent="0.35">
      <c r="B1006" s="70">
        <v>46050</v>
      </c>
      <c r="C1006">
        <v>0.66</v>
      </c>
      <c r="D1006">
        <v>5</v>
      </c>
    </row>
    <row r="1007" spans="2:4" ht="14.25" customHeight="1" x14ac:dyDescent="0.35">
      <c r="B1007" s="70">
        <v>46051</v>
      </c>
      <c r="C1007">
        <v>0.3</v>
      </c>
      <c r="D1007">
        <v>2.63</v>
      </c>
    </row>
    <row r="1008" spans="2:4" ht="14.25" customHeight="1" x14ac:dyDescent="0.35">
      <c r="B1008" s="70">
        <v>46052</v>
      </c>
      <c r="C1008">
        <v>-0.39</v>
      </c>
      <c r="D1008">
        <v>-3.29</v>
      </c>
    </row>
    <row r="1009" spans="2:4" ht="14.25" customHeight="1" x14ac:dyDescent="0.35">
      <c r="B1009" s="70">
        <v>46055</v>
      </c>
      <c r="C1009">
        <v>-0.92</v>
      </c>
      <c r="D1009">
        <v>-3.91</v>
      </c>
    </row>
    <row r="1010" spans="2:4" ht="14.25" customHeight="1" x14ac:dyDescent="0.35">
      <c r="B1010" s="70">
        <v>46056</v>
      </c>
      <c r="C1010">
        <v>2.5499999999999998</v>
      </c>
      <c r="D1010">
        <v>1.39</v>
      </c>
    </row>
    <row r="1011" spans="2:4" ht="14.25" customHeight="1" x14ac:dyDescent="0.35">
      <c r="B1011" s="70">
        <v>46057</v>
      </c>
      <c r="C1011">
        <v>0.19</v>
      </c>
      <c r="D1011">
        <v>1.28</v>
      </c>
    </row>
    <row r="1012" spans="2:4" ht="14.25" customHeight="1" x14ac:dyDescent="0.35">
      <c r="B1012" s="70">
        <v>46058</v>
      </c>
      <c r="C1012">
        <v>-0.52</v>
      </c>
      <c r="D1012">
        <v>-0.7</v>
      </c>
    </row>
    <row r="1013" spans="2:4" ht="14.25" customHeight="1" x14ac:dyDescent="0.35">
      <c r="B1013" s="70">
        <v>46059</v>
      </c>
      <c r="C1013">
        <v>0.2</v>
      </c>
      <c r="D1013">
        <v>0.22</v>
      </c>
    </row>
    <row r="1014" spans="2:4" ht="14.25" customHeight="1" x14ac:dyDescent="0.35">
      <c r="B1014" s="70">
        <v>46062</v>
      </c>
      <c r="C1014">
        <v>0.68</v>
      </c>
      <c r="D1014">
        <v>-0.25</v>
      </c>
    </row>
    <row r="1015" spans="2:4" ht="14.25" customHeight="1" x14ac:dyDescent="0.35">
      <c r="B1015" s="70">
        <v>46063</v>
      </c>
      <c r="C1015">
        <v>0.26</v>
      </c>
      <c r="D1015">
        <v>-0.17</v>
      </c>
    </row>
    <row r="1016" spans="2:4" ht="14.25" customHeight="1" x14ac:dyDescent="0.35">
      <c r="B1016" s="70">
        <v>46064</v>
      </c>
      <c r="C1016">
        <v>7.0000000000000007E-2</v>
      </c>
      <c r="D1016">
        <v>-1.79</v>
      </c>
    </row>
    <row r="1017" spans="2:4" ht="14.25" customHeight="1" x14ac:dyDescent="0.35">
      <c r="B1017" s="70">
        <v>46065</v>
      </c>
      <c r="C1017">
        <v>-0.56999999999999995</v>
      </c>
      <c r="D1017">
        <v>-0.97</v>
      </c>
    </row>
    <row r="1018" spans="2:4" ht="14.25" customHeight="1" x14ac:dyDescent="0.35">
      <c r="B1018" s="70">
        <v>46066</v>
      </c>
      <c r="C1018">
        <v>-1.3</v>
      </c>
      <c r="D1018">
        <v>-2.4300000000000002</v>
      </c>
    </row>
    <row r="1019" spans="2:4" ht="14.25" customHeight="1" x14ac:dyDescent="0.35">
      <c r="B1019" s="70">
        <v>46069</v>
      </c>
      <c r="C1019">
        <v>0.83</v>
      </c>
      <c r="D1019">
        <v>3.31</v>
      </c>
    </row>
    <row r="1020" spans="2:4" ht="14.25" customHeight="1" x14ac:dyDescent="0.35">
      <c r="B1020" s="70">
        <v>46070</v>
      </c>
      <c r="C1020">
        <v>0.17</v>
      </c>
      <c r="D1020">
        <v>-0.22</v>
      </c>
    </row>
    <row r="1021" spans="2:4" ht="14.25" customHeight="1" x14ac:dyDescent="0.35">
      <c r="B1021" s="70">
        <v>46071</v>
      </c>
      <c r="C1021">
        <v>0.37</v>
      </c>
      <c r="D1021">
        <v>0.47</v>
      </c>
    </row>
    <row r="1022" spans="2:4" ht="14.25" customHeight="1" x14ac:dyDescent="0.35">
      <c r="B1022" s="70">
        <v>46072</v>
      </c>
      <c r="C1022">
        <v>-1.41</v>
      </c>
      <c r="D1022">
        <v>-0.44</v>
      </c>
    </row>
    <row r="1023" spans="2:4" ht="14.25" customHeight="1" x14ac:dyDescent="0.35">
      <c r="B1023" s="70">
        <v>46073</v>
      </c>
      <c r="C1023">
        <v>0.46</v>
      </c>
      <c r="D1023">
        <v>1.78</v>
      </c>
    </row>
    <row r="1024" spans="2:4" ht="14.25" customHeight="1" x14ac:dyDescent="0.35">
      <c r="B1024" s="70">
        <v>46076</v>
      </c>
      <c r="C1024">
        <v>0.55000000000000004</v>
      </c>
      <c r="D1024">
        <v>0.57999999999999996</v>
      </c>
    </row>
    <row r="1025" spans="2:4" ht="14.25" customHeight="1" x14ac:dyDescent="0.35">
      <c r="B1025" s="70">
        <v>46077</v>
      </c>
      <c r="C1025">
        <v>-1.1200000000000001</v>
      </c>
      <c r="D1025">
        <v>1.1599999999999999</v>
      </c>
    </row>
    <row r="1026" spans="2:4" ht="14.25" customHeight="1" x14ac:dyDescent="0.35">
      <c r="B1026" s="70">
        <v>46078</v>
      </c>
      <c r="C1026">
        <v>0.23</v>
      </c>
      <c r="D1026">
        <v>1.78</v>
      </c>
    </row>
    <row r="1027" spans="2:4" ht="14.25" customHeight="1" x14ac:dyDescent="0.35">
      <c r="B1027" s="70">
        <v>46079</v>
      </c>
      <c r="C1027">
        <v>0.06</v>
      </c>
      <c r="D1027">
        <v>-1.1599999999999999</v>
      </c>
    </row>
    <row r="1028" spans="2:4" ht="14.25" customHeight="1" x14ac:dyDescent="0.35">
      <c r="B1028" s="70">
        <v>46080</v>
      </c>
      <c r="C1028">
        <v>-1.25</v>
      </c>
      <c r="D1028">
        <v>-0.66</v>
      </c>
    </row>
    <row r="1029" spans="2:4" ht="14.25" customHeight="1" x14ac:dyDescent="0.35">
      <c r="B1029" s="70">
        <v>46083</v>
      </c>
      <c r="C1029">
        <v>-1.24</v>
      </c>
      <c r="D1029">
        <v>-1.02</v>
      </c>
    </row>
    <row r="1030" spans="2:4" ht="14.25" customHeight="1" x14ac:dyDescent="0.35">
      <c r="B1030" s="70">
        <v>46085</v>
      </c>
      <c r="C1030">
        <v>-1.55</v>
      </c>
      <c r="D1030">
        <v>2.09</v>
      </c>
    </row>
    <row r="1031" spans="2:4" ht="14.25" customHeight="1" x14ac:dyDescent="0.35">
      <c r="B1031" s="70">
        <v>46086</v>
      </c>
      <c r="C1031">
        <v>1.17</v>
      </c>
      <c r="D1031">
        <v>3.27</v>
      </c>
    </row>
    <row r="1032" spans="2:4" ht="14.25" customHeight="1" x14ac:dyDescent="0.35">
      <c r="B1032" s="70">
        <v>46087</v>
      </c>
      <c r="C1032">
        <v>-1.27</v>
      </c>
      <c r="D1032">
        <v>-1.99</v>
      </c>
    </row>
    <row r="1033" spans="2:4" ht="14.25" customHeight="1" x14ac:dyDescent="0.35">
      <c r="B1033" s="70">
        <v>46090</v>
      </c>
      <c r="C1033">
        <v>-1.73</v>
      </c>
      <c r="D1033">
        <v>-0.64</v>
      </c>
    </row>
    <row r="1034" spans="2:4" ht="14.25" customHeight="1" x14ac:dyDescent="0.35">
      <c r="B1034" s="70">
        <v>46091</v>
      </c>
      <c r="C1034">
        <v>0.97</v>
      </c>
      <c r="D1034">
        <v>1.35</v>
      </c>
    </row>
    <row r="1035" spans="2:4" ht="14.25" customHeight="1" x14ac:dyDescent="0.35">
      <c r="B1035" s="70">
        <v>46092</v>
      </c>
      <c r="C1035">
        <v>-1.63</v>
      </c>
      <c r="D1035">
        <v>0.72</v>
      </c>
    </row>
    <row r="1036" spans="2:4" ht="14.25" customHeight="1" x14ac:dyDescent="0.35">
      <c r="B1036" s="70">
        <v>46093</v>
      </c>
      <c r="C1036">
        <v>-0.95</v>
      </c>
      <c r="D1036">
        <v>5.23</v>
      </c>
    </row>
    <row r="1037" spans="2:4" ht="14.25" customHeight="1" x14ac:dyDescent="0.35">
      <c r="B1037" s="70">
        <v>46094</v>
      </c>
      <c r="C1037">
        <v>-2.06</v>
      </c>
      <c r="D1037">
        <v>-0.66</v>
      </c>
    </row>
    <row r="1038" spans="2:4" ht="14.25" customHeight="1" x14ac:dyDescent="0.35">
      <c r="B1038" s="70">
        <v>46097</v>
      </c>
      <c r="C1038">
        <v>1.1100000000000001</v>
      </c>
      <c r="D1038">
        <v>-1.43</v>
      </c>
    </row>
    <row r="1039" spans="2:4" ht="14.25" customHeight="1" x14ac:dyDescent="0.35">
      <c r="B1039" s="70">
        <v>46098</v>
      </c>
      <c r="C1039">
        <v>0.74</v>
      </c>
      <c r="D1039">
        <v>0.42</v>
      </c>
    </row>
    <row r="1040" spans="2:4" ht="14.25" customHeight="1" x14ac:dyDescent="0.35">
      <c r="B1040" s="70">
        <v>46099</v>
      </c>
      <c r="C1040">
        <v>0.83</v>
      </c>
      <c r="D1040">
        <v>-1.53</v>
      </c>
    </row>
    <row r="1041" spans="2:4" ht="14.25" customHeight="1" x14ac:dyDescent="0.35">
      <c r="B1041" s="70">
        <v>46100</v>
      </c>
      <c r="C1041">
        <v>-3.26</v>
      </c>
      <c r="D1041">
        <v>-0.22</v>
      </c>
    </row>
    <row r="1042" spans="2:4" ht="14.25" customHeight="1" x14ac:dyDescent="0.35">
      <c r="B1042" s="70">
        <v>46101</v>
      </c>
      <c r="C1042">
        <v>0.49</v>
      </c>
      <c r="D1042">
        <v>3.07</v>
      </c>
    </row>
    <row r="1043" spans="2:4" ht="14.25" customHeight="1" x14ac:dyDescent="0.35">
      <c r="B1043" s="70">
        <v>46104</v>
      </c>
      <c r="C1043">
        <v>-2.6</v>
      </c>
      <c r="D1043">
        <v>-2.76</v>
      </c>
    </row>
    <row r="1044" spans="2:4" ht="14.25" customHeight="1" x14ac:dyDescent="0.35">
      <c r="B1044" s="70">
        <v>46105</v>
      </c>
      <c r="C1044">
        <v>1.78</v>
      </c>
      <c r="D1044">
        <v>-2.89</v>
      </c>
    </row>
    <row r="1045" spans="2:4" ht="14.25" customHeight="1" x14ac:dyDescent="0.35">
      <c r="B1045" s="70">
        <v>46106</v>
      </c>
      <c r="C1045">
        <v>1.72</v>
      </c>
      <c r="D1045">
        <v>0.36</v>
      </c>
    </row>
    <row r="1046" spans="2:4" ht="14.25" customHeight="1" x14ac:dyDescent="0.35">
      <c r="B1046" s="70">
        <v>46108</v>
      </c>
      <c r="C1046">
        <v>-2.09</v>
      </c>
      <c r="D1046">
        <v>0.3</v>
      </c>
    </row>
    <row r="1047" spans="2:4" ht="14.25" customHeight="1" x14ac:dyDescent="0.35">
      <c r="B1047" s="70">
        <v>46111</v>
      </c>
      <c r="C1047">
        <v>-2.14</v>
      </c>
      <c r="D1047">
        <v>1.21</v>
      </c>
    </row>
    <row r="1048" spans="2:4" ht="14.25" customHeight="1" x14ac:dyDescent="0.35">
      <c r="B1048" s="70">
        <v>46113</v>
      </c>
      <c r="C1048">
        <v>1.56</v>
      </c>
      <c r="D1048">
        <v>-0.23</v>
      </c>
    </row>
    <row r="1049" spans="2:4" ht="14.25" customHeight="1" x14ac:dyDescent="0.35">
      <c r="B1049" s="70">
        <v>46114</v>
      </c>
      <c r="C1049">
        <v>0.15</v>
      </c>
      <c r="D1049">
        <v>-0.01</v>
      </c>
    </row>
    <row r="1050" spans="2:4" ht="14.25" customHeight="1" x14ac:dyDescent="0.35">
      <c r="B1050" s="70">
        <v>46118</v>
      </c>
      <c r="C1050">
        <v>1.1200000000000001</v>
      </c>
      <c r="D1050">
        <v>2.27</v>
      </c>
    </row>
    <row r="1051" spans="2:4" ht="14.25" customHeight="1" x14ac:dyDescent="0.35">
      <c r="B1051" s="70">
        <v>46119</v>
      </c>
      <c r="C1051">
        <v>0.68</v>
      </c>
      <c r="D1051">
        <v>0.75</v>
      </c>
    </row>
    <row r="1052" spans="2:4" ht="14.25" customHeight="1" x14ac:dyDescent="0.35">
      <c r="B1052" s="70">
        <v>46120</v>
      </c>
      <c r="C1052">
        <v>3.78</v>
      </c>
      <c r="D1052">
        <v>-2.97</v>
      </c>
    </row>
    <row r="1053" spans="2:4" ht="14.25" customHeight="1" x14ac:dyDescent="0.35">
      <c r="B1053" s="70">
        <v>46121</v>
      </c>
      <c r="C1053">
        <v>-0.93</v>
      </c>
      <c r="D1053">
        <v>1.08</v>
      </c>
    </row>
    <row r="1054" spans="2:4" ht="14.25" customHeight="1" x14ac:dyDescent="0.35">
      <c r="B1054" s="70">
        <v>46122</v>
      </c>
      <c r="C1054">
        <v>1.1599999999999999</v>
      </c>
      <c r="D1054">
        <v>-4.4000000000000004</v>
      </c>
    </row>
    <row r="1055" spans="2:4" ht="14.25" customHeight="1" x14ac:dyDescent="0.35">
      <c r="B1055" s="70">
        <v>46125</v>
      </c>
      <c r="C1055">
        <v>-0.86</v>
      </c>
      <c r="D1055">
        <v>0.23</v>
      </c>
    </row>
    <row r="1056" spans="2:4" ht="14.25" customHeight="1" x14ac:dyDescent="0.35">
      <c r="B1056" s="70">
        <v>46127</v>
      </c>
      <c r="C1056">
        <v>1.63</v>
      </c>
      <c r="D1056">
        <v>0.16</v>
      </c>
    </row>
    <row r="1057" spans="2:4" ht="14.25" customHeight="1" x14ac:dyDescent="0.35">
      <c r="B1057" s="70">
        <v>46128</v>
      </c>
      <c r="C1057">
        <v>-0.14000000000000001</v>
      </c>
      <c r="D1057">
        <v>-0.7</v>
      </c>
    </row>
    <row r="1058" spans="2:4" ht="14.25" customHeight="1" x14ac:dyDescent="0.35">
      <c r="B1058" s="70">
        <v>46129</v>
      </c>
      <c r="C1058">
        <v>0.65</v>
      </c>
      <c r="D1058">
        <v>1.39</v>
      </c>
    </row>
    <row r="1059" spans="2:4" ht="14.25" customHeight="1" x14ac:dyDescent="0.35">
      <c r="B1059" s="70">
        <v>46132</v>
      </c>
      <c r="C1059">
        <v>0.05</v>
      </c>
      <c r="D1059">
        <v>0.68</v>
      </c>
    </row>
    <row r="1060" spans="2:4" ht="14.25" customHeight="1" x14ac:dyDescent="0.35">
      <c r="B1060" s="70">
        <v>46133</v>
      </c>
      <c r="C1060">
        <v>0.87</v>
      </c>
      <c r="D1060">
        <v>0.32</v>
      </c>
    </row>
    <row r="1061" spans="2:4" ht="14.25" customHeight="1" x14ac:dyDescent="0.35">
      <c r="B1061" s="70">
        <v>46134</v>
      </c>
      <c r="C1061">
        <v>-0.81</v>
      </c>
      <c r="D1061">
        <v>0.23</v>
      </c>
    </row>
    <row r="1062" spans="2:4" ht="14.25" customHeight="1" x14ac:dyDescent="0.35">
      <c r="B1062" s="70">
        <v>46135</v>
      </c>
      <c r="C1062">
        <v>-0.84</v>
      </c>
      <c r="D1062">
        <v>1.46</v>
      </c>
    </row>
    <row r="1063" spans="2:4" ht="14.25" customHeight="1" x14ac:dyDescent="0.35">
      <c r="B1063" s="70">
        <v>46136</v>
      </c>
      <c r="C1063">
        <v>-1.1399999999999999</v>
      </c>
      <c r="D1063">
        <v>1.19</v>
      </c>
    </row>
    <row r="1064" spans="2:4" ht="14.25" customHeight="1" x14ac:dyDescent="0.35">
      <c r="B1064" s="70">
        <v>46139</v>
      </c>
      <c r="C1064">
        <v>0.81</v>
      </c>
      <c r="D1064">
        <v>-0.77</v>
      </c>
    </row>
    <row r="1065" spans="2:4" ht="14.25" customHeight="1" x14ac:dyDescent="0.35">
      <c r="B1065" s="70">
        <v>46140</v>
      </c>
      <c r="C1065">
        <v>-0.4</v>
      </c>
      <c r="D1065">
        <v>3.2</v>
      </c>
    </row>
    <row r="1066" spans="2:4" ht="14.25" customHeight="1" x14ac:dyDescent="0.35">
      <c r="B1066" s="70">
        <v>46141</v>
      </c>
      <c r="C1066">
        <v>0.76</v>
      </c>
      <c r="D1066">
        <v>2.76</v>
      </c>
    </row>
    <row r="1067" spans="2:4" ht="14.25" customHeight="1" x14ac:dyDescent="0.35">
      <c r="B1067" s="70">
        <v>46142</v>
      </c>
      <c r="C1067">
        <v>-0.74</v>
      </c>
      <c r="D1067">
        <v>0.32</v>
      </c>
    </row>
    <row r="1068" spans="2:4" ht="14.25" customHeight="1" x14ac:dyDescent="0.35">
      <c r="B1068" s="70">
        <v>46146</v>
      </c>
      <c r="C1068">
        <v>0.51</v>
      </c>
      <c r="D1068">
        <v>-0.31</v>
      </c>
    </row>
    <row r="1069" spans="2:4" ht="14.25" customHeight="1" x14ac:dyDescent="0.35">
      <c r="B1069" s="70">
        <v>46147</v>
      </c>
      <c r="C1069">
        <v>-0.36</v>
      </c>
      <c r="D1069">
        <v>-1.53</v>
      </c>
    </row>
    <row r="1070" spans="2:4" ht="14.25" customHeight="1" x14ac:dyDescent="0.35">
      <c r="B1070" s="70">
        <v>46148</v>
      </c>
      <c r="C1070">
        <v>1.24</v>
      </c>
      <c r="D1070">
        <v>-0.51</v>
      </c>
    </row>
    <row r="1071" spans="2:4" ht="14.25" customHeight="1" x14ac:dyDescent="0.35">
      <c r="B1071" s="70">
        <v>46149</v>
      </c>
      <c r="C1071">
        <v>-0.02</v>
      </c>
      <c r="D1071">
        <v>-0.76</v>
      </c>
    </row>
    <row r="1072" spans="2:4" ht="14.25" customHeight="1" x14ac:dyDescent="0.35">
      <c r="B1072" s="70">
        <v>46150</v>
      </c>
      <c r="C1072">
        <v>-0.62</v>
      </c>
      <c r="D1072">
        <v>-2.2000000000000002</v>
      </c>
    </row>
    <row r="1073" spans="2:4" ht="14.25" customHeight="1" x14ac:dyDescent="0.35">
      <c r="B1073" s="70">
        <v>46153</v>
      </c>
      <c r="C1073">
        <v>-1.49</v>
      </c>
      <c r="D1073">
        <v>1.76</v>
      </c>
    </row>
    <row r="1074" spans="2:4" ht="14.25" customHeight="1" x14ac:dyDescent="0.35">
      <c r="B1074" s="70">
        <v>46154</v>
      </c>
      <c r="C1074">
        <v>-1.83</v>
      </c>
      <c r="D1074">
        <v>-0.3</v>
      </c>
    </row>
    <row r="1075" spans="2:4" ht="14.25" customHeight="1" x14ac:dyDescent="0.35">
      <c r="B1075" s="70">
        <v>46155</v>
      </c>
      <c r="C1075">
        <v>0.14000000000000001</v>
      </c>
      <c r="D1075">
        <v>-0.17</v>
      </c>
    </row>
    <row r="1076" spans="2:4" ht="14.25" customHeight="1" x14ac:dyDescent="0.35">
      <c r="B1076" s="70">
        <v>46156</v>
      </c>
      <c r="C1076">
        <v>1.18</v>
      </c>
      <c r="D1076">
        <v>-1.77</v>
      </c>
    </row>
    <row r="1077" spans="2:4" ht="14.25" customHeight="1" x14ac:dyDescent="0.35">
      <c r="B1077" s="70">
        <v>46157</v>
      </c>
      <c r="C1077">
        <v>-0.19</v>
      </c>
      <c r="D1077">
        <v>1.79</v>
      </c>
    </row>
    <row r="1078" spans="2:4" ht="14.25" customHeight="1" x14ac:dyDescent="0.35">
      <c r="B1078" s="70">
        <v>46160</v>
      </c>
      <c r="C1078">
        <v>0.03</v>
      </c>
      <c r="D1078">
        <v>-0.02</v>
      </c>
    </row>
    <row r="1079" spans="2:4" ht="14.25" customHeight="1" x14ac:dyDescent="0.35">
      <c r="B1079" s="70">
        <v>46161</v>
      </c>
      <c r="C1079">
        <v>-0.14000000000000001</v>
      </c>
      <c r="D1079">
        <v>-1.1100000000000001</v>
      </c>
    </row>
    <row r="1080" spans="2:4" ht="14.25" customHeight="1" x14ac:dyDescent="0.35">
      <c r="B1080" s="70">
        <v>46162</v>
      </c>
      <c r="C1080">
        <v>0.17</v>
      </c>
      <c r="D1080">
        <v>0.38</v>
      </c>
    </row>
    <row r="1081" spans="2:4" ht="14.25" customHeight="1" x14ac:dyDescent="0.35">
      <c r="B1081" s="70">
        <v>46163</v>
      </c>
      <c r="C1081">
        <v>-0.02</v>
      </c>
      <c r="D1081">
        <v>0.33</v>
      </c>
    </row>
    <row r="1082" spans="2:4" ht="14.25" customHeight="1" x14ac:dyDescent="0.35">
      <c r="B1082" s="70">
        <v>46164</v>
      </c>
      <c r="C1082">
        <v>0.27</v>
      </c>
      <c r="D1082">
        <v>-0.79</v>
      </c>
    </row>
    <row r="1083" spans="2:4" ht="14.25" customHeight="1" x14ac:dyDescent="0.35">
      <c r="B1083" s="70">
        <v>46167</v>
      </c>
      <c r="C1083">
        <v>1.32</v>
      </c>
      <c r="D1083">
        <v>0.32</v>
      </c>
    </row>
    <row r="1084" spans="2:4" ht="14.25" customHeight="1" x14ac:dyDescent="0.35">
      <c r="B1084" s="70">
        <v>46168</v>
      </c>
      <c r="C1084">
        <v>-0.49</v>
      </c>
      <c r="D1084">
        <v>0.03</v>
      </c>
    </row>
  </sheetData>
  <mergeCells count="1">
    <mergeCell ref="F8:G8"/>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38"/>
  <sheetViews>
    <sheetView showGridLines="0" zoomScale="58" zoomScaleNormal="58" workbookViewId="0">
      <selection activeCell="G14" sqref="G14"/>
    </sheetView>
  </sheetViews>
  <sheetFormatPr defaultColWidth="8.6328125" defaultRowHeight="14.5" x14ac:dyDescent="0.35"/>
  <cols>
    <col min="1" max="1" width="3.6328125" customWidth="1"/>
    <col min="2" max="2" width="33.1796875" customWidth="1"/>
    <col min="3" max="3" width="12.1796875" customWidth="1"/>
  </cols>
  <sheetData>
    <row r="2" spans="2:3" ht="21" customHeight="1" x14ac:dyDescent="0.5">
      <c r="B2" s="435" t="s">
        <v>236</v>
      </c>
      <c r="C2" s="435"/>
    </row>
    <row r="4" spans="2:3" ht="14.25" customHeight="1" x14ac:dyDescent="0.35">
      <c r="B4" s="74" t="s">
        <v>237</v>
      </c>
      <c r="C4" s="75"/>
    </row>
    <row r="5" spans="2:3" ht="14.25" customHeight="1" x14ac:dyDescent="0.35">
      <c r="B5" s="76" t="s">
        <v>238</v>
      </c>
      <c r="C5" s="77"/>
    </row>
    <row r="6" spans="2:3" ht="14.25" customHeight="1" x14ac:dyDescent="0.35">
      <c r="B6" s="42"/>
      <c r="C6" s="43"/>
    </row>
    <row r="7" spans="2:3" ht="14.25" customHeight="1" x14ac:dyDescent="0.35">
      <c r="B7" s="78" t="s">
        <v>239</v>
      </c>
      <c r="C7" s="79"/>
    </row>
    <row r="8" spans="2:3" ht="14.25" customHeight="1" x14ac:dyDescent="0.35">
      <c r="B8" s="80" t="s">
        <v>240</v>
      </c>
      <c r="C8" s="81">
        <v>6.6799999999999998E-2</v>
      </c>
    </row>
    <row r="9" spans="2:3" ht="14.25" customHeight="1" x14ac:dyDescent="0.35">
      <c r="B9" s="80" t="s">
        <v>241</v>
      </c>
      <c r="C9" s="81">
        <v>1.4500000000000001E-2</v>
      </c>
    </row>
    <row r="10" spans="2:3" ht="14.25" customHeight="1" x14ac:dyDescent="0.35">
      <c r="B10" s="80" t="s">
        <v>210</v>
      </c>
      <c r="C10" s="82">
        <f>'Beta Calculation'!G4</f>
        <v>0.88851666195742096</v>
      </c>
    </row>
    <row r="11" spans="2:3" ht="14.25" customHeight="1" x14ac:dyDescent="0.35">
      <c r="B11" s="80" t="s">
        <v>242</v>
      </c>
      <c r="C11" s="83">
        <v>0.12</v>
      </c>
    </row>
    <row r="12" spans="2:3" ht="14.25" customHeight="1" x14ac:dyDescent="0.35">
      <c r="B12" s="80" t="s">
        <v>243</v>
      </c>
      <c r="C12" s="81">
        <f>C11-C8</f>
        <v>5.3199999999999997E-2</v>
      </c>
    </row>
    <row r="13" spans="2:3" ht="14.25" customHeight="1" x14ac:dyDescent="0.35">
      <c r="B13" s="84" t="s">
        <v>244</v>
      </c>
      <c r="C13" s="85">
        <f>C8+(C10*C12)</f>
        <v>0.11406908641613479</v>
      </c>
    </row>
    <row r="14" spans="2:3" ht="14.25" customHeight="1" x14ac:dyDescent="0.35">
      <c r="B14" s="86"/>
    </row>
    <row r="15" spans="2:3" ht="14.25" customHeight="1" x14ac:dyDescent="0.35">
      <c r="B15" s="86"/>
    </row>
    <row r="16" spans="2:3" ht="14.25" customHeight="1" x14ac:dyDescent="0.35">
      <c r="B16" s="78" t="s">
        <v>245</v>
      </c>
      <c r="C16" s="79"/>
    </row>
    <row r="17" spans="2:3" ht="14.25" customHeight="1" x14ac:dyDescent="0.35">
      <c r="B17" s="80" t="s">
        <v>240</v>
      </c>
      <c r="C17" s="81">
        <f>C8</f>
        <v>6.6799999999999998E-2</v>
      </c>
    </row>
    <row r="18" spans="2:3" ht="14.25" customHeight="1" x14ac:dyDescent="0.35">
      <c r="B18" s="87" t="s">
        <v>246</v>
      </c>
      <c r="C18" s="88"/>
    </row>
    <row r="19" spans="2:3" ht="14.25" customHeight="1" x14ac:dyDescent="0.35">
      <c r="B19" s="80" t="s">
        <v>247</v>
      </c>
      <c r="C19" s="81">
        <v>5.0000000000000001E-3</v>
      </c>
    </row>
    <row r="20" spans="2:3" ht="14.25" customHeight="1" x14ac:dyDescent="0.35">
      <c r="B20" s="80" t="s">
        <v>248</v>
      </c>
      <c r="C20" s="89">
        <f>'P &amp; L '!G22/('Balance Sheet '!G17+'Balance Sheet '!G23)</f>
        <v>8.7997939436210065E-2</v>
      </c>
    </row>
    <row r="21" spans="2:3" ht="14.25" customHeight="1" x14ac:dyDescent="0.35">
      <c r="B21" s="86"/>
    </row>
    <row r="22" spans="2:3" ht="14.25" customHeight="1" x14ac:dyDescent="0.35">
      <c r="B22" s="80" t="s">
        <v>249</v>
      </c>
      <c r="C22" s="83">
        <v>0.25</v>
      </c>
    </row>
    <row r="23" spans="2:3" ht="14.25" customHeight="1" x14ac:dyDescent="0.35">
      <c r="B23" s="90" t="s">
        <v>250</v>
      </c>
      <c r="C23" s="91">
        <f>C20*(1-C22)</f>
        <v>6.5998454577157556E-2</v>
      </c>
    </row>
    <row r="24" spans="2:3" ht="14.25" customHeight="1" x14ac:dyDescent="0.35">
      <c r="B24" s="92"/>
    </row>
    <row r="25" spans="2:3" ht="14.25" customHeight="1" x14ac:dyDescent="0.35">
      <c r="B25" s="86"/>
    </row>
    <row r="26" spans="2:3" ht="14.25" customHeight="1" x14ac:dyDescent="0.35">
      <c r="B26" s="78" t="s">
        <v>251</v>
      </c>
      <c r="C26" s="79"/>
    </row>
    <row r="27" spans="2:3" ht="14.25" customHeight="1" x14ac:dyDescent="0.35">
      <c r="B27" s="80" t="s">
        <v>252</v>
      </c>
      <c r="C27" s="93">
        <f>'Balance Sheet '!G17+'Balance Sheet '!G23</f>
        <v>13821.460000000001</v>
      </c>
    </row>
    <row r="28" spans="2:3" ht="14.25" customHeight="1" x14ac:dyDescent="0.35">
      <c r="B28" s="80" t="s">
        <v>253</v>
      </c>
      <c r="C28" s="80">
        <v>458</v>
      </c>
    </row>
    <row r="29" spans="2:3" ht="14.25" customHeight="1" x14ac:dyDescent="0.35">
      <c r="B29" s="80" t="s">
        <v>254</v>
      </c>
      <c r="C29" s="94">
        <f>'Historical FS'!G40</f>
        <v>616.27299999999991</v>
      </c>
    </row>
    <row r="30" spans="2:3" ht="14.25" customHeight="1" x14ac:dyDescent="0.35">
      <c r="B30" s="80" t="s">
        <v>255</v>
      </c>
      <c r="C30" s="94">
        <f>C28*C29</f>
        <v>282253.03399999999</v>
      </c>
    </row>
    <row r="33" spans="2:3" ht="14.25" customHeight="1" x14ac:dyDescent="0.35">
      <c r="B33" s="80" t="s">
        <v>256</v>
      </c>
      <c r="C33" s="83">
        <f>IFERROR(C27/C30,0)</f>
        <v>4.8968331018897041E-2</v>
      </c>
    </row>
    <row r="34" spans="2:3" ht="14.25" customHeight="1" x14ac:dyDescent="0.35">
      <c r="B34" s="80" t="s">
        <v>257</v>
      </c>
      <c r="C34" s="83">
        <f>IFERROR(C27/(C27+C30),0)</f>
        <v>4.6682373119246133E-2</v>
      </c>
    </row>
    <row r="35" spans="2:3" ht="14.25" customHeight="1" x14ac:dyDescent="0.35">
      <c r="B35" s="81" t="s">
        <v>258</v>
      </c>
      <c r="C35" s="82">
        <f>IFERROR(C30/(C27+C30),0)</f>
        <v>0.95331762688075383</v>
      </c>
    </row>
    <row r="37" spans="2:3" ht="14.25" customHeight="1" x14ac:dyDescent="0.35">
      <c r="B37" s="95" t="s">
        <v>259</v>
      </c>
      <c r="C37" s="96">
        <f>IFERROR((C13*C35)+(C23*C34),0)</f>
        <v>0.11182503524454974</v>
      </c>
    </row>
    <row r="38" spans="2:3" ht="15" customHeight="1" x14ac:dyDescent="0.35"/>
  </sheetData>
  <mergeCells count="1">
    <mergeCell ref="B2:C2"/>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29"/>
  <sheetViews>
    <sheetView showGridLines="0" zoomScale="72" zoomScaleNormal="104" workbookViewId="0">
      <selection activeCell="B2" sqref="B2:G2"/>
    </sheetView>
  </sheetViews>
  <sheetFormatPr defaultColWidth="8.6328125" defaultRowHeight="14.5" x14ac:dyDescent="0.35"/>
  <cols>
    <col min="1" max="1" width="2.453125" customWidth="1"/>
    <col min="2" max="2" width="38" customWidth="1"/>
    <col min="3" max="7" width="12" customWidth="1"/>
    <col min="8" max="8" width="9.36328125" customWidth="1"/>
    <col min="9" max="9" width="17.453125" style="97" customWidth="1"/>
  </cols>
  <sheetData>
    <row r="2" spans="2:10" ht="18" customHeight="1" x14ac:dyDescent="0.35">
      <c r="B2" s="388" t="s">
        <v>260</v>
      </c>
      <c r="C2" s="388"/>
      <c r="D2" s="388"/>
      <c r="E2" s="388"/>
      <c r="F2" s="388"/>
      <c r="G2" s="388"/>
    </row>
    <row r="3" spans="2:10" ht="14.25" customHeight="1" x14ac:dyDescent="0.35">
      <c r="B3" s="376"/>
      <c r="C3" s="376"/>
      <c r="D3" s="376"/>
      <c r="E3" s="376"/>
      <c r="F3" s="376"/>
      <c r="G3" s="376"/>
      <c r="H3" s="376"/>
    </row>
    <row r="4" spans="2:10" ht="14.25" customHeight="1" x14ac:dyDescent="0.35">
      <c r="B4" s="98" t="s">
        <v>125</v>
      </c>
      <c r="C4" s="99">
        <v>2022</v>
      </c>
      <c r="D4" s="99">
        <v>2023</v>
      </c>
      <c r="E4" s="99">
        <v>2024</v>
      </c>
      <c r="F4" s="99">
        <v>2025</v>
      </c>
      <c r="G4" s="99">
        <v>2026</v>
      </c>
      <c r="I4" s="377" t="s">
        <v>261</v>
      </c>
      <c r="J4" s="377"/>
    </row>
    <row r="5" spans="2:10" ht="14.25" customHeight="1" x14ac:dyDescent="0.35">
      <c r="B5" s="100" t="s">
        <v>165</v>
      </c>
      <c r="C5" s="101">
        <f>'Historical FS'!C18</f>
        <v>0.22504532259020085</v>
      </c>
      <c r="D5" s="101">
        <f>'Historical FS'!D18</f>
        <v>0.26631002783252683</v>
      </c>
      <c r="E5" s="101">
        <f>'Historical FS'!E18</f>
        <v>0.33705837905882058</v>
      </c>
      <c r="F5" s="101">
        <f>'Historical FS'!F18</f>
        <v>0.32826508004663774</v>
      </c>
      <c r="G5" s="101">
        <f>'Historical FS'!G18</f>
        <v>0.24490450699342622</v>
      </c>
      <c r="H5" s="102"/>
      <c r="I5" s="378">
        <f>MEDIAN('Historical FS'!D6:G6)</f>
        <v>0.10202405217080635</v>
      </c>
      <c r="J5" s="378"/>
    </row>
    <row r="6" spans="2:10" ht="14.25" customHeight="1" x14ac:dyDescent="0.35">
      <c r="B6" s="100" t="s">
        <v>169</v>
      </c>
      <c r="C6" s="101">
        <f>'Historical FS'!C24</f>
        <v>0.18467955174158152</v>
      </c>
      <c r="D6" s="101">
        <f>'Historical FS'!D24</f>
        <v>0.2324929905127531</v>
      </c>
      <c r="E6" s="101">
        <f>'Historical FS'!E24</f>
        <v>0.2897338171684069</v>
      </c>
      <c r="F6" s="101">
        <f>'Historical FS'!F24</f>
        <v>0.2644751735592345</v>
      </c>
      <c r="G6" s="101">
        <f>'Historical FS'!G24</f>
        <v>0.18471060827745608</v>
      </c>
    </row>
    <row r="7" spans="2:10" ht="14.25" customHeight="1" x14ac:dyDescent="0.35">
      <c r="B7" s="100" t="s">
        <v>173</v>
      </c>
      <c r="C7" s="101">
        <f>'Historical FS'!C32</f>
        <v>0.21533238844809438</v>
      </c>
      <c r="D7" s="101">
        <f>'Historical FS'!D32</f>
        <v>0.27492531567918299</v>
      </c>
      <c r="E7" s="101">
        <f>'Historical FS'!E32</f>
        <v>0.33996927292224405</v>
      </c>
      <c r="F7" s="101">
        <f>'Historical FS'!F32</f>
        <v>0.32436549009366888</v>
      </c>
      <c r="G7" s="101">
        <f>'Historical FS'!G32</f>
        <v>0.24444577856724595</v>
      </c>
    </row>
    <row r="8" spans="2:10" ht="14.25" customHeight="1" x14ac:dyDescent="0.35">
      <c r="B8" s="100" t="s">
        <v>176</v>
      </c>
      <c r="C8" s="101">
        <f>'Historical FS'!C38</f>
        <v>0.15847648648525481</v>
      </c>
      <c r="D8" s="101">
        <f>'Historical FS'!D38</f>
        <v>0.20349143820146856</v>
      </c>
      <c r="E8" s="101">
        <f>'Historical FS'!E38</f>
        <v>0.25956483229319471</v>
      </c>
      <c r="F8" s="101">
        <f>'Historical FS'!F38</f>
        <v>0.24300831728382977</v>
      </c>
      <c r="G8" s="101">
        <f>'Historical FS'!G38</f>
        <v>0.18000105581765924</v>
      </c>
    </row>
    <row r="10" spans="2:10" ht="14.25" customHeight="1" x14ac:dyDescent="0.35">
      <c r="B10" s="98" t="s">
        <v>262</v>
      </c>
      <c r="C10" s="99" t="s">
        <v>113</v>
      </c>
      <c r="D10" s="99" t="s">
        <v>114</v>
      </c>
      <c r="E10" s="99" t="s">
        <v>115</v>
      </c>
      <c r="F10" s="99" t="s">
        <v>116</v>
      </c>
      <c r="G10" s="99" t="s">
        <v>117</v>
      </c>
    </row>
    <row r="11" spans="2:10" ht="14.25" customHeight="1" x14ac:dyDescent="0.35">
      <c r="B11" s="100" t="s">
        <v>263</v>
      </c>
      <c r="C11" s="103">
        <f>AVERAGE('Historical FS'!D6:G6)</f>
        <v>0.11787691615268658</v>
      </c>
    </row>
    <row r="12" spans="2:10" ht="14.25" customHeight="1" x14ac:dyDescent="0.35">
      <c r="B12" s="100" t="s">
        <v>264</v>
      </c>
      <c r="C12" s="40">
        <f>('Historical FS'!G5/'Historical FS'!C5)^(1/4)-1</f>
        <v>0.11306542186866175</v>
      </c>
      <c r="D12" s="40">
        <f>('Historical FS'!G5/'Historical FS'!C5)^(1/4)-1</f>
        <v>0.11306542186866175</v>
      </c>
      <c r="E12" s="104" t="s">
        <v>265</v>
      </c>
    </row>
    <row r="14" spans="2:10" ht="14.25" customHeight="1" x14ac:dyDescent="0.35">
      <c r="B14" s="98" t="s">
        <v>266</v>
      </c>
      <c r="C14" s="99" t="s">
        <v>113</v>
      </c>
      <c r="D14" s="99" t="s">
        <v>114</v>
      </c>
      <c r="E14" s="99" t="s">
        <v>115</v>
      </c>
      <c r="F14" s="99" t="s">
        <v>116</v>
      </c>
      <c r="G14" s="99" t="s">
        <v>117</v>
      </c>
    </row>
    <row r="15" spans="2:10" ht="14.25" customHeight="1" x14ac:dyDescent="0.35">
      <c r="B15" s="100" t="s">
        <v>175</v>
      </c>
      <c r="C15" s="101">
        <f>'Historical FS'!C35</f>
        <v>0.26403785502311755</v>
      </c>
      <c r="D15" s="101">
        <f>'Historical FS'!D35</f>
        <v>0.25983011895882419</v>
      </c>
      <c r="E15" s="101">
        <f>'Historical FS'!E35</f>
        <v>0.23650502275668592</v>
      </c>
      <c r="F15" s="101">
        <f>'Historical FS'!F35</f>
        <v>0.25081944687255459</v>
      </c>
      <c r="G15" s="101">
        <f>'Historical FS'!G35</f>
        <v>0.26363606329105926</v>
      </c>
      <c r="I15" s="105" t="s">
        <v>267</v>
      </c>
      <c r="J15" s="106">
        <f>AVERAGE(C15:G15)</f>
        <v>0.25496570138044833</v>
      </c>
    </row>
    <row r="16" spans="2:10" ht="14.25" customHeight="1" x14ac:dyDescent="0.35">
      <c r="B16" s="107" t="s">
        <v>268</v>
      </c>
      <c r="C16" s="103">
        <v>0.25</v>
      </c>
    </row>
    <row r="18" spans="2:13" ht="14.25" customHeight="1" x14ac:dyDescent="0.35">
      <c r="B18" s="98" t="s">
        <v>269</v>
      </c>
      <c r="C18" s="99">
        <v>2022</v>
      </c>
      <c r="D18" s="99" t="s">
        <v>114</v>
      </c>
      <c r="E18" s="99" t="s">
        <v>115</v>
      </c>
      <c r="F18" s="99" t="s">
        <v>116</v>
      </c>
      <c r="G18" s="99" t="s">
        <v>117</v>
      </c>
    </row>
    <row r="19" spans="2:13" ht="14.25" customHeight="1" x14ac:dyDescent="0.35">
      <c r="B19" s="100" t="s">
        <v>270</v>
      </c>
      <c r="C19" s="108">
        <f>'Historical FS'!C23*(1-$C$16)</f>
        <v>15196.380000000003</v>
      </c>
      <c r="D19" s="108">
        <f>'Historical FS'!D23*(1-$C$16)</f>
        <v>24106.949999999997</v>
      </c>
      <c r="E19" s="108">
        <f>'Historical FS'!E23*(1-$C$16)</f>
        <v>30927.052500000005</v>
      </c>
      <c r="F19" s="108">
        <f>'Historical FS'!F23*(1-$C$16)</f>
        <v>28438.140000000007</v>
      </c>
      <c r="G19" s="108">
        <f>'Historical FS'!G23*(1-$C$16)</f>
        <v>23328.990000000005</v>
      </c>
    </row>
    <row r="20" spans="2:13" ht="14.25" customHeight="1" x14ac:dyDescent="0.35">
      <c r="B20" s="100" t="s">
        <v>271</v>
      </c>
      <c r="C20" s="108">
        <f>'Historical FS'!C51+'Historical FS'!C52</f>
        <v>43143.039999999994</v>
      </c>
      <c r="D20" s="108">
        <f>'Historical FS'!D51+'Historical FS'!D52</f>
        <v>57244.89</v>
      </c>
      <c r="E20" s="108">
        <f>'Historical FS'!E51+'Historical FS'!E52</f>
        <v>82729.78</v>
      </c>
      <c r="F20" s="108">
        <f>'Historical FS'!F51+'Historical FS'!F52</f>
        <v>99104.92</v>
      </c>
      <c r="G20" s="108">
        <f>'Historical FS'!G51+'Historical FS'!G52</f>
        <v>119101.56</v>
      </c>
    </row>
    <row r="21" spans="2:13" ht="14.25" customHeight="1" x14ac:dyDescent="0.35">
      <c r="B21" s="100" t="s">
        <v>272</v>
      </c>
      <c r="C21" s="108">
        <f>'Historical FS'!C53</f>
        <v>3309.76</v>
      </c>
      <c r="D21" s="108">
        <f>'Historical FS'!D53</f>
        <v>4114.7299999999996</v>
      </c>
      <c r="E21" s="108">
        <f>'Historical FS'!E53</f>
        <v>6289.0199999999995</v>
      </c>
      <c r="F21" s="108">
        <f>'Historical FS'!F53</f>
        <v>8908.4</v>
      </c>
      <c r="G21" s="108">
        <f>'Historical FS'!G53</f>
        <v>13821.460000000001</v>
      </c>
    </row>
    <row r="22" spans="2:13" ht="14.25" customHeight="1" x14ac:dyDescent="0.35">
      <c r="B22" s="100" t="s">
        <v>273</v>
      </c>
      <c r="C22" s="108">
        <f>'Historical FS'!C65</f>
        <v>29179.45</v>
      </c>
      <c r="D22" s="108">
        <f>'Historical FS'!D65</f>
        <v>39921.85</v>
      </c>
      <c r="E22" s="108">
        <f>'Historical FS'!E65</f>
        <v>30235.17</v>
      </c>
      <c r="F22" s="108">
        <f>'Historical FS'!F65</f>
        <v>34215.31</v>
      </c>
      <c r="G22" s="108">
        <f>'Historical FS'!G65</f>
        <v>52574.37</v>
      </c>
    </row>
    <row r="23" spans="2:13" ht="14.25" customHeight="1" x14ac:dyDescent="0.35">
      <c r="B23" s="100" t="s">
        <v>274</v>
      </c>
      <c r="C23" s="108">
        <f>C20+C21-C22</f>
        <v>17273.349999999995</v>
      </c>
      <c r="D23" s="108">
        <f>D20+D21-D22</f>
        <v>21437.769999999997</v>
      </c>
      <c r="E23" s="108">
        <f>E20+E21-E22</f>
        <v>58783.630000000005</v>
      </c>
      <c r="F23" s="108">
        <f>F20+F21-F22</f>
        <v>73798.009999999995</v>
      </c>
      <c r="G23" s="108">
        <f>G20+G21-G22</f>
        <v>80348.649999999994</v>
      </c>
    </row>
    <row r="25" spans="2:13" ht="14.25" customHeight="1" x14ac:dyDescent="0.35">
      <c r="B25" s="98" t="s">
        <v>275</v>
      </c>
      <c r="C25" s="109" t="s">
        <v>113</v>
      </c>
      <c r="D25" s="109" t="s">
        <v>114</v>
      </c>
      <c r="E25" s="109" t="s">
        <v>115</v>
      </c>
      <c r="F25" s="109" t="s">
        <v>116</v>
      </c>
      <c r="G25" s="109" t="s">
        <v>117</v>
      </c>
    </row>
    <row r="26" spans="2:13" ht="14.25" customHeight="1" x14ac:dyDescent="0.35">
      <c r="B26" s="100" t="s">
        <v>276</v>
      </c>
      <c r="C26" s="110">
        <f>IFERROR('Historical FS'!C23/C23,0)</f>
        <v>1.1730116045816248</v>
      </c>
      <c r="D26" s="110">
        <f>IFERROR('Historical FS'!D23/D23,0)</f>
        <v>1.4993443814351959</v>
      </c>
      <c r="E26" s="110">
        <f>IFERROR('Historical FS'!E23/E23,0)</f>
        <v>0.7014890029758285</v>
      </c>
      <c r="F26" s="110">
        <f>IFERROR('Historical FS'!F23/F23,0)</f>
        <v>0.51380138841142209</v>
      </c>
      <c r="G26" s="110">
        <f>IFERROR('Historical FS'!G23/G23,0)</f>
        <v>0.38712934193667237</v>
      </c>
    </row>
    <row r="27" spans="2:13" ht="14.25" customHeight="1" x14ac:dyDescent="0.35">
      <c r="B27" s="100" t="s">
        <v>277</v>
      </c>
      <c r="C27" s="110">
        <f>IFERROR(C19/C23,0)</f>
        <v>0.87975870343621865</v>
      </c>
      <c r="D27" s="110">
        <f>IFERROR(D19/D23,0)</f>
        <v>1.1245082860763971</v>
      </c>
      <c r="E27" s="110">
        <f>IFERROR(E19/E23,0)</f>
        <v>0.52611675223187138</v>
      </c>
      <c r="F27" s="110">
        <f>IFERROR(F19/F23,0)</f>
        <v>0.38535104130856657</v>
      </c>
      <c r="G27" s="110">
        <f>IFERROR(G19/G23,0)</f>
        <v>0.29034700645250427</v>
      </c>
    </row>
    <row r="29" spans="2:13" ht="14.25" customHeight="1" x14ac:dyDescent="0.35">
      <c r="B29" s="100" t="s">
        <v>278</v>
      </c>
      <c r="C29" s="111">
        <f>FCFF!C22*G27</f>
        <v>0.13590448740587308</v>
      </c>
      <c r="D29" s="112"/>
      <c r="E29" s="376"/>
      <c r="F29" s="376"/>
      <c r="G29" s="376"/>
      <c r="H29" s="376"/>
      <c r="I29" s="376"/>
      <c r="J29" s="376"/>
      <c r="K29" s="376"/>
      <c r="L29" s="376"/>
      <c r="M29" s="376"/>
    </row>
  </sheetData>
  <mergeCells count="5">
    <mergeCell ref="B2:G2"/>
    <mergeCell ref="B3:H3"/>
    <mergeCell ref="I4:J4"/>
    <mergeCell ref="I5:J5"/>
    <mergeCell ref="E29:M29"/>
  </mergeCells>
  <pageMargins left="0.7" right="0.7" top="0.75" bottom="0.75" header="0.511811023622047" footer="0.511811023622047"/>
  <pageSetup paperSize="9" orientation="portrait" horizontalDpi="300" verticalDpi="300"/>
  <ignoredErrors>
    <ignoredError sqref="C14:G14 C10:G10 C18:G18 C25:G2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G16"/>
  <sheetViews>
    <sheetView showGridLines="0" topLeftCell="A2" zoomScale="85" zoomScaleNormal="98" workbookViewId="0">
      <selection activeCell="F20" sqref="F20"/>
    </sheetView>
  </sheetViews>
  <sheetFormatPr defaultColWidth="8.6328125" defaultRowHeight="14.5" x14ac:dyDescent="0.35"/>
  <cols>
    <col min="1" max="1" width="3.26953125" customWidth="1"/>
    <col min="2" max="2" width="35" customWidth="1"/>
    <col min="3" max="7" width="14" customWidth="1"/>
  </cols>
  <sheetData>
    <row r="2" spans="2:7" ht="16.5" customHeight="1" x14ac:dyDescent="0.35">
      <c r="B2" s="389" t="s">
        <v>279</v>
      </c>
      <c r="C2" s="389"/>
      <c r="D2" s="389"/>
      <c r="E2" s="389"/>
      <c r="F2" s="389"/>
      <c r="G2" s="389"/>
    </row>
    <row r="3" spans="2:7" ht="14.25" customHeight="1" x14ac:dyDescent="0.35">
      <c r="B3" s="98" t="s">
        <v>280</v>
      </c>
      <c r="C3" s="109" t="s">
        <v>113</v>
      </c>
      <c r="D3" s="109" t="s">
        <v>114</v>
      </c>
      <c r="E3" s="109" t="s">
        <v>115</v>
      </c>
      <c r="F3" s="109" t="s">
        <v>116</v>
      </c>
      <c r="G3" s="109" t="s">
        <v>117</v>
      </c>
    </row>
    <row r="4" spans="2:7" ht="14.25" customHeight="1" x14ac:dyDescent="0.35">
      <c r="B4" s="100" t="s">
        <v>281</v>
      </c>
      <c r="C4" s="41"/>
      <c r="D4" s="108">
        <f>C8</f>
        <v>42803.41</v>
      </c>
      <c r="E4" s="108">
        <f>D8</f>
        <v>47036.08</v>
      </c>
      <c r="F4" s="108">
        <f>E8</f>
        <v>70618.62000000001</v>
      </c>
      <c r="G4" s="108">
        <f>F8</f>
        <v>79219.740000000005</v>
      </c>
    </row>
    <row r="5" spans="2:7" ht="14.25" customHeight="1" x14ac:dyDescent="0.35">
      <c r="B5" s="100" t="s">
        <v>282</v>
      </c>
      <c r="C5" s="41"/>
      <c r="D5" s="108">
        <f>D8-C8+D7</f>
        <v>8907.9399999999987</v>
      </c>
      <c r="E5" s="108">
        <f>E8-D8+E7</f>
        <v>30317.960000000006</v>
      </c>
      <c r="F5" s="108">
        <f>F8-E8+F7</f>
        <v>17746.609999999993</v>
      </c>
      <c r="G5" s="108">
        <f>G8-F8+G7</f>
        <v>22763.01999999999</v>
      </c>
    </row>
    <row r="6" spans="2:7" ht="14.25" customHeight="1" x14ac:dyDescent="0.35">
      <c r="B6" s="100" t="s">
        <v>283</v>
      </c>
      <c r="C6" s="113"/>
      <c r="D6" s="108">
        <f>D4+D5</f>
        <v>51711.350000000006</v>
      </c>
      <c r="E6" s="108">
        <f>E4+E5</f>
        <v>77354.040000000008</v>
      </c>
      <c r="F6" s="108">
        <f>F4+F5</f>
        <v>88365.23000000001</v>
      </c>
      <c r="G6" s="108">
        <f>G4+G5</f>
        <v>101982.76</v>
      </c>
    </row>
    <row r="7" spans="2:7" ht="14.25" customHeight="1" x14ac:dyDescent="0.35">
      <c r="B7" s="100" t="s">
        <v>284</v>
      </c>
      <c r="C7" s="108">
        <f>'Historical FS'!C20</f>
        <v>4428.67</v>
      </c>
      <c r="D7" s="108">
        <f>'Historical FS'!D20</f>
        <v>4675.2700000000004</v>
      </c>
      <c r="E7" s="108">
        <f>'Historical FS'!E20</f>
        <v>6735.42</v>
      </c>
      <c r="F7" s="108">
        <f>'Historical FS'!F20</f>
        <v>9145.49</v>
      </c>
      <c r="G7" s="108">
        <f>'Historical FS'!G20</f>
        <v>10136.67</v>
      </c>
    </row>
    <row r="8" spans="2:7" ht="15" customHeight="1" x14ac:dyDescent="0.35">
      <c r="B8" s="114" t="s">
        <v>285</v>
      </c>
      <c r="C8" s="115">
        <f>'Balance Sheet '!C31+'Balance Sheet '!C32</f>
        <v>42803.41</v>
      </c>
      <c r="D8" s="115">
        <f>'Balance Sheet '!D31+'Balance Sheet '!D32</f>
        <v>47036.08</v>
      </c>
      <c r="E8" s="115">
        <f>'Balance Sheet '!E31+'Balance Sheet '!E32</f>
        <v>70618.62000000001</v>
      </c>
      <c r="F8" s="115">
        <f>'Balance Sheet '!F31+'Balance Sheet '!F32</f>
        <v>79219.740000000005</v>
      </c>
      <c r="G8" s="115">
        <f>'Balance Sheet '!G31+'Balance Sheet '!G32</f>
        <v>91846.09</v>
      </c>
    </row>
    <row r="9" spans="2:7" ht="15" customHeight="1" x14ac:dyDescent="0.35">
      <c r="B9" s="116"/>
      <c r="C9" s="116"/>
      <c r="D9" s="116"/>
      <c r="E9" s="116"/>
      <c r="F9" s="116"/>
      <c r="G9" s="116"/>
    </row>
    <row r="10" spans="2:7" ht="14.25" customHeight="1" x14ac:dyDescent="0.35">
      <c r="B10" s="100" t="s">
        <v>286</v>
      </c>
      <c r="C10" s="117"/>
      <c r="D10" s="118">
        <f>D8-C8</f>
        <v>4232.6699999999983</v>
      </c>
      <c r="E10" s="118">
        <f>E8-D8</f>
        <v>23582.540000000008</v>
      </c>
      <c r="F10" s="118">
        <f>F8-E8</f>
        <v>8601.1199999999953</v>
      </c>
      <c r="G10" s="118">
        <f>G8-F8</f>
        <v>12626.349999999991</v>
      </c>
    </row>
    <row r="11" spans="2:7" ht="14.25" customHeight="1" x14ac:dyDescent="0.35">
      <c r="B11" s="100" t="s">
        <v>287</v>
      </c>
      <c r="C11" s="117"/>
      <c r="D11" s="119">
        <f>IFERROR(D10/'Historical FS'!D5,0)</f>
        <v>3.0615634894302711E-2</v>
      </c>
      <c r="E11" s="119">
        <f>IFERROR(E10/'Historical FS'!E5,0)</f>
        <v>0.16569618134624964</v>
      </c>
      <c r="F11" s="119">
        <f>IFERROR(F10/'Historical FS'!F5,0)</f>
        <v>5.9992918967374478E-2</v>
      </c>
      <c r="G11" s="119">
        <f>IFERROR(G10/'Historical FS'!G5,0)</f>
        <v>7.497819629645526E-2</v>
      </c>
    </row>
    <row r="12" spans="2:7" ht="15" customHeight="1" x14ac:dyDescent="0.35">
      <c r="B12" s="120"/>
      <c r="C12" s="116"/>
      <c r="D12" s="116"/>
      <c r="E12" s="116"/>
      <c r="F12" s="116"/>
      <c r="G12" s="116"/>
    </row>
    <row r="13" spans="2:7" ht="15" customHeight="1" x14ac:dyDescent="0.35">
      <c r="B13" s="121" t="s">
        <v>288</v>
      </c>
      <c r="C13" s="122">
        <f>MEDIAN(D11:G11)</f>
        <v>6.7485557631914869E-2</v>
      </c>
      <c r="D13" s="116"/>
      <c r="E13" s="116"/>
      <c r="F13" s="116"/>
      <c r="G13" s="116"/>
    </row>
    <row r="14" spans="2:7" ht="14.25" customHeight="1" x14ac:dyDescent="0.35">
      <c r="B14" s="123" t="s">
        <v>289</v>
      </c>
      <c r="C14" s="124">
        <f>AVERAGE(D11:G11)</f>
        <v>8.2820732876095524E-2</v>
      </c>
      <c r="D14" s="116"/>
      <c r="E14" s="116"/>
      <c r="F14" s="116"/>
      <c r="G14" s="116"/>
    </row>
    <row r="15" spans="2:7" ht="14.25" customHeight="1" x14ac:dyDescent="0.35">
      <c r="B15" s="116"/>
      <c r="C15" s="116"/>
      <c r="D15" s="116"/>
      <c r="E15" s="116"/>
      <c r="F15" s="116"/>
      <c r="G15" s="116"/>
    </row>
    <row r="16" spans="2:7" ht="14.25" customHeight="1" x14ac:dyDescent="0.35">
      <c r="B16" s="379"/>
      <c r="C16" s="379"/>
      <c r="D16" s="379"/>
      <c r="E16" s="379"/>
      <c r="F16" s="379"/>
      <c r="G16" s="379"/>
    </row>
  </sheetData>
  <mergeCells count="2">
    <mergeCell ref="B2:G2"/>
    <mergeCell ref="B16:G16"/>
  </mergeCells>
  <pageMargins left="0.7" right="0.7" top="0.75" bottom="0.75" header="0.511811023622047" footer="0.511811023622047"/>
  <pageSetup paperSize="9" orientation="portrait" horizontalDpi="300" verticalDpi="300"/>
  <ignoredErrors>
    <ignoredError sqref="C3:G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G13"/>
  <sheetViews>
    <sheetView showGridLines="0" zoomScale="89" zoomScaleNormal="89" workbookViewId="0">
      <selection activeCell="E19" sqref="E19"/>
    </sheetView>
  </sheetViews>
  <sheetFormatPr defaultColWidth="8.6328125" defaultRowHeight="14.5" x14ac:dyDescent="0.35"/>
  <cols>
    <col min="1" max="1" width="3.453125" customWidth="1"/>
    <col min="2" max="2" width="38" customWidth="1"/>
    <col min="3" max="7" width="14" customWidth="1"/>
  </cols>
  <sheetData>
    <row r="2" spans="2:7" ht="16.5" customHeight="1" x14ac:dyDescent="0.35">
      <c r="B2" s="389" t="s">
        <v>290</v>
      </c>
      <c r="C2" s="389"/>
      <c r="D2" s="389"/>
      <c r="E2" s="389"/>
      <c r="F2" s="389"/>
      <c r="G2" s="389"/>
    </row>
    <row r="3" spans="2:7" ht="14.25" customHeight="1" x14ac:dyDescent="0.35">
      <c r="B3" s="98" t="s">
        <v>280</v>
      </c>
      <c r="C3" s="99" t="s">
        <v>291</v>
      </c>
      <c r="D3" s="99" t="s">
        <v>292</v>
      </c>
      <c r="E3" s="99" t="s">
        <v>293</v>
      </c>
      <c r="F3" s="99" t="s">
        <v>294</v>
      </c>
      <c r="G3" s="99" t="s">
        <v>295</v>
      </c>
    </row>
    <row r="4" spans="2:7" ht="14.25" customHeight="1" x14ac:dyDescent="0.35">
      <c r="B4" s="125" t="s">
        <v>43</v>
      </c>
      <c r="C4" s="126">
        <f>'Balance Sheet '!C44</f>
        <v>7075.68</v>
      </c>
      <c r="D4" s="126">
        <f>'Balance Sheet '!D44</f>
        <v>8154.68</v>
      </c>
      <c r="E4" s="126">
        <f>'Balance Sheet '!E44</f>
        <v>10177.23</v>
      </c>
      <c r="F4" s="126">
        <f>'Balance Sheet '!F44</f>
        <v>12613.7</v>
      </c>
      <c r="G4" s="127">
        <f>'Balance Sheet '!G44</f>
        <v>15654.3</v>
      </c>
    </row>
    <row r="5" spans="2:7" ht="14.25" customHeight="1" x14ac:dyDescent="0.35">
      <c r="B5" s="125" t="s">
        <v>197</v>
      </c>
      <c r="C5" s="126">
        <f>'Balance Sheet '!C45</f>
        <v>11367.68</v>
      </c>
      <c r="D5" s="126">
        <f>'Balance Sheet '!D45</f>
        <v>13060.48</v>
      </c>
      <c r="E5" s="126">
        <f>'Balance Sheet '!E45</f>
        <v>13255.75</v>
      </c>
      <c r="F5" s="126">
        <f>'Balance Sheet '!F45</f>
        <v>12727.72</v>
      </c>
      <c r="G5" s="127">
        <f>'Balance Sheet '!G45</f>
        <v>14120.59</v>
      </c>
    </row>
    <row r="6" spans="2:7" ht="14.25" customHeight="1" x14ac:dyDescent="0.35">
      <c r="B6" s="125" t="s">
        <v>296</v>
      </c>
      <c r="C6" s="390">
        <f>'Balance Sheet '!C24</f>
        <v>8591.7800000000007</v>
      </c>
      <c r="D6" s="390">
        <f>'Balance Sheet '!D24</f>
        <v>8549.18</v>
      </c>
      <c r="E6" s="390">
        <f>'Balance Sheet '!E24</f>
        <v>8385.65</v>
      </c>
      <c r="F6" s="390">
        <f>'Balance Sheet '!F24</f>
        <v>10205.629999999999</v>
      </c>
      <c r="G6" s="390">
        <f>'Balance Sheet '!G24</f>
        <v>12554.39</v>
      </c>
    </row>
    <row r="7" spans="2:7" ht="14.25" customHeight="1" x14ac:dyDescent="0.35">
      <c r="B7" s="128" t="s">
        <v>297</v>
      </c>
      <c r="C7" s="391">
        <f>C4+C5-C6</f>
        <v>9851.58</v>
      </c>
      <c r="D7" s="391">
        <f>D4+D5-D6</f>
        <v>12665.98</v>
      </c>
      <c r="E7" s="391">
        <f>E4+E5-E6</f>
        <v>15047.33</v>
      </c>
      <c r="F7" s="391">
        <f>F4+F5-F6</f>
        <v>15135.789999999999</v>
      </c>
      <c r="G7" s="392">
        <f>G4+G5-G6</f>
        <v>17220.5</v>
      </c>
    </row>
    <row r="8" spans="2:7" ht="14.25" customHeight="1" x14ac:dyDescent="0.35">
      <c r="B8" s="116"/>
      <c r="C8" s="393"/>
      <c r="D8" s="393"/>
      <c r="E8" s="393"/>
      <c r="F8" s="393"/>
      <c r="G8" s="393"/>
    </row>
    <row r="9" spans="2:7" ht="14.25" customHeight="1" x14ac:dyDescent="0.35">
      <c r="B9" s="129" t="s">
        <v>298</v>
      </c>
      <c r="C9" s="394"/>
      <c r="D9" s="395">
        <f>D7-C7</f>
        <v>2814.3999999999996</v>
      </c>
      <c r="E9" s="395">
        <f>E7-D7</f>
        <v>2381.3500000000004</v>
      </c>
      <c r="F9" s="395">
        <f>F7-E7</f>
        <v>88.459999999999127</v>
      </c>
      <c r="G9" s="396">
        <f>G7-F7</f>
        <v>2084.7100000000009</v>
      </c>
    </row>
    <row r="10" spans="2:7" ht="14.25" customHeight="1" x14ac:dyDescent="0.35">
      <c r="B10" s="123" t="s">
        <v>299</v>
      </c>
      <c r="C10" s="397"/>
      <c r="D10" s="398">
        <f>IFERROR(D9/'Historical FS'!D5,0)</f>
        <v>2.0357042445200212E-2</v>
      </c>
      <c r="E10" s="398">
        <f>IFERROR(E9/'Historical FS'!E5,0)</f>
        <v>1.6731895777507066E-2</v>
      </c>
      <c r="F10" s="398">
        <f>IFERROR(F9/'Historical FS'!F5,0)</f>
        <v>6.170096001281109E-4</v>
      </c>
      <c r="G10" s="399">
        <f>IFERROR(G9/'Historical FS'!G5,0)</f>
        <v>1.2379491745530847E-2</v>
      </c>
    </row>
    <row r="11" spans="2:7" ht="14.25" customHeight="1" x14ac:dyDescent="0.35">
      <c r="B11" s="116"/>
      <c r="C11" s="116"/>
      <c r="D11" s="116"/>
      <c r="E11" s="116"/>
      <c r="F11" s="116"/>
      <c r="G11" s="116"/>
    </row>
    <row r="12" spans="2:7" ht="14.25" customHeight="1" x14ac:dyDescent="0.35">
      <c r="B12" s="121" t="s">
        <v>300</v>
      </c>
      <c r="C12" s="130">
        <f>MEDIAN(D10:G10)</f>
        <v>1.4555693761518957E-2</v>
      </c>
      <c r="D12" s="116"/>
      <c r="E12" s="116"/>
      <c r="F12" s="116"/>
      <c r="G12" s="116"/>
    </row>
    <row r="13" spans="2:7" ht="14.25" customHeight="1" x14ac:dyDescent="0.35">
      <c r="B13" s="123" t="s">
        <v>301</v>
      </c>
      <c r="C13" s="131">
        <f>AVERAGE(D10:G10)</f>
        <v>1.2521359892091558E-2</v>
      </c>
      <c r="D13" s="116"/>
      <c r="E13" s="116"/>
      <c r="F13" s="116"/>
      <c r="G13" s="116"/>
    </row>
  </sheetData>
  <mergeCells count="1">
    <mergeCell ref="B2:G2"/>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G23"/>
  <sheetViews>
    <sheetView showGridLines="0" zoomScale="77" zoomScaleNormal="94" workbookViewId="0">
      <selection activeCell="L6" sqref="L6"/>
    </sheetView>
  </sheetViews>
  <sheetFormatPr defaultColWidth="8.6328125" defaultRowHeight="14.5" x14ac:dyDescent="0.35"/>
  <cols>
    <col min="1" max="1" width="3.54296875" customWidth="1"/>
    <col min="2" max="2" width="38" customWidth="1"/>
    <col min="3" max="7" width="14" customWidth="1"/>
  </cols>
  <sheetData>
    <row r="2" spans="2:7" ht="16.5" customHeight="1" x14ac:dyDescent="0.35">
      <c r="B2" s="436" t="s">
        <v>302</v>
      </c>
      <c r="C2" s="437"/>
      <c r="D2" s="437"/>
      <c r="E2" s="437"/>
      <c r="F2" s="437"/>
      <c r="G2" s="437"/>
    </row>
    <row r="3" spans="2:7" ht="14.25" customHeight="1" x14ac:dyDescent="0.35">
      <c r="B3" s="132"/>
      <c r="C3" s="133"/>
      <c r="D3" s="133"/>
      <c r="E3" s="133"/>
      <c r="F3" s="133"/>
      <c r="G3" s="134"/>
    </row>
    <row r="4" spans="2:7" ht="14.25" customHeight="1" x14ac:dyDescent="0.35">
      <c r="B4" s="420" t="s">
        <v>280</v>
      </c>
      <c r="C4" s="421" t="s">
        <v>113</v>
      </c>
      <c r="D4" s="421" t="s">
        <v>114</v>
      </c>
      <c r="E4" s="421" t="s">
        <v>115</v>
      </c>
      <c r="F4" s="421" t="s">
        <v>116</v>
      </c>
      <c r="G4" s="421" t="s">
        <v>117</v>
      </c>
    </row>
    <row r="5" spans="2:7" ht="14.25" customHeight="1" x14ac:dyDescent="0.35">
      <c r="B5" s="400" t="s">
        <v>303</v>
      </c>
      <c r="C5" s="393"/>
      <c r="D5" s="393"/>
      <c r="E5" s="393"/>
      <c r="F5" s="393"/>
      <c r="G5" s="393"/>
    </row>
    <row r="6" spans="2:7" ht="14.25" customHeight="1" x14ac:dyDescent="0.35">
      <c r="B6" s="401" t="s">
        <v>169</v>
      </c>
      <c r="C6" s="402">
        <f>'Historical FS'!C23</f>
        <v>20261.840000000004</v>
      </c>
      <c r="D6" s="402">
        <f>'Historical FS'!D23</f>
        <v>32142.599999999995</v>
      </c>
      <c r="E6" s="402">
        <f>'Historical FS'!E23</f>
        <v>41236.070000000007</v>
      </c>
      <c r="F6" s="402">
        <f>'Historical FS'!F23</f>
        <v>37917.520000000011</v>
      </c>
      <c r="G6" s="402">
        <f>'Historical FS'!G23</f>
        <v>31105.320000000007</v>
      </c>
    </row>
    <row r="7" spans="2:7" ht="14.25" customHeight="1" x14ac:dyDescent="0.35">
      <c r="B7" s="401" t="s">
        <v>304</v>
      </c>
      <c r="C7" s="402">
        <f>C6*Assumptions!$C$16</f>
        <v>5065.4600000000009</v>
      </c>
      <c r="D7" s="402">
        <f>D6*Assumptions!$C$16</f>
        <v>8035.6499999999987</v>
      </c>
      <c r="E7" s="402">
        <f>E6*Assumptions!$C$16</f>
        <v>10309.017500000002</v>
      </c>
      <c r="F7" s="402">
        <f>F6*Assumptions!$C$16</f>
        <v>9479.3800000000028</v>
      </c>
      <c r="G7" s="402">
        <f>G6*Assumptions!$C$16</f>
        <v>7776.3300000000017</v>
      </c>
    </row>
    <row r="8" spans="2:7" ht="14.25" customHeight="1" x14ac:dyDescent="0.35">
      <c r="B8" s="400" t="s">
        <v>305</v>
      </c>
      <c r="C8" s="403">
        <f>C6-C7</f>
        <v>15196.380000000003</v>
      </c>
      <c r="D8" s="403">
        <f>D6-D7</f>
        <v>24106.949999999997</v>
      </c>
      <c r="E8" s="403">
        <f>E6-E7</f>
        <v>30927.052500000005</v>
      </c>
      <c r="F8" s="403">
        <f>F6-F7</f>
        <v>28438.140000000007</v>
      </c>
      <c r="G8" s="403">
        <f>G6-G7</f>
        <v>23328.990000000005</v>
      </c>
    </row>
    <row r="9" spans="2:7" ht="14.25" customHeight="1" x14ac:dyDescent="0.35">
      <c r="B9" s="404"/>
      <c r="C9" s="405"/>
      <c r="D9" s="405"/>
      <c r="E9" s="405"/>
      <c r="F9" s="405"/>
      <c r="G9" s="406"/>
    </row>
    <row r="10" spans="2:7" ht="14.25" customHeight="1" x14ac:dyDescent="0.35">
      <c r="B10" s="400" t="s">
        <v>306</v>
      </c>
      <c r="C10" s="393"/>
      <c r="D10" s="393"/>
      <c r="E10" s="393"/>
      <c r="F10" s="393"/>
      <c r="G10" s="393"/>
    </row>
    <row r="11" spans="2:7" ht="14.25" customHeight="1" x14ac:dyDescent="0.35">
      <c r="B11" s="401" t="s">
        <v>307</v>
      </c>
      <c r="C11" s="407"/>
      <c r="D11" s="402">
        <f>'Fixed Assets Schedule'!D10</f>
        <v>4232.6699999999983</v>
      </c>
      <c r="E11" s="402">
        <f>'Fixed Assets Schedule'!E10</f>
        <v>23582.540000000008</v>
      </c>
      <c r="F11" s="402">
        <f>'Fixed Assets Schedule'!F10</f>
        <v>8601.1199999999953</v>
      </c>
      <c r="G11" s="402">
        <f>'Fixed Assets Schedule'!G10</f>
        <v>12626.349999999991</v>
      </c>
    </row>
    <row r="12" spans="2:7" ht="14.25" customHeight="1" x14ac:dyDescent="0.35">
      <c r="B12" s="401" t="s">
        <v>308</v>
      </c>
      <c r="C12" s="407"/>
      <c r="D12" s="402">
        <f>'Working Capital Changes'!D9</f>
        <v>2814.3999999999996</v>
      </c>
      <c r="E12" s="402">
        <f>'Working Capital Changes'!E9</f>
        <v>2381.3500000000004</v>
      </c>
      <c r="F12" s="402">
        <f>'Working Capital Changes'!F9</f>
        <v>88.459999999999127</v>
      </c>
      <c r="G12" s="402">
        <f>'Working Capital Changes'!G9</f>
        <v>2084.7100000000009</v>
      </c>
    </row>
    <row r="13" spans="2:7" ht="14.25" customHeight="1" x14ac:dyDescent="0.35">
      <c r="B13" s="400" t="s">
        <v>309</v>
      </c>
      <c r="C13" s="407"/>
      <c r="D13" s="403">
        <f>IFERROR(D11+D12,0)</f>
        <v>7047.0699999999979</v>
      </c>
      <c r="E13" s="403">
        <f>IFERROR(E11+E12,0)</f>
        <v>25963.890000000007</v>
      </c>
      <c r="F13" s="403">
        <f>IFERROR(F11+F12,0)</f>
        <v>8689.5799999999945</v>
      </c>
      <c r="G13" s="403">
        <f>IFERROR(G11+G12,0)</f>
        <v>14711.059999999992</v>
      </c>
    </row>
    <row r="14" spans="2:7" ht="14.25" customHeight="1" x14ac:dyDescent="0.35">
      <c r="B14" s="404"/>
      <c r="C14" s="408"/>
      <c r="D14" s="408"/>
      <c r="E14" s="409"/>
      <c r="F14" s="409"/>
      <c r="G14" s="410"/>
    </row>
    <row r="15" spans="2:7" ht="14.25" customHeight="1" x14ac:dyDescent="0.35">
      <c r="B15" s="400" t="s">
        <v>310</v>
      </c>
      <c r="C15" s="393"/>
      <c r="D15" s="393"/>
      <c r="E15" s="393"/>
      <c r="F15" s="393"/>
      <c r="G15" s="393"/>
    </row>
    <row r="16" spans="2:7" ht="14.25" customHeight="1" x14ac:dyDescent="0.35">
      <c r="B16" s="400" t="s">
        <v>311</v>
      </c>
      <c r="C16" s="407"/>
      <c r="D16" s="411">
        <f>IFERROR(D8-D13,0)</f>
        <v>17059.879999999997</v>
      </c>
      <c r="E16" s="411">
        <f>IFERROR(E8-E13,0)</f>
        <v>4963.1624999999985</v>
      </c>
      <c r="F16" s="411">
        <f>IFERROR(F8-F13,0)</f>
        <v>19748.560000000012</v>
      </c>
      <c r="G16" s="411">
        <f>IFERROR(G8-G13,0)</f>
        <v>8617.930000000013</v>
      </c>
    </row>
    <row r="17" spans="2:7" ht="14.25" customHeight="1" x14ac:dyDescent="0.35">
      <c r="B17" s="412"/>
      <c r="C17" s="393"/>
      <c r="D17" s="393"/>
      <c r="E17" s="393"/>
      <c r="F17" s="393"/>
      <c r="G17" s="413"/>
    </row>
    <row r="18" spans="2:7" ht="14.25" customHeight="1" x14ac:dyDescent="0.35">
      <c r="B18" s="400" t="s">
        <v>312</v>
      </c>
      <c r="C18" s="393"/>
      <c r="D18" s="393"/>
      <c r="E18" s="393"/>
      <c r="F18" s="393"/>
      <c r="G18" s="393"/>
    </row>
    <row r="19" spans="2:7" ht="14.25" customHeight="1" x14ac:dyDescent="0.35">
      <c r="B19" s="401" t="s">
        <v>313</v>
      </c>
      <c r="C19" s="414"/>
      <c r="D19" s="415">
        <f>IFERROR(D13/D8,0)</f>
        <v>0.29232524230564211</v>
      </c>
      <c r="E19" s="415">
        <f>IFERROR(E13/E8,0)</f>
        <v>0.83952035196370567</v>
      </c>
      <c r="F19" s="415">
        <f>IFERROR(F13/F8,0)</f>
        <v>0.30556077155538275</v>
      </c>
      <c r="G19" s="415">
        <f>IFERROR(G13/G8,0)</f>
        <v>0.63059138008117754</v>
      </c>
    </row>
    <row r="20" spans="2:7" ht="14.25" customHeight="1" x14ac:dyDescent="0.35">
      <c r="B20" s="393"/>
      <c r="C20" s="393"/>
      <c r="D20" s="393"/>
      <c r="E20" s="393"/>
      <c r="F20" s="393"/>
      <c r="G20" s="393"/>
    </row>
    <row r="21" spans="2:7" ht="15" customHeight="1" x14ac:dyDescent="0.35">
      <c r="B21" s="416" t="s">
        <v>314</v>
      </c>
      <c r="C21" s="393"/>
      <c r="D21" s="393"/>
      <c r="E21" s="393"/>
      <c r="F21" s="393"/>
      <c r="G21" s="393"/>
    </row>
    <row r="22" spans="2:7" ht="15" customHeight="1" x14ac:dyDescent="0.35">
      <c r="B22" s="417" t="s">
        <v>315</v>
      </c>
      <c r="C22" s="418">
        <f>MEDIAN(D19:G19)</f>
        <v>0.46807607581828015</v>
      </c>
      <c r="D22" s="393"/>
      <c r="E22" s="393"/>
      <c r="F22" s="393"/>
      <c r="G22" s="393"/>
    </row>
    <row r="23" spans="2:7" ht="14.25" customHeight="1" x14ac:dyDescent="0.35">
      <c r="B23" s="419" t="s">
        <v>316</v>
      </c>
      <c r="C23" s="418">
        <f>AVERAGE(D19:G19)</f>
        <v>0.51699943647647695</v>
      </c>
      <c r="D23" s="393"/>
      <c r="E23" s="393"/>
      <c r="F23" s="393"/>
      <c r="G23" s="393"/>
    </row>
  </sheetData>
  <mergeCells count="1">
    <mergeCell ref="B2:G2"/>
  </mergeCells>
  <pageMargins left="0.7" right="0.7" top="0.75" bottom="0.75" header="0.511811023622047" footer="0.511811023622047"/>
  <pageSetup paperSize="9" orientation="portrait" horizontalDpi="300" verticalDpi="300"/>
  <ignoredErrors>
    <ignoredError sqref="C4:G4"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O15"/>
  <sheetViews>
    <sheetView showGridLines="0" topLeftCell="A2" zoomScale="74" zoomScaleNormal="80" workbookViewId="0">
      <selection activeCell="B2" sqref="B2:O2"/>
    </sheetView>
  </sheetViews>
  <sheetFormatPr defaultColWidth="8.6328125" defaultRowHeight="14.5" x14ac:dyDescent="0.35"/>
  <cols>
    <col min="1" max="1" width="3.36328125" customWidth="1"/>
    <col min="2" max="2" width="11.7265625" customWidth="1"/>
    <col min="3" max="3" width="8.26953125" customWidth="1"/>
    <col min="4" max="4" width="13.6328125" customWidth="1"/>
    <col min="5" max="5" width="13" customWidth="1"/>
    <col min="7" max="7" width="11.7265625" customWidth="1"/>
    <col min="8" max="8" width="7.1796875" customWidth="1"/>
    <col min="9" max="9" width="15.36328125" customWidth="1"/>
    <col min="10" max="10" width="16" customWidth="1"/>
    <col min="12" max="12" width="11.7265625" customWidth="1"/>
    <col min="13" max="13" width="7.26953125" customWidth="1"/>
    <col min="14" max="14" width="9.36328125" customWidth="1"/>
    <col min="15" max="15" width="14.453125" customWidth="1"/>
  </cols>
  <sheetData>
    <row r="2" spans="2:15" ht="27" customHeight="1" x14ac:dyDescent="0.35">
      <c r="B2" s="438" t="s">
        <v>317</v>
      </c>
      <c r="C2" s="438"/>
      <c r="D2" s="438"/>
      <c r="E2" s="438"/>
      <c r="F2" s="438"/>
      <c r="G2" s="438"/>
      <c r="H2" s="438"/>
      <c r="I2" s="438"/>
      <c r="J2" s="438"/>
      <c r="K2" s="438"/>
      <c r="L2" s="438"/>
      <c r="M2" s="438"/>
      <c r="N2" s="438"/>
      <c r="O2" s="438"/>
    </row>
    <row r="4" spans="2:15" ht="14.25" customHeight="1" x14ac:dyDescent="0.35">
      <c r="B4" s="380" t="s">
        <v>318</v>
      </c>
      <c r="C4" s="380"/>
      <c r="D4" s="380"/>
      <c r="E4" s="380"/>
      <c r="G4" s="381" t="s">
        <v>319</v>
      </c>
      <c r="H4" s="381"/>
      <c r="I4" s="381"/>
      <c r="J4" s="381"/>
      <c r="L4" s="381" t="s">
        <v>320</v>
      </c>
      <c r="M4" s="381"/>
      <c r="N4" s="381"/>
      <c r="O4" s="381"/>
    </row>
    <row r="5" spans="2:15" ht="14.25" customHeight="1" x14ac:dyDescent="0.35">
      <c r="B5" s="135" t="s">
        <v>321</v>
      </c>
      <c r="C5" s="136" t="s">
        <v>322</v>
      </c>
      <c r="D5" s="136" t="s">
        <v>323</v>
      </c>
      <c r="E5" s="136" t="s">
        <v>120</v>
      </c>
      <c r="G5" s="135" t="s">
        <v>321</v>
      </c>
      <c r="H5" s="136" t="s">
        <v>322</v>
      </c>
      <c r="I5" s="136" t="s">
        <v>324</v>
      </c>
      <c r="J5" s="137" t="s">
        <v>121</v>
      </c>
      <c r="L5" s="135" t="s">
        <v>321</v>
      </c>
      <c r="M5" s="136" t="s">
        <v>322</v>
      </c>
      <c r="N5" s="136" t="s">
        <v>325</v>
      </c>
      <c r="O5" s="137" t="s">
        <v>326</v>
      </c>
    </row>
    <row r="6" spans="2:15" ht="14.25" customHeight="1" x14ac:dyDescent="0.35">
      <c r="B6" s="138">
        <v>1</v>
      </c>
      <c r="C6" s="104">
        <v>2022</v>
      </c>
      <c r="D6" s="139">
        <f t="array" ref="D6:D10">TRANSPOSE('Historical FS'!C5:G5)</f>
        <v>109713.5</v>
      </c>
      <c r="G6" s="138">
        <v>1</v>
      </c>
      <c r="H6" s="104">
        <v>2022</v>
      </c>
      <c r="I6" s="139">
        <f t="array" ref="I6:I10">TRANSPOSE('Historical FS'!C17:G17)</f>
        <v>24690.510000000002</v>
      </c>
      <c r="J6" s="43"/>
      <c r="L6" s="138">
        <v>1</v>
      </c>
      <c r="M6" s="104">
        <v>2022</v>
      </c>
      <c r="N6" s="140">
        <f t="array" ref="N6:N10">TRANSPOSE('Historical FS'!C42:G42)</f>
        <v>28.213162023973148</v>
      </c>
      <c r="O6" s="43"/>
    </row>
    <row r="7" spans="2:15" ht="14.25" customHeight="1" x14ac:dyDescent="0.35">
      <c r="B7" s="138">
        <v>2</v>
      </c>
      <c r="C7" s="104">
        <v>2023</v>
      </c>
      <c r="D7" s="139">
        <v>138251.91</v>
      </c>
      <c r="E7" s="141">
        <f t="shared" ref="E7:E15" si="0">(D7/D6)-1</f>
        <v>0.26011757896703691</v>
      </c>
      <c r="G7" s="138">
        <v>2</v>
      </c>
      <c r="H7" s="104">
        <v>2023</v>
      </c>
      <c r="I7" s="139">
        <v>36817.869999999995</v>
      </c>
      <c r="J7" s="142">
        <f t="shared" ref="J7:J15" si="1">(I7/I6)-1</f>
        <v>0.49117494940363704</v>
      </c>
      <c r="L7" s="138">
        <v>2</v>
      </c>
      <c r="M7" s="104">
        <v>2023</v>
      </c>
      <c r="N7" s="140">
        <v>45.650353009137184</v>
      </c>
      <c r="O7" s="142">
        <f t="shared" ref="O7:O15" si="2">IFERROR(N7/N6-1,0)</f>
        <v>0.6180516374005649</v>
      </c>
    </row>
    <row r="8" spans="2:15" ht="14.25" customHeight="1" x14ac:dyDescent="0.35">
      <c r="B8" s="138">
        <v>3</v>
      </c>
      <c r="C8" s="104">
        <v>2024</v>
      </c>
      <c r="D8" s="139">
        <v>142323.98000000001</v>
      </c>
      <c r="E8" s="141">
        <f t="shared" si="0"/>
        <v>2.945398729030213E-2</v>
      </c>
      <c r="G8" s="138">
        <v>3</v>
      </c>
      <c r="H8" s="104">
        <v>2024</v>
      </c>
      <c r="I8" s="139">
        <v>47971.490000000005</v>
      </c>
      <c r="J8" s="142">
        <f t="shared" si="1"/>
        <v>0.30294039280382079</v>
      </c>
      <c r="L8" s="138">
        <v>3</v>
      </c>
      <c r="M8" s="104">
        <v>2024</v>
      </c>
      <c r="N8" s="140">
        <v>59.944699832704025</v>
      </c>
      <c r="O8" s="142">
        <f t="shared" si="2"/>
        <v>0.31312675327408179</v>
      </c>
    </row>
    <row r="9" spans="2:15" ht="14.25" customHeight="1" x14ac:dyDescent="0.35">
      <c r="B9" s="138">
        <v>4</v>
      </c>
      <c r="C9" s="104">
        <v>2025</v>
      </c>
      <c r="D9" s="139">
        <v>143368.92000000001</v>
      </c>
      <c r="E9" s="141">
        <f t="shared" si="0"/>
        <v>7.3419813020967339E-3</v>
      </c>
      <c r="G9" s="138">
        <v>4</v>
      </c>
      <c r="H9" s="104">
        <v>2025</v>
      </c>
      <c r="I9" s="139">
        <v>47063.010000000009</v>
      </c>
      <c r="J9" s="142">
        <f t="shared" si="1"/>
        <v>-1.893791499909625E-2</v>
      </c>
      <c r="L9" s="138">
        <v>4</v>
      </c>
      <c r="M9" s="104">
        <v>2025</v>
      </c>
      <c r="N9" s="140">
        <v>56.533127364009161</v>
      </c>
      <c r="O9" s="142">
        <f t="shared" si="2"/>
        <v>-5.6911995192502562E-2</v>
      </c>
    </row>
    <row r="10" spans="2:15" ht="14.25" customHeight="1" x14ac:dyDescent="0.35">
      <c r="B10" s="138">
        <v>5</v>
      </c>
      <c r="C10" s="104">
        <v>2026</v>
      </c>
      <c r="D10" s="139">
        <v>168400.29</v>
      </c>
      <c r="E10" s="141">
        <f t="shared" si="0"/>
        <v>0.17459411705131056</v>
      </c>
      <c r="G10" s="138">
        <v>5</v>
      </c>
      <c r="H10" s="104">
        <v>2026</v>
      </c>
      <c r="I10" s="139">
        <v>41241.990000000005</v>
      </c>
      <c r="J10" s="142">
        <f t="shared" si="1"/>
        <v>-0.12368567161343913</v>
      </c>
      <c r="L10" s="138">
        <v>5</v>
      </c>
      <c r="M10" s="104">
        <v>2026</v>
      </c>
      <c r="N10" s="140">
        <v>49.186367080822961</v>
      </c>
      <c r="O10" s="142">
        <f t="shared" si="2"/>
        <v>-0.1299549596094588</v>
      </c>
    </row>
    <row r="11" spans="2:15" ht="14.25" customHeight="1" x14ac:dyDescent="0.35">
      <c r="B11" s="143">
        <v>6</v>
      </c>
      <c r="C11" s="144">
        <v>2027</v>
      </c>
      <c r="D11" s="145">
        <f>FORECAST(B11,$D$6:$D$10,$B$6:$B$10)</f>
        <v>177158.89700000006</v>
      </c>
      <c r="E11" s="146">
        <f t="shared" si="0"/>
        <v>5.201064083678264E-2</v>
      </c>
      <c r="G11" s="143">
        <v>6</v>
      </c>
      <c r="H11" s="147">
        <v>2027</v>
      </c>
      <c r="I11" s="148">
        <f>FORECAST(G11,$I$6:$I$10,$G$6:$G$10)</f>
        <v>52561.40400000001</v>
      </c>
      <c r="J11" s="149">
        <f t="shared" si="1"/>
        <v>0.27446333215249807</v>
      </c>
      <c r="L11" s="143">
        <v>6</v>
      </c>
      <c r="M11" s="147">
        <v>2027</v>
      </c>
      <c r="N11" s="150">
        <f>FORECAST(L11,$N$6:$N$10,$L$6:$L$10)</f>
        <v>63.754297202700776</v>
      </c>
      <c r="O11" s="151">
        <f t="shared" si="2"/>
        <v>0.29617820925745164</v>
      </c>
    </row>
    <row r="12" spans="2:15" ht="14.25" customHeight="1" x14ac:dyDescent="0.35">
      <c r="B12" s="143">
        <v>7</v>
      </c>
      <c r="C12" s="144">
        <v>2028</v>
      </c>
      <c r="D12" s="145">
        <f>FORECAST(B12,$D$6:$D$10,$B$6:$B$10)</f>
        <v>189407.95600000003</v>
      </c>
      <c r="E12" s="146">
        <f t="shared" si="0"/>
        <v>6.914165310026732E-2</v>
      </c>
      <c r="G12" s="143">
        <v>7</v>
      </c>
      <c r="H12" s="147">
        <v>2028</v>
      </c>
      <c r="I12" s="148">
        <f>FORECAST(G12,$I$6:$I$10,$G$6:$G$10)</f>
        <v>56896.214000000007</v>
      </c>
      <c r="J12" s="149">
        <f t="shared" si="1"/>
        <v>8.2471351031642826E-2</v>
      </c>
      <c r="L12" s="143">
        <v>7</v>
      </c>
      <c r="M12" s="147">
        <v>2028</v>
      </c>
      <c r="N12" s="150">
        <f>FORECAST(L12,$N$6:$N$10,$L$6:$L$10)</f>
        <v>69.037215649557936</v>
      </c>
      <c r="O12" s="151">
        <f t="shared" si="2"/>
        <v>8.2863723366922493E-2</v>
      </c>
    </row>
    <row r="13" spans="2:15" ht="14.25" customHeight="1" x14ac:dyDescent="0.35">
      <c r="B13" s="143">
        <v>8</v>
      </c>
      <c r="C13" s="144">
        <v>2029</v>
      </c>
      <c r="D13" s="145">
        <f>FORECAST(B13,$D$6:$D$10,$B$6:$B$10)</f>
        <v>201657.01500000004</v>
      </c>
      <c r="E13" s="146">
        <f t="shared" si="0"/>
        <v>6.467024542517108E-2</v>
      </c>
      <c r="G13" s="143">
        <v>8</v>
      </c>
      <c r="H13" s="147">
        <v>2029</v>
      </c>
      <c r="I13" s="148">
        <f>FORECAST(G13,$I$6:$I$10,$G$6:$G$10)</f>
        <v>61231.024000000012</v>
      </c>
      <c r="J13" s="149">
        <f t="shared" si="1"/>
        <v>7.6188021930598149E-2</v>
      </c>
      <c r="L13" s="143">
        <v>8</v>
      </c>
      <c r="M13" s="147">
        <v>2029</v>
      </c>
      <c r="N13" s="150">
        <f>FORECAST(L13,$N$6:$N$10,$L$6:$L$10)</f>
        <v>74.320134096415103</v>
      </c>
      <c r="O13" s="151">
        <f t="shared" si="2"/>
        <v>7.6522762355798912E-2</v>
      </c>
    </row>
    <row r="14" spans="2:15" ht="14.25" customHeight="1" x14ac:dyDescent="0.35">
      <c r="B14" s="143">
        <v>9</v>
      </c>
      <c r="C14" s="144">
        <v>2030</v>
      </c>
      <c r="D14" s="145">
        <f>FORECAST(B14,$D$6:$D$10,$B$6:$B$10)</f>
        <v>213906.07400000005</v>
      </c>
      <c r="E14" s="146">
        <f t="shared" si="0"/>
        <v>6.0742042621229952E-2</v>
      </c>
      <c r="G14" s="143">
        <v>9</v>
      </c>
      <c r="H14" s="147">
        <v>2030</v>
      </c>
      <c r="I14" s="148">
        <f>FORECAST(G14,$I$6:$I$10,$G$6:$G$10)</f>
        <v>65565.834000000017</v>
      </c>
      <c r="J14" s="149">
        <f t="shared" si="1"/>
        <v>7.0794341117012882E-2</v>
      </c>
      <c r="L14" s="143">
        <v>9</v>
      </c>
      <c r="M14" s="147">
        <v>2030</v>
      </c>
      <c r="N14" s="150">
        <f>FORECAST(L14,$N$6:$N$10,$L$6:$L$10)</f>
        <v>79.603052543272256</v>
      </c>
      <c r="O14" s="151">
        <f t="shared" si="2"/>
        <v>7.1083273881121567E-2</v>
      </c>
    </row>
    <row r="15" spans="2:15" ht="14.25" customHeight="1" x14ac:dyDescent="0.35">
      <c r="B15" s="152">
        <v>10</v>
      </c>
      <c r="C15" s="153">
        <v>2031</v>
      </c>
      <c r="D15" s="154">
        <f>FORECAST(B15,$D$6:$D$10,$B$6:$B$10)</f>
        <v>226155.13300000003</v>
      </c>
      <c r="E15" s="155">
        <f t="shared" si="0"/>
        <v>5.7263726882294863E-2</v>
      </c>
      <c r="G15" s="152">
        <v>10</v>
      </c>
      <c r="H15" s="156">
        <v>2031</v>
      </c>
      <c r="I15" s="157">
        <f>FORECAST(G15,$I$6:$I$10,$G$6:$G$10)</f>
        <v>69900.644000000015</v>
      </c>
      <c r="J15" s="158">
        <f t="shared" si="1"/>
        <v>6.6113854358963886E-2</v>
      </c>
      <c r="L15" s="152">
        <v>10</v>
      </c>
      <c r="M15" s="156">
        <v>2031</v>
      </c>
      <c r="N15" s="159">
        <f>FORECAST(L15,$N$6:$N$10,$L$6:$L$10)</f>
        <v>84.885970990129408</v>
      </c>
      <c r="O15" s="160">
        <f t="shared" si="2"/>
        <v>6.6365777166464301E-2</v>
      </c>
    </row>
  </sheetData>
  <mergeCells count="4">
    <mergeCell ref="B2:O2"/>
    <mergeCell ref="B4:E4"/>
    <mergeCell ref="G4:J4"/>
    <mergeCell ref="L4:O4"/>
  </mergeCells>
  <pageMargins left="0.7" right="0.7" top="0.75" bottom="0.75"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R23"/>
  <sheetViews>
    <sheetView showGridLines="0" topLeftCell="B1" zoomScale="67" zoomScaleNormal="69" workbookViewId="0">
      <selection activeCell="B2" sqref="B2:M3"/>
    </sheetView>
  </sheetViews>
  <sheetFormatPr defaultColWidth="8.7265625" defaultRowHeight="14" x14ac:dyDescent="0.3"/>
  <cols>
    <col min="1" max="1" width="2.54296875" style="161" customWidth="1"/>
    <col min="2" max="2" width="34.1796875" style="161" customWidth="1"/>
    <col min="3" max="13" width="12.81640625" style="161" customWidth="1"/>
    <col min="14" max="14" width="10.26953125" style="161" customWidth="1"/>
    <col min="15" max="15" width="25.6328125" style="161" customWidth="1"/>
    <col min="16" max="16" width="8.54296875" style="161" customWidth="1"/>
    <col min="17" max="16384" width="8.7265625" style="161"/>
  </cols>
  <sheetData>
    <row r="2" spans="2:18" ht="13.5" customHeight="1" x14ac:dyDescent="0.3">
      <c r="B2" s="439" t="s">
        <v>327</v>
      </c>
      <c r="C2" s="439"/>
      <c r="D2" s="439"/>
      <c r="E2" s="439"/>
      <c r="F2" s="439"/>
      <c r="G2" s="439"/>
      <c r="H2" s="439"/>
      <c r="I2" s="439"/>
      <c r="J2" s="439"/>
      <c r="K2" s="439"/>
      <c r="L2" s="439"/>
      <c r="M2" s="439"/>
    </row>
    <row r="3" spans="2:18" ht="13.5" customHeight="1" x14ac:dyDescent="0.3">
      <c r="B3" s="439"/>
      <c r="C3" s="439"/>
      <c r="D3" s="439"/>
      <c r="E3" s="439"/>
      <c r="F3" s="439"/>
      <c r="G3" s="439"/>
      <c r="H3" s="439"/>
      <c r="I3" s="439"/>
      <c r="J3" s="439"/>
      <c r="K3" s="439"/>
      <c r="L3" s="439"/>
      <c r="M3" s="439"/>
    </row>
    <row r="4" spans="2:18" ht="13.5" customHeight="1" x14ac:dyDescent="0.3">
      <c r="Q4" s="162"/>
    </row>
    <row r="5" spans="2:18" ht="15" customHeight="1" x14ac:dyDescent="0.35">
      <c r="B5" s="163" t="s">
        <v>328</v>
      </c>
      <c r="C5" s="164"/>
      <c r="D5" s="165"/>
      <c r="E5" s="165"/>
      <c r="F5" s="165"/>
      <c r="G5" s="165"/>
      <c r="H5" s="165"/>
      <c r="I5" s="165"/>
      <c r="J5" s="165"/>
      <c r="K5" s="165"/>
      <c r="L5" s="165"/>
      <c r="M5" s="166"/>
    </row>
    <row r="6" spans="2:18" ht="15" customHeight="1" x14ac:dyDescent="0.35">
      <c r="B6" s="167" t="s">
        <v>329</v>
      </c>
      <c r="C6" s="168" t="s">
        <v>330</v>
      </c>
      <c r="D6" s="168" t="s">
        <v>331</v>
      </c>
      <c r="E6" s="168" t="s">
        <v>332</v>
      </c>
      <c r="F6" s="168" t="s">
        <v>333</v>
      </c>
      <c r="G6" s="168" t="s">
        <v>334</v>
      </c>
      <c r="H6" s="168" t="s">
        <v>335</v>
      </c>
      <c r="I6" s="168" t="s">
        <v>336</v>
      </c>
      <c r="J6" s="168" t="s">
        <v>337</v>
      </c>
      <c r="K6" s="168" t="s">
        <v>338</v>
      </c>
      <c r="L6" s="168" t="s">
        <v>339</v>
      </c>
      <c r="M6" s="168" t="s">
        <v>340</v>
      </c>
      <c r="O6" s="169" t="s">
        <v>341</v>
      </c>
      <c r="P6" s="170">
        <f>Assumptions!I5</f>
        <v>0.10202405217080635</v>
      </c>
    </row>
    <row r="7" spans="2:18" ht="15" customHeight="1" x14ac:dyDescent="0.35">
      <c r="B7" s="171" t="s">
        <v>157</v>
      </c>
      <c r="C7" s="172">
        <f>'Historical FS'!G5</f>
        <v>168400.29</v>
      </c>
      <c r="D7" s="172">
        <f t="shared" ref="D7:M7" si="0">C7*(1+D8)</f>
        <v>185581.16997253895</v>
      </c>
      <c r="E7" s="172">
        <f t="shared" si="0"/>
        <v>203788.5884049552</v>
      </c>
      <c r="F7" s="172">
        <f t="shared" si="0"/>
        <v>222984.75712024374</v>
      </c>
      <c r="G7" s="172">
        <f t="shared" si="0"/>
        <v>243116.42337460807</v>
      </c>
      <c r="H7" s="172">
        <f t="shared" si="0"/>
        <v>264114.12577854691</v>
      </c>
      <c r="I7" s="172">
        <f t="shared" si="0"/>
        <v>285891.6914896518</v>
      </c>
      <c r="J7" s="172">
        <f t="shared" si="0"/>
        <v>308346.01109990443</v>
      </c>
      <c r="K7" s="172">
        <f t="shared" si="0"/>
        <v>331357.12374840985</v>
      </c>
      <c r="L7" s="172">
        <f t="shared" si="0"/>
        <v>354788.63968303503</v>
      </c>
      <c r="M7" s="172">
        <f t="shared" si="0"/>
        <v>378488.52081386175</v>
      </c>
      <c r="O7" s="173" t="s">
        <v>342</v>
      </c>
      <c r="P7" s="174">
        <f>WACC!C17</f>
        <v>6.6799999999999998E-2</v>
      </c>
    </row>
    <row r="8" spans="2:18" ht="15.75" customHeight="1" x14ac:dyDescent="0.35">
      <c r="B8" s="171" t="s">
        <v>343</v>
      </c>
      <c r="C8" s="175"/>
      <c r="D8" s="176">
        <f>P6</f>
        <v>0.10202405217080635</v>
      </c>
      <c r="E8" s="176">
        <f t="shared" ref="E8:M8" si="1">D8-$P$9</f>
        <v>9.811026859627231E-2</v>
      </c>
      <c r="F8" s="176">
        <f t="shared" si="1"/>
        <v>9.4196485021738274E-2</v>
      </c>
      <c r="G8" s="176">
        <f t="shared" si="1"/>
        <v>9.0282701447204239E-2</v>
      </c>
      <c r="H8" s="176">
        <f t="shared" si="1"/>
        <v>8.6368917872670203E-2</v>
      </c>
      <c r="I8" s="176">
        <f t="shared" si="1"/>
        <v>8.2455134298136168E-2</v>
      </c>
      <c r="J8" s="176">
        <f t="shared" si="1"/>
        <v>7.8541350723602132E-2</v>
      </c>
      <c r="K8" s="176">
        <f t="shared" si="1"/>
        <v>7.4627567149068097E-2</v>
      </c>
      <c r="L8" s="176">
        <f t="shared" si="1"/>
        <v>7.0713783574534061E-2</v>
      </c>
      <c r="M8" s="176">
        <f t="shared" si="1"/>
        <v>6.6800000000000026E-2</v>
      </c>
      <c r="O8" s="177"/>
      <c r="P8" s="178">
        <f>P6-P7</f>
        <v>3.5224052170806347E-2</v>
      </c>
      <c r="Q8" s="179"/>
      <c r="R8" s="179"/>
    </row>
    <row r="9" spans="2:18" ht="15.75" customHeight="1" x14ac:dyDescent="0.35">
      <c r="B9" s="171"/>
      <c r="C9" s="180"/>
      <c r="D9" s="181"/>
      <c r="E9" s="181"/>
      <c r="F9" s="181"/>
      <c r="G9" s="181"/>
      <c r="H9" s="181"/>
      <c r="I9" s="181"/>
      <c r="J9" s="181"/>
      <c r="K9" s="181"/>
      <c r="L9" s="181"/>
      <c r="M9" s="182"/>
      <c r="O9" s="183" t="s">
        <v>344</v>
      </c>
      <c r="P9" s="184">
        <f>P8/9</f>
        <v>3.9137835745340389E-3</v>
      </c>
      <c r="Q9" s="185"/>
      <c r="R9" s="179"/>
    </row>
    <row r="10" spans="2:18" ht="15" customHeight="1" x14ac:dyDescent="0.35">
      <c r="B10" s="163" t="s">
        <v>345</v>
      </c>
      <c r="C10" s="186"/>
      <c r="D10" s="187"/>
      <c r="E10" s="187"/>
      <c r="F10" s="187"/>
      <c r="G10" s="187"/>
      <c r="H10" s="187"/>
      <c r="I10" s="187"/>
      <c r="J10" s="187"/>
      <c r="K10" s="187"/>
      <c r="L10" s="187"/>
      <c r="M10" s="188"/>
      <c r="O10" s="189"/>
      <c r="P10" s="190"/>
      <c r="Q10" s="179"/>
      <c r="R10" s="179"/>
    </row>
    <row r="11" spans="2:18" ht="15" customHeight="1" x14ac:dyDescent="0.35">
      <c r="B11" s="167" t="s">
        <v>329</v>
      </c>
      <c r="C11" s="168" t="s">
        <v>330</v>
      </c>
      <c r="D11" s="168" t="s">
        <v>331</v>
      </c>
      <c r="E11" s="168" t="s">
        <v>332</v>
      </c>
      <c r="F11" s="168" t="s">
        <v>333</v>
      </c>
      <c r="G11" s="168" t="s">
        <v>334</v>
      </c>
      <c r="H11" s="168" t="s">
        <v>335</v>
      </c>
      <c r="I11" s="168" t="s">
        <v>336</v>
      </c>
      <c r="J11" s="168" t="s">
        <v>337</v>
      </c>
      <c r="K11" s="168" t="s">
        <v>338</v>
      </c>
      <c r="L11" s="168" t="s">
        <v>339</v>
      </c>
      <c r="M11" s="168" t="s">
        <v>340</v>
      </c>
      <c r="O11" s="169" t="s">
        <v>341</v>
      </c>
      <c r="P11" s="191">
        <f>Assumptions!C11</f>
        <v>0.11787691615268658</v>
      </c>
      <c r="Q11" s="179"/>
      <c r="R11" s="179"/>
    </row>
    <row r="12" spans="2:18" ht="15" customHeight="1" x14ac:dyDescent="0.35">
      <c r="B12" s="171" t="s">
        <v>157</v>
      </c>
      <c r="C12" s="172">
        <f>C7</f>
        <v>168400.29</v>
      </c>
      <c r="D12" s="172">
        <f t="shared" ref="D12:M12" si="2">C12*(1+D13)</f>
        <v>188250.79686441811</v>
      </c>
      <c r="E12" s="172">
        <f t="shared" si="2"/>
        <v>209372.85691017931</v>
      </c>
      <c r="F12" s="172">
        <f t="shared" si="2"/>
        <v>231676.61252948458</v>
      </c>
      <c r="G12" s="172">
        <f t="shared" si="2"/>
        <v>255041.49485492546</v>
      </c>
      <c r="H12" s="172">
        <f t="shared" si="2"/>
        <v>279315.34062687942</v>
      </c>
      <c r="I12" s="172">
        <f t="shared" si="2"/>
        <v>304314.30148446967</v>
      </c>
      <c r="J12" s="172">
        <f t="shared" si="2"/>
        <v>329823.64217729412</v>
      </c>
      <c r="K12" s="172">
        <f t="shared" si="2"/>
        <v>355599.50025621807</v>
      </c>
      <c r="L12" s="172">
        <f t="shared" si="2"/>
        <v>381371.64974650281</v>
      </c>
      <c r="M12" s="172">
        <f t="shared" si="2"/>
        <v>406847.27594956919</v>
      </c>
      <c r="O12" s="173" t="s">
        <v>342</v>
      </c>
      <c r="P12" s="192">
        <f>WACC!C8</f>
        <v>6.6799999999999998E-2</v>
      </c>
      <c r="Q12" s="179"/>
      <c r="R12" s="179"/>
    </row>
    <row r="13" spans="2:18" ht="15.75" customHeight="1" x14ac:dyDescent="0.35">
      <c r="B13" s="171" t="s">
        <v>343</v>
      </c>
      <c r="C13" s="175"/>
      <c r="D13" s="193">
        <f>P11</f>
        <v>0.11787691615268658</v>
      </c>
      <c r="E13" s="193">
        <f t="shared" ref="E13:M13" si="3">D13-$P$14</f>
        <v>0.11220170324683251</v>
      </c>
      <c r="F13" s="193">
        <f t="shared" si="3"/>
        <v>0.10652649034097844</v>
      </c>
      <c r="G13" s="193">
        <f t="shared" si="3"/>
        <v>0.10085127743512437</v>
      </c>
      <c r="H13" s="193">
        <f t="shared" si="3"/>
        <v>9.5176064529270299E-2</v>
      </c>
      <c r="I13" s="193">
        <f t="shared" si="3"/>
        <v>8.9500851623416228E-2</v>
      </c>
      <c r="J13" s="193">
        <f t="shared" si="3"/>
        <v>8.3825638717562156E-2</v>
      </c>
      <c r="K13" s="193">
        <f t="shared" si="3"/>
        <v>7.8150425811708085E-2</v>
      </c>
      <c r="L13" s="193">
        <f t="shared" si="3"/>
        <v>7.2475212905854014E-2</v>
      </c>
      <c r="M13" s="193">
        <f t="shared" si="3"/>
        <v>6.6799999999999943E-2</v>
      </c>
      <c r="O13" s="177"/>
      <c r="P13" s="194">
        <f>P11-P12</f>
        <v>5.1076916152686586E-2</v>
      </c>
      <c r="Q13" s="179"/>
      <c r="R13" s="179"/>
    </row>
    <row r="14" spans="2:18" ht="15.75" customHeight="1" x14ac:dyDescent="0.35">
      <c r="B14" s="171"/>
      <c r="C14" s="180"/>
      <c r="D14" s="195"/>
      <c r="E14" s="195"/>
      <c r="F14" s="195"/>
      <c r="G14" s="195"/>
      <c r="H14" s="195"/>
      <c r="I14" s="195"/>
      <c r="J14" s="195"/>
      <c r="K14" s="195"/>
      <c r="L14" s="195"/>
      <c r="M14" s="196"/>
      <c r="O14" s="183" t="s">
        <v>344</v>
      </c>
      <c r="P14" s="192">
        <f>P13/9</f>
        <v>5.6752129058540652E-3</v>
      </c>
      <c r="Q14" s="179"/>
      <c r="R14" s="179"/>
    </row>
    <row r="15" spans="2:18" ht="15" customHeight="1" x14ac:dyDescent="0.35">
      <c r="B15" s="163" t="s">
        <v>346</v>
      </c>
      <c r="C15" s="180"/>
      <c r="D15" s="195"/>
      <c r="E15" s="195"/>
      <c r="F15" s="195"/>
      <c r="G15" s="195"/>
      <c r="H15" s="195"/>
      <c r="I15" s="195"/>
      <c r="J15" s="195"/>
      <c r="K15" s="195"/>
      <c r="L15" s="195"/>
      <c r="M15" s="196"/>
      <c r="O15" s="189"/>
      <c r="P15" s="190"/>
      <c r="Q15" s="179"/>
      <c r="R15" s="179"/>
    </row>
    <row r="16" spans="2:18" ht="15" customHeight="1" x14ac:dyDescent="0.35">
      <c r="B16" s="167" t="s">
        <v>329</v>
      </c>
      <c r="C16" s="168" t="s">
        <v>330</v>
      </c>
      <c r="D16" s="168" t="s">
        <v>331</v>
      </c>
      <c r="E16" s="168" t="s">
        <v>332</v>
      </c>
      <c r="F16" s="168" t="s">
        <v>333</v>
      </c>
      <c r="G16" s="168" t="s">
        <v>334</v>
      </c>
      <c r="H16" s="168" t="s">
        <v>335</v>
      </c>
      <c r="I16" s="168" t="s">
        <v>336</v>
      </c>
      <c r="J16" s="168" t="s">
        <v>337</v>
      </c>
      <c r="K16" s="168" t="s">
        <v>338</v>
      </c>
      <c r="L16" s="168" t="s">
        <v>339</v>
      </c>
      <c r="M16" s="168" t="s">
        <v>340</v>
      </c>
      <c r="O16" s="169" t="s">
        <v>341</v>
      </c>
      <c r="P16" s="197">
        <f>Assumptions!C29</f>
        <v>0.13590448740587308</v>
      </c>
      <c r="Q16" s="179"/>
      <c r="R16" s="179"/>
    </row>
    <row r="17" spans="2:18" ht="15" customHeight="1" x14ac:dyDescent="0.35">
      <c r="B17" s="171" t="s">
        <v>157</v>
      </c>
      <c r="C17" s="172">
        <f>C12</f>
        <v>168400.29</v>
      </c>
      <c r="D17" s="172">
        <f t="shared" ref="D17:M17" si="4">C17*(1+D18)</f>
        <v>191286.64509145037</v>
      </c>
      <c r="E17" s="172">
        <f t="shared" si="4"/>
        <v>215814.60681167824</v>
      </c>
      <c r="F17" s="172">
        <f t="shared" si="4"/>
        <v>241830.61192991474</v>
      </c>
      <c r="G17" s="172">
        <f t="shared" si="4"/>
        <v>269125.95045780996</v>
      </c>
      <c r="H17" s="172">
        <f t="shared" si="4"/>
        <v>297435.68108950573</v>
      </c>
      <c r="I17" s="172">
        <f t="shared" si="4"/>
        <v>326439.55804313225</v>
      </c>
      <c r="J17" s="172">
        <f t="shared" si="4"/>
        <v>355765.19996293698</v>
      </c>
      <c r="K17" s="172">
        <f t="shared" si="4"/>
        <v>384993.64238274709</v>
      </c>
      <c r="L17" s="172">
        <f t="shared" si="4"/>
        <v>413667.30528406793</v>
      </c>
      <c r="M17" s="172">
        <f t="shared" si="4"/>
        <v>441300.28127704363</v>
      </c>
      <c r="O17" s="173" t="s">
        <v>342</v>
      </c>
      <c r="P17" s="197">
        <f>WACC!C8</f>
        <v>6.6799999999999998E-2</v>
      </c>
      <c r="Q17" s="179"/>
      <c r="R17" s="179"/>
    </row>
    <row r="18" spans="2:18" ht="15.75" customHeight="1" x14ac:dyDescent="0.35">
      <c r="B18" s="171" t="s">
        <v>343</v>
      </c>
      <c r="C18" s="175"/>
      <c r="D18" s="193">
        <f>P16</f>
        <v>0.13590448740587308</v>
      </c>
      <c r="E18" s="193">
        <f t="shared" ref="E18:M18" si="5">D18-$P$19</f>
        <v>0.12822621102744272</v>
      </c>
      <c r="F18" s="193">
        <f t="shared" si="5"/>
        <v>0.12054793464901238</v>
      </c>
      <c r="G18" s="193">
        <f t="shared" si="5"/>
        <v>0.11286965827058204</v>
      </c>
      <c r="H18" s="193">
        <f t="shared" si="5"/>
        <v>0.1051913818921517</v>
      </c>
      <c r="I18" s="193">
        <f t="shared" si="5"/>
        <v>9.751310551372136E-2</v>
      </c>
      <c r="J18" s="193">
        <f t="shared" si="5"/>
        <v>8.9834829135291019E-2</v>
      </c>
      <c r="K18" s="193">
        <f t="shared" si="5"/>
        <v>8.2156552756860679E-2</v>
      </c>
      <c r="L18" s="193">
        <f t="shared" si="5"/>
        <v>7.4478276378430339E-2</v>
      </c>
      <c r="M18" s="193">
        <f t="shared" si="5"/>
        <v>6.6799999999999998E-2</v>
      </c>
      <c r="O18" s="177"/>
      <c r="P18" s="198">
        <f>P16-P17</f>
        <v>6.9104487405873077E-2</v>
      </c>
      <c r="Q18" s="179"/>
      <c r="R18" s="179"/>
    </row>
    <row r="19" spans="2:18" ht="15.75" customHeight="1" x14ac:dyDescent="0.35">
      <c r="B19" s="171"/>
      <c r="C19" s="180"/>
      <c r="D19" s="195"/>
      <c r="E19" s="195"/>
      <c r="F19" s="195"/>
      <c r="G19" s="195"/>
      <c r="H19" s="195"/>
      <c r="I19" s="195"/>
      <c r="J19" s="195"/>
      <c r="K19" s="195"/>
      <c r="L19" s="195"/>
      <c r="M19" s="196"/>
      <c r="O19" s="183" t="s">
        <v>344</v>
      </c>
      <c r="P19" s="192">
        <f>P18/9</f>
        <v>7.6782763784303421E-3</v>
      </c>
    </row>
    <row r="20" spans="2:18" ht="15" customHeight="1" x14ac:dyDescent="0.35">
      <c r="B20" s="163" t="s">
        <v>347</v>
      </c>
      <c r="C20" s="199">
        <v>2</v>
      </c>
      <c r="D20" s="195"/>
      <c r="E20" s="195"/>
      <c r="F20" s="195"/>
      <c r="G20" s="195"/>
      <c r="H20" s="195"/>
      <c r="I20" s="195"/>
      <c r="J20" s="195"/>
      <c r="K20" s="195"/>
      <c r="L20" s="195"/>
      <c r="M20" s="196"/>
    </row>
    <row r="21" spans="2:18" ht="15" customHeight="1" x14ac:dyDescent="0.35">
      <c r="B21" s="167" t="s">
        <v>329</v>
      </c>
      <c r="C21" s="168" t="s">
        <v>330</v>
      </c>
      <c r="D21" s="168" t="s">
        <v>331</v>
      </c>
      <c r="E21" s="168" t="s">
        <v>332</v>
      </c>
      <c r="F21" s="168" t="s">
        <v>333</v>
      </c>
      <c r="G21" s="168" t="s">
        <v>334</v>
      </c>
      <c r="H21" s="168" t="s">
        <v>335</v>
      </c>
      <c r="I21" s="168" t="s">
        <v>336</v>
      </c>
      <c r="J21" s="168" t="s">
        <v>337</v>
      </c>
      <c r="K21" s="168" t="s">
        <v>338</v>
      </c>
      <c r="L21" s="168" t="s">
        <v>339</v>
      </c>
      <c r="M21" s="168" t="s">
        <v>340</v>
      </c>
    </row>
    <row r="22" spans="2:18" ht="15" customHeight="1" x14ac:dyDescent="0.35">
      <c r="B22" s="171" t="s">
        <v>157</v>
      </c>
      <c r="C22" s="172">
        <f>C7</f>
        <v>168400.29</v>
      </c>
      <c r="D22" s="172">
        <f t="shared" ref="D22:M22" si="6">C22*(1+D23)</f>
        <v>188250.79686441811</v>
      </c>
      <c r="E22" s="172">
        <f t="shared" si="6"/>
        <v>209372.85691017931</v>
      </c>
      <c r="F22" s="172">
        <f t="shared" si="6"/>
        <v>231676.61252948458</v>
      </c>
      <c r="G22" s="172">
        <f t="shared" si="6"/>
        <v>255041.49485492546</v>
      </c>
      <c r="H22" s="172">
        <f t="shared" si="6"/>
        <v>279315.34062687942</v>
      </c>
      <c r="I22" s="172">
        <f t="shared" si="6"/>
        <v>304314.30148446967</v>
      </c>
      <c r="J22" s="172">
        <f t="shared" si="6"/>
        <v>329823.64217729412</v>
      </c>
      <c r="K22" s="172">
        <f t="shared" si="6"/>
        <v>355599.50025621807</v>
      </c>
      <c r="L22" s="172">
        <f t="shared" si="6"/>
        <v>381371.64974650281</v>
      </c>
      <c r="M22" s="172">
        <f t="shared" si="6"/>
        <v>406847.27594956919</v>
      </c>
    </row>
    <row r="23" spans="2:18" ht="15" customHeight="1" x14ac:dyDescent="0.35">
      <c r="B23" s="171" t="s">
        <v>343</v>
      </c>
      <c r="C23" s="175"/>
      <c r="D23" s="193">
        <f t="shared" ref="D23:M23" si="7">CHOOSE($C$20,D8,D13,D18)</f>
        <v>0.11787691615268658</v>
      </c>
      <c r="E23" s="193">
        <f t="shared" si="7"/>
        <v>0.11220170324683251</v>
      </c>
      <c r="F23" s="193">
        <f t="shared" si="7"/>
        <v>0.10652649034097844</v>
      </c>
      <c r="G23" s="193">
        <f t="shared" si="7"/>
        <v>0.10085127743512437</v>
      </c>
      <c r="H23" s="193">
        <f t="shared" si="7"/>
        <v>9.5176064529270299E-2</v>
      </c>
      <c r="I23" s="193">
        <f t="shared" si="7"/>
        <v>8.9500851623416228E-2</v>
      </c>
      <c r="J23" s="193">
        <f t="shared" si="7"/>
        <v>8.3825638717562156E-2</v>
      </c>
      <c r="K23" s="193">
        <f t="shared" si="7"/>
        <v>7.8150425811708085E-2</v>
      </c>
      <c r="L23" s="193">
        <f t="shared" si="7"/>
        <v>7.2475212905854014E-2</v>
      </c>
      <c r="M23" s="193">
        <f t="shared" si="7"/>
        <v>6.6799999999999943E-2</v>
      </c>
    </row>
  </sheetData>
  <mergeCells count="1">
    <mergeCell ref="B2:M3"/>
  </mergeCell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N48"/>
  <sheetViews>
    <sheetView showGridLines="0" topLeftCell="A2" zoomScale="72" zoomScaleNormal="100" workbookViewId="0">
      <selection activeCell="L14" sqref="L14"/>
    </sheetView>
  </sheetViews>
  <sheetFormatPr defaultColWidth="8.6328125" defaultRowHeight="14.5" x14ac:dyDescent="0.35"/>
  <cols>
    <col min="1" max="1" width="2" style="116" customWidth="1"/>
    <col min="2" max="2" width="24.7265625" style="245" bestFit="1" customWidth="1"/>
    <col min="3" max="6" width="6.7265625" style="116" bestFit="1" customWidth="1"/>
    <col min="7" max="7" width="7.26953125" style="116" bestFit="1" customWidth="1"/>
    <col min="8" max="13" width="6.7265625" style="116" bestFit="1" customWidth="1"/>
    <col min="14" max="14" width="8.7265625" style="116" bestFit="1" customWidth="1"/>
    <col min="15" max="15" width="14" style="116" customWidth="1"/>
    <col min="16" max="16384" width="8.6328125" style="116"/>
  </cols>
  <sheetData>
    <row r="1" spans="2:14" ht="6" customHeight="1" thickBot="1" x14ac:dyDescent="0.4"/>
    <row r="2" spans="2:14" ht="27.75" customHeight="1" thickBot="1" x14ac:dyDescent="0.4">
      <c r="B2" s="440" t="s">
        <v>404</v>
      </c>
      <c r="C2" s="441"/>
      <c r="D2" s="441"/>
      <c r="E2" s="441"/>
      <c r="F2" s="441"/>
      <c r="G2" s="441"/>
      <c r="H2" s="441"/>
      <c r="I2" s="441"/>
      <c r="J2" s="441"/>
      <c r="K2" s="441"/>
      <c r="L2" s="441"/>
      <c r="M2" s="441"/>
      <c r="N2" s="442"/>
    </row>
    <row r="3" spans="2:14" ht="10.5" customHeight="1" x14ac:dyDescent="0.35">
      <c r="B3" s="335"/>
      <c r="C3" s="335"/>
      <c r="D3" s="335"/>
      <c r="E3" s="335"/>
      <c r="F3" s="335"/>
      <c r="G3" s="335"/>
      <c r="H3" s="335"/>
      <c r="I3" s="335"/>
      <c r="J3" s="335"/>
      <c r="K3" s="335"/>
      <c r="L3" s="335"/>
      <c r="M3" s="335"/>
      <c r="N3" s="335"/>
    </row>
    <row r="5" spans="2:14" ht="15.75" customHeight="1" x14ac:dyDescent="0.35">
      <c r="B5" s="330" t="s">
        <v>405</v>
      </c>
      <c r="C5" s="332"/>
      <c r="D5" s="271"/>
      <c r="E5" s="250"/>
      <c r="F5" s="250"/>
      <c r="G5" s="250"/>
      <c r="H5" s="250"/>
      <c r="I5" s="250"/>
      <c r="J5" s="250"/>
      <c r="K5" s="250"/>
      <c r="L5" s="250"/>
      <c r="M5" s="250"/>
      <c r="N5" s="250"/>
    </row>
    <row r="6" spans="2:14" ht="15.75" customHeight="1" x14ac:dyDescent="0.35">
      <c r="B6" s="274" t="s">
        <v>348</v>
      </c>
      <c r="C6" s="259">
        <f>WACC!C8</f>
        <v>6.6799999999999998E-2</v>
      </c>
      <c r="D6" s="242"/>
      <c r="E6" s="242"/>
      <c r="F6" s="272"/>
      <c r="G6" s="272"/>
      <c r="H6" s="272"/>
      <c r="I6" s="272"/>
      <c r="J6" s="272"/>
      <c r="K6" s="272"/>
    </row>
    <row r="7" spans="2:14" ht="15.75" customHeight="1" x14ac:dyDescent="0.35">
      <c r="B7" s="274" t="s">
        <v>349</v>
      </c>
      <c r="C7" s="275">
        <f>WACC!C10</f>
        <v>0.88851666195742096</v>
      </c>
      <c r="D7" s="243"/>
      <c r="E7" s="243"/>
      <c r="F7" s="272"/>
      <c r="G7" s="272"/>
      <c r="H7" s="272"/>
      <c r="I7" s="272"/>
      <c r="J7" s="272"/>
      <c r="K7" s="272"/>
    </row>
    <row r="8" spans="2:14" ht="15.75" customHeight="1" x14ac:dyDescent="0.35">
      <c r="B8" s="274" t="s">
        <v>350</v>
      </c>
      <c r="C8" s="259">
        <f>WACC!C11</f>
        <v>0.12</v>
      </c>
      <c r="D8" s="242"/>
      <c r="E8" s="242"/>
      <c r="F8" s="272"/>
      <c r="G8" s="272"/>
      <c r="H8" s="272"/>
      <c r="I8" s="272"/>
      <c r="J8" s="272"/>
      <c r="K8" s="272"/>
    </row>
    <row r="9" spans="2:14" ht="15.75" customHeight="1" x14ac:dyDescent="0.35">
      <c r="B9" s="274" t="s">
        <v>351</v>
      </c>
      <c r="C9" s="259">
        <f>WACC!C12</f>
        <v>5.3199999999999997E-2</v>
      </c>
      <c r="D9" s="242"/>
      <c r="E9" s="242"/>
      <c r="F9" s="272"/>
      <c r="G9" s="272"/>
      <c r="H9" s="272"/>
      <c r="I9" s="272"/>
      <c r="J9" s="272"/>
      <c r="K9" s="272"/>
    </row>
    <row r="10" spans="2:14" ht="15.75" customHeight="1" x14ac:dyDescent="0.35">
      <c r="B10" s="273" t="s">
        <v>352</v>
      </c>
      <c r="C10" s="276">
        <f>WACC!C13</f>
        <v>0.11406908641613479</v>
      </c>
      <c r="D10" s="244"/>
      <c r="E10" s="244"/>
      <c r="F10" s="272"/>
      <c r="G10" s="272"/>
      <c r="H10" s="272"/>
      <c r="I10" s="272"/>
      <c r="J10" s="272"/>
      <c r="K10" s="272"/>
    </row>
    <row r="11" spans="2:14" ht="6" customHeight="1" x14ac:dyDescent="0.35"/>
    <row r="12" spans="2:14" ht="15.75" customHeight="1" x14ac:dyDescent="0.35">
      <c r="B12" s="333" t="s">
        <v>406</v>
      </c>
      <c r="C12" s="334"/>
      <c r="D12" s="334"/>
      <c r="E12" s="334"/>
      <c r="F12" s="334"/>
      <c r="G12" s="334"/>
      <c r="H12" s="271"/>
      <c r="I12" s="250"/>
      <c r="J12" s="250"/>
      <c r="K12" s="250"/>
      <c r="L12" s="250"/>
      <c r="M12" s="250"/>
      <c r="N12" s="250"/>
    </row>
    <row r="13" spans="2:14" ht="15.75" customHeight="1" x14ac:dyDescent="0.35">
      <c r="B13" s="252" t="s">
        <v>280</v>
      </c>
      <c r="C13" s="253">
        <v>2022</v>
      </c>
      <c r="D13" s="253">
        <v>2023</v>
      </c>
      <c r="E13" s="253">
        <v>2024</v>
      </c>
      <c r="F13" s="253">
        <v>2025</v>
      </c>
      <c r="G13" s="253">
        <v>2026</v>
      </c>
    </row>
    <row r="14" spans="2:14" ht="15.75" customHeight="1" x14ac:dyDescent="0.35">
      <c r="B14" s="254" t="s">
        <v>353</v>
      </c>
      <c r="C14" s="255">
        <f>'Historical FS'!C42</f>
        <v>28.213162023973148</v>
      </c>
      <c r="D14" s="255">
        <f>'Historical FS'!D42</f>
        <v>45.650353009137184</v>
      </c>
      <c r="E14" s="255">
        <f>'Historical FS'!E42</f>
        <v>59.944699832704025</v>
      </c>
      <c r="F14" s="255">
        <f>'Historical FS'!F42</f>
        <v>56.533127364009161</v>
      </c>
      <c r="G14" s="255">
        <f>'Historical FS'!G42</f>
        <v>49.186367080822961</v>
      </c>
    </row>
    <row r="15" spans="2:14" ht="15.75" customHeight="1" x14ac:dyDescent="0.35">
      <c r="B15" s="254" t="s">
        <v>354</v>
      </c>
      <c r="C15" s="256">
        <f>'Historical FS'!C45</f>
        <v>17.500020283218642</v>
      </c>
      <c r="D15" s="256">
        <f>'Historical FS'!D45</f>
        <v>23.250069368607747</v>
      </c>
      <c r="E15" s="256">
        <f>'Historical FS'!E45</f>
        <v>24.50005111371097</v>
      </c>
      <c r="F15" s="256">
        <f>'Historical FS'!F45</f>
        <v>26.350075372440465</v>
      </c>
      <c r="G15" s="256">
        <f>'Historical FS'!G45</f>
        <v>0</v>
      </c>
    </row>
    <row r="16" spans="2:14" ht="15.75" customHeight="1" x14ac:dyDescent="0.35">
      <c r="B16" s="254" t="s">
        <v>355</v>
      </c>
      <c r="C16" s="257">
        <f>'Historical FS'!C46</f>
        <v>0.62027858729016661</v>
      </c>
      <c r="D16" s="257">
        <f>'Historical FS'!D46</f>
        <v>0.5093075482670224</v>
      </c>
      <c r="E16" s="257">
        <f>'Historical FS'!E46</f>
        <v>0.40871088156395236</v>
      </c>
      <c r="F16" s="257">
        <f>'Historical FS'!F46</f>
        <v>0.46609972950507217</v>
      </c>
      <c r="G16" s="257">
        <f>'Historical FS'!G46</f>
        <v>0</v>
      </c>
    </row>
    <row r="17" spans="2:14" ht="15.75" customHeight="1" x14ac:dyDescent="0.35">
      <c r="B17" s="254" t="s">
        <v>356</v>
      </c>
      <c r="C17" s="257">
        <f>'Historical FS'!C48</f>
        <v>0.37972141270983339</v>
      </c>
      <c r="D17" s="257">
        <f>'Historical FS'!D48</f>
        <v>0.4906924517329776</v>
      </c>
      <c r="E17" s="257">
        <f>'Historical FS'!E48</f>
        <v>0.59128911843604759</v>
      </c>
      <c r="F17" s="257">
        <f>'Historical FS'!F48</f>
        <v>0.53390027049492783</v>
      </c>
      <c r="G17" s="257">
        <f>'Historical FS'!G48</f>
        <v>1</v>
      </c>
    </row>
    <row r="18" spans="2:14" ht="15.75" customHeight="1" x14ac:dyDescent="0.35">
      <c r="B18" s="254" t="s">
        <v>357</v>
      </c>
      <c r="C18" s="257">
        <f>'Ratio Analysis'!C27</f>
        <v>0.39681122527576734</v>
      </c>
      <c r="D18" s="257">
        <f>'Ratio Analysis'!D27</f>
        <v>0.48492292672467052</v>
      </c>
      <c r="E18" s="257">
        <f>'Ratio Analysis'!E27</f>
        <v>0.44198923451129973</v>
      </c>
      <c r="F18" s="257">
        <f>'Ratio Analysis'!F27</f>
        <v>0.34857028000507062</v>
      </c>
      <c r="G18" s="257">
        <f>'Ratio Analysis'!G27</f>
        <v>0.25050483630494291</v>
      </c>
    </row>
    <row r="19" spans="2:14" ht="15.75" customHeight="1" x14ac:dyDescent="0.35">
      <c r="B19" s="254" t="s">
        <v>427</v>
      </c>
      <c r="C19" s="257">
        <f>'Ratio Analysis'!C28</f>
        <v>0.15067771904083432</v>
      </c>
      <c r="D19" s="257">
        <f>'Ratio Analysis'!D28</f>
        <v>0.23794801981605962</v>
      </c>
      <c r="E19" s="257">
        <f>'Ratio Analysis'!E28</f>
        <v>0.26134342483240991</v>
      </c>
      <c r="F19" s="257">
        <f>'Ratio Analysis'!F28</f>
        <v>0.18610176678119994</v>
      </c>
      <c r="G19" s="257">
        <f>'Ratio Analysis'!G28</f>
        <v>0.25050483630494291</v>
      </c>
    </row>
    <row r="20" spans="2:14" ht="6" customHeight="1" x14ac:dyDescent="0.35"/>
    <row r="21" spans="2:14" ht="15.75" customHeight="1" x14ac:dyDescent="0.35">
      <c r="B21" s="330" t="s">
        <v>407</v>
      </c>
      <c r="C21" s="331"/>
      <c r="D21" s="331"/>
      <c r="E21" s="331"/>
      <c r="F21" s="331"/>
      <c r="G21" s="331"/>
      <c r="H21" s="331"/>
      <c r="I21" s="331"/>
      <c r="J21" s="331"/>
      <c r="K21" s="331"/>
      <c r="L21" s="332"/>
      <c r="M21" s="250"/>
      <c r="N21" s="250"/>
    </row>
    <row r="22" spans="2:14" ht="13.5" customHeight="1" x14ac:dyDescent="0.35">
      <c r="B22" s="295" t="s">
        <v>408</v>
      </c>
      <c r="C22" s="295"/>
      <c r="D22" s="295"/>
      <c r="E22" s="295"/>
      <c r="F22" s="296" t="s">
        <v>428</v>
      </c>
      <c r="G22" s="297"/>
      <c r="H22" s="297"/>
      <c r="I22" s="297"/>
      <c r="J22" s="297"/>
      <c r="K22" s="298"/>
      <c r="L22" s="270"/>
      <c r="M22" s="250"/>
      <c r="N22" s="250"/>
    </row>
    <row r="23" spans="2:14" ht="15.75" customHeight="1" x14ac:dyDescent="0.35">
      <c r="B23" s="305" t="s">
        <v>409</v>
      </c>
      <c r="C23" s="305"/>
      <c r="D23" s="305"/>
      <c r="E23" s="258">
        <f>'Historical FS'!F45</f>
        <v>26.350075372440465</v>
      </c>
      <c r="F23" s="305" t="s">
        <v>412</v>
      </c>
      <c r="G23" s="305"/>
      <c r="H23" s="305"/>
      <c r="I23" s="259">
        <v>0.04</v>
      </c>
      <c r="J23" s="260"/>
      <c r="K23" s="251"/>
      <c r="L23" s="246"/>
    </row>
    <row r="24" spans="2:14" ht="15.75" customHeight="1" x14ac:dyDescent="0.35">
      <c r="B24" s="305" t="s">
        <v>410</v>
      </c>
      <c r="C24" s="305"/>
      <c r="D24" s="305"/>
      <c r="E24" s="259">
        <v>0.08</v>
      </c>
      <c r="F24" s="305" t="s">
        <v>413</v>
      </c>
      <c r="G24" s="305"/>
      <c r="H24" s="305"/>
      <c r="I24" s="259">
        <f>C10</f>
        <v>0.11406908641613479</v>
      </c>
      <c r="J24" s="261"/>
      <c r="K24" s="241"/>
      <c r="L24" s="246"/>
    </row>
    <row r="25" spans="2:14" ht="15.75" customHeight="1" x14ac:dyDescent="0.35">
      <c r="B25" s="305" t="s">
        <v>411</v>
      </c>
      <c r="C25" s="305"/>
      <c r="D25" s="305"/>
      <c r="E25" s="259">
        <f>'Historical FS'!F46</f>
        <v>0.46609972950507217</v>
      </c>
      <c r="F25" s="326"/>
      <c r="G25" s="327"/>
      <c r="H25" s="327"/>
      <c r="I25" s="327"/>
      <c r="J25" s="328"/>
      <c r="K25" s="328"/>
      <c r="L25" s="329"/>
    </row>
    <row r="26" spans="2:14" ht="15.75" customHeight="1" x14ac:dyDescent="0.35">
      <c r="B26" s="305" t="s">
        <v>352</v>
      </c>
      <c r="C26" s="305"/>
      <c r="D26" s="305"/>
      <c r="E26" s="259">
        <f>C10</f>
        <v>0.11406908641613479</v>
      </c>
      <c r="F26" s="247"/>
      <c r="G26" s="248"/>
      <c r="H26" s="248"/>
      <c r="I26" s="248"/>
      <c r="J26" s="248"/>
      <c r="K26" s="248"/>
      <c r="L26" s="249"/>
    </row>
    <row r="27" spans="2:14" ht="12" customHeight="1" x14ac:dyDescent="0.35"/>
    <row r="28" spans="2:14" ht="15.75" customHeight="1" x14ac:dyDescent="0.35">
      <c r="B28" s="321" t="s">
        <v>415</v>
      </c>
      <c r="C28" s="321"/>
      <c r="D28" s="321"/>
      <c r="E28" s="321"/>
      <c r="F28" s="321"/>
      <c r="G28" s="321"/>
      <c r="H28" s="321"/>
      <c r="I28" s="321"/>
      <c r="J28" s="321"/>
      <c r="K28" s="321"/>
      <c r="L28" s="321"/>
      <c r="M28" s="321"/>
      <c r="N28" s="321"/>
    </row>
    <row r="29" spans="2:14" ht="30" customHeight="1" x14ac:dyDescent="0.35">
      <c r="B29" s="268" t="s">
        <v>280</v>
      </c>
      <c r="C29" s="269">
        <v>2026</v>
      </c>
      <c r="D29" s="269">
        <v>2027</v>
      </c>
      <c r="E29" s="269">
        <v>2028</v>
      </c>
      <c r="F29" s="269">
        <v>2029</v>
      </c>
      <c r="G29" s="269">
        <v>2030</v>
      </c>
      <c r="H29" s="269">
        <v>2031</v>
      </c>
      <c r="I29" s="269">
        <v>2032</v>
      </c>
      <c r="J29" s="269">
        <v>2033</v>
      </c>
      <c r="K29" s="269">
        <v>2034</v>
      </c>
      <c r="L29" s="269">
        <v>2035</v>
      </c>
      <c r="M29" s="269">
        <v>2036</v>
      </c>
      <c r="N29" s="269" t="s">
        <v>358</v>
      </c>
    </row>
    <row r="30" spans="2:14" ht="13.5" customHeight="1" x14ac:dyDescent="0.35">
      <c r="B30" s="267"/>
      <c r="C30" s="322" t="s">
        <v>417</v>
      </c>
      <c r="D30" s="323"/>
      <c r="E30" s="323"/>
      <c r="F30" s="323"/>
      <c r="G30" s="324"/>
      <c r="H30" s="322" t="s">
        <v>416</v>
      </c>
      <c r="I30" s="323"/>
      <c r="J30" s="323"/>
      <c r="K30" s="323"/>
      <c r="L30" s="323"/>
      <c r="M30" s="323"/>
      <c r="N30" s="325"/>
    </row>
    <row r="31" spans="2:14" ht="13.5" customHeight="1" x14ac:dyDescent="0.35">
      <c r="B31" s="254" t="s">
        <v>418</v>
      </c>
      <c r="C31" s="262">
        <v>1</v>
      </c>
      <c r="D31" s="262">
        <v>2</v>
      </c>
      <c r="E31" s="262">
        <v>3</v>
      </c>
      <c r="F31" s="262">
        <v>4</v>
      </c>
      <c r="G31" s="262">
        <v>5</v>
      </c>
      <c r="H31" s="262">
        <v>6</v>
      </c>
      <c r="I31" s="262">
        <v>7</v>
      </c>
      <c r="J31" s="262">
        <v>8</v>
      </c>
      <c r="K31" s="262">
        <v>9</v>
      </c>
      <c r="L31" s="262">
        <v>10</v>
      </c>
      <c r="M31" s="262">
        <v>10</v>
      </c>
      <c r="N31" s="117"/>
    </row>
    <row r="32" spans="2:14" ht="13.5" customHeight="1" x14ac:dyDescent="0.35">
      <c r="B32" s="254" t="s">
        <v>359</v>
      </c>
      <c r="C32" s="257">
        <f>$E$24</f>
        <v>0.08</v>
      </c>
      <c r="D32" s="257">
        <f>$E$24</f>
        <v>0.08</v>
      </c>
      <c r="E32" s="257">
        <f>$E$24</f>
        <v>0.08</v>
      </c>
      <c r="F32" s="257">
        <f>$E$24</f>
        <v>0.08</v>
      </c>
      <c r="G32" s="257">
        <f>$E$24</f>
        <v>0.08</v>
      </c>
      <c r="H32" s="257">
        <f t="shared" ref="H32:N32" si="0">$I$23</f>
        <v>0.04</v>
      </c>
      <c r="I32" s="257">
        <f t="shared" si="0"/>
        <v>0.04</v>
      </c>
      <c r="J32" s="257">
        <f t="shared" si="0"/>
        <v>0.04</v>
      </c>
      <c r="K32" s="257">
        <f t="shared" si="0"/>
        <v>0.04</v>
      </c>
      <c r="L32" s="257">
        <f t="shared" si="0"/>
        <v>0.04</v>
      </c>
      <c r="M32" s="257">
        <f t="shared" si="0"/>
        <v>0.04</v>
      </c>
      <c r="N32" s="257">
        <f t="shared" si="0"/>
        <v>0.04</v>
      </c>
    </row>
    <row r="33" spans="2:14" ht="18" customHeight="1" x14ac:dyDescent="0.35">
      <c r="B33" s="252" t="s">
        <v>419</v>
      </c>
      <c r="C33" s="263">
        <f>$E$23*(1+$E$24)^1</f>
        <v>28.458081402235702</v>
      </c>
      <c r="D33" s="263">
        <f>$E$23*(1+$E$24)^2</f>
        <v>30.73472791441456</v>
      </c>
      <c r="E33" s="263">
        <f>$E$23*(1+$E$24)^3</f>
        <v>33.193506147567724</v>
      </c>
      <c r="F33" s="263">
        <f>$E$23*(1+$E$24)^4</f>
        <v>35.848986639373152</v>
      </c>
      <c r="G33" s="263">
        <f>$E$23*(1+$E$24)^5</f>
        <v>38.716905570523004</v>
      </c>
      <c r="H33" s="263">
        <f>$G$33*(1+$I$23)^1</f>
        <v>40.265581793343927</v>
      </c>
      <c r="I33" s="263">
        <f>$G$33*(1+$I$23)^2</f>
        <v>41.876205065077684</v>
      </c>
      <c r="J33" s="263">
        <f>$G$33*(1+$I$23)^3</f>
        <v>43.551253267680792</v>
      </c>
      <c r="K33" s="263">
        <f>$G$33*(1+$I$23)^4</f>
        <v>45.293303398388026</v>
      </c>
      <c r="L33" s="263">
        <f>$G$33*(1+$I$23)^5</f>
        <v>47.105035534323555</v>
      </c>
      <c r="M33" s="263">
        <f>$G$33*(1+$I$23)^5</f>
        <v>47.105035534323555</v>
      </c>
      <c r="N33" s="117"/>
    </row>
    <row r="34" spans="2:14" ht="15.75" customHeight="1" x14ac:dyDescent="0.35">
      <c r="B34" s="254" t="s">
        <v>420</v>
      </c>
      <c r="C34" s="264">
        <f>1/(1+$E$26)^1</f>
        <v>0.89761040153884408</v>
      </c>
      <c r="D34" s="264">
        <f>1/(1+$E$26)^2</f>
        <v>0.80570443295072491</v>
      </c>
      <c r="E34" s="264">
        <f>1/(1+$E$26)^3</f>
        <v>0.72320867958252688</v>
      </c>
      <c r="F34" s="264">
        <f>1/(1+$E$26)^4</f>
        <v>0.6491596332764491</v>
      </c>
      <c r="G34" s="264">
        <f>1/(1+$E$26)^5</f>
        <v>0.58269243908808221</v>
      </c>
      <c r="H34" s="264">
        <f>1/(1+$E$26)^6</f>
        <v>0.52303079422350196</v>
      </c>
      <c r="I34" s="264">
        <f>1/(1+$E$26)^7</f>
        <v>0.46947788122013806</v>
      </c>
      <c r="J34" s="264">
        <f>1/(1+$E$26)^8</f>
        <v>0.4214082294756139</v>
      </c>
      <c r="K34" s="264">
        <f>1/(1+$E$26)^9</f>
        <v>0.37826041007137912</v>
      </c>
      <c r="L34" s="264">
        <f>1/(1+$E$26)^10</f>
        <v>0.33953047857041846</v>
      </c>
      <c r="M34" s="264">
        <f>1/(1+$E$26)^10</f>
        <v>0.33953047857041846</v>
      </c>
      <c r="N34" s="117"/>
    </row>
    <row r="35" spans="2:14" ht="15.75" customHeight="1" x14ac:dyDescent="0.35">
      <c r="B35" s="252" t="s">
        <v>421</v>
      </c>
      <c r="C35" s="263">
        <f t="shared" ref="C35:L35" si="1">C33*C34</f>
        <v>25.544269874485899</v>
      </c>
      <c r="D35" s="263">
        <f t="shared" si="1"/>
        <v>24.763106526178198</v>
      </c>
      <c r="E35" s="263">
        <f t="shared" si="1"/>
        <v>24.005831751696942</v>
      </c>
      <c r="F35" s="263">
        <f t="shared" si="1"/>
        <v>23.271715020147798</v>
      </c>
      <c r="G35" s="263">
        <f t="shared" si="1"/>
        <v>22.560048140831007</v>
      </c>
      <c r="H35" s="263">
        <f t="shared" si="1"/>
        <v>21.060139225244054</v>
      </c>
      <c r="I35" s="263">
        <f t="shared" si="1"/>
        <v>19.659952027492686</v>
      </c>
      <c r="J35" s="263">
        <f t="shared" si="1"/>
        <v>18.352856530977409</v>
      </c>
      <c r="K35" s="263">
        <f t="shared" si="1"/>
        <v>17.132663516961646</v>
      </c>
      <c r="L35" s="263">
        <f t="shared" si="1"/>
        <v>15.993595258045444</v>
      </c>
      <c r="M35" s="265">
        <f>M33*(1+$I$23)/($I$24-$I$23)</f>
        <v>661.39923314924204</v>
      </c>
      <c r="N35" s="265">
        <f>M35*M34</f>
        <v>224.56519815726992</v>
      </c>
    </row>
    <row r="36" spans="2:14" ht="6" customHeight="1" x14ac:dyDescent="0.35"/>
    <row r="37" spans="2:14" ht="15.75" customHeight="1" x14ac:dyDescent="0.35">
      <c r="B37" s="299" t="s">
        <v>414</v>
      </c>
      <c r="C37" s="300"/>
      <c r="D37" s="300"/>
      <c r="E37" s="300"/>
      <c r="F37" s="300"/>
      <c r="G37" s="300"/>
      <c r="H37" s="300"/>
      <c r="I37" s="301"/>
      <c r="J37" s="266"/>
      <c r="K37" s="266"/>
      <c r="L37" s="266"/>
      <c r="M37" s="266"/>
      <c r="N37" s="266"/>
    </row>
    <row r="38" spans="2:14" ht="15.75" customHeight="1" x14ac:dyDescent="0.35">
      <c r="B38" s="305" t="s">
        <v>423</v>
      </c>
      <c r="C38" s="305"/>
      <c r="D38" s="305"/>
      <c r="E38" s="305"/>
      <c r="F38" s="305"/>
      <c r="G38" s="314">
        <f>SUM(C35:G35)</f>
        <v>120.14497131333985</v>
      </c>
      <c r="H38" s="314"/>
      <c r="I38" s="314"/>
      <c r="J38" s="307"/>
      <c r="K38" s="307"/>
      <c r="L38" s="307"/>
      <c r="M38" s="307"/>
      <c r="N38" s="307"/>
    </row>
    <row r="39" spans="2:14" ht="15.75" customHeight="1" x14ac:dyDescent="0.35">
      <c r="B39" s="305" t="s">
        <v>422</v>
      </c>
      <c r="C39" s="305"/>
      <c r="D39" s="305"/>
      <c r="E39" s="305"/>
      <c r="F39" s="305"/>
      <c r="G39" s="314">
        <f>SUM(H35:L35)</f>
        <v>92.199206558721229</v>
      </c>
      <c r="H39" s="314"/>
      <c r="I39" s="314"/>
      <c r="J39" s="307"/>
      <c r="K39" s="320"/>
      <c r="L39" s="320"/>
      <c r="M39" s="320"/>
      <c r="N39" s="320"/>
    </row>
    <row r="40" spans="2:14" ht="15.75" customHeight="1" x14ac:dyDescent="0.35">
      <c r="B40" s="305" t="s">
        <v>424</v>
      </c>
      <c r="C40" s="305"/>
      <c r="D40" s="305"/>
      <c r="E40" s="305"/>
      <c r="F40" s="305"/>
      <c r="G40" s="314">
        <f>N35</f>
        <v>224.56519815726992</v>
      </c>
      <c r="H40" s="314"/>
      <c r="I40" s="315"/>
      <c r="J40" s="307"/>
      <c r="K40" s="307"/>
      <c r="L40" s="307"/>
      <c r="M40" s="307"/>
      <c r="N40" s="307"/>
    </row>
    <row r="41" spans="2:14" ht="15.75" customHeight="1" x14ac:dyDescent="0.35">
      <c r="B41" s="316" t="s">
        <v>360</v>
      </c>
      <c r="C41" s="316"/>
      <c r="D41" s="316"/>
      <c r="E41" s="316"/>
      <c r="F41" s="316"/>
      <c r="G41" s="317">
        <f>G38+G39+G40</f>
        <v>436.90937602933104</v>
      </c>
      <c r="H41" s="317"/>
      <c r="I41" s="318"/>
      <c r="J41" s="319"/>
      <c r="K41" s="319"/>
      <c r="L41" s="319"/>
      <c r="M41" s="319"/>
      <c r="N41" s="319"/>
    </row>
    <row r="42" spans="2:14" ht="6" customHeight="1" x14ac:dyDescent="0.35"/>
    <row r="43" spans="2:14" ht="15.75" customHeight="1" x14ac:dyDescent="0.35">
      <c r="B43" s="299" t="s">
        <v>425</v>
      </c>
      <c r="C43" s="300"/>
      <c r="D43" s="300"/>
      <c r="E43" s="300"/>
      <c r="F43" s="300"/>
      <c r="G43" s="300"/>
      <c r="H43" s="300"/>
      <c r="I43" s="301"/>
      <c r="J43" s="250"/>
      <c r="K43" s="250"/>
      <c r="L43" s="250"/>
      <c r="M43" s="250"/>
      <c r="N43" s="250"/>
    </row>
    <row r="44" spans="2:14" ht="15.75" customHeight="1" x14ac:dyDescent="0.35">
      <c r="B44" s="305" t="s">
        <v>361</v>
      </c>
      <c r="C44" s="305"/>
      <c r="D44" s="305"/>
      <c r="E44" s="305"/>
      <c r="F44" s="305"/>
      <c r="G44" s="311">
        <v>458</v>
      </c>
      <c r="H44" s="311"/>
      <c r="I44" s="311"/>
      <c r="J44" s="307"/>
      <c r="K44" s="307"/>
      <c r="L44" s="307"/>
      <c r="M44" s="307"/>
      <c r="N44" s="307"/>
    </row>
    <row r="45" spans="2:14" ht="15.75" customHeight="1" x14ac:dyDescent="0.35">
      <c r="B45" s="305" t="s">
        <v>362</v>
      </c>
      <c r="C45" s="305"/>
      <c r="D45" s="305"/>
      <c r="E45" s="305"/>
      <c r="F45" s="305"/>
      <c r="G45" s="312">
        <f>G41</f>
        <v>436.90937602933104</v>
      </c>
      <c r="H45" s="312"/>
      <c r="I45" s="312"/>
      <c r="J45" s="313"/>
      <c r="K45" s="313"/>
      <c r="L45" s="313"/>
      <c r="M45" s="313"/>
      <c r="N45" s="313"/>
    </row>
    <row r="46" spans="2:14" ht="15.75" customHeight="1" x14ac:dyDescent="0.35">
      <c r="B46" s="305" t="s">
        <v>363</v>
      </c>
      <c r="C46" s="305"/>
      <c r="D46" s="305"/>
      <c r="E46" s="305"/>
      <c r="F46" s="305"/>
      <c r="G46" s="306">
        <f>IFERROR((G45-G44)/G45,0)</f>
        <v>-4.8272308006622133E-2</v>
      </c>
      <c r="H46" s="306"/>
      <c r="I46" s="306"/>
      <c r="J46" s="307"/>
      <c r="K46" s="307"/>
      <c r="L46" s="307"/>
      <c r="M46" s="307"/>
      <c r="N46" s="307"/>
    </row>
    <row r="47" spans="2:14" ht="19.5" customHeight="1" x14ac:dyDescent="0.35">
      <c r="B47" s="308" t="s">
        <v>364</v>
      </c>
      <c r="C47" s="309"/>
      <c r="D47" s="309"/>
      <c r="E47" s="309"/>
      <c r="F47" s="310"/>
      <c r="G47" s="302" t="s">
        <v>426</v>
      </c>
      <c r="H47" s="303"/>
      <c r="I47" s="304"/>
      <c r="J47" s="250"/>
      <c r="K47" s="250"/>
      <c r="L47" s="250"/>
      <c r="M47" s="250"/>
      <c r="N47" s="250"/>
    </row>
    <row r="48" spans="2:14" ht="6" customHeight="1" x14ac:dyDescent="0.35"/>
  </sheetData>
  <mergeCells count="43">
    <mergeCell ref="B23:D23"/>
    <mergeCell ref="F23:H23"/>
    <mergeCell ref="B21:L21"/>
    <mergeCell ref="B12:G12"/>
    <mergeCell ref="B2:N2"/>
    <mergeCell ref="B3:N3"/>
    <mergeCell ref="B5:C5"/>
    <mergeCell ref="B26:D26"/>
    <mergeCell ref="B28:N28"/>
    <mergeCell ref="C30:G30"/>
    <mergeCell ref="H30:N30"/>
    <mergeCell ref="B24:D24"/>
    <mergeCell ref="F24:H24"/>
    <mergeCell ref="B25:D25"/>
    <mergeCell ref="F25:H25"/>
    <mergeCell ref="I25:L25"/>
    <mergeCell ref="B38:F38"/>
    <mergeCell ref="G38:I38"/>
    <mergeCell ref="J38:N38"/>
    <mergeCell ref="B39:F39"/>
    <mergeCell ref="G39:I39"/>
    <mergeCell ref="J39:N39"/>
    <mergeCell ref="G40:I40"/>
    <mergeCell ref="J40:N40"/>
    <mergeCell ref="B41:F41"/>
    <mergeCell ref="G41:I41"/>
    <mergeCell ref="J41:N41"/>
    <mergeCell ref="B22:E22"/>
    <mergeCell ref="F22:K22"/>
    <mergeCell ref="B43:I43"/>
    <mergeCell ref="B37:I37"/>
    <mergeCell ref="G47:I47"/>
    <mergeCell ref="B46:F46"/>
    <mergeCell ref="G46:I46"/>
    <mergeCell ref="J46:N46"/>
    <mergeCell ref="B47:F47"/>
    <mergeCell ref="B44:F44"/>
    <mergeCell ref="G44:I44"/>
    <mergeCell ref="J44:N44"/>
    <mergeCell ref="B45:F45"/>
    <mergeCell ref="G45:I45"/>
    <mergeCell ref="J45:N45"/>
    <mergeCell ref="B40:F40"/>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R34"/>
  <sheetViews>
    <sheetView showGridLines="0" tabSelected="1" zoomScale="47" zoomScaleNormal="86" workbookViewId="0">
      <selection activeCell="M38" sqref="M38"/>
    </sheetView>
  </sheetViews>
  <sheetFormatPr defaultColWidth="15.6328125" defaultRowHeight="14.5" x14ac:dyDescent="0.35"/>
  <cols>
    <col min="1" max="1" width="3.54296875" customWidth="1"/>
    <col min="17" max="17" width="29.1796875" customWidth="1"/>
  </cols>
  <sheetData>
    <row r="1" spans="2:18" ht="24" customHeight="1" x14ac:dyDescent="0.6">
      <c r="B1" s="443" t="s">
        <v>365</v>
      </c>
      <c r="C1" s="443"/>
      <c r="D1" s="443"/>
      <c r="E1" s="443"/>
      <c r="F1" s="443"/>
      <c r="G1" s="443"/>
      <c r="H1" s="443"/>
      <c r="I1" s="443"/>
      <c r="J1" s="443"/>
      <c r="K1" s="443"/>
      <c r="L1" s="443"/>
      <c r="M1" s="443"/>
    </row>
    <row r="2" spans="2:18" ht="14.25" customHeight="1" x14ac:dyDescent="0.35">
      <c r="D2" s="200">
        <v>1</v>
      </c>
      <c r="E2" s="200">
        <v>2</v>
      </c>
      <c r="F2" s="200">
        <v>3</v>
      </c>
      <c r="G2" s="200">
        <v>4</v>
      </c>
      <c r="H2" s="200">
        <v>5</v>
      </c>
      <c r="I2" s="200">
        <v>6</v>
      </c>
      <c r="J2" s="200">
        <v>7</v>
      </c>
      <c r="K2" s="200">
        <v>8</v>
      </c>
      <c r="L2" s="200">
        <v>9</v>
      </c>
      <c r="M2" s="200">
        <v>10</v>
      </c>
    </row>
    <row r="3" spans="2:18" ht="14.25" customHeight="1" x14ac:dyDescent="0.35">
      <c r="B3" s="201" t="s">
        <v>366</v>
      </c>
      <c r="C3" s="202" t="s">
        <v>330</v>
      </c>
      <c r="D3" s="202" t="s">
        <v>331</v>
      </c>
      <c r="E3" s="202" t="s">
        <v>332</v>
      </c>
      <c r="F3" s="202" t="s">
        <v>333</v>
      </c>
      <c r="G3" s="202" t="s">
        <v>334</v>
      </c>
      <c r="H3" s="202" t="s">
        <v>335</v>
      </c>
      <c r="I3" s="202" t="s">
        <v>336</v>
      </c>
      <c r="J3" s="202" t="s">
        <v>337</v>
      </c>
      <c r="K3" s="202" t="s">
        <v>338</v>
      </c>
      <c r="L3" s="202" t="s">
        <v>339</v>
      </c>
      <c r="M3" s="202" t="s">
        <v>340</v>
      </c>
      <c r="N3" s="203"/>
      <c r="O3" s="201" t="s">
        <v>367</v>
      </c>
      <c r="Q3" s="204" t="s">
        <v>368</v>
      </c>
      <c r="R3" s="205">
        <v>6.7000000000000004E-2</v>
      </c>
    </row>
    <row r="4" spans="2:18" ht="14.25" customHeight="1" x14ac:dyDescent="0.35">
      <c r="B4" s="206" t="s">
        <v>369</v>
      </c>
      <c r="C4" s="207">
        <f>'Growth Scenarios'!C22</f>
        <v>168400.29</v>
      </c>
      <c r="D4" s="207">
        <f>'Growth Scenarios'!D22</f>
        <v>188250.79686441811</v>
      </c>
      <c r="E4" s="207">
        <f>'Growth Scenarios'!E22</f>
        <v>209372.85691017931</v>
      </c>
      <c r="F4" s="207">
        <f>'Growth Scenarios'!F22</f>
        <v>231676.61252948458</v>
      </c>
      <c r="G4" s="207">
        <f>'Growth Scenarios'!G22</f>
        <v>255041.49485492546</v>
      </c>
      <c r="H4" s="207">
        <f>'Growth Scenarios'!H22</f>
        <v>279315.34062687942</v>
      </c>
      <c r="I4" s="207">
        <f>'Growth Scenarios'!I22</f>
        <v>304314.30148446967</v>
      </c>
      <c r="J4" s="207">
        <f>'Growth Scenarios'!J22</f>
        <v>329823.64217729412</v>
      </c>
      <c r="K4" s="207">
        <f>'Growth Scenarios'!K22</f>
        <v>355599.50025621807</v>
      </c>
      <c r="L4" s="207">
        <f>'Growth Scenarios'!L22</f>
        <v>381371.64974650281</v>
      </c>
      <c r="M4" s="207">
        <f>'Growth Scenarios'!M22</f>
        <v>406847.27594956919</v>
      </c>
      <c r="O4" s="208">
        <f>M4*(1+R3)</f>
        <v>434106.0434381903</v>
      </c>
      <c r="Q4" s="209" t="s">
        <v>370</v>
      </c>
      <c r="R4" s="210">
        <f>WACC!C37</f>
        <v>0.11182503524454974</v>
      </c>
    </row>
    <row r="5" spans="2:18" ht="14.25" customHeight="1" x14ac:dyDescent="0.35">
      <c r="B5" s="206" t="s">
        <v>120</v>
      </c>
      <c r="C5" s="41"/>
      <c r="D5" s="211">
        <f>'Growth Scenarios'!D23</f>
        <v>0.11787691615268658</v>
      </c>
      <c r="E5" s="211">
        <f>'Growth Scenarios'!E23</f>
        <v>0.11220170324683251</v>
      </c>
      <c r="F5" s="211">
        <f>'Growth Scenarios'!F23</f>
        <v>0.10652649034097844</v>
      </c>
      <c r="G5" s="211">
        <f>'Growth Scenarios'!G23</f>
        <v>0.10085127743512437</v>
      </c>
      <c r="H5" s="211">
        <f>'Growth Scenarios'!H23</f>
        <v>9.5176064529270299E-2</v>
      </c>
      <c r="I5" s="211">
        <f>'Growth Scenarios'!I23</f>
        <v>8.9500851623416228E-2</v>
      </c>
      <c r="J5" s="211">
        <f>'Growth Scenarios'!J23</f>
        <v>8.3825638717562156E-2</v>
      </c>
      <c r="K5" s="211">
        <f>'Growth Scenarios'!K23</f>
        <v>7.8150425811708085E-2</v>
      </c>
      <c r="L5" s="211">
        <f>'Growth Scenarios'!L23</f>
        <v>7.2475212905854014E-2</v>
      </c>
      <c r="M5" s="211">
        <f>'Growth Scenarios'!M23</f>
        <v>6.6799999999999943E-2</v>
      </c>
      <c r="O5" s="212">
        <f>R3</f>
        <v>6.7000000000000004E-2</v>
      </c>
      <c r="Q5" s="213" t="s">
        <v>371</v>
      </c>
      <c r="R5" s="214">
        <f>R3*R4</f>
        <v>7.492277361384833E-3</v>
      </c>
    </row>
    <row r="6" spans="2:18" ht="14.25" customHeight="1" x14ac:dyDescent="0.35">
      <c r="B6" s="206" t="s">
        <v>169</v>
      </c>
      <c r="C6" s="41"/>
      <c r="D6" s="215">
        <f t="shared" ref="D6:M6" si="0">D7*D4</f>
        <v>47997.496457964669</v>
      </c>
      <c r="E6" s="215">
        <f t="shared" si="0"/>
        <v>53382.897312132118</v>
      </c>
      <c r="F6" s="215">
        <f t="shared" si="0"/>
        <v>59069.590007026403</v>
      </c>
      <c r="G6" s="215">
        <f t="shared" si="0"/>
        <v>65026.833616804077</v>
      </c>
      <c r="H6" s="215">
        <f t="shared" si="0"/>
        <v>71215.831729251149</v>
      </c>
      <c r="I6" s="215">
        <f t="shared" si="0"/>
        <v>77589.709318089022</v>
      </c>
      <c r="J6" s="215">
        <f t="shared" si="0"/>
        <v>84093.716259587818</v>
      </c>
      <c r="K6" s="215">
        <f t="shared" si="0"/>
        <v>90665.675993363562</v>
      </c>
      <c r="L6" s="215">
        <f t="shared" si="0"/>
        <v>97236.69016423577</v>
      </c>
      <c r="M6" s="215">
        <f t="shared" si="0"/>
        <v>103732.10106720672</v>
      </c>
      <c r="O6" s="216">
        <f>O7*O4</f>
        <v>110682.15183870956</v>
      </c>
      <c r="Q6" s="217"/>
    </row>
    <row r="7" spans="2:18" ht="14.25" customHeight="1" x14ac:dyDescent="0.35">
      <c r="B7" s="206" t="s">
        <v>372</v>
      </c>
      <c r="C7" s="41"/>
      <c r="D7" s="211">
        <f>AVERAGE('Historical FS'!C35:G35)</f>
        <v>0.25496570138044833</v>
      </c>
      <c r="E7" s="211">
        <f t="shared" ref="E7:M7" si="1">D7</f>
        <v>0.25496570138044833</v>
      </c>
      <c r="F7" s="211">
        <f t="shared" si="1"/>
        <v>0.25496570138044833</v>
      </c>
      <c r="G7" s="211">
        <f t="shared" si="1"/>
        <v>0.25496570138044833</v>
      </c>
      <c r="H7" s="211">
        <f t="shared" si="1"/>
        <v>0.25496570138044833</v>
      </c>
      <c r="I7" s="211">
        <f t="shared" si="1"/>
        <v>0.25496570138044833</v>
      </c>
      <c r="J7" s="211">
        <f t="shared" si="1"/>
        <v>0.25496570138044833</v>
      </c>
      <c r="K7" s="211">
        <f t="shared" si="1"/>
        <v>0.25496570138044833</v>
      </c>
      <c r="L7" s="211">
        <f t="shared" si="1"/>
        <v>0.25496570138044833</v>
      </c>
      <c r="M7" s="211">
        <f t="shared" si="1"/>
        <v>0.25496570138044833</v>
      </c>
      <c r="O7" s="212">
        <f>M7</f>
        <v>0.25496570138044833</v>
      </c>
      <c r="Q7" s="217"/>
    </row>
    <row r="8" spans="2:18" ht="14.25" customHeight="1" x14ac:dyDescent="0.35">
      <c r="B8" s="206" t="s">
        <v>373</v>
      </c>
      <c r="C8" s="41"/>
      <c r="D8" s="207">
        <f>D6*Assumptions!$C$16</f>
        <v>11999.374114491167</v>
      </c>
      <c r="E8" s="207">
        <f>E6*Assumptions!$C$16</f>
        <v>13345.724328033029</v>
      </c>
      <c r="F8" s="207">
        <f>F6*Assumptions!$C$16</f>
        <v>14767.397501756601</v>
      </c>
      <c r="G8" s="207">
        <f>G6*Assumptions!$C$16</f>
        <v>16256.708404201019</v>
      </c>
      <c r="H8" s="207">
        <f>H6*Assumptions!$C$16</f>
        <v>17803.957932312787</v>
      </c>
      <c r="I8" s="207">
        <f>I6*Assumptions!$C$16</f>
        <v>19397.427329522256</v>
      </c>
      <c r="J8" s="207">
        <f>J6*Assumptions!$C$16</f>
        <v>21023.429064896955</v>
      </c>
      <c r="K8" s="207">
        <f>K6*Assumptions!$C$16</f>
        <v>22666.418998340891</v>
      </c>
      <c r="L8" s="207">
        <f>L6*Assumptions!$C$16</f>
        <v>24309.172541058942</v>
      </c>
      <c r="M8" s="207">
        <f>M6*Assumptions!$C$16</f>
        <v>25933.02526680168</v>
      </c>
      <c r="O8" s="216">
        <f>25%*O6</f>
        <v>27670.537959677389</v>
      </c>
    </row>
    <row r="9" spans="2:18" ht="14.25" customHeight="1" x14ac:dyDescent="0.35">
      <c r="B9" s="218" t="s">
        <v>374</v>
      </c>
      <c r="C9" s="201"/>
      <c r="D9" s="219">
        <f t="shared" ref="D9:M9" si="2">D6-D8</f>
        <v>35998.1223434735</v>
      </c>
      <c r="E9" s="219">
        <f t="shared" si="2"/>
        <v>40037.172984099088</v>
      </c>
      <c r="F9" s="219">
        <f t="shared" si="2"/>
        <v>44302.192505269806</v>
      </c>
      <c r="G9" s="219">
        <f t="shared" si="2"/>
        <v>48770.125212603059</v>
      </c>
      <c r="H9" s="219">
        <f t="shared" si="2"/>
        <v>53411.873796938366</v>
      </c>
      <c r="I9" s="219">
        <f t="shared" si="2"/>
        <v>58192.28198856677</v>
      </c>
      <c r="J9" s="219">
        <f t="shared" si="2"/>
        <v>63070.287194690864</v>
      </c>
      <c r="K9" s="219">
        <f t="shared" si="2"/>
        <v>67999.256995022675</v>
      </c>
      <c r="L9" s="219">
        <f t="shared" si="2"/>
        <v>72927.517623176827</v>
      </c>
      <c r="M9" s="219">
        <f t="shared" si="2"/>
        <v>77799.075800405044</v>
      </c>
      <c r="N9" s="203"/>
      <c r="O9" s="220">
        <f>O6-O8</f>
        <v>83011.613879032171</v>
      </c>
      <c r="P9" s="203"/>
      <c r="Q9" s="203"/>
      <c r="R9" s="203"/>
    </row>
    <row r="10" spans="2:18" ht="14.25" customHeight="1" x14ac:dyDescent="0.35">
      <c r="B10" s="206" t="s">
        <v>307</v>
      </c>
      <c r="C10" s="41"/>
      <c r="D10" s="221">
        <f>D4*'Fixed Assets Schedule'!$C$13</f>
        <v>12704.210001047588</v>
      </c>
      <c r="E10" s="221">
        <f>E4*'Fixed Assets Schedule'!$C$13</f>
        <v>14129.644001570572</v>
      </c>
      <c r="F10" s="221">
        <f>F4*'Fixed Assets Schedule'!$C$13</f>
        <v>15634.825386825343</v>
      </c>
      <c r="G10" s="221">
        <f>G4*'Fixed Assets Schedule'!$C$13</f>
        <v>17211.617499561791</v>
      </c>
      <c r="H10" s="221">
        <f>H4*'Fixed Assets Schedule'!$C$13</f>
        <v>18849.751517353205</v>
      </c>
      <c r="I10" s="221">
        <f>I4*'Fixed Assets Schedule'!$C$13</f>
        <v>20536.820331046096</v>
      </c>
      <c r="J10" s="221">
        <f>J4*'Fixed Assets Schedule'!$C$13</f>
        <v>22258.332412523851</v>
      </c>
      <c r="K10" s="221">
        <f>K4*'Fixed Assets Schedule'!$C$13</f>
        <v>23997.83056842113</v>
      </c>
      <c r="L10" s="221">
        <f>L4*'Fixed Assets Schedule'!$C$13</f>
        <v>25737.078448146069</v>
      </c>
      <c r="M10" s="221">
        <f>M4*'Fixed Assets Schedule'!$C$13</f>
        <v>27456.315288482223</v>
      </c>
      <c r="O10" s="200"/>
    </row>
    <row r="11" spans="2:18" ht="14.25" customHeight="1" x14ac:dyDescent="0.35">
      <c r="B11" s="206" t="s">
        <v>375</v>
      </c>
      <c r="C11" s="222">
        <f>'Working Capital Changes'!G7</f>
        <v>17220.5</v>
      </c>
      <c r="D11" s="207">
        <f>D4*'Working Capital Changes'!$C$12</f>
        <v>2740.120949520383</v>
      </c>
      <c r="E11" s="207">
        <f>E4*'Working Capital Changes'!$C$12</f>
        <v>3047.5671871588984</v>
      </c>
      <c r="F11" s="207">
        <f>F4*'Working Capital Changes'!$C$12</f>
        <v>3372.2138236852634</v>
      </c>
      <c r="G11" s="207">
        <f>G4*'Working Capital Changes'!$C$12</f>
        <v>3712.3058955883075</v>
      </c>
      <c r="H11" s="207">
        <f>H4*'Working Capital Changes'!$C$12</f>
        <v>4065.6285610592113</v>
      </c>
      <c r="I11" s="207">
        <f>I4*'Working Capital Changes'!$C$12</f>
        <v>4429.5057796584942</v>
      </c>
      <c r="J11" s="207">
        <f>J4*'Working Capital Changes'!$C$12</f>
        <v>4800.8119308415007</v>
      </c>
      <c r="K11" s="207">
        <f>K4*'Working Capital Changes'!$C$12</f>
        <v>5175.9974274786919</v>
      </c>
      <c r="L11" s="207">
        <f>L4*'Working Capital Changes'!$C$12</f>
        <v>5551.1289430353636</v>
      </c>
      <c r="M11" s="207">
        <f>M4*'Working Capital Changes'!$C$12</f>
        <v>5921.9443564301255</v>
      </c>
      <c r="O11" s="200"/>
    </row>
    <row r="12" spans="2:18" ht="14.25" customHeight="1" x14ac:dyDescent="0.35">
      <c r="B12" s="206" t="s">
        <v>308</v>
      </c>
      <c r="C12" s="41"/>
      <c r="D12" s="207">
        <f t="shared" ref="D12:M12" si="3">D11-C11</f>
        <v>-14480.379050479616</v>
      </c>
      <c r="E12" s="207">
        <f t="shared" si="3"/>
        <v>307.44623763851541</v>
      </c>
      <c r="F12" s="207">
        <f t="shared" si="3"/>
        <v>324.646636526365</v>
      </c>
      <c r="G12" s="207">
        <f t="shared" si="3"/>
        <v>340.09207190304414</v>
      </c>
      <c r="H12" s="207">
        <f t="shared" si="3"/>
        <v>353.32266547090376</v>
      </c>
      <c r="I12" s="207">
        <f t="shared" si="3"/>
        <v>363.87721859928297</v>
      </c>
      <c r="J12" s="207">
        <f t="shared" si="3"/>
        <v>371.30615118300648</v>
      </c>
      <c r="K12" s="207">
        <f t="shared" si="3"/>
        <v>375.18549663719114</v>
      </c>
      <c r="L12" s="207">
        <f t="shared" si="3"/>
        <v>375.13151555667173</v>
      </c>
      <c r="M12" s="207">
        <f t="shared" si="3"/>
        <v>370.81541339476189</v>
      </c>
      <c r="O12" s="200"/>
    </row>
    <row r="13" spans="2:18" ht="14.25" customHeight="1" x14ac:dyDescent="0.35">
      <c r="B13" s="206" t="s">
        <v>306</v>
      </c>
      <c r="C13" s="41"/>
      <c r="D13" s="221">
        <f t="shared" ref="D13:M13" si="4">D10+D12</f>
        <v>-1776.1690494320283</v>
      </c>
      <c r="E13" s="221">
        <f t="shared" si="4"/>
        <v>14437.090239209087</v>
      </c>
      <c r="F13" s="221">
        <f t="shared" si="4"/>
        <v>15959.472023351707</v>
      </c>
      <c r="G13" s="221">
        <f t="shared" si="4"/>
        <v>17551.709571464835</v>
      </c>
      <c r="H13" s="221">
        <f t="shared" si="4"/>
        <v>19203.074182824108</v>
      </c>
      <c r="I13" s="221">
        <f t="shared" si="4"/>
        <v>20900.697549645378</v>
      </c>
      <c r="J13" s="221">
        <f t="shared" si="4"/>
        <v>22629.638563706856</v>
      </c>
      <c r="K13" s="221">
        <f t="shared" si="4"/>
        <v>24373.01606505832</v>
      </c>
      <c r="L13" s="221">
        <f t="shared" si="4"/>
        <v>26112.209963702742</v>
      </c>
      <c r="M13" s="221">
        <f t="shared" si="4"/>
        <v>27827.130701876984</v>
      </c>
      <c r="O13" s="216">
        <f>O9*O15</f>
        <v>621.94603539789171</v>
      </c>
    </row>
    <row r="14" spans="2:18" ht="14.25" customHeight="1" x14ac:dyDescent="0.35">
      <c r="B14" s="218" t="s">
        <v>376</v>
      </c>
      <c r="C14" s="41"/>
      <c r="D14" s="219">
        <f t="shared" ref="D14:M14" si="5">D9-D13</f>
        <v>37774.291392905528</v>
      </c>
      <c r="E14" s="219">
        <f t="shared" si="5"/>
        <v>25600.082744890002</v>
      </c>
      <c r="F14" s="219">
        <f t="shared" si="5"/>
        <v>28342.720481918099</v>
      </c>
      <c r="G14" s="219">
        <f t="shared" si="5"/>
        <v>31218.415641138225</v>
      </c>
      <c r="H14" s="219">
        <f t="shared" si="5"/>
        <v>34208.799614114258</v>
      </c>
      <c r="I14" s="219">
        <f t="shared" si="5"/>
        <v>37291.584438921389</v>
      </c>
      <c r="J14" s="219">
        <f t="shared" si="5"/>
        <v>40440.648630984011</v>
      </c>
      <c r="K14" s="219">
        <f t="shared" si="5"/>
        <v>43626.240929964355</v>
      </c>
      <c r="L14" s="219">
        <f t="shared" si="5"/>
        <v>46815.307659474085</v>
      </c>
      <c r="M14" s="219">
        <f t="shared" si="5"/>
        <v>49971.945098528056</v>
      </c>
      <c r="O14" s="216">
        <f>O9-O13</f>
        <v>82389.667843634277</v>
      </c>
    </row>
    <row r="15" spans="2:18" ht="14.25" customHeight="1" x14ac:dyDescent="0.35">
      <c r="B15" s="41" t="s">
        <v>377</v>
      </c>
      <c r="C15" s="41"/>
      <c r="D15" s="223">
        <f t="shared" ref="D15:M15" si="6">D13/D9</f>
        <v>-4.9340602614904153E-2</v>
      </c>
      <c r="E15" s="223">
        <f t="shared" si="6"/>
        <v>0.36059214882486412</v>
      </c>
      <c r="F15" s="223">
        <f t="shared" si="6"/>
        <v>0.36024113301961991</v>
      </c>
      <c r="G15" s="223">
        <f t="shared" si="6"/>
        <v>0.35988649803443939</v>
      </c>
      <c r="H15" s="223">
        <f t="shared" si="6"/>
        <v>0.35952818760544686</v>
      </c>
      <c r="I15" s="223">
        <f t="shared" si="6"/>
        <v>0.35916614429645166</v>
      </c>
      <c r="J15" s="223">
        <f t="shared" si="6"/>
        <v>0.35880030946825586</v>
      </c>
      <c r="K15" s="223">
        <f t="shared" si="6"/>
        <v>0.35843062324699143</v>
      </c>
      <c r="L15" s="223">
        <f t="shared" si="6"/>
        <v>0.35805702449145366</v>
      </c>
      <c r="M15" s="223">
        <f t="shared" si="6"/>
        <v>0.35767945075938945</v>
      </c>
      <c r="O15" s="224">
        <f>R5</f>
        <v>7.492277361384833E-3</v>
      </c>
    </row>
    <row r="17" spans="2:13" ht="14.25" customHeight="1" x14ac:dyDescent="0.35">
      <c r="B17" t="s">
        <v>378</v>
      </c>
      <c r="M17" s="225">
        <f>M14*(1+R3)/(R4-R3)</f>
        <v>1189515.3038750282</v>
      </c>
    </row>
    <row r="19" spans="2:13" ht="14.25" customHeight="1" x14ac:dyDescent="0.35">
      <c r="B19" t="s">
        <v>379</v>
      </c>
      <c r="D19" s="71">
        <f t="shared" ref="D19:M19" si="7">1/(1+$R$4)^D2</f>
        <v>0.89942209277563756</v>
      </c>
      <c r="E19" s="71">
        <f t="shared" si="7"/>
        <v>0.8089601009729076</v>
      </c>
      <c r="F19" s="71">
        <f t="shared" si="7"/>
        <v>0.72759658698904361</v>
      </c>
      <c r="G19" s="71">
        <f t="shared" si="7"/>
        <v>0.65441644496609686</v>
      </c>
      <c r="H19" s="71">
        <f t="shared" si="7"/>
        <v>0.58859660847819972</v>
      </c>
      <c r="I19" s="71">
        <f t="shared" si="7"/>
        <v>0.52939679339810497</v>
      </c>
      <c r="J19" s="71">
        <f t="shared" si="7"/>
        <v>0.47615117182683542</v>
      </c>
      <c r="K19" s="71">
        <f t="shared" si="7"/>
        <v>0.42826088344206442</v>
      </c>
      <c r="L19" s="71">
        <f t="shared" si="7"/>
        <v>0.38518730003940493</v>
      </c>
      <c r="M19" s="71">
        <f t="shared" si="7"/>
        <v>0.34644596751203904</v>
      </c>
    </row>
    <row r="21" spans="2:13" ht="14.25" customHeight="1" x14ac:dyDescent="0.35">
      <c r="B21" t="s">
        <v>380</v>
      </c>
      <c r="D21">
        <f>SUMPRODUCT(D14:M14,D19:M19)</f>
        <v>208898.1332085864</v>
      </c>
    </row>
    <row r="22" spans="2:13" ht="14.25" customHeight="1" x14ac:dyDescent="0.35">
      <c r="B22" t="s">
        <v>381</v>
      </c>
      <c r="D22" s="225">
        <f>M17*M19</f>
        <v>412102.78032136126</v>
      </c>
    </row>
    <row r="23" spans="2:13" ht="14.25" customHeight="1" x14ac:dyDescent="0.35">
      <c r="D23" s="225"/>
      <c r="I23" s="226" t="s">
        <v>382</v>
      </c>
      <c r="J23" s="226"/>
      <c r="K23" s="226"/>
      <c r="L23" s="226"/>
      <c r="M23" s="226"/>
    </row>
    <row r="24" spans="2:13" ht="14.25" customHeight="1" x14ac:dyDescent="0.35">
      <c r="B24" s="203" t="s">
        <v>383</v>
      </c>
      <c r="D24" s="227">
        <f>D21+D22</f>
        <v>621000.91352994763</v>
      </c>
      <c r="I24" s="228">
        <f>D31</f>
        <v>1070.5160108100595</v>
      </c>
      <c r="J24" s="229">
        <f>K24-1%</f>
        <v>0.10182503524454975</v>
      </c>
      <c r="K24" s="229">
        <f>R4</f>
        <v>0.11182503524454974</v>
      </c>
      <c r="L24" s="229">
        <f>K24+1%</f>
        <v>0.12182503524454974</v>
      </c>
      <c r="M24" s="229">
        <f>L24+1%</f>
        <v>0.13182503524454975</v>
      </c>
    </row>
    <row r="25" spans="2:13" ht="14.25" customHeight="1" x14ac:dyDescent="0.35">
      <c r="B25" s="230" t="s">
        <v>384</v>
      </c>
      <c r="D25" s="231">
        <f>'Historical FS'!G65</f>
        <v>52574.37</v>
      </c>
      <c r="I25" s="232">
        <f>I26-1%</f>
        <v>4.7E-2</v>
      </c>
      <c r="J25" s="55">
        <v>981</v>
      </c>
      <c r="K25" s="55">
        <v>838</v>
      </c>
      <c r="L25" s="55">
        <v>740</v>
      </c>
      <c r="M25" s="55">
        <v>669</v>
      </c>
    </row>
    <row r="26" spans="2:13" ht="14.25" customHeight="1" x14ac:dyDescent="0.35">
      <c r="B26" s="230" t="s">
        <v>385</v>
      </c>
      <c r="D26" s="231">
        <f>'Historical FS'!G53</f>
        <v>13821.460000000001</v>
      </c>
      <c r="I26" s="232">
        <f>I27-1%</f>
        <v>5.7000000000000002E-2</v>
      </c>
      <c r="J26" s="282">
        <v>1154</v>
      </c>
      <c r="K26" s="55">
        <v>954</v>
      </c>
      <c r="L26" s="55">
        <v>823</v>
      </c>
      <c r="M26" s="55">
        <v>731</v>
      </c>
    </row>
    <row r="27" spans="2:13" ht="14.25" customHeight="1" x14ac:dyDescent="0.35">
      <c r="B27" s="230" t="s">
        <v>386</v>
      </c>
      <c r="D27">
        <f>'P &amp; L '!G37</f>
        <v>23.71</v>
      </c>
      <c r="I27" s="232">
        <v>6.7000000000000004E-2</v>
      </c>
      <c r="J27" s="282">
        <v>1447</v>
      </c>
      <c r="K27" s="283">
        <v>1071</v>
      </c>
      <c r="L27" s="55">
        <v>886</v>
      </c>
      <c r="M27" s="55">
        <v>772</v>
      </c>
    </row>
    <row r="28" spans="2:13" ht="15" customHeight="1" thickBot="1" x14ac:dyDescent="0.4">
      <c r="B28" s="234" t="s">
        <v>387</v>
      </c>
      <c r="C28" s="235"/>
      <c r="D28" s="236">
        <f>D24+D25-D26-D27</f>
        <v>659730.1135299477</v>
      </c>
      <c r="I28" s="232">
        <f>I27+1%</f>
        <v>7.6999999999999999E-2</v>
      </c>
      <c r="J28" s="282">
        <v>2078</v>
      </c>
      <c r="K28" s="282">
        <v>1344</v>
      </c>
      <c r="L28" s="282">
        <v>1036</v>
      </c>
      <c r="M28" s="55">
        <v>867</v>
      </c>
    </row>
    <row r="29" spans="2:13" ht="15" customHeight="1" thickTop="1" x14ac:dyDescent="0.35">
      <c r="I29" s="232"/>
      <c r="J29" s="233"/>
      <c r="K29" s="233"/>
      <c r="L29" s="233"/>
      <c r="M29" s="233"/>
    </row>
    <row r="30" spans="2:13" ht="14.25" customHeight="1" x14ac:dyDescent="0.35">
      <c r="B30" s="230" t="s">
        <v>388</v>
      </c>
      <c r="D30" s="225">
        <f>'Balance Sheet '!I11</f>
        <v>616.27299999999991</v>
      </c>
    </row>
    <row r="31" spans="2:13" ht="15" customHeight="1" thickBot="1" x14ac:dyDescent="0.4">
      <c r="B31" s="234" t="s">
        <v>389</v>
      </c>
      <c r="C31" s="235"/>
      <c r="D31" s="237">
        <f>D28/D30</f>
        <v>1070.5160108100595</v>
      </c>
      <c r="F31" s="234"/>
    </row>
    <row r="32" spans="2:13" ht="15" customHeight="1" thickTop="1" x14ac:dyDescent="0.35">
      <c r="I32" s="281"/>
    </row>
    <row r="33" spans="9:9" x14ac:dyDescent="0.35">
      <c r="I33" s="281"/>
    </row>
    <row r="34" spans="9:9" x14ac:dyDescent="0.35">
      <c r="I34" s="281"/>
    </row>
  </sheetData>
  <mergeCells count="1">
    <mergeCell ref="B1:M1"/>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Company Overview</vt:lpstr>
      <vt:lpstr>Promoters</vt:lpstr>
      <vt:lpstr>Public</vt:lpstr>
      <vt:lpstr>Balance Sheet </vt:lpstr>
      <vt:lpstr>P &amp; L </vt:lpstr>
      <vt:lpstr>Cash Flow</vt:lpstr>
      <vt:lpstr>Stock Analysis</vt:lpstr>
      <vt:lpstr>Ratio Analysis</vt:lpstr>
      <vt:lpstr>Historical FS</vt:lpstr>
      <vt:lpstr>Beta Calculation</vt:lpstr>
      <vt:lpstr>WACC</vt:lpstr>
      <vt:lpstr>Assumptions</vt:lpstr>
      <vt:lpstr>Fixed Assets Schedule</vt:lpstr>
      <vt:lpstr>Working Capital Changes</vt:lpstr>
      <vt:lpstr>FCFF</vt:lpstr>
      <vt:lpstr>Forecasting</vt:lpstr>
      <vt:lpstr>Growth Scenarios</vt:lpstr>
      <vt:lpstr>DDM Valuation</vt:lpstr>
      <vt:lpstr>DCF 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Naina Sinsinwar</dc:creator>
  <dc:description/>
  <cp:lastModifiedBy>Naina Sinsinwar</cp:lastModifiedBy>
  <cp:revision>4</cp:revision>
  <dcterms:created xsi:type="dcterms:W3CDTF">2026-05-26T08:56:32Z</dcterms:created>
  <dcterms:modified xsi:type="dcterms:W3CDTF">2026-06-29T09:02:11Z</dcterms:modified>
  <dc:language>en-US</dc:language>
</cp:coreProperties>
</file>