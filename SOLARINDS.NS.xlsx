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aina\Downloads\CSA Advisor\"/>
    </mc:Choice>
  </mc:AlternateContent>
  <xr:revisionPtr revIDLastSave="0" documentId="13_ncr:1_{79417F3B-FF62-4A37-BB86-85AD0377AEFE}" xr6:coauthVersionLast="47" xr6:coauthVersionMax="47" xr10:uidLastSave="{00000000-0000-0000-0000-000000000000}"/>
  <bookViews>
    <workbookView xWindow="-110" yWindow="-110" windowWidth="19420" windowHeight="11500" tabRatio="500" firstSheet="20" activeTab="21" xr2:uid="{00000000-000D-0000-FFFF-FFFF00000000}"/>
  </bookViews>
  <sheets>
    <sheet name="About" sheetId="1" r:id="rId1"/>
    <sheet name="Promoter" sheetId="2" r:id="rId2"/>
    <sheet name="Public" sheetId="3" r:id="rId3"/>
    <sheet name="Standalone Quarterly Result" sheetId="4" r:id="rId4"/>
    <sheet name="Consolidated Quarterly Result" sheetId="5" r:id="rId5"/>
    <sheet name="Standalone Balance Sheet" sheetId="6" r:id="rId6"/>
    <sheet name="Standalone Profit &amp; Loss" sheetId="7" r:id="rId7"/>
    <sheet name="Peers Comparison" sheetId="8" r:id="rId8"/>
    <sheet name="Stock Analysis" sheetId="9" r:id="rId9"/>
    <sheet name="Consolidated Profit &amp; Loss" sheetId="10" r:id="rId10"/>
    <sheet name="Consolidated Balance Sheet" sheetId="11" r:id="rId11"/>
    <sheet name="Consolidated Cash Flow" sheetId="12" r:id="rId12"/>
    <sheet name="Historical FS" sheetId="13" r:id="rId13"/>
    <sheet name="Fixed assets scheduled" sheetId="14" r:id="rId14"/>
    <sheet name="FCFF" sheetId="15" r:id="rId15"/>
    <sheet name="Change In Working Capital" sheetId="16" r:id="rId16"/>
    <sheet name="Rm" sheetId="17" r:id="rId17"/>
    <sheet name="Wacc" sheetId="18" r:id="rId18"/>
    <sheet name="Beta" sheetId="19" r:id="rId19"/>
    <sheet name="Peer Comp." sheetId="20" r:id="rId20"/>
    <sheet name="Relative Valuation" sheetId="21" r:id="rId21"/>
    <sheet name="COC" sheetId="26" r:id="rId22"/>
    <sheet name="Assumption" sheetId="22" r:id="rId23"/>
    <sheet name="Forecasting" sheetId="23" r:id="rId24"/>
    <sheet name="Growth Scenerio" sheetId="24" r:id="rId25"/>
    <sheet name="DCF Valuation" sheetId="25"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6" i="22" l="1"/>
  <c r="E15" i="21"/>
  <c r="G15" i="21"/>
  <c r="H22" i="21"/>
  <c r="G14" i="21"/>
  <c r="R5" i="25" l="1"/>
  <c r="C34" i="26"/>
  <c r="K24" i="26"/>
  <c r="E24" i="26"/>
  <c r="G19" i="26"/>
  <c r="E25" i="26" s="1"/>
  <c r="G18" i="26"/>
  <c r="H16" i="26"/>
  <c r="K16" i="26" s="1"/>
  <c r="F16" i="26"/>
  <c r="E16" i="26"/>
  <c r="K15" i="26"/>
  <c r="I15" i="26"/>
  <c r="H15" i="26"/>
  <c r="F15" i="26"/>
  <c r="E15" i="26"/>
  <c r="H14" i="26"/>
  <c r="K14" i="26" s="1"/>
  <c r="F14" i="26"/>
  <c r="E14" i="26"/>
  <c r="K13" i="26"/>
  <c r="H13" i="26"/>
  <c r="H19" i="26" s="1"/>
  <c r="F13" i="26"/>
  <c r="I13" i="26" s="1"/>
  <c r="E13" i="26"/>
  <c r="H12" i="26"/>
  <c r="F12" i="26"/>
  <c r="C33" i="26" s="1"/>
  <c r="E12" i="26"/>
  <c r="O16" i="24"/>
  <c r="O11" i="24"/>
  <c r="O6" i="24"/>
  <c r="C6" i="24"/>
  <c r="M14" i="23"/>
  <c r="N13" i="23"/>
  <c r="M13" i="23"/>
  <c r="M12" i="23"/>
  <c r="C12" i="23"/>
  <c r="C13" i="23" s="1"/>
  <c r="C14" i="23" s="1"/>
  <c r="M11" i="23"/>
  <c r="G11" i="23"/>
  <c r="G12" i="23" s="1"/>
  <c r="C11" i="23"/>
  <c r="M10" i="23"/>
  <c r="B10" i="23"/>
  <c r="B11" i="23" s="1"/>
  <c r="B12" i="23" s="1"/>
  <c r="O9" i="23"/>
  <c r="O8" i="23"/>
  <c r="G7" i="23"/>
  <c r="G8" i="23" s="1"/>
  <c r="G9" i="23" s="1"/>
  <c r="G10" i="23" s="1"/>
  <c r="O6" i="23"/>
  <c r="G6" i="23"/>
  <c r="C6" i="23"/>
  <c r="B6" i="23"/>
  <c r="B7" i="23" s="1"/>
  <c r="B8" i="23" s="1"/>
  <c r="B9" i="23" s="1"/>
  <c r="N9" i="23"/>
  <c r="N8" i="23"/>
  <c r="N7" i="23"/>
  <c r="O7" i="23" s="1"/>
  <c r="N6" i="23"/>
  <c r="N5" i="23" a="1"/>
  <c r="N5" i="23" s="1"/>
  <c r="N14" i="23" s="1"/>
  <c r="M5" i="23"/>
  <c r="H5" i="23"/>
  <c r="D9" i="23"/>
  <c r="D8" i="23"/>
  <c r="D7" i="23"/>
  <c r="D6" i="23"/>
  <c r="E6" i="23" s="1"/>
  <c r="D5" i="23" a="1"/>
  <c r="D5" i="23" s="1"/>
  <c r="F41" i="22"/>
  <c r="G40" i="22"/>
  <c r="F40" i="22"/>
  <c r="E40" i="22"/>
  <c r="D40" i="22"/>
  <c r="C40" i="22"/>
  <c r="G39" i="22"/>
  <c r="G41" i="22" s="1"/>
  <c r="F39" i="22"/>
  <c r="E39" i="22"/>
  <c r="D39" i="22"/>
  <c r="C39" i="22"/>
  <c r="G38" i="22"/>
  <c r="F38" i="22"/>
  <c r="E38" i="22"/>
  <c r="D38" i="22"/>
  <c r="C38" i="22"/>
  <c r="C41" i="22" s="1"/>
  <c r="G19" i="22"/>
  <c r="F19" i="22"/>
  <c r="E19" i="22"/>
  <c r="D19" i="22"/>
  <c r="C19" i="22"/>
  <c r="G17" i="22"/>
  <c r="F17" i="22"/>
  <c r="E17" i="22"/>
  <c r="D17" i="22"/>
  <c r="C17" i="22"/>
  <c r="G15" i="22"/>
  <c r="F15" i="22"/>
  <c r="E15" i="22"/>
  <c r="D15" i="22"/>
  <c r="C15" i="22"/>
  <c r="G14" i="22"/>
  <c r="F14" i="22"/>
  <c r="E14" i="22"/>
  <c r="D14" i="22"/>
  <c r="C14" i="22"/>
  <c r="G12" i="22"/>
  <c r="F12" i="22"/>
  <c r="E12" i="22"/>
  <c r="D12" i="22"/>
  <c r="C12" i="22"/>
  <c r="G9" i="22"/>
  <c r="F9" i="22"/>
  <c r="E9" i="22"/>
  <c r="D9" i="22"/>
  <c r="C9" i="22"/>
  <c r="G8" i="22"/>
  <c r="F8" i="22"/>
  <c r="E8" i="22"/>
  <c r="D8" i="22"/>
  <c r="C8" i="22"/>
  <c r="G7" i="22"/>
  <c r="G10" i="22" s="1"/>
  <c r="G11" i="22" s="1"/>
  <c r="I9" i="23" s="1"/>
  <c r="F7" i="22"/>
  <c r="F10" i="22" s="1"/>
  <c r="E7" i="22"/>
  <c r="D7" i="22"/>
  <c r="D10" i="22" s="1"/>
  <c r="C7" i="22"/>
  <c r="G6" i="22"/>
  <c r="F6" i="22"/>
  <c r="E6" i="22"/>
  <c r="D6" i="22"/>
  <c r="C6" i="22"/>
  <c r="C10" i="22" s="1"/>
  <c r="G5" i="22"/>
  <c r="F5" i="22"/>
  <c r="E5" i="22"/>
  <c r="E10" i="22" s="1"/>
  <c r="D5" i="22"/>
  <c r="C5" i="22"/>
  <c r="G3" i="22"/>
  <c r="F3" i="22"/>
  <c r="E3" i="22"/>
  <c r="D3" i="22"/>
  <c r="C3" i="22"/>
  <c r="E17" i="21"/>
  <c r="F17" i="21" s="1"/>
  <c r="G17" i="21" s="1"/>
  <c r="F15" i="21"/>
  <c r="M10" i="21"/>
  <c r="Q10" i="21" s="1"/>
  <c r="L10" i="21"/>
  <c r="K10" i="21"/>
  <c r="J10" i="21"/>
  <c r="G10" i="21"/>
  <c r="F10" i="21"/>
  <c r="D10" i="21"/>
  <c r="C10" i="21"/>
  <c r="M9" i="21"/>
  <c r="L9" i="21"/>
  <c r="K9" i="21"/>
  <c r="J9" i="21"/>
  <c r="G9" i="21"/>
  <c r="F9" i="21"/>
  <c r="E9" i="21"/>
  <c r="H9" i="21" s="1"/>
  <c r="D9" i="21"/>
  <c r="Q9" i="21" s="1"/>
  <c r="C9" i="21"/>
  <c r="M8" i="21"/>
  <c r="L8" i="21"/>
  <c r="K8" i="21"/>
  <c r="J8" i="21"/>
  <c r="G8" i="21"/>
  <c r="F8" i="21"/>
  <c r="D8" i="21"/>
  <c r="Q8" i="21" s="1"/>
  <c r="C8" i="21"/>
  <c r="M7" i="21"/>
  <c r="L7" i="21"/>
  <c r="K7" i="21"/>
  <c r="J7" i="21"/>
  <c r="G7" i="21"/>
  <c r="F7" i="21"/>
  <c r="D7" i="21"/>
  <c r="Q7" i="21" s="1"/>
  <c r="C7" i="21"/>
  <c r="E7" i="21" s="1"/>
  <c r="H7" i="21" s="1"/>
  <c r="M6" i="21"/>
  <c r="L6" i="21"/>
  <c r="J6" i="21"/>
  <c r="G6" i="21"/>
  <c r="F6" i="21"/>
  <c r="D6" i="21"/>
  <c r="C6" i="21"/>
  <c r="H1505" i="19"/>
  <c r="G1505" i="19"/>
  <c r="H1504" i="19"/>
  <c r="G1504" i="19"/>
  <c r="H1503" i="19"/>
  <c r="G1503" i="19"/>
  <c r="H1502" i="19"/>
  <c r="G1502" i="19"/>
  <c r="H1501" i="19"/>
  <c r="G1501" i="19"/>
  <c r="H1500" i="19"/>
  <c r="G1500" i="19"/>
  <c r="H1499" i="19"/>
  <c r="G1499" i="19"/>
  <c r="H1498" i="19"/>
  <c r="G1498" i="19"/>
  <c r="H1497" i="19"/>
  <c r="G1497" i="19"/>
  <c r="H1496" i="19"/>
  <c r="G1496" i="19"/>
  <c r="H1495" i="19"/>
  <c r="G1495" i="19"/>
  <c r="H1494" i="19"/>
  <c r="G1494" i="19"/>
  <c r="H1493" i="19"/>
  <c r="G1493" i="19"/>
  <c r="H1492" i="19"/>
  <c r="G1492" i="19"/>
  <c r="H1491" i="19"/>
  <c r="G1491" i="19"/>
  <c r="H1490" i="19"/>
  <c r="G1490" i="19"/>
  <c r="H1489" i="19"/>
  <c r="G1489" i="19"/>
  <c r="H1488" i="19"/>
  <c r="G1488" i="19"/>
  <c r="H1487" i="19"/>
  <c r="G1487" i="19"/>
  <c r="H1486" i="19"/>
  <c r="G1486" i="19"/>
  <c r="H1485" i="19"/>
  <c r="G1485" i="19"/>
  <c r="H1484" i="19"/>
  <c r="G1484" i="19"/>
  <c r="H1483" i="19"/>
  <c r="G1483" i="19"/>
  <c r="H1482" i="19"/>
  <c r="G1482" i="19"/>
  <c r="H1481" i="19"/>
  <c r="G1481" i="19"/>
  <c r="H1480" i="19"/>
  <c r="G1480" i="19"/>
  <c r="H1479" i="19"/>
  <c r="G1479" i="19"/>
  <c r="H1478" i="19"/>
  <c r="G1478" i="19"/>
  <c r="H1477" i="19"/>
  <c r="G1477" i="19"/>
  <c r="H1476" i="19"/>
  <c r="G1476" i="19"/>
  <c r="H1475" i="19"/>
  <c r="G1475" i="19"/>
  <c r="H1474" i="19"/>
  <c r="G1474" i="19"/>
  <c r="H1473" i="19"/>
  <c r="G1473" i="19"/>
  <c r="H1472" i="19"/>
  <c r="G1472" i="19"/>
  <c r="H1471" i="19"/>
  <c r="G1471" i="19"/>
  <c r="H1470" i="19"/>
  <c r="G1470" i="19"/>
  <c r="H1469" i="19"/>
  <c r="G1469" i="19"/>
  <c r="H1468" i="19"/>
  <c r="G1468" i="19"/>
  <c r="H1467" i="19"/>
  <c r="G1467" i="19"/>
  <c r="H1466" i="19"/>
  <c r="G1466" i="19"/>
  <c r="H1465" i="19"/>
  <c r="G1465" i="19"/>
  <c r="H1464" i="19"/>
  <c r="G1464" i="19"/>
  <c r="H1463" i="19"/>
  <c r="G1463" i="19"/>
  <c r="H1462" i="19"/>
  <c r="G1462" i="19"/>
  <c r="H1461" i="19"/>
  <c r="G1461" i="19"/>
  <c r="H1460" i="19"/>
  <c r="G1460" i="19"/>
  <c r="H1459" i="19"/>
  <c r="G1459" i="19"/>
  <c r="H1458" i="19"/>
  <c r="G1458" i="19"/>
  <c r="H1457" i="19"/>
  <c r="G1457" i="19"/>
  <c r="H1456" i="19"/>
  <c r="G1456" i="19"/>
  <c r="H1455" i="19"/>
  <c r="G1455" i="19"/>
  <c r="H1454" i="19"/>
  <c r="G1454" i="19"/>
  <c r="H1453" i="19"/>
  <c r="G1453" i="19"/>
  <c r="H1452" i="19"/>
  <c r="G1452" i="19"/>
  <c r="H1451" i="19"/>
  <c r="G1451" i="19"/>
  <c r="H1450" i="19"/>
  <c r="G1450" i="19"/>
  <c r="H1449" i="19"/>
  <c r="G1449" i="19"/>
  <c r="H1448" i="19"/>
  <c r="G1448" i="19"/>
  <c r="H1447" i="19"/>
  <c r="G1447" i="19"/>
  <c r="H1446" i="19"/>
  <c r="G1446" i="19"/>
  <c r="H1445" i="19"/>
  <c r="G1445" i="19"/>
  <c r="H1444" i="19"/>
  <c r="G1444" i="19"/>
  <c r="H1443" i="19"/>
  <c r="G1443" i="19"/>
  <c r="H1442" i="19"/>
  <c r="G1442" i="19"/>
  <c r="H1441" i="19"/>
  <c r="G1441" i="19"/>
  <c r="H1440" i="19"/>
  <c r="G1440" i="19"/>
  <c r="H1439" i="19"/>
  <c r="G1439" i="19"/>
  <c r="H1438" i="19"/>
  <c r="G1438" i="19"/>
  <c r="H1437" i="19"/>
  <c r="G1437" i="19"/>
  <c r="H1436" i="19"/>
  <c r="G1436" i="19"/>
  <c r="H1435" i="19"/>
  <c r="G1435" i="19"/>
  <c r="H1434" i="19"/>
  <c r="G1434" i="19"/>
  <c r="H1433" i="19"/>
  <c r="G1433" i="19"/>
  <c r="H1432" i="19"/>
  <c r="G1432" i="19"/>
  <c r="H1431" i="19"/>
  <c r="G1431" i="19"/>
  <c r="H1430" i="19"/>
  <c r="G1430" i="19"/>
  <c r="H1429" i="19"/>
  <c r="G1429" i="19"/>
  <c r="H1428" i="19"/>
  <c r="G1428" i="19"/>
  <c r="H1427" i="19"/>
  <c r="G1427" i="19"/>
  <c r="H1426" i="19"/>
  <c r="G1426" i="19"/>
  <c r="H1425" i="19"/>
  <c r="G1425" i="19"/>
  <c r="H1424" i="19"/>
  <c r="G1424" i="19"/>
  <c r="H1423" i="19"/>
  <c r="G1423" i="19"/>
  <c r="H1422" i="19"/>
  <c r="G1422" i="19"/>
  <c r="H1421" i="19"/>
  <c r="G1421" i="19"/>
  <c r="H1420" i="19"/>
  <c r="G1420" i="19"/>
  <c r="H1419" i="19"/>
  <c r="G1419" i="19"/>
  <c r="H1418" i="19"/>
  <c r="G1418" i="19"/>
  <c r="H1417" i="19"/>
  <c r="G1417" i="19"/>
  <c r="H1416" i="19"/>
  <c r="G1416" i="19"/>
  <c r="H1415" i="19"/>
  <c r="G1415" i="19"/>
  <c r="H1414" i="19"/>
  <c r="G1414" i="19"/>
  <c r="H1413" i="19"/>
  <c r="G1413" i="19"/>
  <c r="H1412" i="19"/>
  <c r="G1412" i="19"/>
  <c r="H1411" i="19"/>
  <c r="G1411" i="19"/>
  <c r="H1410" i="19"/>
  <c r="G1410" i="19"/>
  <c r="H1409" i="19"/>
  <c r="G1409" i="19"/>
  <c r="H1408" i="19"/>
  <c r="G1408" i="19"/>
  <c r="H1407" i="19"/>
  <c r="G1407" i="19"/>
  <c r="H1406" i="19"/>
  <c r="G1406" i="19"/>
  <c r="H1405" i="19"/>
  <c r="G1405" i="19"/>
  <c r="H1404" i="19"/>
  <c r="G1404" i="19"/>
  <c r="H1403" i="19"/>
  <c r="G1403" i="19"/>
  <c r="H1402" i="19"/>
  <c r="G1402" i="19"/>
  <c r="H1401" i="19"/>
  <c r="G1401" i="19"/>
  <c r="H1400" i="19"/>
  <c r="G1400" i="19"/>
  <c r="H1399" i="19"/>
  <c r="G1399" i="19"/>
  <c r="H1398" i="19"/>
  <c r="G1398" i="19"/>
  <c r="H1397" i="19"/>
  <c r="G1397" i="19"/>
  <c r="H1396" i="19"/>
  <c r="G1396" i="19"/>
  <c r="H1395" i="19"/>
  <c r="G1395" i="19"/>
  <c r="H1394" i="19"/>
  <c r="G1394" i="19"/>
  <c r="H1393" i="19"/>
  <c r="G1393" i="19"/>
  <c r="H1392" i="19"/>
  <c r="G1392" i="19"/>
  <c r="H1391" i="19"/>
  <c r="G1391" i="19"/>
  <c r="H1390" i="19"/>
  <c r="G1390" i="19"/>
  <c r="H1389" i="19"/>
  <c r="G1389" i="19"/>
  <c r="H1388" i="19"/>
  <c r="G1388" i="19"/>
  <c r="H1387" i="19"/>
  <c r="G1387" i="19"/>
  <c r="H1386" i="19"/>
  <c r="G1386" i="19"/>
  <c r="H1385" i="19"/>
  <c r="G1385" i="19"/>
  <c r="H1384" i="19"/>
  <c r="G1384" i="19"/>
  <c r="H1383" i="19"/>
  <c r="G1383" i="19"/>
  <c r="H1382" i="19"/>
  <c r="G1382" i="19"/>
  <c r="H1381" i="19"/>
  <c r="G1381" i="19"/>
  <c r="H1380" i="19"/>
  <c r="G1380" i="19"/>
  <c r="H1379" i="19"/>
  <c r="G1379" i="19"/>
  <c r="H1378" i="19"/>
  <c r="G1378" i="19"/>
  <c r="H1377" i="19"/>
  <c r="G1377" i="19"/>
  <c r="H1376" i="19"/>
  <c r="G1376" i="19"/>
  <c r="H1375" i="19"/>
  <c r="G1375" i="19"/>
  <c r="H1374" i="19"/>
  <c r="G1374" i="19"/>
  <c r="H1373" i="19"/>
  <c r="G1373" i="19"/>
  <c r="H1372" i="19"/>
  <c r="G1372" i="19"/>
  <c r="H1371" i="19"/>
  <c r="G1371" i="19"/>
  <c r="H1370" i="19"/>
  <c r="G1370" i="19"/>
  <c r="H1369" i="19"/>
  <c r="G1369" i="19"/>
  <c r="H1368" i="19"/>
  <c r="G1368" i="19"/>
  <c r="H1367" i="19"/>
  <c r="G1367" i="19"/>
  <c r="H1366" i="19"/>
  <c r="G1366" i="19"/>
  <c r="H1365" i="19"/>
  <c r="G1365" i="19"/>
  <c r="H1364" i="19"/>
  <c r="G1364" i="19"/>
  <c r="H1363" i="19"/>
  <c r="G1363" i="19"/>
  <c r="H1362" i="19"/>
  <c r="G1362" i="19"/>
  <c r="H1361" i="19"/>
  <c r="G1361" i="19"/>
  <c r="H1360" i="19"/>
  <c r="G1360" i="19"/>
  <c r="H1359" i="19"/>
  <c r="G1359" i="19"/>
  <c r="H1358" i="19"/>
  <c r="G1358" i="19"/>
  <c r="H1357" i="19"/>
  <c r="G1357" i="19"/>
  <c r="H1356" i="19"/>
  <c r="G1356" i="19"/>
  <c r="H1355" i="19"/>
  <c r="G1355" i="19"/>
  <c r="H1354" i="19"/>
  <c r="G1354" i="19"/>
  <c r="H1353" i="19"/>
  <c r="G1353" i="19"/>
  <c r="H1352" i="19"/>
  <c r="G1352" i="19"/>
  <c r="H1351" i="19"/>
  <c r="G1351" i="19"/>
  <c r="H1350" i="19"/>
  <c r="G1350" i="19"/>
  <c r="H1349" i="19"/>
  <c r="G1349" i="19"/>
  <c r="H1348" i="19"/>
  <c r="G1348" i="19"/>
  <c r="H1347" i="19"/>
  <c r="G1347" i="19"/>
  <c r="H1346" i="19"/>
  <c r="G1346" i="19"/>
  <c r="H1345" i="19"/>
  <c r="G1345" i="19"/>
  <c r="H1344" i="19"/>
  <c r="G1344" i="19"/>
  <c r="H1343" i="19"/>
  <c r="G1343" i="19"/>
  <c r="H1342" i="19"/>
  <c r="G1342" i="19"/>
  <c r="H1341" i="19"/>
  <c r="G1341" i="19"/>
  <c r="H1340" i="19"/>
  <c r="G1340" i="19"/>
  <c r="H1339" i="19"/>
  <c r="G1339" i="19"/>
  <c r="H1338" i="19"/>
  <c r="G1338" i="19"/>
  <c r="H1337" i="19"/>
  <c r="G1337" i="19"/>
  <c r="H1336" i="19"/>
  <c r="G1336" i="19"/>
  <c r="H1335" i="19"/>
  <c r="G1335" i="19"/>
  <c r="H1334" i="19"/>
  <c r="G1334" i="19"/>
  <c r="H1333" i="19"/>
  <c r="G1333" i="19"/>
  <c r="H1332" i="19"/>
  <c r="G1332" i="19"/>
  <c r="H1331" i="19"/>
  <c r="G1331" i="19"/>
  <c r="H1330" i="19"/>
  <c r="G1330" i="19"/>
  <c r="H1329" i="19"/>
  <c r="G1329" i="19"/>
  <c r="H1328" i="19"/>
  <c r="G1328" i="19"/>
  <c r="H1327" i="19"/>
  <c r="G1327" i="19"/>
  <c r="H1326" i="19"/>
  <c r="G1326" i="19"/>
  <c r="H1325" i="19"/>
  <c r="G1325" i="19"/>
  <c r="H1324" i="19"/>
  <c r="G1324" i="19"/>
  <c r="H1323" i="19"/>
  <c r="G1323" i="19"/>
  <c r="H1322" i="19"/>
  <c r="G1322" i="19"/>
  <c r="H1321" i="19"/>
  <c r="G1321" i="19"/>
  <c r="H1320" i="19"/>
  <c r="G1320" i="19"/>
  <c r="H1319" i="19"/>
  <c r="G1319" i="19"/>
  <c r="H1318" i="19"/>
  <c r="G1318" i="19"/>
  <c r="H1317" i="19"/>
  <c r="G1317" i="19"/>
  <c r="H1316" i="19"/>
  <c r="G1316" i="19"/>
  <c r="H1315" i="19"/>
  <c r="G1315" i="19"/>
  <c r="H1314" i="19"/>
  <c r="G1314" i="19"/>
  <c r="H1313" i="19"/>
  <c r="G1313" i="19"/>
  <c r="H1312" i="19"/>
  <c r="G1312" i="19"/>
  <c r="H1311" i="19"/>
  <c r="G1311" i="19"/>
  <c r="H1310" i="19"/>
  <c r="G1310" i="19"/>
  <c r="H1309" i="19"/>
  <c r="G1309" i="19"/>
  <c r="H1308" i="19"/>
  <c r="G1308" i="19"/>
  <c r="H1307" i="19"/>
  <c r="G1307" i="19"/>
  <c r="H1306" i="19"/>
  <c r="G1306" i="19"/>
  <c r="H1305" i="19"/>
  <c r="G1305" i="19"/>
  <c r="H1304" i="19"/>
  <c r="G1304" i="19"/>
  <c r="H1303" i="19"/>
  <c r="G1303" i="19"/>
  <c r="H1302" i="19"/>
  <c r="G1302" i="19"/>
  <c r="H1301" i="19"/>
  <c r="G1301" i="19"/>
  <c r="H1300" i="19"/>
  <c r="G1300" i="19"/>
  <c r="H1299" i="19"/>
  <c r="G1299" i="19"/>
  <c r="H1298" i="19"/>
  <c r="G1298" i="19"/>
  <c r="H1297" i="19"/>
  <c r="G1297" i="19"/>
  <c r="H1296" i="19"/>
  <c r="G1296" i="19"/>
  <c r="H1295" i="19"/>
  <c r="G1295" i="19"/>
  <c r="H1294" i="19"/>
  <c r="G1294" i="19"/>
  <c r="H1293" i="19"/>
  <c r="G1293" i="19"/>
  <c r="H1292" i="19"/>
  <c r="G1292" i="19"/>
  <c r="H1291" i="19"/>
  <c r="G1291" i="19"/>
  <c r="H1290" i="19"/>
  <c r="G1290" i="19"/>
  <c r="H1289" i="19"/>
  <c r="G1289" i="19"/>
  <c r="H1288" i="19"/>
  <c r="G1288" i="19"/>
  <c r="H1287" i="19"/>
  <c r="G1287" i="19"/>
  <c r="H1286" i="19"/>
  <c r="G1286" i="19"/>
  <c r="H1285" i="19"/>
  <c r="G1285" i="19"/>
  <c r="H1284" i="19"/>
  <c r="G1284" i="19"/>
  <c r="H1283" i="19"/>
  <c r="G1283" i="19"/>
  <c r="H1282" i="19"/>
  <c r="G1282" i="19"/>
  <c r="H1281" i="19"/>
  <c r="G1281" i="19"/>
  <c r="H1280" i="19"/>
  <c r="G1280" i="19"/>
  <c r="H1279" i="19"/>
  <c r="G1279" i="19"/>
  <c r="H1278" i="19"/>
  <c r="G1278" i="19"/>
  <c r="H1277" i="19"/>
  <c r="G1277" i="19"/>
  <c r="H1276" i="19"/>
  <c r="G1276" i="19"/>
  <c r="H1275" i="19"/>
  <c r="G1275" i="19"/>
  <c r="H1274" i="19"/>
  <c r="G1274" i="19"/>
  <c r="H1273" i="19"/>
  <c r="G1273" i="19"/>
  <c r="H1272" i="19"/>
  <c r="G1272" i="19"/>
  <c r="H1271" i="19"/>
  <c r="G1271" i="19"/>
  <c r="H1270" i="19"/>
  <c r="G1270" i="19"/>
  <c r="H1269" i="19"/>
  <c r="G1269" i="19"/>
  <c r="H1268" i="19"/>
  <c r="G1268" i="19"/>
  <c r="H1267" i="19"/>
  <c r="G1267" i="19"/>
  <c r="H1266" i="19"/>
  <c r="G1266" i="19"/>
  <c r="H1265" i="19"/>
  <c r="G1265" i="19"/>
  <c r="H1264" i="19"/>
  <c r="G1264" i="19"/>
  <c r="H1263" i="19"/>
  <c r="G1263" i="19"/>
  <c r="H1262" i="19"/>
  <c r="G1262" i="19"/>
  <c r="H1261" i="19"/>
  <c r="G1261" i="19"/>
  <c r="H1260" i="19"/>
  <c r="G1260" i="19"/>
  <c r="H1259" i="19"/>
  <c r="G1259" i="19"/>
  <c r="H1258" i="19"/>
  <c r="G1258" i="19"/>
  <c r="H1257" i="19"/>
  <c r="G1257" i="19"/>
  <c r="H1256" i="19"/>
  <c r="G1256" i="19"/>
  <c r="H1255" i="19"/>
  <c r="G1255" i="19"/>
  <c r="H1254" i="19"/>
  <c r="G1254" i="19"/>
  <c r="H1253" i="19"/>
  <c r="G1253" i="19"/>
  <c r="H1252" i="19"/>
  <c r="G1252" i="19"/>
  <c r="H1251" i="19"/>
  <c r="G1251" i="19"/>
  <c r="H1250" i="19"/>
  <c r="G1250" i="19"/>
  <c r="H1249" i="19"/>
  <c r="G1249" i="19"/>
  <c r="H1248" i="19"/>
  <c r="G1248" i="19"/>
  <c r="H1247" i="19"/>
  <c r="G1247" i="19"/>
  <c r="H1246" i="19"/>
  <c r="G1246" i="19"/>
  <c r="H1245" i="19"/>
  <c r="G1245" i="19"/>
  <c r="H1244" i="19"/>
  <c r="G1244" i="19"/>
  <c r="H1243" i="19"/>
  <c r="G1243" i="19"/>
  <c r="H1242" i="19"/>
  <c r="G1242" i="19"/>
  <c r="H1241" i="19"/>
  <c r="G1241" i="19"/>
  <c r="H1240" i="19"/>
  <c r="G1240" i="19"/>
  <c r="H1239" i="19"/>
  <c r="G1239" i="19"/>
  <c r="H1238" i="19"/>
  <c r="G1238" i="19"/>
  <c r="H1237" i="19"/>
  <c r="G1237" i="19"/>
  <c r="H1236" i="19"/>
  <c r="G1236" i="19"/>
  <c r="H1235" i="19"/>
  <c r="G1235" i="19"/>
  <c r="H1234" i="19"/>
  <c r="G1234" i="19"/>
  <c r="H1233" i="19"/>
  <c r="G1233" i="19"/>
  <c r="H1232" i="19"/>
  <c r="G1232" i="19"/>
  <c r="H1231" i="19"/>
  <c r="G1231" i="19"/>
  <c r="H1230" i="19"/>
  <c r="G1230" i="19"/>
  <c r="H1229" i="19"/>
  <c r="G1229" i="19"/>
  <c r="H1228" i="19"/>
  <c r="G1228" i="19"/>
  <c r="H1227" i="19"/>
  <c r="G1227" i="19"/>
  <c r="H1226" i="19"/>
  <c r="G1226" i="19"/>
  <c r="H1225" i="19"/>
  <c r="G1225" i="19"/>
  <c r="H1224" i="19"/>
  <c r="G1224" i="19"/>
  <c r="H1223" i="19"/>
  <c r="G1223" i="19"/>
  <c r="H1222" i="19"/>
  <c r="G1222" i="19"/>
  <c r="H1221" i="19"/>
  <c r="G1221" i="19"/>
  <c r="H1220" i="19"/>
  <c r="G1220" i="19"/>
  <c r="H1219" i="19"/>
  <c r="G1219" i="19"/>
  <c r="H1218" i="19"/>
  <c r="G1218" i="19"/>
  <c r="H1217" i="19"/>
  <c r="G1217" i="19"/>
  <c r="H1216" i="19"/>
  <c r="G1216" i="19"/>
  <c r="H1215" i="19"/>
  <c r="G1215" i="19"/>
  <c r="H1214" i="19"/>
  <c r="G1214" i="19"/>
  <c r="H1213" i="19"/>
  <c r="G1213" i="19"/>
  <c r="H1212" i="19"/>
  <c r="G1212" i="19"/>
  <c r="H1211" i="19"/>
  <c r="G1211" i="19"/>
  <c r="H1210" i="19"/>
  <c r="G1210" i="19"/>
  <c r="H1209" i="19"/>
  <c r="G1209" i="19"/>
  <c r="H1208" i="19"/>
  <c r="G1208" i="19"/>
  <c r="H1207" i="19"/>
  <c r="G1207" i="19"/>
  <c r="H1206" i="19"/>
  <c r="G1206" i="19"/>
  <c r="H1205" i="19"/>
  <c r="G1205" i="19"/>
  <c r="H1204" i="19"/>
  <c r="G1204" i="19"/>
  <c r="H1203" i="19"/>
  <c r="G1203" i="19"/>
  <c r="H1202" i="19"/>
  <c r="G1202" i="19"/>
  <c r="H1201" i="19"/>
  <c r="G1201" i="19"/>
  <c r="H1200" i="19"/>
  <c r="G1200" i="19"/>
  <c r="H1199" i="19"/>
  <c r="G1199" i="19"/>
  <c r="H1198" i="19"/>
  <c r="G1198" i="19"/>
  <c r="H1197" i="19"/>
  <c r="G1197" i="19"/>
  <c r="H1196" i="19"/>
  <c r="G1196" i="19"/>
  <c r="H1195" i="19"/>
  <c r="G1195" i="19"/>
  <c r="H1194" i="19"/>
  <c r="G1194" i="19"/>
  <c r="H1193" i="19"/>
  <c r="G1193" i="19"/>
  <c r="H1192" i="19"/>
  <c r="G1192" i="19"/>
  <c r="H1191" i="19"/>
  <c r="G1191" i="19"/>
  <c r="H1190" i="19"/>
  <c r="G1190" i="19"/>
  <c r="H1189" i="19"/>
  <c r="G1189" i="19"/>
  <c r="H1188" i="19"/>
  <c r="G1188" i="19"/>
  <c r="H1187" i="19"/>
  <c r="G1187" i="19"/>
  <c r="H1186" i="19"/>
  <c r="G1186" i="19"/>
  <c r="H1185" i="19"/>
  <c r="G1185" i="19"/>
  <c r="H1184" i="19"/>
  <c r="G1184" i="19"/>
  <c r="H1183" i="19"/>
  <c r="G1183" i="19"/>
  <c r="H1182" i="19"/>
  <c r="G1182" i="19"/>
  <c r="H1181" i="19"/>
  <c r="G1181" i="19"/>
  <c r="H1180" i="19"/>
  <c r="G1180" i="19"/>
  <c r="H1179" i="19"/>
  <c r="G1179" i="19"/>
  <c r="H1178" i="19"/>
  <c r="G1178" i="19"/>
  <c r="H1177" i="19"/>
  <c r="G1177" i="19"/>
  <c r="H1176" i="19"/>
  <c r="G1176" i="19"/>
  <c r="H1175" i="19"/>
  <c r="G1175" i="19"/>
  <c r="H1174" i="19"/>
  <c r="G1174" i="19"/>
  <c r="H1173" i="19"/>
  <c r="G1173" i="19"/>
  <c r="H1172" i="19"/>
  <c r="G1172" i="19"/>
  <c r="H1171" i="19"/>
  <c r="G1171" i="19"/>
  <c r="H1170" i="19"/>
  <c r="G1170" i="19"/>
  <c r="H1169" i="19"/>
  <c r="G1169" i="19"/>
  <c r="H1168" i="19"/>
  <c r="G1168" i="19"/>
  <c r="H1167" i="19"/>
  <c r="G1167" i="19"/>
  <c r="H1166" i="19"/>
  <c r="G1166" i="19"/>
  <c r="H1165" i="19"/>
  <c r="G1165" i="19"/>
  <c r="H1164" i="19"/>
  <c r="G1164" i="19"/>
  <c r="H1163" i="19"/>
  <c r="G1163" i="19"/>
  <c r="H1162" i="19"/>
  <c r="G1162" i="19"/>
  <c r="H1161" i="19"/>
  <c r="G1161" i="19"/>
  <c r="H1160" i="19"/>
  <c r="G1160" i="19"/>
  <c r="H1159" i="19"/>
  <c r="G1159" i="19"/>
  <c r="H1158" i="19"/>
  <c r="G1158" i="19"/>
  <c r="H1157" i="19"/>
  <c r="G1157" i="19"/>
  <c r="H1156" i="19"/>
  <c r="G1156" i="19"/>
  <c r="H1155" i="19"/>
  <c r="G1155" i="19"/>
  <c r="H1154" i="19"/>
  <c r="G1154" i="19"/>
  <c r="H1153" i="19"/>
  <c r="G1153" i="19"/>
  <c r="H1152" i="19"/>
  <c r="G1152" i="19"/>
  <c r="H1151" i="19"/>
  <c r="G1151" i="19"/>
  <c r="H1150" i="19"/>
  <c r="G1150" i="19"/>
  <c r="H1149" i="19"/>
  <c r="G1149" i="19"/>
  <c r="H1148" i="19"/>
  <c r="G1148" i="19"/>
  <c r="H1147" i="19"/>
  <c r="G1147" i="19"/>
  <c r="H1146" i="19"/>
  <c r="G1146" i="19"/>
  <c r="H1145" i="19"/>
  <c r="G1145" i="19"/>
  <c r="H1144" i="19"/>
  <c r="G1144" i="19"/>
  <c r="H1143" i="19"/>
  <c r="G1143" i="19"/>
  <c r="H1142" i="19"/>
  <c r="G1142" i="19"/>
  <c r="H1141" i="19"/>
  <c r="G1141" i="19"/>
  <c r="H1140" i="19"/>
  <c r="G1140" i="19"/>
  <c r="H1139" i="19"/>
  <c r="G1139" i="19"/>
  <c r="H1138" i="19"/>
  <c r="G1138" i="19"/>
  <c r="H1137" i="19"/>
  <c r="G1137" i="19"/>
  <c r="H1136" i="19"/>
  <c r="G1136" i="19"/>
  <c r="H1135" i="19"/>
  <c r="G1135" i="19"/>
  <c r="H1134" i="19"/>
  <c r="G1134" i="19"/>
  <c r="H1133" i="19"/>
  <c r="G1133" i="19"/>
  <c r="H1132" i="19"/>
  <c r="G1132" i="19"/>
  <c r="H1131" i="19"/>
  <c r="G1131" i="19"/>
  <c r="H1130" i="19"/>
  <c r="G1130" i="19"/>
  <c r="H1129" i="19"/>
  <c r="G1129" i="19"/>
  <c r="H1128" i="19"/>
  <c r="G1128" i="19"/>
  <c r="H1127" i="19"/>
  <c r="G1127" i="19"/>
  <c r="H1126" i="19"/>
  <c r="G1126" i="19"/>
  <c r="H1125" i="19"/>
  <c r="G1125" i="19"/>
  <c r="H1124" i="19"/>
  <c r="G1124" i="19"/>
  <c r="H1123" i="19"/>
  <c r="G1123" i="19"/>
  <c r="H1122" i="19"/>
  <c r="G1122" i="19"/>
  <c r="H1121" i="19"/>
  <c r="G1121" i="19"/>
  <c r="H1120" i="19"/>
  <c r="G1120" i="19"/>
  <c r="H1119" i="19"/>
  <c r="G1119" i="19"/>
  <c r="H1118" i="19"/>
  <c r="G1118" i="19"/>
  <c r="H1117" i="19"/>
  <c r="G1117" i="19"/>
  <c r="H1116" i="19"/>
  <c r="G1116" i="19"/>
  <c r="H1115" i="19"/>
  <c r="G1115" i="19"/>
  <c r="H1114" i="19"/>
  <c r="G1114" i="19"/>
  <c r="H1113" i="19"/>
  <c r="G1113" i="19"/>
  <c r="H1112" i="19"/>
  <c r="G1112" i="19"/>
  <c r="H1111" i="19"/>
  <c r="G1111" i="19"/>
  <c r="H1110" i="19"/>
  <c r="G1110" i="19"/>
  <c r="H1109" i="19"/>
  <c r="G1109" i="19"/>
  <c r="H1108" i="19"/>
  <c r="G1108" i="19"/>
  <c r="H1107" i="19"/>
  <c r="G1107" i="19"/>
  <c r="H1106" i="19"/>
  <c r="G1106" i="19"/>
  <c r="H1105" i="19"/>
  <c r="G1105" i="19"/>
  <c r="H1104" i="19"/>
  <c r="G1104" i="19"/>
  <c r="H1103" i="19"/>
  <c r="G1103" i="19"/>
  <c r="H1102" i="19"/>
  <c r="G1102" i="19"/>
  <c r="H1101" i="19"/>
  <c r="G1101" i="19"/>
  <c r="H1100" i="19"/>
  <c r="G1100" i="19"/>
  <c r="H1099" i="19"/>
  <c r="G1099" i="19"/>
  <c r="H1098" i="19"/>
  <c r="G1098" i="19"/>
  <c r="H1097" i="19"/>
  <c r="G1097" i="19"/>
  <c r="H1096" i="19"/>
  <c r="G1096" i="19"/>
  <c r="H1095" i="19"/>
  <c r="G1095" i="19"/>
  <c r="H1094" i="19"/>
  <c r="G1094" i="19"/>
  <c r="H1093" i="19"/>
  <c r="G1093" i="19"/>
  <c r="H1092" i="19"/>
  <c r="G1092" i="19"/>
  <c r="H1091" i="19"/>
  <c r="G1091" i="19"/>
  <c r="H1090" i="19"/>
  <c r="G1090" i="19"/>
  <c r="H1089" i="19"/>
  <c r="G1089" i="19"/>
  <c r="H1088" i="19"/>
  <c r="G1088" i="19"/>
  <c r="H1087" i="19"/>
  <c r="G1087" i="19"/>
  <c r="H1086" i="19"/>
  <c r="G1086" i="19"/>
  <c r="H1085" i="19"/>
  <c r="G1085" i="19"/>
  <c r="H1084" i="19"/>
  <c r="G1084" i="19"/>
  <c r="H1083" i="19"/>
  <c r="G1083" i="19"/>
  <c r="H1082" i="19"/>
  <c r="G1082" i="19"/>
  <c r="H1081" i="19"/>
  <c r="G1081" i="19"/>
  <c r="H1080" i="19"/>
  <c r="G1080" i="19"/>
  <c r="H1079" i="19"/>
  <c r="G1079" i="19"/>
  <c r="H1078" i="19"/>
  <c r="G1078" i="19"/>
  <c r="H1077" i="19"/>
  <c r="G1077" i="19"/>
  <c r="H1076" i="19"/>
  <c r="G1076" i="19"/>
  <c r="H1075" i="19"/>
  <c r="G1075" i="19"/>
  <c r="H1074" i="19"/>
  <c r="G1074" i="19"/>
  <c r="H1073" i="19"/>
  <c r="G1073" i="19"/>
  <c r="H1072" i="19"/>
  <c r="G1072" i="19"/>
  <c r="H1071" i="19"/>
  <c r="G1071" i="19"/>
  <c r="H1070" i="19"/>
  <c r="G1070" i="19"/>
  <c r="H1069" i="19"/>
  <c r="G1069" i="19"/>
  <c r="H1068" i="19"/>
  <c r="G1068" i="19"/>
  <c r="H1067" i="19"/>
  <c r="G1067" i="19"/>
  <c r="H1066" i="19"/>
  <c r="G1066" i="19"/>
  <c r="H1065" i="19"/>
  <c r="G1065" i="19"/>
  <c r="H1064" i="19"/>
  <c r="G1064" i="19"/>
  <c r="H1063" i="19"/>
  <c r="G1063" i="19"/>
  <c r="H1062" i="19"/>
  <c r="G1062" i="19"/>
  <c r="H1061" i="19"/>
  <c r="G1061" i="19"/>
  <c r="H1060" i="19"/>
  <c r="G1060" i="19"/>
  <c r="H1059" i="19"/>
  <c r="G1059" i="19"/>
  <c r="H1058" i="19"/>
  <c r="G1058" i="19"/>
  <c r="H1057" i="19"/>
  <c r="G1057" i="19"/>
  <c r="H1056" i="19"/>
  <c r="G1056" i="19"/>
  <c r="H1055" i="19"/>
  <c r="G1055" i="19"/>
  <c r="H1054" i="19"/>
  <c r="G1054" i="19"/>
  <c r="H1053" i="19"/>
  <c r="G1053" i="19"/>
  <c r="H1052" i="19"/>
  <c r="G1052" i="19"/>
  <c r="H1051" i="19"/>
  <c r="G1051" i="19"/>
  <c r="H1050" i="19"/>
  <c r="G1050" i="19"/>
  <c r="H1049" i="19"/>
  <c r="G1049" i="19"/>
  <c r="H1048" i="19"/>
  <c r="G1048" i="19"/>
  <c r="H1047" i="19"/>
  <c r="G1047" i="19"/>
  <c r="H1046" i="19"/>
  <c r="G1046" i="19"/>
  <c r="H1045" i="19"/>
  <c r="G1045" i="19"/>
  <c r="H1044" i="19"/>
  <c r="G1044" i="19"/>
  <c r="H1043" i="19"/>
  <c r="G1043" i="19"/>
  <c r="H1042" i="19"/>
  <c r="G1042" i="19"/>
  <c r="H1041" i="19"/>
  <c r="G1041" i="19"/>
  <c r="H1040" i="19"/>
  <c r="G1040" i="19"/>
  <c r="H1039" i="19"/>
  <c r="G1039" i="19"/>
  <c r="H1038" i="19"/>
  <c r="G1038" i="19"/>
  <c r="H1037" i="19"/>
  <c r="G1037" i="19"/>
  <c r="H1036" i="19"/>
  <c r="G1036" i="19"/>
  <c r="H1035" i="19"/>
  <c r="G1035" i="19"/>
  <c r="H1034" i="19"/>
  <c r="G1034" i="19"/>
  <c r="H1033" i="19"/>
  <c r="G1033" i="19"/>
  <c r="H1032" i="19"/>
  <c r="G1032" i="19"/>
  <c r="H1031" i="19"/>
  <c r="G1031" i="19"/>
  <c r="H1030" i="19"/>
  <c r="G1030" i="19"/>
  <c r="H1029" i="19"/>
  <c r="G1029" i="19"/>
  <c r="H1028" i="19"/>
  <c r="G1028" i="19"/>
  <c r="H1027" i="19"/>
  <c r="G1027" i="19"/>
  <c r="H1026" i="19"/>
  <c r="G1026" i="19"/>
  <c r="H1025" i="19"/>
  <c r="G1025" i="19"/>
  <c r="H1024" i="19"/>
  <c r="G1024" i="19"/>
  <c r="H1023" i="19"/>
  <c r="G1023" i="19"/>
  <c r="H1022" i="19"/>
  <c r="G1022" i="19"/>
  <c r="H1021" i="19"/>
  <c r="G1021" i="19"/>
  <c r="H1020" i="19"/>
  <c r="G1020" i="19"/>
  <c r="H1019" i="19"/>
  <c r="G1019" i="19"/>
  <c r="H1018" i="19"/>
  <c r="G1018" i="19"/>
  <c r="H1017" i="19"/>
  <c r="G1017" i="19"/>
  <c r="H1016" i="19"/>
  <c r="G1016" i="19"/>
  <c r="H1015" i="19"/>
  <c r="G1015" i="19"/>
  <c r="H1014" i="19"/>
  <c r="G1014" i="19"/>
  <c r="H1013" i="19"/>
  <c r="G1013" i="19"/>
  <c r="H1012" i="19"/>
  <c r="G1012" i="19"/>
  <c r="H1011" i="19"/>
  <c r="G1011" i="19"/>
  <c r="H1010" i="19"/>
  <c r="G1010" i="19"/>
  <c r="H1009" i="19"/>
  <c r="G1009" i="19"/>
  <c r="H1008" i="19"/>
  <c r="G1008" i="19"/>
  <c r="H1007" i="19"/>
  <c r="G1007" i="19"/>
  <c r="H1006" i="19"/>
  <c r="G1006" i="19"/>
  <c r="H1005" i="19"/>
  <c r="G1005" i="19"/>
  <c r="H1004" i="19"/>
  <c r="G1004" i="19"/>
  <c r="H1003" i="19"/>
  <c r="G1003" i="19"/>
  <c r="H1002" i="19"/>
  <c r="G1002" i="19"/>
  <c r="H1001" i="19"/>
  <c r="G1001" i="19"/>
  <c r="H1000" i="19"/>
  <c r="G1000" i="19"/>
  <c r="H999" i="19"/>
  <c r="G999" i="19"/>
  <c r="H998" i="19"/>
  <c r="G998" i="19"/>
  <c r="H997" i="19"/>
  <c r="G997" i="19"/>
  <c r="H996" i="19"/>
  <c r="G996" i="19"/>
  <c r="H995" i="19"/>
  <c r="G995" i="19"/>
  <c r="H994" i="19"/>
  <c r="G994" i="19"/>
  <c r="H993" i="19"/>
  <c r="G993" i="19"/>
  <c r="H992" i="19"/>
  <c r="G992" i="19"/>
  <c r="H991" i="19"/>
  <c r="G991" i="19"/>
  <c r="H990" i="19"/>
  <c r="G990" i="19"/>
  <c r="H989" i="19"/>
  <c r="G989" i="19"/>
  <c r="H988" i="19"/>
  <c r="G988" i="19"/>
  <c r="H987" i="19"/>
  <c r="G987" i="19"/>
  <c r="H986" i="19"/>
  <c r="G986" i="19"/>
  <c r="H985" i="19"/>
  <c r="G985" i="19"/>
  <c r="H984" i="19"/>
  <c r="G984" i="19"/>
  <c r="H983" i="19"/>
  <c r="G983" i="19"/>
  <c r="H982" i="19"/>
  <c r="G982" i="19"/>
  <c r="H981" i="19"/>
  <c r="G981" i="19"/>
  <c r="H980" i="19"/>
  <c r="G980" i="19"/>
  <c r="H979" i="19"/>
  <c r="G979" i="19"/>
  <c r="H978" i="19"/>
  <c r="G978" i="19"/>
  <c r="H977" i="19"/>
  <c r="G977" i="19"/>
  <c r="H976" i="19"/>
  <c r="G976" i="19"/>
  <c r="H975" i="19"/>
  <c r="G975" i="19"/>
  <c r="H974" i="19"/>
  <c r="G974" i="19"/>
  <c r="H973" i="19"/>
  <c r="G973" i="19"/>
  <c r="H972" i="19"/>
  <c r="G972" i="19"/>
  <c r="H971" i="19"/>
  <c r="G971" i="19"/>
  <c r="H970" i="19"/>
  <c r="G970" i="19"/>
  <c r="H969" i="19"/>
  <c r="G969" i="19"/>
  <c r="H968" i="19"/>
  <c r="G968" i="19"/>
  <c r="H967" i="19"/>
  <c r="G967" i="19"/>
  <c r="H966" i="19"/>
  <c r="G966" i="19"/>
  <c r="H965" i="19"/>
  <c r="G965" i="19"/>
  <c r="H964" i="19"/>
  <c r="G964" i="19"/>
  <c r="H963" i="19"/>
  <c r="G963" i="19"/>
  <c r="H962" i="19"/>
  <c r="G962" i="19"/>
  <c r="H961" i="19"/>
  <c r="G961" i="19"/>
  <c r="H960" i="19"/>
  <c r="G960" i="19"/>
  <c r="H959" i="19"/>
  <c r="G959" i="19"/>
  <c r="H958" i="19"/>
  <c r="G958" i="19"/>
  <c r="H957" i="19"/>
  <c r="G957" i="19"/>
  <c r="H956" i="19"/>
  <c r="G956" i="19"/>
  <c r="H955" i="19"/>
  <c r="G955" i="19"/>
  <c r="H954" i="19"/>
  <c r="G954" i="19"/>
  <c r="H953" i="19"/>
  <c r="G953" i="19"/>
  <c r="H952" i="19"/>
  <c r="G952" i="19"/>
  <c r="H951" i="19"/>
  <c r="G951" i="19"/>
  <c r="H950" i="19"/>
  <c r="G950" i="19"/>
  <c r="H949" i="19"/>
  <c r="G949" i="19"/>
  <c r="H948" i="19"/>
  <c r="G948" i="19"/>
  <c r="H947" i="19"/>
  <c r="G947" i="19"/>
  <c r="H946" i="19"/>
  <c r="G946" i="19"/>
  <c r="H945" i="19"/>
  <c r="G945" i="19"/>
  <c r="H944" i="19"/>
  <c r="G944" i="19"/>
  <c r="H943" i="19"/>
  <c r="G943" i="19"/>
  <c r="H942" i="19"/>
  <c r="G942" i="19"/>
  <c r="H941" i="19"/>
  <c r="G941" i="19"/>
  <c r="H940" i="19"/>
  <c r="G940" i="19"/>
  <c r="H939" i="19"/>
  <c r="G939" i="19"/>
  <c r="H938" i="19"/>
  <c r="G938" i="19"/>
  <c r="H937" i="19"/>
  <c r="G937" i="19"/>
  <c r="H936" i="19"/>
  <c r="G936" i="19"/>
  <c r="H935" i="19"/>
  <c r="G935" i="19"/>
  <c r="H934" i="19"/>
  <c r="G934" i="19"/>
  <c r="H933" i="19"/>
  <c r="G933" i="19"/>
  <c r="H932" i="19"/>
  <c r="G932" i="19"/>
  <c r="H931" i="19"/>
  <c r="G931" i="19"/>
  <c r="H930" i="19"/>
  <c r="G930" i="19"/>
  <c r="H929" i="19"/>
  <c r="G929" i="19"/>
  <c r="H928" i="19"/>
  <c r="G928" i="19"/>
  <c r="H927" i="19"/>
  <c r="G927" i="19"/>
  <c r="H926" i="19"/>
  <c r="G926" i="19"/>
  <c r="H925" i="19"/>
  <c r="G925" i="19"/>
  <c r="H924" i="19"/>
  <c r="G924" i="19"/>
  <c r="H923" i="19"/>
  <c r="G923" i="19"/>
  <c r="H922" i="19"/>
  <c r="G922" i="19"/>
  <c r="H921" i="19"/>
  <c r="G921" i="19"/>
  <c r="H920" i="19"/>
  <c r="G920" i="19"/>
  <c r="H919" i="19"/>
  <c r="G919" i="19"/>
  <c r="H918" i="19"/>
  <c r="G918" i="19"/>
  <c r="H917" i="19"/>
  <c r="G917" i="19"/>
  <c r="H916" i="19"/>
  <c r="G916" i="19"/>
  <c r="H915" i="19"/>
  <c r="G915" i="19"/>
  <c r="H914" i="19"/>
  <c r="G914" i="19"/>
  <c r="H913" i="19"/>
  <c r="G913" i="19"/>
  <c r="H912" i="19"/>
  <c r="G912" i="19"/>
  <c r="H911" i="19"/>
  <c r="G911" i="19"/>
  <c r="H910" i="19"/>
  <c r="G910" i="19"/>
  <c r="H909" i="19"/>
  <c r="G909" i="19"/>
  <c r="H908" i="19"/>
  <c r="G908" i="19"/>
  <c r="H907" i="19"/>
  <c r="G907" i="19"/>
  <c r="H906" i="19"/>
  <c r="G906" i="19"/>
  <c r="H905" i="19"/>
  <c r="G905" i="19"/>
  <c r="H904" i="19"/>
  <c r="G904" i="19"/>
  <c r="H903" i="19"/>
  <c r="G903" i="19"/>
  <c r="H902" i="19"/>
  <c r="G902" i="19"/>
  <c r="H901" i="19"/>
  <c r="G901" i="19"/>
  <c r="H900" i="19"/>
  <c r="G900" i="19"/>
  <c r="H899" i="19"/>
  <c r="G899" i="19"/>
  <c r="H898" i="19"/>
  <c r="G898" i="19"/>
  <c r="H897" i="19"/>
  <c r="G897" i="19"/>
  <c r="H896" i="19"/>
  <c r="G896" i="19"/>
  <c r="H895" i="19"/>
  <c r="G895" i="19"/>
  <c r="H894" i="19"/>
  <c r="G894" i="19"/>
  <c r="H893" i="19"/>
  <c r="G893" i="19"/>
  <c r="H892" i="19"/>
  <c r="G892" i="19"/>
  <c r="H891" i="19"/>
  <c r="G891" i="19"/>
  <c r="H890" i="19"/>
  <c r="G890" i="19"/>
  <c r="H889" i="19"/>
  <c r="G889" i="19"/>
  <c r="H888" i="19"/>
  <c r="G888" i="19"/>
  <c r="H887" i="19"/>
  <c r="G887" i="19"/>
  <c r="H886" i="19"/>
  <c r="G886" i="19"/>
  <c r="H885" i="19"/>
  <c r="G885" i="19"/>
  <c r="H884" i="19"/>
  <c r="G884" i="19"/>
  <c r="H883" i="19"/>
  <c r="G883" i="19"/>
  <c r="H882" i="19"/>
  <c r="G882" i="19"/>
  <c r="H881" i="19"/>
  <c r="G881" i="19"/>
  <c r="H880" i="19"/>
  <c r="G880" i="19"/>
  <c r="H879" i="19"/>
  <c r="G879" i="19"/>
  <c r="H878" i="19"/>
  <c r="G878" i="19"/>
  <c r="H877" i="19"/>
  <c r="G877" i="19"/>
  <c r="H876" i="19"/>
  <c r="G876" i="19"/>
  <c r="H875" i="19"/>
  <c r="G875" i="19"/>
  <c r="H874" i="19"/>
  <c r="G874" i="19"/>
  <c r="H873" i="19"/>
  <c r="G873" i="19"/>
  <c r="H872" i="19"/>
  <c r="G872" i="19"/>
  <c r="H871" i="19"/>
  <c r="G871" i="19"/>
  <c r="H870" i="19"/>
  <c r="G870" i="19"/>
  <c r="H869" i="19"/>
  <c r="G869" i="19"/>
  <c r="H868" i="19"/>
  <c r="G868" i="19"/>
  <c r="H867" i="19"/>
  <c r="G867" i="19"/>
  <c r="H866" i="19"/>
  <c r="G866" i="19"/>
  <c r="H865" i="19"/>
  <c r="G865" i="19"/>
  <c r="H864" i="19"/>
  <c r="G864" i="19"/>
  <c r="H863" i="19"/>
  <c r="G863" i="19"/>
  <c r="H862" i="19"/>
  <c r="G862" i="19"/>
  <c r="H861" i="19"/>
  <c r="G861" i="19"/>
  <c r="H860" i="19"/>
  <c r="G860" i="19"/>
  <c r="H859" i="19"/>
  <c r="G859" i="19"/>
  <c r="H858" i="19"/>
  <c r="G858" i="19"/>
  <c r="H857" i="19"/>
  <c r="G857" i="19"/>
  <c r="H856" i="19"/>
  <c r="G856" i="19"/>
  <c r="H855" i="19"/>
  <c r="G855" i="19"/>
  <c r="H854" i="19"/>
  <c r="G854" i="19"/>
  <c r="H853" i="19"/>
  <c r="G853" i="19"/>
  <c r="H852" i="19"/>
  <c r="G852" i="19"/>
  <c r="H851" i="19"/>
  <c r="G851" i="19"/>
  <c r="H850" i="19"/>
  <c r="G850" i="19"/>
  <c r="H849" i="19"/>
  <c r="G849" i="19"/>
  <c r="H848" i="19"/>
  <c r="G848" i="19"/>
  <c r="H847" i="19"/>
  <c r="G847" i="19"/>
  <c r="H846" i="19"/>
  <c r="G846" i="19"/>
  <c r="H845" i="19"/>
  <c r="G845" i="19"/>
  <c r="H844" i="19"/>
  <c r="G844" i="19"/>
  <c r="H843" i="19"/>
  <c r="G843" i="19"/>
  <c r="H842" i="19"/>
  <c r="G842" i="19"/>
  <c r="H841" i="19"/>
  <c r="G841" i="19"/>
  <c r="H840" i="19"/>
  <c r="G840" i="19"/>
  <c r="H839" i="19"/>
  <c r="G839" i="19"/>
  <c r="H838" i="19"/>
  <c r="G838" i="19"/>
  <c r="H837" i="19"/>
  <c r="G837" i="19"/>
  <c r="H836" i="19"/>
  <c r="G836" i="19"/>
  <c r="H835" i="19"/>
  <c r="G835" i="19"/>
  <c r="H834" i="19"/>
  <c r="G834" i="19"/>
  <c r="H833" i="19"/>
  <c r="G833" i="19"/>
  <c r="H832" i="19"/>
  <c r="G832" i="19"/>
  <c r="H831" i="19"/>
  <c r="G831" i="19"/>
  <c r="H830" i="19"/>
  <c r="G830" i="19"/>
  <c r="H829" i="19"/>
  <c r="G829" i="19"/>
  <c r="H828" i="19"/>
  <c r="G828" i="19"/>
  <c r="H827" i="19"/>
  <c r="G827" i="19"/>
  <c r="H826" i="19"/>
  <c r="G826" i="19"/>
  <c r="H825" i="19"/>
  <c r="G825" i="19"/>
  <c r="H824" i="19"/>
  <c r="G824" i="19"/>
  <c r="H823" i="19"/>
  <c r="G823" i="19"/>
  <c r="H822" i="19"/>
  <c r="G822" i="19"/>
  <c r="H821" i="19"/>
  <c r="G821" i="19"/>
  <c r="H820" i="19"/>
  <c r="G820" i="19"/>
  <c r="H819" i="19"/>
  <c r="G819" i="19"/>
  <c r="H818" i="19"/>
  <c r="G818" i="19"/>
  <c r="H817" i="19"/>
  <c r="G817" i="19"/>
  <c r="H816" i="19"/>
  <c r="G816" i="19"/>
  <c r="H815" i="19"/>
  <c r="G815" i="19"/>
  <c r="H814" i="19"/>
  <c r="G814" i="19"/>
  <c r="H813" i="19"/>
  <c r="G813" i="19"/>
  <c r="H812" i="19"/>
  <c r="G812" i="19"/>
  <c r="H811" i="19"/>
  <c r="G811" i="19"/>
  <c r="H810" i="19"/>
  <c r="G810" i="19"/>
  <c r="H809" i="19"/>
  <c r="G809" i="19"/>
  <c r="H808" i="19"/>
  <c r="G808" i="19"/>
  <c r="H807" i="19"/>
  <c r="G807" i="19"/>
  <c r="H806" i="19"/>
  <c r="G806" i="19"/>
  <c r="H805" i="19"/>
  <c r="G805" i="19"/>
  <c r="H804" i="19"/>
  <c r="G804" i="19"/>
  <c r="H803" i="19"/>
  <c r="G803" i="19"/>
  <c r="H802" i="19"/>
  <c r="G802" i="19"/>
  <c r="H801" i="19"/>
  <c r="G801" i="19"/>
  <c r="H800" i="19"/>
  <c r="G800" i="19"/>
  <c r="H799" i="19"/>
  <c r="G799" i="19"/>
  <c r="H798" i="19"/>
  <c r="G798" i="19"/>
  <c r="H797" i="19"/>
  <c r="G797" i="19"/>
  <c r="H796" i="19"/>
  <c r="G796" i="19"/>
  <c r="H795" i="19"/>
  <c r="G795" i="19"/>
  <c r="H794" i="19"/>
  <c r="G794" i="19"/>
  <c r="H793" i="19"/>
  <c r="G793" i="19"/>
  <c r="H792" i="19"/>
  <c r="G792" i="19"/>
  <c r="H791" i="19"/>
  <c r="G791" i="19"/>
  <c r="H790" i="19"/>
  <c r="G790" i="19"/>
  <c r="H789" i="19"/>
  <c r="G789" i="19"/>
  <c r="H788" i="19"/>
  <c r="G788" i="19"/>
  <c r="H787" i="19"/>
  <c r="G787" i="19"/>
  <c r="H786" i="19"/>
  <c r="G786" i="19"/>
  <c r="H785" i="19"/>
  <c r="G785" i="19"/>
  <c r="H784" i="19"/>
  <c r="G784" i="19"/>
  <c r="H783" i="19"/>
  <c r="G783" i="19"/>
  <c r="H782" i="19"/>
  <c r="G782" i="19"/>
  <c r="H781" i="19"/>
  <c r="G781" i="19"/>
  <c r="H780" i="19"/>
  <c r="G780" i="19"/>
  <c r="H779" i="19"/>
  <c r="G779" i="19"/>
  <c r="H778" i="19"/>
  <c r="G778" i="19"/>
  <c r="H777" i="19"/>
  <c r="G777" i="19"/>
  <c r="H776" i="19"/>
  <c r="G776" i="19"/>
  <c r="H775" i="19"/>
  <c r="G775" i="19"/>
  <c r="H774" i="19"/>
  <c r="G774" i="19"/>
  <c r="H773" i="19"/>
  <c r="G773" i="19"/>
  <c r="H772" i="19"/>
  <c r="G772" i="19"/>
  <c r="H771" i="19"/>
  <c r="G771" i="19"/>
  <c r="H770" i="19"/>
  <c r="G770" i="19"/>
  <c r="H769" i="19"/>
  <c r="G769" i="19"/>
  <c r="H768" i="19"/>
  <c r="G768" i="19"/>
  <c r="H767" i="19"/>
  <c r="G767" i="19"/>
  <c r="H766" i="19"/>
  <c r="G766" i="19"/>
  <c r="H765" i="19"/>
  <c r="G765" i="19"/>
  <c r="H764" i="19"/>
  <c r="G764" i="19"/>
  <c r="H763" i="19"/>
  <c r="G763" i="19"/>
  <c r="H762" i="19"/>
  <c r="G762" i="19"/>
  <c r="H761" i="19"/>
  <c r="G761" i="19"/>
  <c r="H760" i="19"/>
  <c r="G760" i="19"/>
  <c r="H759" i="19"/>
  <c r="G759" i="19"/>
  <c r="H758" i="19"/>
  <c r="G758" i="19"/>
  <c r="H757" i="19"/>
  <c r="G757" i="19"/>
  <c r="H756" i="19"/>
  <c r="G756" i="19"/>
  <c r="H755" i="19"/>
  <c r="G755" i="19"/>
  <c r="H754" i="19"/>
  <c r="G754" i="19"/>
  <c r="H753" i="19"/>
  <c r="G753" i="19"/>
  <c r="H752" i="19"/>
  <c r="G752" i="19"/>
  <c r="H751" i="19"/>
  <c r="G751" i="19"/>
  <c r="H750" i="19"/>
  <c r="G750" i="19"/>
  <c r="H749" i="19"/>
  <c r="G749" i="19"/>
  <c r="H748" i="19"/>
  <c r="G748" i="19"/>
  <c r="H747" i="19"/>
  <c r="G747" i="19"/>
  <c r="H746" i="19"/>
  <c r="G746" i="19"/>
  <c r="H745" i="19"/>
  <c r="G745" i="19"/>
  <c r="H744" i="19"/>
  <c r="G744" i="19"/>
  <c r="H743" i="19"/>
  <c r="G743" i="19"/>
  <c r="H742" i="19"/>
  <c r="G742" i="19"/>
  <c r="H741" i="19"/>
  <c r="G741" i="19"/>
  <c r="H740" i="19"/>
  <c r="G740" i="19"/>
  <c r="H739" i="19"/>
  <c r="G739" i="19"/>
  <c r="H738" i="19"/>
  <c r="G738" i="19"/>
  <c r="H737" i="19"/>
  <c r="G737" i="19"/>
  <c r="H736" i="19"/>
  <c r="G736" i="19"/>
  <c r="H735" i="19"/>
  <c r="G735" i="19"/>
  <c r="H734" i="19"/>
  <c r="G734" i="19"/>
  <c r="H733" i="19"/>
  <c r="G733" i="19"/>
  <c r="H732" i="19"/>
  <c r="G732" i="19"/>
  <c r="H731" i="19"/>
  <c r="G731" i="19"/>
  <c r="H730" i="19"/>
  <c r="G730" i="19"/>
  <c r="H729" i="19"/>
  <c r="G729" i="19"/>
  <c r="H728" i="19"/>
  <c r="G728" i="19"/>
  <c r="H727" i="19"/>
  <c r="G727" i="19"/>
  <c r="H726" i="19"/>
  <c r="G726" i="19"/>
  <c r="H725" i="19"/>
  <c r="G725" i="19"/>
  <c r="H724" i="19"/>
  <c r="G724" i="19"/>
  <c r="H723" i="19"/>
  <c r="G723" i="19"/>
  <c r="H722" i="19"/>
  <c r="G722" i="19"/>
  <c r="H721" i="19"/>
  <c r="G721" i="19"/>
  <c r="H720" i="19"/>
  <c r="G720" i="19"/>
  <c r="H719" i="19"/>
  <c r="G719" i="19"/>
  <c r="H718" i="19"/>
  <c r="G718" i="19"/>
  <c r="H717" i="19"/>
  <c r="G717" i="19"/>
  <c r="H716" i="19"/>
  <c r="G716" i="19"/>
  <c r="H715" i="19"/>
  <c r="G715" i="19"/>
  <c r="H714" i="19"/>
  <c r="G714" i="19"/>
  <c r="H713" i="19"/>
  <c r="G713" i="19"/>
  <c r="H712" i="19"/>
  <c r="G712" i="19"/>
  <c r="H711" i="19"/>
  <c r="G711" i="19"/>
  <c r="H710" i="19"/>
  <c r="G710" i="19"/>
  <c r="H709" i="19"/>
  <c r="G709" i="19"/>
  <c r="H708" i="19"/>
  <c r="G708" i="19"/>
  <c r="H707" i="19"/>
  <c r="G707" i="19"/>
  <c r="H706" i="19"/>
  <c r="G706" i="19"/>
  <c r="H705" i="19"/>
  <c r="G705" i="19"/>
  <c r="H704" i="19"/>
  <c r="G704" i="19"/>
  <c r="H703" i="19"/>
  <c r="G703" i="19"/>
  <c r="H702" i="19"/>
  <c r="G702" i="19"/>
  <c r="H701" i="19"/>
  <c r="G701" i="19"/>
  <c r="H700" i="19"/>
  <c r="G700" i="19"/>
  <c r="H699" i="19"/>
  <c r="G699" i="19"/>
  <c r="H698" i="19"/>
  <c r="G698" i="19"/>
  <c r="H697" i="19"/>
  <c r="G697" i="19"/>
  <c r="H696" i="19"/>
  <c r="G696" i="19"/>
  <c r="H695" i="19"/>
  <c r="G695" i="19"/>
  <c r="H694" i="19"/>
  <c r="G694" i="19"/>
  <c r="H693" i="19"/>
  <c r="G693" i="19"/>
  <c r="H692" i="19"/>
  <c r="G692" i="19"/>
  <c r="H691" i="19"/>
  <c r="G691" i="19"/>
  <c r="H690" i="19"/>
  <c r="G690" i="19"/>
  <c r="H689" i="19"/>
  <c r="G689" i="19"/>
  <c r="H688" i="19"/>
  <c r="G688" i="19"/>
  <c r="H687" i="19"/>
  <c r="G687" i="19"/>
  <c r="H686" i="19"/>
  <c r="G686" i="19"/>
  <c r="H685" i="19"/>
  <c r="G685" i="19"/>
  <c r="H684" i="19"/>
  <c r="G684" i="19"/>
  <c r="H683" i="19"/>
  <c r="G683" i="19"/>
  <c r="H682" i="19"/>
  <c r="G682" i="19"/>
  <c r="H681" i="19"/>
  <c r="G681" i="19"/>
  <c r="H680" i="19"/>
  <c r="G680" i="19"/>
  <c r="H679" i="19"/>
  <c r="G679" i="19"/>
  <c r="H678" i="19"/>
  <c r="G678" i="19"/>
  <c r="H677" i="19"/>
  <c r="G677" i="19"/>
  <c r="H676" i="19"/>
  <c r="G676" i="19"/>
  <c r="H675" i="19"/>
  <c r="G675" i="19"/>
  <c r="H674" i="19"/>
  <c r="G674" i="19"/>
  <c r="H673" i="19"/>
  <c r="G673" i="19"/>
  <c r="H672" i="19"/>
  <c r="G672" i="19"/>
  <c r="H671" i="19"/>
  <c r="G671" i="19"/>
  <c r="H670" i="19"/>
  <c r="G670" i="19"/>
  <c r="H669" i="19"/>
  <c r="G669" i="19"/>
  <c r="H668" i="19"/>
  <c r="G668" i="19"/>
  <c r="H667" i="19"/>
  <c r="G667" i="19"/>
  <c r="H666" i="19"/>
  <c r="G666" i="19"/>
  <c r="H665" i="19"/>
  <c r="G665" i="19"/>
  <c r="H664" i="19"/>
  <c r="G664" i="19"/>
  <c r="H663" i="19"/>
  <c r="G663" i="19"/>
  <c r="H662" i="19"/>
  <c r="G662" i="19"/>
  <c r="H661" i="19"/>
  <c r="G661" i="19"/>
  <c r="H660" i="19"/>
  <c r="G660" i="19"/>
  <c r="H659" i="19"/>
  <c r="G659" i="19"/>
  <c r="H658" i="19"/>
  <c r="G658" i="19"/>
  <c r="H657" i="19"/>
  <c r="G657" i="19"/>
  <c r="H656" i="19"/>
  <c r="G656" i="19"/>
  <c r="H655" i="19"/>
  <c r="G655" i="19"/>
  <c r="H654" i="19"/>
  <c r="G654" i="19"/>
  <c r="H653" i="19"/>
  <c r="G653" i="19"/>
  <c r="H652" i="19"/>
  <c r="G652" i="19"/>
  <c r="H651" i="19"/>
  <c r="G651" i="19"/>
  <c r="H650" i="19"/>
  <c r="G650" i="19"/>
  <c r="H649" i="19"/>
  <c r="G649" i="19"/>
  <c r="H648" i="19"/>
  <c r="G648" i="19"/>
  <c r="H647" i="19"/>
  <c r="G647" i="19"/>
  <c r="H646" i="19"/>
  <c r="G646" i="19"/>
  <c r="H645" i="19"/>
  <c r="G645" i="19"/>
  <c r="H644" i="19"/>
  <c r="G644" i="19"/>
  <c r="H643" i="19"/>
  <c r="G643" i="19"/>
  <c r="H642" i="19"/>
  <c r="G642" i="19"/>
  <c r="H641" i="19"/>
  <c r="G641" i="19"/>
  <c r="H640" i="19"/>
  <c r="G640" i="19"/>
  <c r="H639" i="19"/>
  <c r="G639" i="19"/>
  <c r="H638" i="19"/>
  <c r="G638" i="19"/>
  <c r="H637" i="19"/>
  <c r="G637" i="19"/>
  <c r="H636" i="19"/>
  <c r="G636" i="19"/>
  <c r="H635" i="19"/>
  <c r="G635" i="19"/>
  <c r="H634" i="19"/>
  <c r="G634" i="19"/>
  <c r="H633" i="19"/>
  <c r="G633" i="19"/>
  <c r="H632" i="19"/>
  <c r="G632" i="19"/>
  <c r="H631" i="19"/>
  <c r="G631" i="19"/>
  <c r="H630" i="19"/>
  <c r="G630" i="19"/>
  <c r="H629" i="19"/>
  <c r="G629" i="19"/>
  <c r="H628" i="19"/>
  <c r="G628" i="19"/>
  <c r="H627" i="19"/>
  <c r="G627" i="19"/>
  <c r="H626" i="19"/>
  <c r="G626" i="19"/>
  <c r="H625" i="19"/>
  <c r="G625" i="19"/>
  <c r="H624" i="19"/>
  <c r="G624" i="19"/>
  <c r="H623" i="19"/>
  <c r="G623" i="19"/>
  <c r="H622" i="19"/>
  <c r="G622" i="19"/>
  <c r="H621" i="19"/>
  <c r="G621" i="19"/>
  <c r="H620" i="19"/>
  <c r="G620" i="19"/>
  <c r="H619" i="19"/>
  <c r="G619" i="19"/>
  <c r="H618" i="19"/>
  <c r="G618" i="19"/>
  <c r="H617" i="19"/>
  <c r="G617" i="19"/>
  <c r="H616" i="19"/>
  <c r="G616" i="19"/>
  <c r="H615" i="19"/>
  <c r="G615" i="19"/>
  <c r="H614" i="19"/>
  <c r="G614" i="19"/>
  <c r="H613" i="19"/>
  <c r="G613" i="19"/>
  <c r="H612" i="19"/>
  <c r="G612" i="19"/>
  <c r="H611" i="19"/>
  <c r="G611" i="19"/>
  <c r="H610" i="19"/>
  <c r="G610" i="19"/>
  <c r="H609" i="19"/>
  <c r="G609" i="19"/>
  <c r="H608" i="19"/>
  <c r="G608" i="19"/>
  <c r="H607" i="19"/>
  <c r="G607" i="19"/>
  <c r="H606" i="19"/>
  <c r="G606" i="19"/>
  <c r="H605" i="19"/>
  <c r="G605" i="19"/>
  <c r="H604" i="19"/>
  <c r="G604" i="19"/>
  <c r="H603" i="19"/>
  <c r="G603" i="19"/>
  <c r="H602" i="19"/>
  <c r="G602" i="19"/>
  <c r="H601" i="19"/>
  <c r="G601" i="19"/>
  <c r="H600" i="19"/>
  <c r="G600" i="19"/>
  <c r="H599" i="19"/>
  <c r="G599" i="19"/>
  <c r="H598" i="19"/>
  <c r="G598" i="19"/>
  <c r="H597" i="19"/>
  <c r="G597" i="19"/>
  <c r="H596" i="19"/>
  <c r="G596" i="19"/>
  <c r="H595" i="19"/>
  <c r="G595" i="19"/>
  <c r="H594" i="19"/>
  <c r="G594" i="19"/>
  <c r="H593" i="19"/>
  <c r="G593" i="19"/>
  <c r="H592" i="19"/>
  <c r="G592" i="19"/>
  <c r="H591" i="19"/>
  <c r="G591" i="19"/>
  <c r="H590" i="19"/>
  <c r="G590" i="19"/>
  <c r="H589" i="19"/>
  <c r="G589" i="19"/>
  <c r="H588" i="19"/>
  <c r="G588" i="19"/>
  <c r="H587" i="19"/>
  <c r="G587" i="19"/>
  <c r="H586" i="19"/>
  <c r="G586" i="19"/>
  <c r="H585" i="19"/>
  <c r="G585" i="19"/>
  <c r="H584" i="19"/>
  <c r="G584" i="19"/>
  <c r="H583" i="19"/>
  <c r="G583" i="19"/>
  <c r="H582" i="19"/>
  <c r="G582" i="19"/>
  <c r="H581" i="19"/>
  <c r="G581" i="19"/>
  <c r="H580" i="19"/>
  <c r="G580" i="19"/>
  <c r="H579" i="19"/>
  <c r="G579" i="19"/>
  <c r="H578" i="19"/>
  <c r="G578" i="19"/>
  <c r="H577" i="19"/>
  <c r="G577" i="19"/>
  <c r="H576" i="19"/>
  <c r="G576" i="19"/>
  <c r="H575" i="19"/>
  <c r="G575" i="19"/>
  <c r="H574" i="19"/>
  <c r="G574" i="19"/>
  <c r="H573" i="19"/>
  <c r="G573" i="19"/>
  <c r="H572" i="19"/>
  <c r="G572" i="19"/>
  <c r="H571" i="19"/>
  <c r="G571" i="19"/>
  <c r="H570" i="19"/>
  <c r="G570" i="19"/>
  <c r="H569" i="19"/>
  <c r="G569" i="19"/>
  <c r="H568" i="19"/>
  <c r="G568" i="19"/>
  <c r="H567" i="19"/>
  <c r="G567" i="19"/>
  <c r="H566" i="19"/>
  <c r="G566" i="19"/>
  <c r="H565" i="19"/>
  <c r="G565" i="19"/>
  <c r="H564" i="19"/>
  <c r="G564" i="19"/>
  <c r="H563" i="19"/>
  <c r="G563" i="19"/>
  <c r="H562" i="19"/>
  <c r="G562" i="19"/>
  <c r="H561" i="19"/>
  <c r="G561" i="19"/>
  <c r="H560" i="19"/>
  <c r="G560" i="19"/>
  <c r="H559" i="19"/>
  <c r="G559" i="19"/>
  <c r="H558" i="19"/>
  <c r="G558" i="19"/>
  <c r="H557" i="19"/>
  <c r="G557" i="19"/>
  <c r="H556" i="19"/>
  <c r="G556" i="19"/>
  <c r="H555" i="19"/>
  <c r="G555" i="19"/>
  <c r="H554" i="19"/>
  <c r="G554" i="19"/>
  <c r="H553" i="19"/>
  <c r="G553" i="19"/>
  <c r="H552" i="19"/>
  <c r="G552" i="19"/>
  <c r="H551" i="19"/>
  <c r="G551" i="19"/>
  <c r="H550" i="19"/>
  <c r="G550" i="19"/>
  <c r="H549" i="19"/>
  <c r="G549" i="19"/>
  <c r="H548" i="19"/>
  <c r="G548" i="19"/>
  <c r="H547" i="19"/>
  <c r="G547" i="19"/>
  <c r="H546" i="19"/>
  <c r="G546" i="19"/>
  <c r="H545" i="19"/>
  <c r="G545" i="19"/>
  <c r="H544" i="19"/>
  <c r="G544" i="19"/>
  <c r="H543" i="19"/>
  <c r="G543" i="19"/>
  <c r="H542" i="19"/>
  <c r="G542" i="19"/>
  <c r="H541" i="19"/>
  <c r="G541" i="19"/>
  <c r="H540" i="19"/>
  <c r="G540" i="19"/>
  <c r="H539" i="19"/>
  <c r="G539" i="19"/>
  <c r="H538" i="19"/>
  <c r="G538" i="19"/>
  <c r="H537" i="19"/>
  <c r="G537" i="19"/>
  <c r="H536" i="19"/>
  <c r="G536" i="19"/>
  <c r="H535" i="19"/>
  <c r="G535" i="19"/>
  <c r="H534" i="19"/>
  <c r="G534" i="19"/>
  <c r="H533" i="19"/>
  <c r="G533" i="19"/>
  <c r="H532" i="19"/>
  <c r="G532" i="19"/>
  <c r="H531" i="19"/>
  <c r="G531" i="19"/>
  <c r="H530" i="19"/>
  <c r="G530" i="19"/>
  <c r="H529" i="19"/>
  <c r="G529" i="19"/>
  <c r="H528" i="19"/>
  <c r="G528" i="19"/>
  <c r="H527" i="19"/>
  <c r="G527" i="19"/>
  <c r="H526" i="19"/>
  <c r="G526" i="19"/>
  <c r="H525" i="19"/>
  <c r="G525" i="19"/>
  <c r="H524" i="19"/>
  <c r="G524" i="19"/>
  <c r="H523" i="19"/>
  <c r="G523" i="19"/>
  <c r="H522" i="19"/>
  <c r="G522" i="19"/>
  <c r="H521" i="19"/>
  <c r="G521" i="19"/>
  <c r="H520" i="19"/>
  <c r="G520" i="19"/>
  <c r="H519" i="19"/>
  <c r="G519" i="19"/>
  <c r="H518" i="19"/>
  <c r="G518" i="19"/>
  <c r="H517" i="19"/>
  <c r="G517" i="19"/>
  <c r="H516" i="19"/>
  <c r="G516" i="19"/>
  <c r="H515" i="19"/>
  <c r="G515" i="19"/>
  <c r="H514" i="19"/>
  <c r="G514" i="19"/>
  <c r="H513" i="19"/>
  <c r="G513" i="19"/>
  <c r="H512" i="19"/>
  <c r="G512" i="19"/>
  <c r="H511" i="19"/>
  <c r="G511" i="19"/>
  <c r="H510" i="19"/>
  <c r="G510" i="19"/>
  <c r="H509" i="19"/>
  <c r="G509" i="19"/>
  <c r="H508" i="19"/>
  <c r="G508" i="19"/>
  <c r="H507" i="19"/>
  <c r="G507" i="19"/>
  <c r="H506" i="19"/>
  <c r="G506" i="19"/>
  <c r="H505" i="19"/>
  <c r="G505" i="19"/>
  <c r="H504" i="19"/>
  <c r="G504" i="19"/>
  <c r="H503" i="19"/>
  <c r="G503" i="19"/>
  <c r="H502" i="19"/>
  <c r="G502" i="19"/>
  <c r="H501" i="19"/>
  <c r="G501" i="19"/>
  <c r="H500" i="19"/>
  <c r="G500" i="19"/>
  <c r="H499" i="19"/>
  <c r="G499" i="19"/>
  <c r="H498" i="19"/>
  <c r="G498" i="19"/>
  <c r="H497" i="19"/>
  <c r="G497" i="19"/>
  <c r="H496" i="19"/>
  <c r="G496" i="19"/>
  <c r="H495" i="19"/>
  <c r="G495" i="19"/>
  <c r="H494" i="19"/>
  <c r="G494" i="19"/>
  <c r="H493" i="19"/>
  <c r="G493" i="19"/>
  <c r="H492" i="19"/>
  <c r="G492" i="19"/>
  <c r="H491" i="19"/>
  <c r="G491" i="19"/>
  <c r="H490" i="19"/>
  <c r="G490" i="19"/>
  <c r="H489" i="19"/>
  <c r="G489" i="19"/>
  <c r="H488" i="19"/>
  <c r="G488" i="19"/>
  <c r="H487" i="19"/>
  <c r="G487" i="19"/>
  <c r="H486" i="19"/>
  <c r="G486" i="19"/>
  <c r="H485" i="19"/>
  <c r="G485" i="19"/>
  <c r="H484" i="19"/>
  <c r="G484" i="19"/>
  <c r="H483" i="19"/>
  <c r="G483" i="19"/>
  <c r="H482" i="19"/>
  <c r="G482" i="19"/>
  <c r="H481" i="19"/>
  <c r="G481" i="19"/>
  <c r="H480" i="19"/>
  <c r="G480" i="19"/>
  <c r="H479" i="19"/>
  <c r="G479" i="19"/>
  <c r="H478" i="19"/>
  <c r="G478" i="19"/>
  <c r="H477" i="19"/>
  <c r="G477" i="19"/>
  <c r="H476" i="19"/>
  <c r="G476" i="19"/>
  <c r="H475" i="19"/>
  <c r="G475" i="19"/>
  <c r="H474" i="19"/>
  <c r="G474" i="19"/>
  <c r="H473" i="19"/>
  <c r="G473" i="19"/>
  <c r="H472" i="19"/>
  <c r="G472" i="19"/>
  <c r="H471" i="19"/>
  <c r="G471" i="19"/>
  <c r="H470" i="19"/>
  <c r="G470" i="19"/>
  <c r="H469" i="19"/>
  <c r="G469" i="19"/>
  <c r="H468" i="19"/>
  <c r="G468" i="19"/>
  <c r="H467" i="19"/>
  <c r="G467" i="19"/>
  <c r="H466" i="19"/>
  <c r="G466" i="19"/>
  <c r="H465" i="19"/>
  <c r="G465" i="19"/>
  <c r="H464" i="19"/>
  <c r="G464" i="19"/>
  <c r="H463" i="19"/>
  <c r="G463" i="19"/>
  <c r="H462" i="19"/>
  <c r="G462" i="19"/>
  <c r="H461" i="19"/>
  <c r="G461" i="19"/>
  <c r="H460" i="19"/>
  <c r="G460" i="19"/>
  <c r="H459" i="19"/>
  <c r="G459" i="19"/>
  <c r="H458" i="19"/>
  <c r="G458" i="19"/>
  <c r="H457" i="19"/>
  <c r="G457" i="19"/>
  <c r="H456" i="19"/>
  <c r="G456" i="19"/>
  <c r="H455" i="19"/>
  <c r="G455" i="19"/>
  <c r="H454" i="19"/>
  <c r="G454" i="19"/>
  <c r="H453" i="19"/>
  <c r="G453" i="19"/>
  <c r="H452" i="19"/>
  <c r="G452" i="19"/>
  <c r="H451" i="19"/>
  <c r="G451" i="19"/>
  <c r="H450" i="19"/>
  <c r="G450" i="19"/>
  <c r="H449" i="19"/>
  <c r="G449" i="19"/>
  <c r="H448" i="19"/>
  <c r="G448" i="19"/>
  <c r="H447" i="19"/>
  <c r="G447" i="19"/>
  <c r="H446" i="19"/>
  <c r="G446" i="19"/>
  <c r="H445" i="19"/>
  <c r="G445" i="19"/>
  <c r="H444" i="19"/>
  <c r="G444" i="19"/>
  <c r="H443" i="19"/>
  <c r="G443" i="19"/>
  <c r="H442" i="19"/>
  <c r="G442" i="19"/>
  <c r="H441" i="19"/>
  <c r="G441" i="19"/>
  <c r="H440" i="19"/>
  <c r="G440" i="19"/>
  <c r="H439" i="19"/>
  <c r="G439" i="19"/>
  <c r="H438" i="19"/>
  <c r="G438" i="19"/>
  <c r="H437" i="19"/>
  <c r="G437" i="19"/>
  <c r="H436" i="19"/>
  <c r="G436" i="19"/>
  <c r="H435" i="19"/>
  <c r="G435" i="19"/>
  <c r="H434" i="19"/>
  <c r="G434" i="19"/>
  <c r="H433" i="19"/>
  <c r="G433" i="19"/>
  <c r="H432" i="19"/>
  <c r="G432" i="19"/>
  <c r="H431" i="19"/>
  <c r="G431" i="19"/>
  <c r="H430" i="19"/>
  <c r="G430" i="19"/>
  <c r="H429" i="19"/>
  <c r="G429" i="19"/>
  <c r="H428" i="19"/>
  <c r="G428" i="19"/>
  <c r="H427" i="19"/>
  <c r="G427" i="19"/>
  <c r="H426" i="19"/>
  <c r="G426" i="19"/>
  <c r="H425" i="19"/>
  <c r="G425" i="19"/>
  <c r="H424" i="19"/>
  <c r="G424" i="19"/>
  <c r="H423" i="19"/>
  <c r="G423" i="19"/>
  <c r="H422" i="19"/>
  <c r="G422" i="19"/>
  <c r="H421" i="19"/>
  <c r="G421" i="19"/>
  <c r="H420" i="19"/>
  <c r="G420" i="19"/>
  <c r="H419" i="19"/>
  <c r="G419" i="19"/>
  <c r="H418" i="19"/>
  <c r="G418" i="19"/>
  <c r="H417" i="19"/>
  <c r="G417" i="19"/>
  <c r="H416" i="19"/>
  <c r="G416" i="19"/>
  <c r="H415" i="19"/>
  <c r="G415" i="19"/>
  <c r="H414" i="19"/>
  <c r="G414" i="19"/>
  <c r="H413" i="19"/>
  <c r="G413" i="19"/>
  <c r="H412" i="19"/>
  <c r="G412" i="19"/>
  <c r="H411" i="19"/>
  <c r="G411" i="19"/>
  <c r="H410" i="19"/>
  <c r="G410" i="19"/>
  <c r="H409" i="19"/>
  <c r="G409" i="19"/>
  <c r="H408" i="19"/>
  <c r="G408" i="19"/>
  <c r="H407" i="19"/>
  <c r="G407" i="19"/>
  <c r="H406" i="19"/>
  <c r="G406" i="19"/>
  <c r="H405" i="19"/>
  <c r="G405" i="19"/>
  <c r="H404" i="19"/>
  <c r="G404" i="19"/>
  <c r="H403" i="19"/>
  <c r="G403" i="19"/>
  <c r="H402" i="19"/>
  <c r="G402" i="19"/>
  <c r="H401" i="19"/>
  <c r="G401" i="19"/>
  <c r="H400" i="19"/>
  <c r="G400" i="19"/>
  <c r="H399" i="19"/>
  <c r="G399" i="19"/>
  <c r="H398" i="19"/>
  <c r="G398" i="19"/>
  <c r="H397" i="19"/>
  <c r="G397" i="19"/>
  <c r="H396" i="19"/>
  <c r="G396" i="19"/>
  <c r="H395" i="19"/>
  <c r="G395" i="19"/>
  <c r="H394" i="19"/>
  <c r="G394" i="19"/>
  <c r="H393" i="19"/>
  <c r="G393" i="19"/>
  <c r="H392" i="19"/>
  <c r="G392" i="19"/>
  <c r="H391" i="19"/>
  <c r="G391" i="19"/>
  <c r="H390" i="19"/>
  <c r="G390" i="19"/>
  <c r="H389" i="19"/>
  <c r="G389" i="19"/>
  <c r="H388" i="19"/>
  <c r="G388" i="19"/>
  <c r="H387" i="19"/>
  <c r="G387" i="19"/>
  <c r="H386" i="19"/>
  <c r="G386" i="19"/>
  <c r="H385" i="19"/>
  <c r="G385" i="19"/>
  <c r="H384" i="19"/>
  <c r="G384" i="19"/>
  <c r="H383" i="19"/>
  <c r="G383" i="19"/>
  <c r="H382" i="19"/>
  <c r="G382" i="19"/>
  <c r="H381" i="19"/>
  <c r="G381" i="19"/>
  <c r="H380" i="19"/>
  <c r="G380" i="19"/>
  <c r="H379" i="19"/>
  <c r="G379" i="19"/>
  <c r="H378" i="19"/>
  <c r="G378" i="19"/>
  <c r="H377" i="19"/>
  <c r="G377" i="19"/>
  <c r="H376" i="19"/>
  <c r="G376" i="19"/>
  <c r="H375" i="19"/>
  <c r="G375" i="19"/>
  <c r="H374" i="19"/>
  <c r="G374" i="19"/>
  <c r="H373" i="19"/>
  <c r="G373" i="19"/>
  <c r="H372" i="19"/>
  <c r="G372" i="19"/>
  <c r="H371" i="19"/>
  <c r="G371" i="19"/>
  <c r="H370" i="19"/>
  <c r="G370" i="19"/>
  <c r="H369" i="19"/>
  <c r="G369" i="19"/>
  <c r="H368" i="19"/>
  <c r="G368" i="19"/>
  <c r="H367" i="19"/>
  <c r="G367" i="19"/>
  <c r="H366" i="19"/>
  <c r="G366" i="19"/>
  <c r="H365" i="19"/>
  <c r="G365" i="19"/>
  <c r="H364" i="19"/>
  <c r="G364" i="19"/>
  <c r="H363" i="19"/>
  <c r="G363" i="19"/>
  <c r="H362" i="19"/>
  <c r="G362" i="19"/>
  <c r="H361" i="19"/>
  <c r="G361" i="19"/>
  <c r="H360" i="19"/>
  <c r="G360" i="19"/>
  <c r="H359" i="19"/>
  <c r="G359" i="19"/>
  <c r="H358" i="19"/>
  <c r="G358" i="19"/>
  <c r="H357" i="19"/>
  <c r="G357" i="19"/>
  <c r="H356" i="19"/>
  <c r="G356" i="19"/>
  <c r="H355" i="19"/>
  <c r="G355" i="19"/>
  <c r="H354" i="19"/>
  <c r="G354" i="19"/>
  <c r="H353" i="19"/>
  <c r="G353" i="19"/>
  <c r="H352" i="19"/>
  <c r="G352" i="19"/>
  <c r="H351" i="19"/>
  <c r="G351" i="19"/>
  <c r="H350" i="19"/>
  <c r="G350" i="19"/>
  <c r="H349" i="19"/>
  <c r="G349" i="19"/>
  <c r="H348" i="19"/>
  <c r="G348" i="19"/>
  <c r="H347" i="19"/>
  <c r="G347" i="19"/>
  <c r="H346" i="19"/>
  <c r="G346" i="19"/>
  <c r="H345" i="19"/>
  <c r="G345" i="19"/>
  <c r="H344" i="19"/>
  <c r="G344" i="19"/>
  <c r="H343" i="19"/>
  <c r="G343" i="19"/>
  <c r="H342" i="19"/>
  <c r="G342" i="19"/>
  <c r="H341" i="19"/>
  <c r="G341" i="19"/>
  <c r="H340" i="19"/>
  <c r="G340" i="19"/>
  <c r="H339" i="19"/>
  <c r="G339" i="19"/>
  <c r="H338" i="19"/>
  <c r="G338" i="19"/>
  <c r="H337" i="19"/>
  <c r="G337" i="19"/>
  <c r="H336" i="19"/>
  <c r="G336" i="19"/>
  <c r="H335" i="19"/>
  <c r="G335" i="19"/>
  <c r="H334" i="19"/>
  <c r="G334" i="19"/>
  <c r="H333" i="19"/>
  <c r="G333" i="19"/>
  <c r="H332" i="19"/>
  <c r="G332" i="19"/>
  <c r="H331" i="19"/>
  <c r="G331" i="19"/>
  <c r="H330" i="19"/>
  <c r="G330" i="19"/>
  <c r="H329" i="19"/>
  <c r="G329" i="19"/>
  <c r="H328" i="19"/>
  <c r="G328" i="19"/>
  <c r="H327" i="19"/>
  <c r="G327" i="19"/>
  <c r="H326" i="19"/>
  <c r="G326" i="19"/>
  <c r="H325" i="19"/>
  <c r="G325" i="19"/>
  <c r="H324" i="19"/>
  <c r="G324" i="19"/>
  <c r="H323" i="19"/>
  <c r="G323" i="19"/>
  <c r="H322" i="19"/>
  <c r="G322" i="19"/>
  <c r="H321" i="19"/>
  <c r="G321" i="19"/>
  <c r="H320" i="19"/>
  <c r="G320" i="19"/>
  <c r="H319" i="19"/>
  <c r="G319" i="19"/>
  <c r="H318" i="19"/>
  <c r="G318" i="19"/>
  <c r="H317" i="19"/>
  <c r="G317" i="19"/>
  <c r="H316" i="19"/>
  <c r="G316" i="19"/>
  <c r="H315" i="19"/>
  <c r="G315" i="19"/>
  <c r="H314" i="19"/>
  <c r="G314" i="19"/>
  <c r="H313" i="19"/>
  <c r="G313" i="19"/>
  <c r="H312" i="19"/>
  <c r="G312" i="19"/>
  <c r="H311" i="19"/>
  <c r="G311" i="19"/>
  <c r="H310" i="19"/>
  <c r="G310" i="19"/>
  <c r="H309" i="19"/>
  <c r="G309" i="19"/>
  <c r="H308" i="19"/>
  <c r="G308" i="19"/>
  <c r="H307" i="19"/>
  <c r="G307" i="19"/>
  <c r="H306" i="19"/>
  <c r="G306" i="19"/>
  <c r="H305" i="19"/>
  <c r="G305" i="19"/>
  <c r="H304" i="19"/>
  <c r="G304" i="19"/>
  <c r="H303" i="19"/>
  <c r="G303" i="19"/>
  <c r="H302" i="19"/>
  <c r="G302" i="19"/>
  <c r="H301" i="19"/>
  <c r="G301" i="19"/>
  <c r="H300" i="19"/>
  <c r="G300" i="19"/>
  <c r="H299" i="19"/>
  <c r="G299" i="19"/>
  <c r="H298" i="19"/>
  <c r="G298" i="19"/>
  <c r="H297" i="19"/>
  <c r="G297" i="19"/>
  <c r="H296" i="19"/>
  <c r="G296" i="19"/>
  <c r="H295" i="19"/>
  <c r="G295" i="19"/>
  <c r="H294" i="19"/>
  <c r="G294" i="19"/>
  <c r="H293" i="19"/>
  <c r="G293" i="19"/>
  <c r="H292" i="19"/>
  <c r="G292" i="19"/>
  <c r="H291" i="19"/>
  <c r="G291" i="19"/>
  <c r="H290" i="19"/>
  <c r="G290" i="19"/>
  <c r="H289" i="19"/>
  <c r="G289" i="19"/>
  <c r="H288" i="19"/>
  <c r="G288" i="19"/>
  <c r="H287" i="19"/>
  <c r="G287" i="19"/>
  <c r="H286" i="19"/>
  <c r="G286" i="19"/>
  <c r="H285" i="19"/>
  <c r="G285" i="19"/>
  <c r="H284" i="19"/>
  <c r="G284" i="19"/>
  <c r="H283" i="19"/>
  <c r="G283" i="19"/>
  <c r="H282" i="19"/>
  <c r="G282" i="19"/>
  <c r="H281" i="19"/>
  <c r="G281" i="19"/>
  <c r="H280" i="19"/>
  <c r="G280" i="19"/>
  <c r="H279" i="19"/>
  <c r="G279" i="19"/>
  <c r="H278" i="19"/>
  <c r="G278" i="19"/>
  <c r="H277" i="19"/>
  <c r="G277" i="19"/>
  <c r="H276" i="19"/>
  <c r="G276" i="19"/>
  <c r="H275" i="19"/>
  <c r="G275" i="19"/>
  <c r="H274" i="19"/>
  <c r="G274" i="19"/>
  <c r="H273" i="19"/>
  <c r="G273" i="19"/>
  <c r="H272" i="19"/>
  <c r="G272" i="19"/>
  <c r="H271" i="19"/>
  <c r="G271" i="19"/>
  <c r="H270" i="19"/>
  <c r="G270" i="19"/>
  <c r="H269" i="19"/>
  <c r="G269" i="19"/>
  <c r="H268" i="19"/>
  <c r="G268" i="19"/>
  <c r="H267" i="19"/>
  <c r="G267" i="19"/>
  <c r="H266" i="19"/>
  <c r="G266" i="19"/>
  <c r="H265" i="19"/>
  <c r="G265" i="19"/>
  <c r="H264" i="19"/>
  <c r="G264" i="19"/>
  <c r="H263" i="19"/>
  <c r="G263" i="19"/>
  <c r="H262" i="19"/>
  <c r="G262" i="19"/>
  <c r="H261" i="19"/>
  <c r="G261" i="19"/>
  <c r="H260" i="19"/>
  <c r="G260" i="19"/>
  <c r="H259" i="19"/>
  <c r="G259" i="19"/>
  <c r="H258" i="19"/>
  <c r="G258" i="19"/>
  <c r="H257" i="19"/>
  <c r="G257" i="19"/>
  <c r="H256" i="19"/>
  <c r="G256" i="19"/>
  <c r="H255" i="19"/>
  <c r="G255" i="19"/>
  <c r="H254" i="19"/>
  <c r="G254" i="19"/>
  <c r="H253" i="19"/>
  <c r="G253" i="19"/>
  <c r="H252" i="19"/>
  <c r="G252" i="19"/>
  <c r="H251" i="19"/>
  <c r="G251" i="19"/>
  <c r="H250" i="19"/>
  <c r="G250" i="19"/>
  <c r="H249" i="19"/>
  <c r="G249" i="19"/>
  <c r="H248" i="19"/>
  <c r="G248" i="19"/>
  <c r="H247" i="19"/>
  <c r="G247" i="19"/>
  <c r="H246" i="19"/>
  <c r="G246" i="19"/>
  <c r="H245" i="19"/>
  <c r="G245" i="19"/>
  <c r="H244" i="19"/>
  <c r="G244" i="19"/>
  <c r="H243" i="19"/>
  <c r="G243" i="19"/>
  <c r="H242" i="19"/>
  <c r="G242" i="19"/>
  <c r="H241" i="19"/>
  <c r="G241" i="19"/>
  <c r="H240" i="19"/>
  <c r="G240" i="19"/>
  <c r="H239" i="19"/>
  <c r="G239" i="19"/>
  <c r="H238" i="19"/>
  <c r="G238" i="19"/>
  <c r="H237" i="19"/>
  <c r="G237" i="19"/>
  <c r="H236" i="19"/>
  <c r="G236" i="19"/>
  <c r="H235" i="19"/>
  <c r="G235" i="19"/>
  <c r="H234" i="19"/>
  <c r="G234" i="19"/>
  <c r="H233" i="19"/>
  <c r="G233" i="19"/>
  <c r="H232" i="19"/>
  <c r="G232" i="19"/>
  <c r="H231" i="19"/>
  <c r="G231" i="19"/>
  <c r="H230" i="19"/>
  <c r="G230" i="19"/>
  <c r="H229" i="19"/>
  <c r="G229" i="19"/>
  <c r="H228" i="19"/>
  <c r="G228" i="19"/>
  <c r="H227" i="19"/>
  <c r="G227" i="19"/>
  <c r="H226" i="19"/>
  <c r="G226" i="19"/>
  <c r="H225" i="19"/>
  <c r="G225" i="19"/>
  <c r="H224" i="19"/>
  <c r="G224" i="19"/>
  <c r="H223" i="19"/>
  <c r="G223" i="19"/>
  <c r="H222" i="19"/>
  <c r="G222" i="19"/>
  <c r="H221" i="19"/>
  <c r="G221" i="19"/>
  <c r="H220" i="19"/>
  <c r="G220" i="19"/>
  <c r="H219" i="19"/>
  <c r="G219" i="19"/>
  <c r="H218" i="19"/>
  <c r="G218" i="19"/>
  <c r="H217" i="19"/>
  <c r="G217" i="19"/>
  <c r="H216" i="19"/>
  <c r="G216" i="19"/>
  <c r="H215" i="19"/>
  <c r="G215" i="19"/>
  <c r="H214" i="19"/>
  <c r="G214" i="19"/>
  <c r="H213" i="19"/>
  <c r="G213" i="19"/>
  <c r="H212" i="19"/>
  <c r="G212" i="19"/>
  <c r="H211" i="19"/>
  <c r="G211" i="19"/>
  <c r="H210" i="19"/>
  <c r="G210" i="19"/>
  <c r="H209" i="19"/>
  <c r="G209" i="19"/>
  <c r="H208" i="19"/>
  <c r="G208" i="19"/>
  <c r="H207" i="19"/>
  <c r="G207" i="19"/>
  <c r="H206" i="19"/>
  <c r="G206" i="19"/>
  <c r="H205" i="19"/>
  <c r="G205" i="19"/>
  <c r="H204" i="19"/>
  <c r="G204" i="19"/>
  <c r="H203" i="19"/>
  <c r="G203" i="19"/>
  <c r="H202" i="19"/>
  <c r="G202" i="19"/>
  <c r="H201" i="19"/>
  <c r="G201" i="19"/>
  <c r="H200" i="19"/>
  <c r="G200" i="19"/>
  <c r="H199" i="19"/>
  <c r="G199" i="19"/>
  <c r="H198" i="19"/>
  <c r="G198" i="19"/>
  <c r="H197" i="19"/>
  <c r="G197" i="19"/>
  <c r="H196" i="19"/>
  <c r="G196" i="19"/>
  <c r="H195" i="19"/>
  <c r="G195" i="19"/>
  <c r="H194" i="19"/>
  <c r="G194" i="19"/>
  <c r="H193" i="19"/>
  <c r="G193" i="19"/>
  <c r="H192" i="19"/>
  <c r="G192" i="19"/>
  <c r="H191" i="19"/>
  <c r="G191" i="19"/>
  <c r="H190" i="19"/>
  <c r="G190" i="19"/>
  <c r="H189" i="19"/>
  <c r="G189" i="19"/>
  <c r="H188" i="19"/>
  <c r="G188" i="19"/>
  <c r="H187" i="19"/>
  <c r="G187" i="19"/>
  <c r="H186" i="19"/>
  <c r="G186" i="19"/>
  <c r="H185" i="19"/>
  <c r="G185" i="19"/>
  <c r="H184" i="19"/>
  <c r="G184" i="19"/>
  <c r="H183" i="19"/>
  <c r="G183" i="19"/>
  <c r="H182" i="19"/>
  <c r="G182" i="19"/>
  <c r="H181" i="19"/>
  <c r="G181" i="19"/>
  <c r="H180" i="19"/>
  <c r="G180" i="19"/>
  <c r="H179" i="19"/>
  <c r="G179" i="19"/>
  <c r="H178" i="19"/>
  <c r="G178" i="19"/>
  <c r="H177" i="19"/>
  <c r="G177" i="19"/>
  <c r="H176" i="19"/>
  <c r="G176" i="19"/>
  <c r="H175" i="19"/>
  <c r="G175" i="19"/>
  <c r="H174" i="19"/>
  <c r="G174" i="19"/>
  <c r="H173" i="19"/>
  <c r="G173" i="19"/>
  <c r="H172" i="19"/>
  <c r="G172" i="19"/>
  <c r="H171" i="19"/>
  <c r="G171" i="19"/>
  <c r="H170" i="19"/>
  <c r="G170" i="19"/>
  <c r="H169" i="19"/>
  <c r="G169" i="19"/>
  <c r="H168" i="19"/>
  <c r="G168" i="19"/>
  <c r="H167" i="19"/>
  <c r="G167" i="19"/>
  <c r="H166" i="19"/>
  <c r="G166" i="19"/>
  <c r="H165" i="19"/>
  <c r="G165" i="19"/>
  <c r="H164" i="19"/>
  <c r="G164" i="19"/>
  <c r="H163" i="19"/>
  <c r="G163" i="19"/>
  <c r="H162" i="19"/>
  <c r="G162" i="19"/>
  <c r="H161" i="19"/>
  <c r="G161" i="19"/>
  <c r="H160" i="19"/>
  <c r="G160" i="19"/>
  <c r="H159" i="19"/>
  <c r="G159" i="19"/>
  <c r="H158" i="19"/>
  <c r="G158" i="19"/>
  <c r="H157" i="19"/>
  <c r="G157" i="19"/>
  <c r="H156" i="19"/>
  <c r="G156" i="19"/>
  <c r="H155" i="19"/>
  <c r="G155" i="19"/>
  <c r="H154" i="19"/>
  <c r="G154" i="19"/>
  <c r="H153" i="19"/>
  <c r="G153" i="19"/>
  <c r="H152" i="19"/>
  <c r="G152" i="19"/>
  <c r="H151" i="19"/>
  <c r="G151" i="19"/>
  <c r="H150" i="19"/>
  <c r="G150" i="19"/>
  <c r="H149" i="19"/>
  <c r="G149" i="19"/>
  <c r="H148" i="19"/>
  <c r="G148" i="19"/>
  <c r="H147" i="19"/>
  <c r="G147" i="19"/>
  <c r="H146" i="19"/>
  <c r="G146" i="19"/>
  <c r="H145" i="19"/>
  <c r="G145" i="19"/>
  <c r="H144" i="19"/>
  <c r="G144" i="19"/>
  <c r="H143" i="19"/>
  <c r="G143" i="19"/>
  <c r="H142" i="19"/>
  <c r="G142" i="19"/>
  <c r="H141" i="19"/>
  <c r="G141" i="19"/>
  <c r="H140" i="19"/>
  <c r="G140" i="19"/>
  <c r="H139" i="19"/>
  <c r="G139" i="19"/>
  <c r="H138" i="19"/>
  <c r="G138" i="19"/>
  <c r="H137" i="19"/>
  <c r="G137" i="19"/>
  <c r="H136" i="19"/>
  <c r="G136" i="19"/>
  <c r="H135" i="19"/>
  <c r="G135" i="19"/>
  <c r="H134" i="19"/>
  <c r="G134" i="19"/>
  <c r="H133" i="19"/>
  <c r="G133" i="19"/>
  <c r="H132" i="19"/>
  <c r="G132" i="19"/>
  <c r="H131" i="19"/>
  <c r="G131" i="19"/>
  <c r="H130" i="19"/>
  <c r="G130" i="19"/>
  <c r="H129" i="19"/>
  <c r="G129" i="19"/>
  <c r="H128" i="19"/>
  <c r="G128" i="19"/>
  <c r="H127" i="19"/>
  <c r="G127" i="19"/>
  <c r="H126" i="19"/>
  <c r="G126" i="19"/>
  <c r="H125" i="19"/>
  <c r="G125" i="19"/>
  <c r="H124" i="19"/>
  <c r="G124" i="19"/>
  <c r="H123" i="19"/>
  <c r="G123" i="19"/>
  <c r="H122" i="19"/>
  <c r="G122" i="19"/>
  <c r="H121" i="19"/>
  <c r="G121" i="19"/>
  <c r="H120" i="19"/>
  <c r="G120" i="19"/>
  <c r="H119" i="19"/>
  <c r="G119" i="19"/>
  <c r="H118" i="19"/>
  <c r="G118" i="19"/>
  <c r="H117" i="19"/>
  <c r="G117" i="19"/>
  <c r="H116" i="19"/>
  <c r="G116" i="19"/>
  <c r="H115" i="19"/>
  <c r="G115" i="19"/>
  <c r="H114" i="19"/>
  <c r="G114" i="19"/>
  <c r="H113" i="19"/>
  <c r="G113" i="19"/>
  <c r="H112" i="19"/>
  <c r="G112" i="19"/>
  <c r="H111" i="19"/>
  <c r="G111" i="19"/>
  <c r="H110" i="19"/>
  <c r="G110" i="19"/>
  <c r="H109" i="19"/>
  <c r="G109" i="19"/>
  <c r="H108" i="19"/>
  <c r="G108" i="19"/>
  <c r="H107" i="19"/>
  <c r="G107" i="19"/>
  <c r="H106" i="19"/>
  <c r="G106" i="19"/>
  <c r="H105" i="19"/>
  <c r="G105" i="19"/>
  <c r="H104" i="19"/>
  <c r="G104" i="19"/>
  <c r="H103" i="19"/>
  <c r="G103" i="19"/>
  <c r="H102" i="19"/>
  <c r="G102" i="19"/>
  <c r="H101" i="19"/>
  <c r="G101" i="19"/>
  <c r="H100" i="19"/>
  <c r="G100" i="19"/>
  <c r="H99" i="19"/>
  <c r="G99" i="19"/>
  <c r="H98" i="19"/>
  <c r="G98" i="19"/>
  <c r="H97" i="19"/>
  <c r="G97" i="19"/>
  <c r="H96" i="19"/>
  <c r="G96" i="19"/>
  <c r="H95" i="19"/>
  <c r="G95" i="19"/>
  <c r="H94" i="19"/>
  <c r="G94" i="19"/>
  <c r="H93" i="19"/>
  <c r="G93" i="19"/>
  <c r="H92" i="19"/>
  <c r="G92" i="19"/>
  <c r="H91" i="19"/>
  <c r="G91" i="19"/>
  <c r="H90" i="19"/>
  <c r="G90" i="19"/>
  <c r="H89" i="19"/>
  <c r="G89" i="19"/>
  <c r="H88" i="19"/>
  <c r="G88" i="19"/>
  <c r="H87" i="19"/>
  <c r="G87" i="19"/>
  <c r="H86" i="19"/>
  <c r="G86" i="19"/>
  <c r="H85" i="19"/>
  <c r="G85" i="19"/>
  <c r="H84" i="19"/>
  <c r="G84" i="19"/>
  <c r="H83" i="19"/>
  <c r="G83" i="19"/>
  <c r="H82" i="19"/>
  <c r="G82" i="19"/>
  <c r="H81" i="19"/>
  <c r="G81" i="19"/>
  <c r="H80" i="19"/>
  <c r="G80" i="19"/>
  <c r="H79" i="19"/>
  <c r="G79" i="19"/>
  <c r="H78" i="19"/>
  <c r="G78" i="19"/>
  <c r="H77" i="19"/>
  <c r="G77" i="19"/>
  <c r="H76" i="19"/>
  <c r="G76" i="19"/>
  <c r="H75" i="19"/>
  <c r="G75" i="19"/>
  <c r="H74" i="19"/>
  <c r="G74" i="19"/>
  <c r="H73" i="19"/>
  <c r="G73" i="19"/>
  <c r="H72" i="19"/>
  <c r="G72" i="19"/>
  <c r="H71" i="19"/>
  <c r="G71" i="19"/>
  <c r="H70" i="19"/>
  <c r="G70" i="19"/>
  <c r="H69" i="19"/>
  <c r="G69" i="19"/>
  <c r="H68" i="19"/>
  <c r="G68" i="19"/>
  <c r="H67" i="19"/>
  <c r="G67" i="19"/>
  <c r="H66" i="19"/>
  <c r="G66" i="19"/>
  <c r="H65" i="19"/>
  <c r="G65" i="19"/>
  <c r="H64" i="19"/>
  <c r="G64" i="19"/>
  <c r="H63" i="19"/>
  <c r="G63" i="19"/>
  <c r="H62" i="19"/>
  <c r="G62" i="19"/>
  <c r="H61" i="19"/>
  <c r="G61" i="19"/>
  <c r="H60" i="19"/>
  <c r="G60" i="19"/>
  <c r="H59" i="19"/>
  <c r="G59" i="19"/>
  <c r="H58" i="19"/>
  <c r="G58" i="19"/>
  <c r="H57" i="19"/>
  <c r="G57" i="19"/>
  <c r="H56" i="19"/>
  <c r="G56" i="19"/>
  <c r="H55" i="19"/>
  <c r="G55" i="19"/>
  <c r="H54" i="19"/>
  <c r="G54" i="19"/>
  <c r="H53" i="19"/>
  <c r="G53" i="19"/>
  <c r="H52" i="19"/>
  <c r="G52" i="19"/>
  <c r="H51" i="19"/>
  <c r="G51" i="19"/>
  <c r="H50" i="19"/>
  <c r="G50" i="19"/>
  <c r="H49" i="19"/>
  <c r="G49" i="19"/>
  <c r="H48" i="19"/>
  <c r="G48" i="19"/>
  <c r="H47" i="19"/>
  <c r="G47" i="19"/>
  <c r="H46" i="19"/>
  <c r="G46" i="19"/>
  <c r="H45" i="19"/>
  <c r="G45" i="19"/>
  <c r="H44" i="19"/>
  <c r="G44" i="19"/>
  <c r="H43" i="19"/>
  <c r="G43" i="19"/>
  <c r="H42" i="19"/>
  <c r="G42" i="19"/>
  <c r="H41" i="19"/>
  <c r="G41" i="19"/>
  <c r="H40" i="19"/>
  <c r="G40" i="19"/>
  <c r="H39" i="19"/>
  <c r="G39" i="19"/>
  <c r="H38" i="19"/>
  <c r="G38" i="19"/>
  <c r="H37" i="19"/>
  <c r="G37" i="19"/>
  <c r="H36" i="19"/>
  <c r="G36" i="19"/>
  <c r="H35" i="19"/>
  <c r="G35" i="19"/>
  <c r="H34" i="19"/>
  <c r="G34" i="19"/>
  <c r="H33" i="19"/>
  <c r="G33" i="19"/>
  <c r="H32" i="19"/>
  <c r="G32" i="19"/>
  <c r="H31" i="19"/>
  <c r="G31" i="19"/>
  <c r="H30" i="19"/>
  <c r="G30" i="19"/>
  <c r="H29" i="19"/>
  <c r="G29" i="19"/>
  <c r="H28" i="19"/>
  <c r="G28" i="19"/>
  <c r="H27" i="19"/>
  <c r="G27" i="19"/>
  <c r="H26" i="19"/>
  <c r="G26" i="19"/>
  <c r="H25" i="19"/>
  <c r="G25" i="19"/>
  <c r="H24" i="19"/>
  <c r="G24" i="19"/>
  <c r="H23" i="19"/>
  <c r="G23" i="19"/>
  <c r="H22" i="19"/>
  <c r="G22" i="19"/>
  <c r="H21" i="19"/>
  <c r="G21" i="19"/>
  <c r="H20" i="19"/>
  <c r="G20" i="19"/>
  <c r="H19" i="19"/>
  <c r="G19" i="19"/>
  <c r="H18" i="19"/>
  <c r="G18" i="19"/>
  <c r="H17" i="19"/>
  <c r="G17" i="19"/>
  <c r="H16" i="19"/>
  <c r="G16" i="19"/>
  <c r="H15" i="19"/>
  <c r="G15" i="19"/>
  <c r="H14" i="19"/>
  <c r="G14" i="19"/>
  <c r="H13" i="19"/>
  <c r="G13" i="19"/>
  <c r="H12" i="19"/>
  <c r="G12" i="19"/>
  <c r="H11" i="19"/>
  <c r="G11" i="19"/>
  <c r="H10" i="19"/>
  <c r="G10" i="19"/>
  <c r="K9" i="19"/>
  <c r="J12" i="26" s="1"/>
  <c r="H9" i="19"/>
  <c r="G9" i="19"/>
  <c r="H8" i="19"/>
  <c r="G8" i="19"/>
  <c r="H7" i="19"/>
  <c r="G7" i="19"/>
  <c r="C30" i="18"/>
  <c r="C26" i="18"/>
  <c r="C20" i="18"/>
  <c r="C18" i="18"/>
  <c r="C17" i="18"/>
  <c r="C16" i="18"/>
  <c r="C21" i="18" s="1"/>
  <c r="C9" i="18"/>
  <c r="F4" i="17"/>
  <c r="F6" i="17" s="1"/>
  <c r="C10" i="18" s="1"/>
  <c r="C11" i="18" s="1"/>
  <c r="K25" i="26" s="1"/>
  <c r="G6" i="16"/>
  <c r="F6" i="16"/>
  <c r="E6" i="16"/>
  <c r="D6" i="16"/>
  <c r="C6" i="16"/>
  <c r="G5" i="16"/>
  <c r="F5" i="16"/>
  <c r="E5" i="16"/>
  <c r="D5" i="16"/>
  <c r="C5" i="16"/>
  <c r="G4" i="16"/>
  <c r="F4" i="16"/>
  <c r="F7" i="16" s="1"/>
  <c r="E4" i="16"/>
  <c r="E7" i="16" s="1"/>
  <c r="E8" i="16" s="1"/>
  <c r="D4" i="16"/>
  <c r="D7" i="16" s="1"/>
  <c r="C4" i="16"/>
  <c r="C7" i="16" s="1"/>
  <c r="C8" i="15"/>
  <c r="G7" i="15"/>
  <c r="C7" i="15"/>
  <c r="C9" i="15" s="1"/>
  <c r="G11" i="14"/>
  <c r="C8" i="14"/>
  <c r="D4" i="14" s="1"/>
  <c r="D6" i="14" s="1"/>
  <c r="G7" i="14"/>
  <c r="F7" i="14"/>
  <c r="E7" i="14"/>
  <c r="D7" i="14"/>
  <c r="D8" i="14" s="1"/>
  <c r="E4" i="14" s="1"/>
  <c r="E6" i="14" s="1"/>
  <c r="E8" i="14" s="1"/>
  <c r="F4" i="14" s="1"/>
  <c r="F6" i="14" s="1"/>
  <c r="F8" i="14" s="1"/>
  <c r="G4" i="14" s="1"/>
  <c r="G6" i="14" s="1"/>
  <c r="G8" i="14" s="1"/>
  <c r="C7" i="14"/>
  <c r="C6" i="14"/>
  <c r="G5" i="14"/>
  <c r="G10" i="14" s="1"/>
  <c r="F5" i="14"/>
  <c r="E5" i="14"/>
  <c r="D5" i="14"/>
  <c r="C5" i="14"/>
  <c r="C69" i="13"/>
  <c r="G67" i="13"/>
  <c r="F67" i="13"/>
  <c r="E67" i="13"/>
  <c r="E69" i="13" s="1"/>
  <c r="D67" i="13"/>
  <c r="D69" i="13" s="1"/>
  <c r="C67" i="13"/>
  <c r="G62" i="13"/>
  <c r="F62" i="13"/>
  <c r="E62" i="13"/>
  <c r="D62" i="13"/>
  <c r="C62" i="13"/>
  <c r="G56" i="13"/>
  <c r="F56" i="13"/>
  <c r="E56" i="13"/>
  <c r="D56" i="13"/>
  <c r="C56" i="13"/>
  <c r="G55" i="13"/>
  <c r="F55" i="13"/>
  <c r="E55" i="13"/>
  <c r="D55" i="13"/>
  <c r="C55" i="13"/>
  <c r="G54" i="13"/>
  <c r="F54" i="13"/>
  <c r="E54" i="13"/>
  <c r="D54" i="13"/>
  <c r="C54" i="13"/>
  <c r="G53" i="13"/>
  <c r="F53" i="13"/>
  <c r="E53" i="13"/>
  <c r="D53" i="13"/>
  <c r="C53" i="13"/>
  <c r="G52" i="13"/>
  <c r="F52" i="13"/>
  <c r="E52" i="13"/>
  <c r="D52" i="13"/>
  <c r="C52" i="13"/>
  <c r="G51" i="13"/>
  <c r="F51" i="13"/>
  <c r="E51" i="13"/>
  <c r="D51" i="13"/>
  <c r="C51" i="13"/>
  <c r="D47" i="13"/>
  <c r="G46" i="13"/>
  <c r="F46" i="13"/>
  <c r="F47" i="13" s="1"/>
  <c r="D44" i="13"/>
  <c r="G43" i="13"/>
  <c r="F43" i="13"/>
  <c r="E43" i="13"/>
  <c r="D43" i="13"/>
  <c r="C43" i="13"/>
  <c r="G41" i="13"/>
  <c r="F41" i="13"/>
  <c r="E41" i="13"/>
  <c r="D41" i="13"/>
  <c r="C41" i="13"/>
  <c r="G35" i="13"/>
  <c r="F35" i="13"/>
  <c r="E35" i="13"/>
  <c r="D35" i="13"/>
  <c r="C35" i="13"/>
  <c r="G30" i="13"/>
  <c r="F30" i="13"/>
  <c r="E30" i="13"/>
  <c r="D30" i="13"/>
  <c r="C30" i="13"/>
  <c r="F28" i="13"/>
  <c r="E28" i="13"/>
  <c r="D28" i="13"/>
  <c r="G27" i="13"/>
  <c r="F27" i="13"/>
  <c r="E27" i="13"/>
  <c r="D27" i="13"/>
  <c r="C27" i="13"/>
  <c r="G21" i="13"/>
  <c r="F21" i="13"/>
  <c r="E21" i="13"/>
  <c r="E22" i="13" s="1"/>
  <c r="D21" i="13"/>
  <c r="C21" i="13"/>
  <c r="C22" i="13" s="1"/>
  <c r="G16" i="13"/>
  <c r="E16" i="13"/>
  <c r="G15" i="13"/>
  <c r="F15" i="13"/>
  <c r="E15" i="13"/>
  <c r="D15" i="13"/>
  <c r="C15" i="13"/>
  <c r="C16" i="13" s="1"/>
  <c r="G13" i="13"/>
  <c r="D13" i="13"/>
  <c r="C10" i="13"/>
  <c r="G9" i="13"/>
  <c r="G10" i="13" s="1"/>
  <c r="F9" i="13"/>
  <c r="F10" i="13" s="1"/>
  <c r="E9" i="13"/>
  <c r="E10" i="13" s="1"/>
  <c r="D9" i="13"/>
  <c r="C9" i="13"/>
  <c r="D7" i="13"/>
  <c r="G6" i="13"/>
  <c r="G12" i="13" s="1"/>
  <c r="F6" i="13"/>
  <c r="E6" i="13"/>
  <c r="D6" i="13"/>
  <c r="D12" i="13" s="1"/>
  <c r="C6" i="13"/>
  <c r="C12" i="13" s="1"/>
  <c r="C13" i="13" s="1"/>
  <c r="I30" i="12"/>
  <c r="I29" i="12"/>
  <c r="I28" i="12"/>
  <c r="I26" i="12"/>
  <c r="I25" i="12"/>
  <c r="I24" i="12"/>
  <c r="I23" i="12"/>
  <c r="I22" i="12"/>
  <c r="I19" i="12"/>
  <c r="I18" i="12"/>
  <c r="I17" i="12"/>
  <c r="I16" i="12"/>
  <c r="I15" i="12"/>
  <c r="I14" i="12"/>
  <c r="I11" i="12"/>
  <c r="I10" i="12"/>
  <c r="I9" i="12"/>
  <c r="I8" i="12"/>
  <c r="I7" i="12"/>
  <c r="I6" i="12"/>
  <c r="I5" i="12"/>
  <c r="I48" i="11"/>
  <c r="I45" i="11"/>
  <c r="I44" i="11"/>
  <c r="I43" i="11"/>
  <c r="I42" i="11"/>
  <c r="I41" i="11"/>
  <c r="I40" i="11"/>
  <c r="I39" i="11"/>
  <c r="I38" i="11"/>
  <c r="I36" i="11"/>
  <c r="I35" i="11"/>
  <c r="I34" i="11"/>
  <c r="I33" i="11"/>
  <c r="I32" i="11"/>
  <c r="I31" i="11"/>
  <c r="I30" i="11"/>
  <c r="I29" i="11"/>
  <c r="I28" i="11"/>
  <c r="I24" i="11"/>
  <c r="I23" i="11"/>
  <c r="I22" i="11"/>
  <c r="I21" i="11"/>
  <c r="I20" i="11"/>
  <c r="I19" i="11"/>
  <c r="I17" i="11"/>
  <c r="I16" i="11"/>
  <c r="I15" i="11"/>
  <c r="I14" i="11"/>
  <c r="I13" i="11"/>
  <c r="I11" i="11"/>
  <c r="I10" i="11"/>
  <c r="I9" i="11"/>
  <c r="I8" i="11"/>
  <c r="I7" i="11"/>
  <c r="I6" i="11"/>
  <c r="G40" i="10"/>
  <c r="F40" i="10"/>
  <c r="E40" i="10"/>
  <c r="E46" i="13" s="1"/>
  <c r="E47" i="13" s="1"/>
  <c r="D40" i="10"/>
  <c r="D46" i="13" s="1"/>
  <c r="C40" i="10"/>
  <c r="C46" i="13" s="1"/>
  <c r="C47" i="13" s="1"/>
  <c r="L38" i="10"/>
  <c r="K38" i="10"/>
  <c r="J38" i="10"/>
  <c r="I38" i="10"/>
  <c r="L37" i="10"/>
  <c r="K37" i="10"/>
  <c r="J37" i="10"/>
  <c r="I37" i="10"/>
  <c r="L36" i="10"/>
  <c r="K36" i="10"/>
  <c r="J36" i="10"/>
  <c r="I36" i="10"/>
  <c r="L33" i="10"/>
  <c r="K33" i="10"/>
  <c r="J33" i="10"/>
  <c r="I33" i="10"/>
  <c r="L32" i="10"/>
  <c r="K32" i="10"/>
  <c r="L31" i="10"/>
  <c r="K31" i="10"/>
  <c r="J31" i="10"/>
  <c r="I31" i="10"/>
  <c r="L30" i="10"/>
  <c r="K30" i="10"/>
  <c r="J30" i="10"/>
  <c r="I30" i="10"/>
  <c r="L29" i="10"/>
  <c r="K29" i="10"/>
  <c r="J29" i="10"/>
  <c r="I29" i="10"/>
  <c r="L28" i="10"/>
  <c r="K28" i="10"/>
  <c r="J28" i="10"/>
  <c r="I28" i="10"/>
  <c r="L27" i="10"/>
  <c r="K27" i="10"/>
  <c r="J27" i="10"/>
  <c r="I27" i="10"/>
  <c r="L26" i="10"/>
  <c r="K26" i="10"/>
  <c r="J26" i="10"/>
  <c r="I26" i="10"/>
  <c r="L25" i="10"/>
  <c r="K25" i="10"/>
  <c r="J25" i="10"/>
  <c r="I25" i="10"/>
  <c r="L24" i="10"/>
  <c r="K24" i="10"/>
  <c r="J24" i="10"/>
  <c r="I24" i="10"/>
  <c r="L22" i="10"/>
  <c r="K22" i="10"/>
  <c r="J22" i="10"/>
  <c r="I22" i="10"/>
  <c r="L21" i="10"/>
  <c r="K21" i="10"/>
  <c r="J21" i="10"/>
  <c r="I21" i="10"/>
  <c r="L19" i="10"/>
  <c r="K19" i="10"/>
  <c r="J19" i="10"/>
  <c r="I19" i="10"/>
  <c r="L18" i="10"/>
  <c r="K18" i="10"/>
  <c r="J18" i="10"/>
  <c r="I18" i="10"/>
  <c r="L17" i="10"/>
  <c r="K17" i="10"/>
  <c r="J17" i="10"/>
  <c r="I17" i="10"/>
  <c r="L16" i="10"/>
  <c r="K16" i="10"/>
  <c r="J16" i="10"/>
  <c r="I16" i="10"/>
  <c r="L15" i="10"/>
  <c r="K15" i="10"/>
  <c r="J15" i="10"/>
  <c r="I15" i="10"/>
  <c r="L14" i="10"/>
  <c r="K14" i="10"/>
  <c r="J14" i="10"/>
  <c r="I14" i="10"/>
  <c r="L13" i="10"/>
  <c r="K13" i="10"/>
  <c r="J13" i="10"/>
  <c r="I13" i="10"/>
  <c r="L12" i="10"/>
  <c r="K12" i="10"/>
  <c r="J12" i="10"/>
  <c r="I12" i="10"/>
  <c r="L10" i="10"/>
  <c r="K10" i="10"/>
  <c r="J10" i="10"/>
  <c r="I10" i="10"/>
  <c r="L9" i="10"/>
  <c r="K9" i="10"/>
  <c r="J9" i="10"/>
  <c r="I9" i="10"/>
  <c r="L8" i="10"/>
  <c r="K8" i="10"/>
  <c r="J8" i="10"/>
  <c r="I8" i="10"/>
  <c r="L7" i="10"/>
  <c r="K7" i="10"/>
  <c r="J7" i="10"/>
  <c r="I7" i="10"/>
  <c r="L6" i="10"/>
  <c r="K6" i="10"/>
  <c r="J6" i="10"/>
  <c r="I6" i="10"/>
  <c r="L5" i="10"/>
  <c r="K5" i="10"/>
  <c r="J5" i="10"/>
  <c r="I5" i="10"/>
  <c r="M23" i="9"/>
  <c r="L23" i="9"/>
  <c r="M22" i="9"/>
  <c r="L22" i="9"/>
  <c r="M21" i="9"/>
  <c r="L21" i="9"/>
  <c r="M20" i="9"/>
  <c r="L20" i="9"/>
  <c r="M19" i="9"/>
  <c r="L19" i="9"/>
  <c r="E35" i="7"/>
  <c r="E34" i="7"/>
  <c r="E32" i="7"/>
  <c r="E31" i="7"/>
  <c r="F26" i="7"/>
  <c r="F25" i="7"/>
  <c r="F24" i="7"/>
  <c r="F23" i="7"/>
  <c r="F22" i="7"/>
  <c r="F21" i="7"/>
  <c r="F19" i="7"/>
  <c r="F18" i="7"/>
  <c r="F15" i="7"/>
  <c r="F14" i="7"/>
  <c r="F13" i="7"/>
  <c r="F12" i="7"/>
  <c r="F11" i="7"/>
  <c r="F10" i="7"/>
  <c r="F8" i="7"/>
  <c r="F7" i="7"/>
  <c r="F6" i="7"/>
  <c r="F5" i="7"/>
  <c r="F4" i="7"/>
  <c r="L31" i="4"/>
  <c r="L30" i="4"/>
  <c r="K30" i="4"/>
  <c r="J30" i="4"/>
  <c r="L28" i="4"/>
  <c r="K28" i="4"/>
  <c r="J28" i="4"/>
  <c r="L27" i="4"/>
  <c r="K27" i="4"/>
  <c r="J27" i="4"/>
  <c r="L25" i="4"/>
  <c r="K25" i="4"/>
  <c r="J25" i="4"/>
  <c r="L24" i="4"/>
  <c r="K24" i="4"/>
  <c r="J24" i="4"/>
  <c r="L22" i="4"/>
  <c r="K22" i="4"/>
  <c r="J22" i="4"/>
  <c r="L20" i="4"/>
  <c r="K20" i="4"/>
  <c r="J20" i="4"/>
  <c r="L19" i="4"/>
  <c r="K19" i="4"/>
  <c r="J19" i="4"/>
  <c r="L18" i="4"/>
  <c r="K18" i="4"/>
  <c r="J18" i="4"/>
  <c r="L17" i="4"/>
  <c r="K17" i="4"/>
  <c r="J17" i="4"/>
  <c r="L15" i="4"/>
  <c r="K15" i="4"/>
  <c r="J15" i="4"/>
  <c r="L14" i="4"/>
  <c r="K14" i="4"/>
  <c r="J14" i="4"/>
  <c r="L13" i="4"/>
  <c r="K13" i="4"/>
  <c r="J13" i="4"/>
  <c r="L12" i="4"/>
  <c r="K12" i="4"/>
  <c r="J12" i="4"/>
  <c r="L11" i="4"/>
  <c r="K11" i="4"/>
  <c r="J11" i="4"/>
  <c r="L10" i="4"/>
  <c r="K10" i="4"/>
  <c r="J10" i="4"/>
  <c r="L9" i="4"/>
  <c r="K9" i="4"/>
  <c r="J9" i="4"/>
  <c r="L7" i="4"/>
  <c r="K7" i="4"/>
  <c r="J7" i="4"/>
  <c r="L6" i="4"/>
  <c r="K6" i="4"/>
  <c r="J6" i="4"/>
  <c r="L5" i="4"/>
  <c r="K5" i="4"/>
  <c r="J5" i="4"/>
  <c r="O6" i="25"/>
  <c r="P7" i="21" l="1"/>
  <c r="O7" i="21"/>
  <c r="P9" i="21"/>
  <c r="O9" i="21"/>
  <c r="H6" i="23"/>
  <c r="M6" i="23" s="1"/>
  <c r="C7" i="23"/>
  <c r="E7" i="23"/>
  <c r="D11" i="23"/>
  <c r="E11" i="23" s="1"/>
  <c r="I16" i="26"/>
  <c r="E9" i="23"/>
  <c r="G13" i="23"/>
  <c r="E49" i="13"/>
  <c r="E44" i="13"/>
  <c r="F49" i="13"/>
  <c r="F44" i="13"/>
  <c r="D8" i="16"/>
  <c r="O14" i="23"/>
  <c r="K3" i="20"/>
  <c r="K6" i="21" s="1"/>
  <c r="D24" i="22"/>
  <c r="C24" i="22"/>
  <c r="C11" i="22"/>
  <c r="E9" i="16"/>
  <c r="E8" i="15"/>
  <c r="F8" i="16"/>
  <c r="D11" i="22"/>
  <c r="D4" i="22"/>
  <c r="Q6" i="21"/>
  <c r="E6" i="21"/>
  <c r="H6" i="21" s="1"/>
  <c r="E11" i="22"/>
  <c r="E4" i="22"/>
  <c r="E8" i="21"/>
  <c r="H8" i="21" s="1"/>
  <c r="G13" i="22"/>
  <c r="G18" i="13"/>
  <c r="G19" i="13" s="1"/>
  <c r="G27" i="22"/>
  <c r="E8" i="23"/>
  <c r="G49" i="13"/>
  <c r="G44" i="13"/>
  <c r="K7" i="19"/>
  <c r="K8" i="19"/>
  <c r="G47" i="13"/>
  <c r="G4" i="22"/>
  <c r="F11" i="22"/>
  <c r="F4" i="22"/>
  <c r="D34" i="26"/>
  <c r="D12" i="23"/>
  <c r="E12" i="23" s="1"/>
  <c r="B13" i="23"/>
  <c r="I14" i="26"/>
  <c r="D10" i="13"/>
  <c r="D22" i="13"/>
  <c r="G7" i="16"/>
  <c r="D41" i="22"/>
  <c r="D10" i="23"/>
  <c r="E10" i="23" s="1"/>
  <c r="N10" i="23"/>
  <c r="O10" i="23" s="1"/>
  <c r="N11" i="23"/>
  <c r="O11" i="23" s="1"/>
  <c r="N12" i="23"/>
  <c r="O12" i="23" s="1"/>
  <c r="C33" i="18"/>
  <c r="C35" i="18" s="1"/>
  <c r="J18" i="26"/>
  <c r="K12" i="26"/>
  <c r="E41" i="22"/>
  <c r="C12" i="18"/>
  <c r="E12" i="13"/>
  <c r="E13" i="13" s="1"/>
  <c r="E7" i="13"/>
  <c r="D16" i="13"/>
  <c r="F22" i="13"/>
  <c r="F69" i="13"/>
  <c r="D10" i="14"/>
  <c r="J19" i="26"/>
  <c r="F12" i="13"/>
  <c r="F13" i="13" s="1"/>
  <c r="F7" i="13"/>
  <c r="G22" i="13"/>
  <c r="G28" i="13"/>
  <c r="C49" i="13"/>
  <c r="G69" i="13"/>
  <c r="E10" i="14"/>
  <c r="E10" i="21"/>
  <c r="H10" i="21" s="1"/>
  <c r="C21" i="24"/>
  <c r="C11" i="24"/>
  <c r="C35" i="26"/>
  <c r="G7" i="13"/>
  <c r="F16" i="13"/>
  <c r="C28" i="13"/>
  <c r="D49" i="13"/>
  <c r="F10" i="14"/>
  <c r="H18" i="26"/>
  <c r="E26" i="26"/>
  <c r="K43" i="26" s="1"/>
  <c r="I12" i="26"/>
  <c r="C36" i="18" l="1"/>
  <c r="C38" i="18" s="1"/>
  <c r="Q18" i="21"/>
  <c r="Q13" i="21"/>
  <c r="G16" i="21" s="1"/>
  <c r="G18" i="21" s="1"/>
  <c r="Q15" i="21"/>
  <c r="Q12" i="21"/>
  <c r="Q19" i="21"/>
  <c r="Q16" i="21"/>
  <c r="I18" i="26"/>
  <c r="E33" i="26" s="1"/>
  <c r="I19" i="26"/>
  <c r="P10" i="21"/>
  <c r="O10" i="21"/>
  <c r="D13" i="23"/>
  <c r="E13" i="23" s="1"/>
  <c r="B14" i="23"/>
  <c r="D14" i="23" s="1"/>
  <c r="D8" i="15"/>
  <c r="D9" i="16"/>
  <c r="F13" i="22"/>
  <c r="F18" i="13"/>
  <c r="F19" i="13" s="1"/>
  <c r="I8" i="23"/>
  <c r="F27" i="22"/>
  <c r="I5" i="23"/>
  <c r="C27" i="22"/>
  <c r="C13" i="22"/>
  <c r="C18" i="13"/>
  <c r="C19" i="13" s="1"/>
  <c r="D7" i="15"/>
  <c r="D9" i="15" s="1"/>
  <c r="D11" i="14"/>
  <c r="E7" i="15"/>
  <c r="E9" i="15" s="1"/>
  <c r="E11" i="14"/>
  <c r="C8" i="23"/>
  <c r="H7" i="23"/>
  <c r="M7" i="23" s="1"/>
  <c r="F8" i="15"/>
  <c r="F9" i="16"/>
  <c r="D35" i="26"/>
  <c r="E35" i="26" s="1"/>
  <c r="D33" i="26"/>
  <c r="D37" i="26" s="1"/>
  <c r="G4" i="15"/>
  <c r="G28" i="22"/>
  <c r="G43" i="22"/>
  <c r="G16" i="22"/>
  <c r="G24" i="13"/>
  <c r="G37" i="22"/>
  <c r="G44" i="22" s="1"/>
  <c r="O8" i="21"/>
  <c r="P8" i="21"/>
  <c r="C16" i="24"/>
  <c r="G8" i="16"/>
  <c r="C12" i="25"/>
  <c r="G14" i="23"/>
  <c r="I13" i="23"/>
  <c r="E13" i="22"/>
  <c r="E27" i="22"/>
  <c r="I7" i="23"/>
  <c r="E18" i="13"/>
  <c r="E19" i="13" s="1"/>
  <c r="O6" i="21"/>
  <c r="P6" i="21"/>
  <c r="F11" i="14"/>
  <c r="F7" i="15"/>
  <c r="F9" i="15" s="1"/>
  <c r="C23" i="22"/>
  <c r="O10" i="24" s="1"/>
  <c r="I4" i="22"/>
  <c r="O5" i="24" s="1"/>
  <c r="D27" i="22"/>
  <c r="I6" i="23"/>
  <c r="J6" i="23" s="1"/>
  <c r="D13" i="22"/>
  <c r="D18" i="13"/>
  <c r="D19" i="13" s="1"/>
  <c r="C5" i="25"/>
  <c r="K18" i="26"/>
  <c r="K19" i="26"/>
  <c r="K32" i="26" s="1"/>
  <c r="O13" i="23"/>
  <c r="E16" i="22" l="1"/>
  <c r="E4" i="15"/>
  <c r="E28" i="22"/>
  <c r="E37" i="22"/>
  <c r="E44" i="22" s="1"/>
  <c r="E43" i="22"/>
  <c r="E24" i="13"/>
  <c r="I14" i="23"/>
  <c r="J14" i="23" s="1"/>
  <c r="D7" i="24"/>
  <c r="O7" i="24"/>
  <c r="O8" i="24" s="1"/>
  <c r="I12" i="23"/>
  <c r="I11" i="23"/>
  <c r="J11" i="23" s="1"/>
  <c r="I10" i="23"/>
  <c r="J10" i="23" s="1"/>
  <c r="P19" i="21"/>
  <c r="P16" i="21"/>
  <c r="P18" i="21"/>
  <c r="P13" i="21"/>
  <c r="F14" i="21" s="1"/>
  <c r="F16" i="21" s="1"/>
  <c r="F18" i="21" s="1"/>
  <c r="P15" i="21"/>
  <c r="P12" i="21"/>
  <c r="E37" i="26"/>
  <c r="K33" i="26" s="1"/>
  <c r="K35" i="26" s="1"/>
  <c r="K26" i="26" s="1"/>
  <c r="K27" i="26" s="1"/>
  <c r="K40" i="26" s="1"/>
  <c r="K46" i="26" s="1"/>
  <c r="K44" i="26"/>
  <c r="O18" i="21"/>
  <c r="O13" i="21"/>
  <c r="E14" i="21" s="1"/>
  <c r="E16" i="21" s="1"/>
  <c r="E18" i="21" s="1"/>
  <c r="O19" i="21"/>
  <c r="O12" i="21"/>
  <c r="O16" i="21"/>
  <c r="O15" i="21"/>
  <c r="C9" i="23"/>
  <c r="H9" i="23" s="1"/>
  <c r="M9" i="23" s="1"/>
  <c r="H8" i="23"/>
  <c r="M8" i="23" s="1"/>
  <c r="F16" i="22"/>
  <c r="F4" i="15"/>
  <c r="F28" i="22"/>
  <c r="F37" i="22"/>
  <c r="F44" i="22" s="1"/>
  <c r="F43" i="22"/>
  <c r="F24" i="13"/>
  <c r="D16" i="22"/>
  <c r="D4" i="15"/>
  <c r="D37" i="22"/>
  <c r="D44" i="22" s="1"/>
  <c r="D43" i="22"/>
  <c r="D24" i="13"/>
  <c r="D28" i="22"/>
  <c r="D12" i="24"/>
  <c r="O12" i="24"/>
  <c r="O13" i="24" s="1"/>
  <c r="D11" i="16"/>
  <c r="D12" i="16"/>
  <c r="E34" i="26"/>
  <c r="K41" i="26" s="1"/>
  <c r="J7" i="23"/>
  <c r="G25" i="13"/>
  <c r="G32" i="13"/>
  <c r="G6" i="15"/>
  <c r="G10" i="15" s="1"/>
  <c r="G5" i="15"/>
  <c r="C37" i="22"/>
  <c r="C44" i="22" s="1"/>
  <c r="C16" i="22"/>
  <c r="C4" i="15"/>
  <c r="C24" i="13"/>
  <c r="C43" i="22"/>
  <c r="C28" i="22"/>
  <c r="G8" i="15"/>
  <c r="G9" i="15" s="1"/>
  <c r="G9" i="16"/>
  <c r="J8" i="23"/>
  <c r="J9" i="23"/>
  <c r="G20" i="22"/>
  <c r="G33" i="22"/>
  <c r="G29" i="22"/>
  <c r="G18" i="22"/>
  <c r="D14" i="14"/>
  <c r="D13" i="14"/>
  <c r="O15" i="24" s="1"/>
  <c r="E14" i="23"/>
  <c r="H20" i="25"/>
  <c r="G20" i="25"/>
  <c r="F20" i="25"/>
  <c r="E20" i="25"/>
  <c r="D20" i="25"/>
  <c r="M20" i="25"/>
  <c r="R6" i="25"/>
  <c r="O16" i="25" s="1"/>
  <c r="L20" i="25"/>
  <c r="K20" i="25"/>
  <c r="I20" i="25"/>
  <c r="J20" i="25"/>
  <c r="C32" i="13" l="1"/>
  <c r="C25" i="13"/>
  <c r="C6" i="15"/>
  <c r="C10" i="15" s="1"/>
  <c r="C5" i="15"/>
  <c r="J12" i="23"/>
  <c r="F6" i="15"/>
  <c r="F5" i="15"/>
  <c r="G30" i="22"/>
  <c r="G38" i="13"/>
  <c r="G39" i="13" s="1"/>
  <c r="E25" i="13"/>
  <c r="E32" i="13"/>
  <c r="G33" i="13"/>
  <c r="G36" i="13"/>
  <c r="D17" i="24"/>
  <c r="O17" i="24"/>
  <c r="O18" i="24" s="1"/>
  <c r="C29" i="22"/>
  <c r="C18" i="22"/>
  <c r="C20" i="22"/>
  <c r="C33" i="22"/>
  <c r="E7" i="24"/>
  <c r="F7" i="24" s="1"/>
  <c r="G7" i="24" s="1"/>
  <c r="H7" i="24" s="1"/>
  <c r="I7" i="24" s="1"/>
  <c r="J7" i="24" s="1"/>
  <c r="K7" i="24" s="1"/>
  <c r="L7" i="24" s="1"/>
  <c r="M7" i="24" s="1"/>
  <c r="D6" i="24"/>
  <c r="E6" i="24" s="1"/>
  <c r="F6" i="24" s="1"/>
  <c r="G6" i="24" s="1"/>
  <c r="H6" i="24" s="1"/>
  <c r="I6" i="24" s="1"/>
  <c r="J6" i="24" s="1"/>
  <c r="K6" i="24" s="1"/>
  <c r="L6" i="24" s="1"/>
  <c r="M6" i="24" s="1"/>
  <c r="E12" i="24"/>
  <c r="D22" i="24"/>
  <c r="D11" i="24"/>
  <c r="E11" i="24" s="1"/>
  <c r="G12" i="15"/>
  <c r="D6" i="15"/>
  <c r="D5" i="15"/>
  <c r="F29" i="22"/>
  <c r="F20" i="22"/>
  <c r="F33" i="22"/>
  <c r="F18" i="22"/>
  <c r="D29" i="22"/>
  <c r="D20" i="22"/>
  <c r="D18" i="22"/>
  <c r="D33" i="22"/>
  <c r="E6" i="15"/>
  <c r="E5" i="15"/>
  <c r="D32" i="13"/>
  <c r="D25" i="13"/>
  <c r="J8" i="25"/>
  <c r="I8" i="25"/>
  <c r="H8" i="25"/>
  <c r="G8" i="25"/>
  <c r="F8" i="25"/>
  <c r="M8" i="25"/>
  <c r="L8" i="25"/>
  <c r="K8" i="25"/>
  <c r="E8" i="25"/>
  <c r="D8" i="25"/>
  <c r="J13" i="23"/>
  <c r="F25" i="13"/>
  <c r="F32" i="13"/>
  <c r="E20" i="22"/>
  <c r="E29" i="22"/>
  <c r="E33" i="22"/>
  <c r="E18" i="22"/>
  <c r="C38" i="13" l="1"/>
  <c r="C39" i="13" s="1"/>
  <c r="C30" i="22"/>
  <c r="F10" i="15"/>
  <c r="F12" i="15"/>
  <c r="E38" i="13"/>
  <c r="E39" i="13" s="1"/>
  <c r="E30" i="22"/>
  <c r="F38" i="13"/>
  <c r="F39" i="13" s="1"/>
  <c r="F30" i="22"/>
  <c r="E10" i="15"/>
  <c r="E12" i="15"/>
  <c r="F11" i="24"/>
  <c r="D6" i="25"/>
  <c r="D21" i="24"/>
  <c r="F33" i="13"/>
  <c r="F36" i="13"/>
  <c r="D10" i="15"/>
  <c r="D12" i="15"/>
  <c r="E33" i="13"/>
  <c r="E36" i="13"/>
  <c r="F12" i="24"/>
  <c r="E22" i="24"/>
  <c r="E6" i="25" s="1"/>
  <c r="O8" i="25"/>
  <c r="D38" i="13"/>
  <c r="D39" i="13" s="1"/>
  <c r="D30" i="22"/>
  <c r="D33" i="13"/>
  <c r="D36" i="13"/>
  <c r="E17" i="24"/>
  <c r="F17" i="24" s="1"/>
  <c r="G17" i="24" s="1"/>
  <c r="H17" i="24" s="1"/>
  <c r="I17" i="24" s="1"/>
  <c r="J17" i="24" s="1"/>
  <c r="K17" i="24" s="1"/>
  <c r="L17" i="24" s="1"/>
  <c r="M17" i="24" s="1"/>
  <c r="D16" i="24"/>
  <c r="C36" i="13"/>
  <c r="C33" i="13"/>
  <c r="E21" i="24" l="1"/>
  <c r="D5" i="25"/>
  <c r="G12" i="24"/>
  <c r="F22" i="24"/>
  <c r="F6" i="25" s="1"/>
  <c r="E16" i="24"/>
  <c r="F16" i="24" s="1"/>
  <c r="G16" i="24" s="1"/>
  <c r="H16" i="24" s="1"/>
  <c r="I16" i="24" s="1"/>
  <c r="J16" i="24" s="1"/>
  <c r="K16" i="24" s="1"/>
  <c r="L16" i="24" s="1"/>
  <c r="M16" i="24" s="1"/>
  <c r="C14" i="15"/>
  <c r="C13" i="15"/>
  <c r="H12" i="24" l="1"/>
  <c r="G22" i="24"/>
  <c r="G6" i="25" s="1"/>
  <c r="G11" i="24"/>
  <c r="H11" i="24" s="1"/>
  <c r="D11" i="25"/>
  <c r="D12" i="25"/>
  <c r="D13" i="25" s="1"/>
  <c r="D7" i="25"/>
  <c r="F21" i="24"/>
  <c r="E5" i="25"/>
  <c r="E11" i="25" l="1"/>
  <c r="E12" i="25"/>
  <c r="E13" i="25" s="1"/>
  <c r="E7" i="25"/>
  <c r="F5" i="25"/>
  <c r="G21" i="24"/>
  <c r="D9" i="25"/>
  <c r="D10" i="25"/>
  <c r="D14" i="25"/>
  <c r="D16" i="25" s="1"/>
  <c r="H22" i="24"/>
  <c r="H6" i="25" s="1"/>
  <c r="I12" i="24"/>
  <c r="J12" i="24" l="1"/>
  <c r="I22" i="24"/>
  <c r="I6" i="25" s="1"/>
  <c r="I11" i="24"/>
  <c r="J11" i="24" s="1"/>
  <c r="D15" i="25"/>
  <c r="D22" i="25" s="1"/>
  <c r="H21" i="24"/>
  <c r="G5" i="25"/>
  <c r="F11" i="25"/>
  <c r="F12" i="25"/>
  <c r="F13" i="25" s="1"/>
  <c r="F7" i="25"/>
  <c r="E9" i="25"/>
  <c r="E10" i="25"/>
  <c r="E14" i="25"/>
  <c r="E16" i="25" s="1"/>
  <c r="F9" i="25" l="1"/>
  <c r="F10" i="25"/>
  <c r="E15" i="25"/>
  <c r="E22" i="25" s="1"/>
  <c r="F14" i="25"/>
  <c r="G11" i="25"/>
  <c r="G12" i="25"/>
  <c r="G13" i="25" s="1"/>
  <c r="G7" i="25"/>
  <c r="H5" i="25"/>
  <c r="I21" i="24"/>
  <c r="K11" i="24"/>
  <c r="J22" i="24"/>
  <c r="J6" i="25" s="1"/>
  <c r="K12" i="24"/>
  <c r="F16" i="25" l="1"/>
  <c r="L11" i="24"/>
  <c r="I5" i="25"/>
  <c r="J21" i="24"/>
  <c r="H12" i="25"/>
  <c r="H13" i="25" s="1"/>
  <c r="H11" i="25"/>
  <c r="H7" i="25"/>
  <c r="G9" i="25"/>
  <c r="G10" i="25" s="1"/>
  <c r="G14" i="25"/>
  <c r="F15" i="25"/>
  <c r="F22" i="25" s="1"/>
  <c r="L12" i="24"/>
  <c r="K22" i="24"/>
  <c r="K6" i="25" s="1"/>
  <c r="G15" i="25" l="1"/>
  <c r="G22" i="25" s="1"/>
  <c r="M12" i="24"/>
  <c r="M22" i="24" s="1"/>
  <c r="M6" i="25" s="1"/>
  <c r="L22" i="24"/>
  <c r="L6" i="25" s="1"/>
  <c r="G16" i="25"/>
  <c r="H14" i="25"/>
  <c r="M11" i="24"/>
  <c r="H9" i="25"/>
  <c r="H10" i="25" s="1"/>
  <c r="J5" i="25"/>
  <c r="K21" i="24"/>
  <c r="I11" i="25"/>
  <c r="I12" i="25"/>
  <c r="I13" i="25" s="1"/>
  <c r="I7" i="25"/>
  <c r="H16" i="25" l="1"/>
  <c r="I14" i="25"/>
  <c r="L21" i="24"/>
  <c r="K5" i="25"/>
  <c r="J11" i="25"/>
  <c r="J12" i="25"/>
  <c r="J13" i="25" s="1"/>
  <c r="J7" i="25"/>
  <c r="H15" i="25"/>
  <c r="H22" i="25" s="1"/>
  <c r="I9" i="25"/>
  <c r="I10" i="25" s="1"/>
  <c r="I15" i="25" l="1"/>
  <c r="I22" i="25" s="1"/>
  <c r="J9" i="25"/>
  <c r="J10" i="25"/>
  <c r="J14" i="25"/>
  <c r="J16" i="25" s="1"/>
  <c r="K11" i="25"/>
  <c r="K12" i="25"/>
  <c r="K13" i="25" s="1"/>
  <c r="K7" i="25"/>
  <c r="M21" i="24"/>
  <c r="M5" i="25" s="1"/>
  <c r="L5" i="25"/>
  <c r="I16" i="25"/>
  <c r="L11" i="25" l="1"/>
  <c r="L12" i="25"/>
  <c r="L13" i="25" s="1"/>
  <c r="L7" i="25"/>
  <c r="K14" i="25"/>
  <c r="J15" i="25"/>
  <c r="J22" i="25" s="1"/>
  <c r="M11" i="25"/>
  <c r="M12" i="25"/>
  <c r="O5" i="25"/>
  <c r="O7" i="25" s="1"/>
  <c r="M7" i="25"/>
  <c r="K9" i="25"/>
  <c r="K10" i="25"/>
  <c r="K15" i="25" l="1"/>
  <c r="K22" i="25" s="1"/>
  <c r="M13" i="25"/>
  <c r="M14" i="25" s="1"/>
  <c r="M9" i="25"/>
  <c r="M10" i="25" s="1"/>
  <c r="O9" i="25"/>
  <c r="O10" i="25" s="1"/>
  <c r="K16" i="25"/>
  <c r="L9" i="25"/>
  <c r="L10" i="25" s="1"/>
  <c r="L14" i="25"/>
  <c r="L15" i="25" l="1"/>
  <c r="L22" i="25" s="1"/>
  <c r="M15" i="25"/>
  <c r="M22" i="25" s="1"/>
  <c r="O14" i="25"/>
  <c r="O15" i="25"/>
  <c r="M18" i="25" s="1"/>
  <c r="M23" i="25" s="1"/>
  <c r="C22" i="25"/>
  <c r="L16" i="25"/>
  <c r="M16" i="25"/>
  <c r="C25" i="25" l="1"/>
  <c r="C29" i="25" s="1"/>
  <c r="C32" i="25" s="1"/>
</calcChain>
</file>

<file path=xl/sharedStrings.xml><?xml version="1.0" encoding="utf-8"?>
<sst xmlns="http://schemas.openxmlformats.org/spreadsheetml/2006/main" count="1435" uniqueCount="795">
  <si>
    <t>SOLAR INDUSTRIES INDIA LIMITED</t>
  </si>
  <si>
    <t>COMPANY OVERVIEW</t>
  </si>
  <si>
    <t>ABOUT THE COMPANY</t>
  </si>
  <si>
    <t>Source</t>
  </si>
  <si>
    <t>Solar Industries India Limited (NSE: SOLARINDS | BSE: 532725) is one of the world's leading manufacturers and suppliers of industrial explosives, initiating systems, and defence ammunition. Headquartered in Nagpur, Maharashtra, the company has a global presence spanning 90+ countries with 40+ manufacturing facilities across 9 countries. Founded in 1985, Solar has diversified from industrial explosives into a strategic defence and aerospace player, supplying Pinaka rockets and loitering munitions. With a near-zero net debt profile and a ₹15,000+ Crore defence order book, the company is well-positioned for high double-digit growth over the coming years.</t>
  </si>
  <si>
    <t>REGISTERED OFFICE</t>
  </si>
  <si>
    <t>Address</t>
  </si>
  <si>
    <t>"Solar" House, 14, Kachimet, Amravati Road, Nagpur, Maharashtra – 440023</t>
  </si>
  <si>
    <t>S.No</t>
  </si>
  <si>
    <t>Name of Entity</t>
  </si>
  <si>
    <t>Type</t>
  </si>
  <si>
    <t>Unit / Entity</t>
  </si>
  <si>
    <t>Full Address</t>
  </si>
  <si>
    <t>City / District &amp; State</t>
  </si>
  <si>
    <t>Solar Defence and Aerospace Limited (formerly Economic Explosives Ltd)</t>
  </si>
  <si>
    <t>Wholly Owned Subsidiary</t>
  </si>
  <si>
    <t>Solar Industries India Ltd - Chakdoh</t>
  </si>
  <si>
    <t>Khasra No. 37-39 &amp; 78-83, Amravati Road, Village-Chakdoh (Bazargaon), Tehsil-Katol 441302</t>
  </si>
  <si>
    <t>Nagpur, Maharashtra</t>
  </si>
  <si>
    <t>Emul Tek Private Limited</t>
  </si>
  <si>
    <t>Solar Industries India Ltd - Waidhan Unit 1</t>
  </si>
  <si>
    <t>Plot No. 32-37, Udyog Deep Industrial Area, Tehsil Waidhan, District Singrauli, MP 486886</t>
  </si>
  <si>
    <t>Waidhan, Madhya Pradesh</t>
  </si>
  <si>
    <t>Solar Explochem Limited</t>
  </si>
  <si>
    <t>Solar Industries India Ltd - Waidhan Unit 2</t>
  </si>
  <si>
    <t>Khasra No 975/2, Post-Ganiyari, Tahsil-Waidhan, District Singrauli, MP 486886</t>
  </si>
  <si>
    <t>Dist. Singrauli, Madhya Pradesh</t>
  </si>
  <si>
    <t>Solar Defence Limited</t>
  </si>
  <si>
    <t>Solar Industries India Ltd - Warur</t>
  </si>
  <si>
    <t>Survey No. 101, Warur Road, Tehsil Rajura, District Chandrapur, MH 442905</t>
  </si>
  <si>
    <t>Chandrapur, Maharashtra</t>
  </si>
  <si>
    <t>Solar Defence Systems Limited</t>
  </si>
  <si>
    <t>Solar Industries India Ltd - Korba</t>
  </si>
  <si>
    <t>Khasra No. 5, Village-Mudapar (Hardi Bazar), Po-Korbi/Dhatura, Tahsil: Pali, District Korba, CG 495446</t>
  </si>
  <si>
    <t>Korba, Chhattisgarh</t>
  </si>
  <si>
    <t>Solar Avionics Limited</t>
  </si>
  <si>
    <t>Solar Industries India Ltd - Ramgarh</t>
  </si>
  <si>
    <t>Plot No. 967 &amp; 1156, Village-Manua (Binjhar), Post-Argada (Hesla), District Ramgarh, JH 829101</t>
  </si>
  <si>
    <t>Hazaribagh, Jharkhand</t>
  </si>
  <si>
    <t>Solar Aerospace Limited</t>
  </si>
  <si>
    <t>Solar Industries India Ltd - Tadali</t>
  </si>
  <si>
    <t>Plot No. B-11, MIDC Growth Centre, Tadali, District Chandrapur, MH</t>
  </si>
  <si>
    <t>Tadali, Maharashtra</t>
  </si>
  <si>
    <t>Solar Overseas Mauritius Limited</t>
  </si>
  <si>
    <t>Solar Industries India Ltd - Dhanbad</t>
  </si>
  <si>
    <t>Plot No. C-32-33(P), Kandra Industrial Area, At-Bhetia, Post: Govindpur, District Dhanbad, JH 828109</t>
  </si>
  <si>
    <t>Dhanbad, Jharkhand</t>
  </si>
  <si>
    <t>Solar Overseas Singapore Pte Limited</t>
  </si>
  <si>
    <t>Step-Down Subsidiary</t>
  </si>
  <si>
    <t>Solar Industries India Ltd - Asansol</t>
  </si>
  <si>
    <t>Plot No. 2/848, 3&amp;5, Mouza Barapukuria, Post: Kalla(C.H), District Paschim Bardhaman, WB 713340</t>
  </si>
  <si>
    <t>Burdwan, West Bengal</t>
  </si>
  <si>
    <t>Solar Overseas Netherlands Cooperative U.A.</t>
  </si>
  <si>
    <t>Solar Industries India Ltd - Talcher</t>
  </si>
  <si>
    <t>IDCO Plot No. 27, Revenue Plot No. 48(P), Industrial Estate, Village Ghantapada, Post-South Balanda, District Angul, Odisha 759116</t>
  </si>
  <si>
    <t>Angul, Odisha</t>
  </si>
  <si>
    <t>Solar Industries Africa Limited</t>
  </si>
  <si>
    <t>Solar Industries India Ltd - Manendragarh</t>
  </si>
  <si>
    <t>Khasara No. 323/2 Mouza-Chainpur, Tahsil &amp; Post-Manendragarh, District Koria, CG 497442</t>
  </si>
  <si>
    <t>Koria, Chhattisgarh</t>
  </si>
  <si>
    <t>Solar Nitro Zimbabwe (Private) Limited</t>
  </si>
  <si>
    <t>Solar Industries India Ltd - Karimnagar</t>
  </si>
  <si>
    <t>Survey No. 363, Village: Mustial, Post: Sundilla, Mandal-Ramagiri, District Peddapalli, Telangana 505209</t>
  </si>
  <si>
    <t>Karimnagar, Telangana</t>
  </si>
  <si>
    <t>Solar Venture Company Limited</t>
  </si>
  <si>
    <t>Solar Industries India Ltd - Jharsuguda</t>
  </si>
  <si>
    <t>Plot No. 389 to 392, Village-Beherapali, Post Badmal, Tehsil Jharsuguda, District Jharsuguda, Odisha 768 202</t>
  </si>
  <si>
    <t>Jharsuguda, Odisha</t>
  </si>
  <si>
    <t>Solar Mining Services (Pty) Limited – Australia</t>
  </si>
  <si>
    <t>Solar Industries India Ltd - Bhilwara</t>
  </si>
  <si>
    <t>Khasra No. 1459 &amp; 1460, Village-Rupaheli, Tahsil Hurda, District Bhilwara, Rajasthan 311030</t>
  </si>
  <si>
    <t>Dist. Bhilwara, Rajasthan</t>
  </si>
  <si>
    <t>Solar Mining Services Cote d'Ivoire Limited SARL</t>
  </si>
  <si>
    <t>Solar Industries India Ltd - Kota</t>
  </si>
  <si>
    <t>Khasra No 132 &amp; 137, Village Dingsi, Post-Suket, Tahsil Ramganj Mandi, District Kota, Rajasthan 326530</t>
  </si>
  <si>
    <t>Dist. Kota, Rajasthan</t>
  </si>
  <si>
    <t>Solar Mining Services Albania</t>
  </si>
  <si>
    <t>Solar Industries India Ltd - Barbil</t>
  </si>
  <si>
    <t>Khata No 118/22, Plot No 1034,1035,1046/1264,1046/1265,1046/1035,1134,1047 &amp; 1048, Village-Naibaga, Tehsil Jhumpura, Keonjhar, OD</t>
  </si>
  <si>
    <t>Dist. Keonjhar, Odisha</t>
  </si>
  <si>
    <t>Solar Nitro SARL</t>
  </si>
  <si>
    <t>Solar Industries India Ltd - Bailadila</t>
  </si>
  <si>
    <t>Forest Compartment No 626/1861 Deposit Kailash Nagar Bailadila Iron Ore Mines, Kirandul Complex, District Dantewada, CG 494556</t>
  </si>
  <si>
    <t>BIOM Kirandul, Chhattisgarh</t>
  </si>
  <si>
    <t>Solar Nitro Kazakhstan Limited</t>
  </si>
  <si>
    <t>Solar Industries India Ltd - Pallewada</t>
  </si>
  <si>
    <t>Survey No 187/A/A &amp; 188/A/B, Village-Pallewada, Dist. Khammam, Telangana</t>
  </si>
  <si>
    <t>Pallewada, Telangana</t>
  </si>
  <si>
    <t>Participates in Business</t>
  </si>
  <si>
    <t>Solar Nitro (SL) Limited</t>
  </si>
  <si>
    <t>Solar Industries India Ltd - Kotputli</t>
  </si>
  <si>
    <t>C/o Ultratech Cement Ltd, Unit: Kotputali, Kh. No. 221, 222, Village Kujota, District Kotputali, Rajasthan 303180</t>
  </si>
  <si>
    <t>Kotputli, Rajasthan</t>
  </si>
  <si>
    <t>Yes</t>
  </si>
  <si>
    <t>Solar Nitro Chemicals Limited</t>
  </si>
  <si>
    <t>Solar Defence and Aerospace Ltd - Sawanga</t>
  </si>
  <si>
    <t>Village – Sawanga, Nagpur</t>
  </si>
  <si>
    <t>No</t>
  </si>
  <si>
    <t>Solar Mining Services Burkina Faso SARL</t>
  </si>
  <si>
    <t>Solar Defence and Aerospace Ltd - Nimjee</t>
  </si>
  <si>
    <t>Kh-40/1 &amp; 40/2, Khapri, PO-MIDC, Gondkhari, Kamleshwar Road, Nagpur</t>
  </si>
  <si>
    <t>Solar Mining Services (Pty) Limited – South Africa</t>
  </si>
  <si>
    <t>Emul Tek Private Ltd - Waidhan 1</t>
  </si>
  <si>
    <t>Survey No. 61, Town/Village-Udyog Deep Industrial Estate, Waidhan, Singrauli, MP 486886</t>
  </si>
  <si>
    <t>Solar Nigachem Limited</t>
  </si>
  <si>
    <t>Emul Tek Private Ltd - Raigarh</t>
  </si>
  <si>
    <t>Survey No(s). 280, 281, Town/Village-Darramuda, Post Office-Garhumariya, District Raigarh, CG 496001</t>
  </si>
  <si>
    <t>Dist. Raigarh, Chhattisgarh</t>
  </si>
  <si>
    <t>Solar Overseas Netherlands B.V.</t>
  </si>
  <si>
    <t>Emul Tek Private Ltd - Waidhan 3</t>
  </si>
  <si>
    <t>Plot No 75, Udyogdeep Industrial Estate, Waidhan, Singrauli, MP 486886</t>
  </si>
  <si>
    <t>Solar Explochem Zambia Limited</t>
  </si>
  <si>
    <t>Emul Tek Private Ltd - Korba</t>
  </si>
  <si>
    <t>Survey No. 624/3, Plot No. 14, Town/Village-Ratija, Korba, CG 495449</t>
  </si>
  <si>
    <t>Dist. Korba, Chhattisgarh</t>
  </si>
  <si>
    <t>Solar Patlayici Maddeler Sanayi Ve Ticaret Anonim Sirketi</t>
  </si>
  <si>
    <t>P.T. Solar Mining Services (Indonesia)</t>
  </si>
  <si>
    <t>Solar Nitro Ghana Limited</t>
  </si>
  <si>
    <t>Solar Madencilik Hizmetleri Anonim Sirketi</t>
  </si>
  <si>
    <t>PATSAN Patlayici Maddeler Sanayi Ve Ticaret Anonim Sirketi</t>
  </si>
  <si>
    <t>Power Blast LLP</t>
  </si>
  <si>
    <t>Maxigear (Pty) Limited</t>
  </si>
  <si>
    <t>Frag Shared Services (Pty) Limited</t>
  </si>
  <si>
    <t>Procapture (Pty) Limited</t>
  </si>
  <si>
    <t>Problast BS (Pty) Limited</t>
  </si>
  <si>
    <t>Problast BBBEE Investment Co. (Pty) Limited</t>
  </si>
  <si>
    <t>Ortiz Investments (Pty) Ltd</t>
  </si>
  <si>
    <t>Associate</t>
  </si>
  <si>
    <t>Solar United Co. Limited</t>
  </si>
  <si>
    <t>Zmotion Autonomous Systems Private Limited</t>
  </si>
  <si>
    <t>Public Shareholding Pattern</t>
  </si>
  <si>
    <t>Solar Industries India Limited | As at December 2025</t>
  </si>
  <si>
    <t>Category &amp; Name of the Shareholders</t>
  </si>
  <si>
    <t>No. of shareholder</t>
  </si>
  <si>
    <t>No. of fully paid up equity shares held</t>
  </si>
  <si>
    <t>Total no. shares held</t>
  </si>
  <si>
    <t>Shareholding % calculated as per SCRR, 1957 As a % of (A+B+C2)</t>
  </si>
  <si>
    <t>No. of Voting Rights</t>
  </si>
  <si>
    <t>Total as a % of Total Voting right</t>
  </si>
  <si>
    <t>Total No. Of shares on fully diluted basis (including warrants, ESOP, Convertible Securities etc.)</t>
  </si>
  <si>
    <t>Shareholding , as a % assuming full conversion of convertible securities ( as a percentage of diluted share capital)As a % of (A+B+C2)</t>
  </si>
  <si>
    <t>No. of equity shares held in dematerialized form(Not Applicable)</t>
  </si>
  <si>
    <t>Sub-categorization of shares (XV)</t>
  </si>
  <si>
    <t>Shareholding (No. of shares) under</t>
  </si>
  <si>
    <t>SubCategory_I</t>
  </si>
  <si>
    <t>SubCategory_II</t>
  </si>
  <si>
    <t>SubCategory_III</t>
  </si>
  <si>
    <t>Institutions</t>
  </si>
  <si>
    <t>-</t>
  </si>
  <si>
    <t>B1) Institutions (Domestic)</t>
  </si>
  <si>
    <t>Mutual Funds/</t>
  </si>
  <si>
    <t>Axis Mutual Fund Trustee Limited A/C Axis Mutual Fund A/C Axis Midcap Fund</t>
  </si>
  <si>
    <t>Kotak Flexicap Fund</t>
  </si>
  <si>
    <t>Sbi Equity Hybrid Fund</t>
  </si>
  <si>
    <t>Venture Capital Funds</t>
  </si>
  <si>
    <t>Alternate Investment Funds</t>
  </si>
  <si>
    <t>Banks</t>
  </si>
  <si>
    <t>Insurance Companies</t>
  </si>
  <si>
    <t>Provident Funds/ Pension Funds</t>
  </si>
  <si>
    <t>Asset reconstruction companies</t>
  </si>
  <si>
    <t>Sovereign Wealth Funds</t>
  </si>
  <si>
    <t>NBFCs registered with RBI</t>
  </si>
  <si>
    <t>Other Financial Institutions</t>
  </si>
  <si>
    <t>Any Other(Institutions (Domestic))</t>
  </si>
  <si>
    <t>Sub Total B1</t>
  </si>
  <si>
    <t>B17) Institutions (Foreign)</t>
  </si>
  <si>
    <t>Foreign Direct Investment</t>
  </si>
  <si>
    <t>Foreign Venture Capital Investors</t>
  </si>
  <si>
    <t>Foreign Portfolio Investors Category I</t>
  </si>
  <si>
    <t>Foreign Portfolio Investors Category II</t>
  </si>
  <si>
    <t>Overseas Depositories (holding DRs) (balancing figure)</t>
  </si>
  <si>
    <t>Any Other(Institutions (Foreign))</t>
  </si>
  <si>
    <t>Sub Total B2</t>
  </si>
  <si>
    <t>B26) Central Government/ State Government(s)/ President of India</t>
  </si>
  <si>
    <t>Central Government / President of India</t>
  </si>
  <si>
    <t>State Government / Governor</t>
  </si>
  <si>
    <t>Shareholding by Companies or Bodies Corporate where Central / State Government is a promoter</t>
  </si>
  <si>
    <t>Sub Total B3</t>
  </si>
  <si>
    <t>B31) Non-Institutions</t>
  </si>
  <si>
    <t>Associate companies / Subsidiaries</t>
  </si>
  <si>
    <t>Directors and their relatives (excluding independent directors and nominee directors)</t>
  </si>
  <si>
    <t>Key Managerial Personnel</t>
  </si>
  <si>
    <t>Relatives of promoters (other than 'immediate relatives' of promoters disclosed under 'Promoter and Promoter Group' category)</t>
  </si>
  <si>
    <t>Trusts where any person belonging to 'Promoter and Promoter Group' category is 'trustee', 'beneficiary', or 'author of the trust'</t>
  </si>
  <si>
    <t>Investor Education and Protection Fund (IEPF)</t>
  </si>
  <si>
    <t>Resident Individuals holding nominal share capital up to Rs. 2 lakhs</t>
  </si>
  <si>
    <t>Resident Individuals holding nominal share capital in excess of Rs. 2 lakhs</t>
  </si>
  <si>
    <t>Non Resident Indians (NRIs)</t>
  </si>
  <si>
    <t>Foreign Nationals</t>
  </si>
  <si>
    <t>Foreign Companies</t>
  </si>
  <si>
    <t>Bodies Corporate</t>
  </si>
  <si>
    <t>Any Other (specify)</t>
  </si>
  <si>
    <t>Trusts</t>
  </si>
  <si>
    <t>Firm</t>
  </si>
  <si>
    <t>HUF</t>
  </si>
  <si>
    <t>Clearing Members</t>
  </si>
  <si>
    <t>Sub Total B4</t>
  </si>
  <si>
    <t>B=B1+B2+B3+B4</t>
  </si>
  <si>
    <t>Promoters Shareholding Pattern</t>
  </si>
  <si>
    <t>Category &amp; Name of Shareholder</t>
  </si>
  <si>
    <t>Shareholding Calculated as per SCRR , 1957 As a % of (A+B+C2)</t>
  </si>
  <si>
    <t>Number of Voting Rights held in each class of securities</t>
  </si>
  <si>
    <t>Class X</t>
  </si>
  <si>
    <t>Promoter and Promoter Group</t>
  </si>
  <si>
    <t>A1) Indian</t>
  </si>
  <si>
    <t>Individuals/Hindu undivided Family</t>
  </si>
  <si>
    <t>HARSHWARDHAN MANISH NUWAL</t>
  </si>
  <si>
    <t>INDIRA KAILASHCHANDRA NUWAL</t>
  </si>
  <si>
    <t>KAILASH CHANDRA NUWAL</t>
  </si>
  <si>
    <t>Leeladevi Satyanarayan Nuwal</t>
  </si>
  <si>
    <t>MANISH SATYANARAYAN NUWAL</t>
  </si>
  <si>
    <t>RAGHAV MANISH NUWAL</t>
  </si>
  <si>
    <t>RAHUL NUWAL</t>
  </si>
  <si>
    <t>SATYANARAYAN NANDLAL NUWAL</t>
  </si>
  <si>
    <t>Seema Nuwal</t>
  </si>
  <si>
    <t>Sub-Total(A)(1)</t>
  </si>
  <si>
    <t>A2) Foreign</t>
  </si>
  <si>
    <t>Sub-Total(A)(2)</t>
  </si>
  <si>
    <t>Promoter and Promoter Group (A=A1+A2)</t>
  </si>
  <si>
    <t>Public</t>
  </si>
  <si>
    <t>B1) Institutions (Domestic)</t>
  </si>
  <si>
    <t>Mutual Funds</t>
  </si>
  <si>
    <t>AXIS MUTUAL FUND TRUSTEE LIMITED A/C AXIS MUTUAL FUND A/C AXIS NIFTY500 QUALITY 50 INDEX FUND</t>
  </si>
  <si>
    <t>KOTAK MAHINDRA TRUSTEE CO LTD A/C KOTAK NIFTY CHEMICALS ETF</t>
  </si>
  <si>
    <t>SBI NIFTY 500 INDEX FUND</t>
  </si>
  <si>
    <t>Trust</t>
  </si>
  <si>
    <t>Sub-Total(B)(1)</t>
  </si>
  <si>
    <t>B2) Institutions (Foreign)</t>
  </si>
  <si>
    <t>Sub-Total(B)(2)</t>
  </si>
  <si>
    <t>B3) Central Government/ State Government(s)/ President of India</t>
  </si>
  <si>
    <t>Sub-Total(B)(3)</t>
  </si>
  <si>
    <t>B4) Non-Institutions</t>
  </si>
  <si>
    <t>LLP</t>
  </si>
  <si>
    <t>Unclaimed or Suspense or Escrow Account</t>
  </si>
  <si>
    <t>Sub-Total(B)(4)</t>
  </si>
  <si>
    <t>Public (B=B1+B2+B3+B4)</t>
  </si>
  <si>
    <t>(C) Non Promoter-Non Public</t>
  </si>
  <si>
    <t>C1) Custodian/DR Holder</t>
  </si>
  <si>
    <t>Sub-Total(C)(1)</t>
  </si>
  <si>
    <t>C2) Employee Benefit Trust</t>
  </si>
  <si>
    <t>Sub-Total(C)(2)</t>
  </si>
  <si>
    <t>Non Promoter-Non Public (C= C1+C2)</t>
  </si>
  <si>
    <t>GRAND TOTAL</t>
  </si>
  <si>
    <t>Standalone Quarterly Result</t>
  </si>
  <si>
    <t>Quarter ended</t>
  </si>
  <si>
    <t>Half Year ended</t>
  </si>
  <si>
    <t>Years</t>
  </si>
  <si>
    <t>%Change</t>
  </si>
  <si>
    <t>Particulars</t>
  </si>
  <si>
    <t>QTQ %</t>
  </si>
  <si>
    <t>HY YOY %</t>
  </si>
  <si>
    <t>YOY %</t>
  </si>
  <si>
    <t>I. REVENUE</t>
  </si>
  <si>
    <t>Revenue from Operations</t>
  </si>
  <si>
    <t>Other Income</t>
  </si>
  <si>
    <t>Total Income</t>
  </si>
  <si>
    <t>II. EXPENSES</t>
  </si>
  <si>
    <t>Consumption of Raw Materials</t>
  </si>
  <si>
    <t>Purchase of Traded Goods</t>
  </si>
  <si>
    <t>Employee Cost</t>
  </si>
  <si>
    <t>Other Expenses</t>
  </si>
  <si>
    <t>Depreciation &amp; Amortisation</t>
  </si>
  <si>
    <t>Finance Costs</t>
  </si>
  <si>
    <t>Total Expenses</t>
  </si>
  <si>
    <t>III. PROFIT &amp; LOSS</t>
  </si>
  <si>
    <t>EBITDA</t>
  </si>
  <si>
    <t>EBITDA Margin (%)</t>
  </si>
  <si>
    <t>EBIT</t>
  </si>
  <si>
    <t>Profit Before Exceptional Items &amp; Tax</t>
  </si>
  <si>
    <t>Exceptional Items</t>
  </si>
  <si>
    <t>Profit Before Tax (PBT)</t>
  </si>
  <si>
    <t>Tax Expense</t>
  </si>
  <si>
    <t>Profit After Tax (PAT)</t>
  </si>
  <si>
    <t>PAT Margin (%)</t>
  </si>
  <si>
    <t>IV. EARNINGS PER SHARE (₹)</t>
  </si>
  <si>
    <t>Basic EPS</t>
  </si>
  <si>
    <t>Diluted EPS</t>
  </si>
  <si>
    <t>V. SUPPLEMENTARY</t>
  </si>
  <si>
    <t>Paid-up Equity Share Capital</t>
  </si>
  <si>
    <t>Reserves excl. Revaluation</t>
  </si>
  <si>
    <t>Consolidated Quarterly Result</t>
  </si>
  <si>
    <t xml:space="preserve"> Dec-25</t>
  </si>
  <si>
    <t xml:space="preserve"> Dec-24</t>
  </si>
  <si>
    <t>Increase / (Decrease) in Stocks</t>
  </si>
  <si>
    <t>Standalone Balance Sheet (₹ Cr.)</t>
  </si>
  <si>
    <t>% Change</t>
  </si>
  <si>
    <t>EQUITIES AND LIABILITIES</t>
  </si>
  <si>
    <t>SHAREHOLDER'S FUNDS</t>
  </si>
  <si>
    <t>Equity Share Capital</t>
  </si>
  <si>
    <t>Total Share Capital</t>
  </si>
  <si>
    <t>Reserves and Surplus</t>
  </si>
  <si>
    <t>Total Reserves and Surplus</t>
  </si>
  <si>
    <t>Employees Stock Options</t>
  </si>
  <si>
    <t>Total Shareholders Funds</t>
  </si>
  <si>
    <t>Equity Share Application Money</t>
  </si>
  <si>
    <t>NON-CURRENT LIABILITIES</t>
  </si>
  <si>
    <t>Other Long Term Liabilities</t>
  </si>
  <si>
    <t>Long Term Provisions</t>
  </si>
  <si>
    <t>Total Non-Current Liabilities</t>
  </si>
  <si>
    <t>CURRENT LIABILITIES</t>
  </si>
  <si>
    <t>Trade Payables</t>
  </si>
  <si>
    <t>Other Current Liabilities</t>
  </si>
  <si>
    <t>Short Term Provisions</t>
  </si>
  <si>
    <t>Total Current Liabilities</t>
  </si>
  <si>
    <t>Total Capital And Liabilities</t>
  </si>
  <si>
    <t>ASSETS</t>
  </si>
  <si>
    <t>NON-CURRENT ASSETS</t>
  </si>
  <si>
    <t>Tangible Assets</t>
  </si>
  <si>
    <t>Intangible Assets</t>
  </si>
  <si>
    <t>Capital Work-In-Progress</t>
  </si>
  <si>
    <t>Intangible Assets Under Development</t>
  </si>
  <si>
    <t>Fixed Assets</t>
  </si>
  <si>
    <t>Non-Current Investments</t>
  </si>
  <si>
    <t>Deferred Tax Assets [Net]</t>
  </si>
  <si>
    <t>Long Term Loans And Advances</t>
  </si>
  <si>
    <t>Other Non-Current Assets</t>
  </si>
  <si>
    <t>Total Non-Current Assets</t>
  </si>
  <si>
    <t>CURRENT ASSETS</t>
  </si>
  <si>
    <t>Current Investments</t>
  </si>
  <si>
    <t>Inventories</t>
  </si>
  <si>
    <t>Trade Receivables</t>
  </si>
  <si>
    <t>Cash And Cash Equivalents</t>
  </si>
  <si>
    <t>Short Term Loans And Advances</t>
  </si>
  <si>
    <t>Other Current Assets</t>
  </si>
  <si>
    <t>Total Current Assets</t>
  </si>
  <si>
    <t>Total Assets</t>
  </si>
  <si>
    <t>Standalone Profit &amp; Loss Account (₹ Cr.)</t>
  </si>
  <si>
    <t xml:space="preserve">Particulars </t>
  </si>
  <si>
    <t>INCOME</t>
  </si>
  <si>
    <t>Revenue From Operations [Gross]</t>
  </si>
  <si>
    <t>Revenue From Operations [Net]</t>
  </si>
  <si>
    <t>Total Operating Revenues</t>
  </si>
  <si>
    <t>Total Revenue</t>
  </si>
  <si>
    <t>EXPENSES</t>
  </si>
  <si>
    <t>Operating And Direct Expenses</t>
  </si>
  <si>
    <t>Employee Benefit Expenses</t>
  </si>
  <si>
    <t>Depreciation And Amortisation Expenses</t>
  </si>
  <si>
    <t>Profit/Loss Before Exceptional, ExtraOrdinary Items And Tax</t>
  </si>
  <si>
    <t>Profit/Loss Before Tax</t>
  </si>
  <si>
    <t>Tax Expenses- Continued Operations</t>
  </si>
  <si>
    <t>Current Tax</t>
  </si>
  <si>
    <t>Deferred Tax</t>
  </si>
  <si>
    <t>Total Tax Expenses</t>
  </si>
  <si>
    <t>Profit/Loss After Tax And Before ExtraOrdinary Items</t>
  </si>
  <si>
    <t>Profit/Loss From Continuing Operations</t>
  </si>
  <si>
    <t>Profit/Loss For The Period</t>
  </si>
  <si>
    <t>Other Additional Information</t>
  </si>
  <si>
    <t>EPS</t>
  </si>
  <si>
    <t>Basic EPS (₹)</t>
  </si>
  <si>
    <t>Diluted EPS (₹)</t>
  </si>
  <si>
    <t>Dividend and %</t>
  </si>
  <si>
    <t>Equity Share Dividend</t>
  </si>
  <si>
    <t>Equity Dividend Rate (%)</t>
  </si>
  <si>
    <t>Annual</t>
  </si>
  <si>
    <t>Sales</t>
  </si>
  <si>
    <t>Total Expenditure</t>
  </si>
  <si>
    <t>Interest</t>
  </si>
  <si>
    <t>Tax</t>
  </si>
  <si>
    <t>Net Profit</t>
  </si>
  <si>
    <t>Growth Rates</t>
  </si>
  <si>
    <t>3Y</t>
  </si>
  <si>
    <t>5Y</t>
  </si>
  <si>
    <t>10Y</t>
  </si>
  <si>
    <t>Revenues</t>
  </si>
  <si>
    <t>Operating Profit</t>
  </si>
  <si>
    <t>Solar Industries - Peer Comparison</t>
  </si>
  <si>
    <t>Company</t>
  </si>
  <si>
    <t>Business Overview</t>
  </si>
  <si>
    <t>Trend-Chart of 5Yr</t>
  </si>
  <si>
    <t>Solar Industries India Ltd</t>
  </si>
  <si>
    <t>Solar Industries India Ltd is one of India’s leading manufacturers of industrial explosives, initiating systems, and defence products. The company operates across mining, infrastructure, and defence sectors, with growing presence in ammunition, rockets, propellants, and aerospace systems globally.</t>
  </si>
  <si>
    <t>Premier Explosives Ltd</t>
  </si>
  <si>
    <t>Premier Explosives Ltd manufactures industrial explosives, detonators, propellants, pyrogen igniters, and defence-related products. The company primarily serves defence, space, mining, and infrastructure sectors in India.</t>
  </si>
  <si>
    <t>GOCL Corporation Ltd</t>
  </si>
  <si>
    <t>GOCL Corporation Ltd operates in explosives and energetics businesses catering to mining and infrastructure industries. The company also has significant real estate and property development exposure.</t>
  </si>
  <si>
    <t>Keltech Energies Ltd</t>
  </si>
  <si>
    <t>Keltech Energies Ltd manufactures industrial explosives, bulk emulsion explosives, mono methylamine products, and perlite products. The company mainly serves mining, infrastructure, and industrial sectors.</t>
  </si>
  <si>
    <t>Attribute</t>
  </si>
  <si>
    <t>Solar Industries</t>
  </si>
  <si>
    <t>Premier Explosives</t>
  </si>
  <si>
    <t>GOCL Corp.</t>
  </si>
  <si>
    <t>Keltech Energies</t>
  </si>
  <si>
    <t>Metric</t>
  </si>
  <si>
    <t>LTP (₹)</t>
  </si>
  <si>
    <t>Debtor Days (FY25)</t>
  </si>
  <si>
    <t>Sales (₹ Cr.)</t>
  </si>
  <si>
    <t>Inventory Days (FY25)</t>
  </si>
  <si>
    <t>Net Profit 12M (₹ Cr.)</t>
  </si>
  <si>
    <t>Days Payable (FY25)</t>
  </si>
  <si>
    <t>Debt (₹ Cr.)</t>
  </si>
  <si>
    <t>Cash Conversion Cycle (FY25)</t>
  </si>
  <si>
    <t>Cash (₹ Cr.)</t>
  </si>
  <si>
    <t>Working Capital Days (FY25)</t>
  </si>
  <si>
    <t>OPM %</t>
  </si>
  <si>
    <t>ROCE % (FY25)</t>
  </si>
  <si>
    <t>P/E Ratio</t>
  </si>
  <si>
    <t xml:space="preserve"> Premium Valuation</t>
  </si>
  <si>
    <t>ROCE %</t>
  </si>
  <si>
    <t>ROE %</t>
  </si>
  <si>
    <t>Strong</t>
  </si>
  <si>
    <t>EV/EBITDA</t>
  </si>
  <si>
    <t>Premium</t>
  </si>
  <si>
    <t>EPS (₹)</t>
  </si>
  <si>
    <t xml:space="preserve">     Recommendation - Solar Industries India Ltd: </t>
  </si>
  <si>
    <t>Financial Year</t>
  </si>
  <si>
    <t>Revenue (₹ Cr)</t>
  </si>
  <si>
    <t>PAT (₹ Cr)</t>
  </si>
  <si>
    <t>Revenue Change (%)</t>
  </si>
  <si>
    <t>PAT Change (%)</t>
  </si>
  <si>
    <t>BUY-Solar Industries India Ltd continues to strengthen its position as one of India’s leading defence and industrial explosives manufacturers, supported by strong execution, rising exports, and increasing participation in high-value defence projects. The company reported FY 2024-25 revenue of nearly ₹4,456 crore and net profit of around ₹803 crore, compared to ₹3,717 crore revenue and ₹596 crore profit in FY 2023-24, reflecting healthy growth in both operational performance and profitability. Its expanding defence order pipeline, improving margins, efficient working capital management, and strong return ratios indicate sustained business momentum.
The company’s long-term growth outlook remains favourable due to increasing government focus on indigenous defence manufacturing, ammunition production, and export opportunities. Solar Industries is steadily moving toward higher-margin defence products, which could further improve earnings visibility in coming years. Strong quarterly growth, healthy balance sheet strength, and consistent cash generation support investor confidence. However, elevated valuations after the recent stock rally and dependence on timely execution of defence contracts remain key monitorable risks.</t>
  </si>
  <si>
    <t>FY 2024-25</t>
  </si>
  <si>
    <t>FY 2023-24</t>
  </si>
  <si>
    <t>FY 2022-23</t>
  </si>
  <si>
    <t>FY 2021-22</t>
  </si>
  <si>
    <t>FY 2020-21</t>
  </si>
  <si>
    <t>Consolidated Profit &amp; Loss Account  (Rs. Cr.)</t>
  </si>
  <si>
    <t>Solar Industries India Limited</t>
  </si>
  <si>
    <t>YoY
Mar22</t>
  </si>
  <si>
    <t>YoY
Mar23</t>
  </si>
  <si>
    <t>YoY
Mar24</t>
  </si>
  <si>
    <t>YoY
Mar25</t>
  </si>
  <si>
    <t>Other Operating Revenues</t>
  </si>
  <si>
    <t>Cost Of Materials Consumed</t>
  </si>
  <si>
    <t>Purchase Of Stock-In Trade</t>
  </si>
  <si>
    <t>Changes In Inventories Of FG, WIP And Stock-In Trade</t>
  </si>
  <si>
    <t>PROFITABILITY</t>
  </si>
  <si>
    <t>Profit/Loss Before Exceptional Items And Tax</t>
  </si>
  <si>
    <t>TAX EXPENSES</t>
  </si>
  <si>
    <t>Tax For Earlier Years</t>
  </si>
  <si>
    <t>Minority Interest</t>
  </si>
  <si>
    <t>Share Of Profit/Loss Of Associates</t>
  </si>
  <si>
    <t>N/M</t>
  </si>
  <si>
    <t>Consolidated Profit/Loss After MI And Associates</t>
  </si>
  <si>
    <t>EARNINGS PER SHARE &amp; DIVIDEND</t>
  </si>
  <si>
    <t>Basic EPS (Rs.)</t>
  </si>
  <si>
    <t>Diluted EPS (Rs.)</t>
  </si>
  <si>
    <t>Equity Share Dividend (Rs. Cr.)</t>
  </si>
  <si>
    <t>No. of Equity Shares</t>
  </si>
  <si>
    <t>Dividend Per Share</t>
  </si>
  <si>
    <t>Consolidated Balance Sheet  (Rs. Cr.)</t>
  </si>
  <si>
    <t>Long Term Borrowings</t>
  </si>
  <si>
    <t>Deferred Tax Liabilities [Net]</t>
  </si>
  <si>
    <t>Short Term Borrowings</t>
  </si>
  <si>
    <t>CONTINGENT LIABILITIES &amp; COMMITMENTS</t>
  </si>
  <si>
    <t>Contingent Liabilities</t>
  </si>
  <si>
    <t>Consolidated Cash Flow Statement  (Rs. Cr.)</t>
  </si>
  <si>
    <t>A. CASH FLOW FROM OPERATING ACTIVITIES</t>
  </si>
  <si>
    <t>Net Profit Before Tax</t>
  </si>
  <si>
    <t>Interest Income</t>
  </si>
  <si>
    <t>Changes in Working Capital (Net)</t>
  </si>
  <si>
    <t>Tax Paid</t>
  </si>
  <si>
    <t>Net Cash From Operating Activities (A)</t>
  </si>
  <si>
    <t>B. CASH FLOW FROM INVESTING ACTIVITIES</t>
  </si>
  <si>
    <t>Purchase of Fixed Assets / CAPEX</t>
  </si>
  <si>
    <t>Proceeds from Sale of Assets</t>
  </si>
  <si>
    <t>Net Investments (Purchase/Sale)</t>
  </si>
  <si>
    <t>Interest / Dividend Received</t>
  </si>
  <si>
    <t>Other Investing Activities</t>
  </si>
  <si>
    <t>Net Cash From Investing Activities (B)</t>
  </si>
  <si>
    <t>C. CASH FLOW FROM FINANCING ACTIVITIES</t>
  </si>
  <si>
    <t>Proceeds from Borrowings</t>
  </si>
  <si>
    <t>Repayment of Borrowings</t>
  </si>
  <si>
    <t>Interest Paid</t>
  </si>
  <si>
    <t>Dividends Paid</t>
  </si>
  <si>
    <t>Net Cash From Financing Activities (C)</t>
  </si>
  <si>
    <t>Net Increase / (Decrease) in Cash &amp; Equivalents (A+B+C)</t>
  </si>
  <si>
    <t>Opening Cash &amp; Cash Equivalents</t>
  </si>
  <si>
    <t>Closing Cash &amp; Cash Equivalents</t>
  </si>
  <si>
    <t>Historical Financial Statement</t>
  </si>
  <si>
    <t>Income statement</t>
  </si>
  <si>
    <t>Sales Growth</t>
  </si>
  <si>
    <t>COGS</t>
  </si>
  <si>
    <t>COGS % Sales</t>
  </si>
  <si>
    <t xml:space="preserve">Gross Profit </t>
  </si>
  <si>
    <t>Gross Margins</t>
  </si>
  <si>
    <t>Selling &amp; General Expense</t>
  </si>
  <si>
    <t>S&amp;G Exp % Sales</t>
  </si>
  <si>
    <t>EBITDA Margins</t>
  </si>
  <si>
    <t xml:space="preserve">Depriciation </t>
  </si>
  <si>
    <t xml:space="preserve">Depriciation % of Sales </t>
  </si>
  <si>
    <t>EBIT Margin</t>
  </si>
  <si>
    <t xml:space="preserve">Interest % of Sales </t>
  </si>
  <si>
    <t xml:space="preserve">Earnings Before Tax </t>
  </si>
  <si>
    <t>EBT % Sales</t>
  </si>
  <si>
    <t xml:space="preserve">Effective Tax Rate </t>
  </si>
  <si>
    <t>Net Margins</t>
  </si>
  <si>
    <t xml:space="preserve">No. of Equity Shares </t>
  </si>
  <si>
    <t>Earings Per Share</t>
  </si>
  <si>
    <t>EPS Growth %</t>
  </si>
  <si>
    <t xml:space="preserve">Divident per Share </t>
  </si>
  <si>
    <t xml:space="preserve">Divident Payout Ratio </t>
  </si>
  <si>
    <t xml:space="preserve">Retained Earnings </t>
  </si>
  <si>
    <t>Balance statement</t>
  </si>
  <si>
    <t>Reserves</t>
  </si>
  <si>
    <t>Borrowings</t>
  </si>
  <si>
    <t>Other Liabilities</t>
  </si>
  <si>
    <t>Total Liabilities</t>
  </si>
  <si>
    <t>Fixed Assets Net Block</t>
  </si>
  <si>
    <t>Capital Work in Progress</t>
  </si>
  <si>
    <t>Investments</t>
  </si>
  <si>
    <t>Other Assets</t>
  </si>
  <si>
    <t>Total Non Current Assets</t>
  </si>
  <si>
    <t>Receivables</t>
  </si>
  <si>
    <t>Inventory</t>
  </si>
  <si>
    <t>Cash &amp; Bank</t>
  </si>
  <si>
    <t xml:space="preserve">Total Current Assets </t>
  </si>
  <si>
    <t xml:space="preserve">Total Assets </t>
  </si>
  <si>
    <t>Fixed Assets Scheduled</t>
  </si>
  <si>
    <t xml:space="preserve">Particular </t>
  </si>
  <si>
    <t xml:space="preserve">Beginning balance </t>
  </si>
  <si>
    <t xml:space="preserve">Add: Net Purchases </t>
  </si>
  <si>
    <t xml:space="preserve">Total Fixed Assets </t>
  </si>
  <si>
    <t xml:space="preserve">Less: Depreciation </t>
  </si>
  <si>
    <t xml:space="preserve">Closing Balance(Fixed Asests ) </t>
  </si>
  <si>
    <t xml:space="preserve">Net Capital expenditure </t>
  </si>
  <si>
    <t>Net Capex / Sales %</t>
  </si>
  <si>
    <t>Median Capex / Sales %</t>
  </si>
  <si>
    <t>Average  Capex / Sales %</t>
  </si>
  <si>
    <t>FCFF</t>
  </si>
  <si>
    <t>Less: Tax on EBIT</t>
  </si>
  <si>
    <t>EBIT*(1-tax)</t>
  </si>
  <si>
    <t>Less: Net capital expenditure</t>
  </si>
  <si>
    <t>Less: Change in WC</t>
  </si>
  <si>
    <t>Reinvestment</t>
  </si>
  <si>
    <t>Free Cah Flow to Firm (FCFF)</t>
  </si>
  <si>
    <t>Reinvestment Rate %</t>
  </si>
  <si>
    <t xml:space="preserve">Medium Reinvestment Rate </t>
  </si>
  <si>
    <t xml:space="preserve">Average Reinvestment Rate </t>
  </si>
  <si>
    <t>Change In Working Capital</t>
  </si>
  <si>
    <t xml:space="preserve">Inventory </t>
  </si>
  <si>
    <t xml:space="preserve">Trade Receivables </t>
  </si>
  <si>
    <t>Trade Payable</t>
  </si>
  <si>
    <t xml:space="preserve">Non Cash working Capital </t>
  </si>
  <si>
    <t xml:space="preserve">Change in Working Capital </t>
  </si>
  <si>
    <t xml:space="preserve">change in working Capital /percentage of sales </t>
  </si>
  <si>
    <t xml:space="preserve">Median Non Cash working Capital  /Sales percentage </t>
  </si>
  <si>
    <t xml:space="preserve">Average  Non Cash working Capital  /Sales percentage </t>
  </si>
  <si>
    <t>Total Market Return</t>
  </si>
  <si>
    <t>Year</t>
  </si>
  <si>
    <t>Market Return</t>
  </si>
  <si>
    <t xml:space="preserve">Average return </t>
  </si>
  <si>
    <t xml:space="preserve">Dividend yield </t>
  </si>
  <si>
    <t>Dividend Yield</t>
  </si>
  <si>
    <t>Total market return</t>
  </si>
  <si>
    <t>WACC Calculation</t>
  </si>
  <si>
    <t>Cost Of Capital</t>
  </si>
  <si>
    <t>As On Date:</t>
  </si>
  <si>
    <t>Cost of equity using CAPM:</t>
  </si>
  <si>
    <t>Risk-free rate</t>
  </si>
  <si>
    <t>India 10-Year Government Bond Yield</t>
  </si>
  <si>
    <t>India default spread</t>
  </si>
  <si>
    <t>Country Default Spreads and Risk Premiums</t>
  </si>
  <si>
    <t>Beta</t>
  </si>
  <si>
    <t>Equity risk premium</t>
  </si>
  <si>
    <t>Cost of equity</t>
  </si>
  <si>
    <t>Cost of debt:</t>
  </si>
  <si>
    <t>Pre-Tax Cost of Debt</t>
  </si>
  <si>
    <t>Finance Cost</t>
  </si>
  <si>
    <t>Total Debt</t>
  </si>
  <si>
    <t>Marginal tax rate %</t>
  </si>
  <si>
    <t>Post-Tax Cost of Debt</t>
  </si>
  <si>
    <t>WACC Calculation :</t>
  </si>
  <si>
    <t>Face Value</t>
  </si>
  <si>
    <t>Shares Outstanding</t>
  </si>
  <si>
    <t>Share Price (as on date)</t>
  </si>
  <si>
    <t>Market Value of Equity</t>
  </si>
  <si>
    <t>Capital Structure Weights</t>
  </si>
  <si>
    <t>Total Capital</t>
  </si>
  <si>
    <t>Weight of Debt (Wd)</t>
  </si>
  <si>
    <t>Weight of Equity (We)</t>
  </si>
  <si>
    <t>WACC</t>
  </si>
  <si>
    <t>Beta Calculation</t>
  </si>
  <si>
    <t>Date</t>
  </si>
  <si>
    <t>Nifty50_close</t>
  </si>
  <si>
    <t>Solarinds_close</t>
  </si>
  <si>
    <t>Return</t>
  </si>
  <si>
    <t>Close</t>
  </si>
  <si>
    <t>Nifty50</t>
  </si>
  <si>
    <t>Solarinds</t>
  </si>
  <si>
    <t>Beta 1</t>
  </si>
  <si>
    <t>&gt; The regression analysis shows a weak positive relationship between the stock and market returns. The R² value of 0.087 indicates that only 8.7% of stock movement is explained by market movement, while the majority of the movement is driven by company-specific factors.</t>
  </si>
  <si>
    <t xml:space="preserve"> </t>
  </si>
  <si>
    <t>Beta 2</t>
  </si>
  <si>
    <t>Beta 3</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</si>
  <si>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</si>
  <si>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</si>
  <si>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</si>
  <si>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</si>
  <si>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</si>
  <si>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</si>
  <si>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</si>
  <si>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</si>
  <si>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</si>
  <si>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</si>
  <si>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</si>
  <si>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</si>
  <si>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</si>
  <si>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</si>
  <si>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</si>
  <si>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</si>
  <si>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</si>
  <si>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</si>
  <si>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</si>
  <si>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</si>
  <si>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</si>
  <si>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</si>
  <si>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</si>
  <si>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</si>
  <si>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</si>
  <si>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Peer comparison</t>
  </si>
  <si>
    <t>S.No.</t>
  </si>
  <si>
    <t>Name</t>
  </si>
  <si>
    <t>CMP Rs.</t>
  </si>
  <si>
    <t>No. Eq. Shares Cr.</t>
  </si>
  <si>
    <t>Debt Rs.Cr.</t>
  </si>
  <si>
    <t>EV Rs.Cr.</t>
  </si>
  <si>
    <t>NP 12M Rs.Cr.</t>
  </si>
  <si>
    <t>EPS 12M Rs.</t>
  </si>
  <si>
    <t>Sales Rs.Cr.</t>
  </si>
  <si>
    <t>EBIDT Ann Rs.Cr.</t>
  </si>
  <si>
    <t>Cash Rs.Cr.</t>
  </si>
  <si>
    <t>Prem. Explosives</t>
  </si>
  <si>
    <t>GOCL Corpn.</t>
  </si>
  <si>
    <t>Beezaasan Exp.</t>
  </si>
  <si>
    <t>Relative Valuation</t>
  </si>
  <si>
    <t>Comparable Company Valuation</t>
  </si>
  <si>
    <t>Company Name</t>
  </si>
  <si>
    <t>Market Data</t>
  </si>
  <si>
    <t>Financials</t>
  </si>
  <si>
    <t>Valuation</t>
  </si>
  <si>
    <t>No. of shares</t>
  </si>
  <si>
    <t>Share Price</t>
  </si>
  <si>
    <t>Equity value</t>
  </si>
  <si>
    <t>Debt</t>
  </si>
  <si>
    <t>cash</t>
  </si>
  <si>
    <t>Enterprises value</t>
  </si>
  <si>
    <t>Revenue</t>
  </si>
  <si>
    <t>EV/Revenue</t>
  </si>
  <si>
    <t>M&amp;M Industry Comparable comps</t>
  </si>
  <si>
    <t>Average</t>
  </si>
  <si>
    <t xml:space="preserve">Overvalued </t>
  </si>
  <si>
    <t>Overvalued</t>
  </si>
  <si>
    <t>median</t>
  </si>
  <si>
    <t>Implied Enterprise Value</t>
  </si>
  <si>
    <t>Net Debt</t>
  </si>
  <si>
    <t>Max</t>
  </si>
  <si>
    <t>Implied Market Value</t>
  </si>
  <si>
    <t>75th Percentile</t>
  </si>
  <si>
    <t>Share Outstanding</t>
  </si>
  <si>
    <t>Implied Value per Share</t>
  </si>
  <si>
    <t>25th Percentile</t>
  </si>
  <si>
    <t>Min.</t>
  </si>
  <si>
    <t>LTIM</t>
  </si>
  <si>
    <t>Particulars (in RS Cr.)</t>
  </si>
  <si>
    <t>Revenue from operations</t>
  </si>
  <si>
    <t>Median of Revenue Growth</t>
  </si>
  <si>
    <t>Revenue growth in %</t>
  </si>
  <si>
    <t>Less: Material cost</t>
  </si>
  <si>
    <t>Less: Employee costs</t>
  </si>
  <si>
    <t>Less: Purchase Of Stock-In Trade</t>
  </si>
  <si>
    <t>Less: Other Expenses</t>
  </si>
  <si>
    <t>Less: Change in Inventories</t>
  </si>
  <si>
    <t>Less: Depreciation And Amortization</t>
  </si>
  <si>
    <t xml:space="preserve">EBIT </t>
  </si>
  <si>
    <t>ADD: Non operating  income/ Other Income</t>
  </si>
  <si>
    <t xml:space="preserve">Less: Interest Expenses </t>
  </si>
  <si>
    <t>PBT</t>
  </si>
  <si>
    <t>Less: TAX</t>
  </si>
  <si>
    <t>Tax Rate</t>
  </si>
  <si>
    <t>Less:Non Controlling Interest/Minority Interest</t>
  </si>
  <si>
    <t>Net Profit- Pat</t>
  </si>
  <si>
    <t>Historical Growth</t>
  </si>
  <si>
    <t>Average Growth</t>
  </si>
  <si>
    <t>CAGR</t>
  </si>
  <si>
    <t>RRI</t>
  </si>
  <si>
    <t>Margins</t>
  </si>
  <si>
    <t>EBT</t>
  </si>
  <si>
    <t>Net Proftt</t>
  </si>
  <si>
    <t>Effective tax rate</t>
  </si>
  <si>
    <t>Marginal Tax rate</t>
  </si>
  <si>
    <t>Return On Capital</t>
  </si>
  <si>
    <t>EBIT*(1-T)</t>
  </si>
  <si>
    <t>Book Equity</t>
  </si>
  <si>
    <t>Book Debt</t>
  </si>
  <si>
    <t>Cash and Cash equivalents</t>
  </si>
  <si>
    <t>Capital Employed</t>
  </si>
  <si>
    <t>Pre-Tax Return on capital</t>
  </si>
  <si>
    <t>Post Tax return On capital</t>
  </si>
  <si>
    <t>Growth In EBIT</t>
  </si>
  <si>
    <t>Forecasting</t>
  </si>
  <si>
    <t>Sales Forecasting</t>
  </si>
  <si>
    <t>EBITDA Forecasting</t>
  </si>
  <si>
    <t>EPS Forecasting</t>
  </si>
  <si>
    <t>Year Weight</t>
  </si>
  <si>
    <t>EBITDA Growth</t>
  </si>
  <si>
    <t>EPS Growth</t>
  </si>
  <si>
    <t>Growth Scenarios</t>
  </si>
  <si>
    <t>Scenario 1: High Growth</t>
  </si>
  <si>
    <t>INR Cr.</t>
  </si>
  <si>
    <t>LTM</t>
  </si>
  <si>
    <t>Y1E</t>
  </si>
  <si>
    <t>Y2E</t>
  </si>
  <si>
    <t>Y3E</t>
  </si>
  <si>
    <t>Y4W</t>
  </si>
  <si>
    <t>Y5E</t>
  </si>
  <si>
    <t>Y6E</t>
  </si>
  <si>
    <t>Y7E</t>
  </si>
  <si>
    <t>Y8E</t>
  </si>
  <si>
    <t>Y9E</t>
  </si>
  <si>
    <t>Y10E</t>
  </si>
  <si>
    <t>Average Revenue Growth</t>
  </si>
  <si>
    <t>Risk Free Rate</t>
  </si>
  <si>
    <t>Sales Growth %</t>
  </si>
  <si>
    <t>Growth Per Year</t>
  </si>
  <si>
    <t>Scenario 2: Average Growth</t>
  </si>
  <si>
    <t>Scenario 3: EBIT Growth</t>
  </si>
  <si>
    <t>Live Scenario</t>
  </si>
  <si>
    <t xml:space="preserve">&gt;Median of Revenue Growth </t>
  </si>
  <si>
    <t xml:space="preserve">Less : Risk Free Rate </t>
  </si>
  <si>
    <t xml:space="preserve">&gt;Risk/ Range of 9years </t>
  </si>
  <si>
    <t>: Per Year Risk</t>
  </si>
  <si>
    <t>INR Cr</t>
  </si>
  <si>
    <t>Terminal Year</t>
  </si>
  <si>
    <t>Terminal growth rate %</t>
  </si>
  <si>
    <t xml:space="preserve">Sales </t>
  </si>
  <si>
    <t>Terminal Year Revenue</t>
  </si>
  <si>
    <t>Cost of Capital %</t>
  </si>
  <si>
    <t>projected sales/revenue</t>
  </si>
  <si>
    <t>Terminal reinvestment rate %</t>
  </si>
  <si>
    <t>EBIT Margin %</t>
  </si>
  <si>
    <t>Enterprise value = Equity Value + Minority interest</t>
  </si>
  <si>
    <t>Tax on EBIT</t>
  </si>
  <si>
    <t>EBIT(1-T)</t>
  </si>
  <si>
    <t>Less: Net Capital Expenditure</t>
  </si>
  <si>
    <t>Non Cash Working Capital</t>
  </si>
  <si>
    <t>Less: Change in Working Capital</t>
  </si>
  <si>
    <t>Free Cash Flow To Firm (FCFF)</t>
  </si>
  <si>
    <t>Implied Reinvestment rate %</t>
  </si>
  <si>
    <t>Terminal Value</t>
  </si>
  <si>
    <t>Present Value Interest Factor(PVIF)</t>
  </si>
  <si>
    <t>Present value of FCFF</t>
  </si>
  <si>
    <t>Present value of Terminal value</t>
  </si>
  <si>
    <t>Sensitivity: Intrinsic Value per Share</t>
  </si>
  <si>
    <t>Value of operating assets</t>
  </si>
  <si>
    <t>Add: Cash</t>
  </si>
  <si>
    <t>Less: Debt</t>
  </si>
  <si>
    <t>Less: Minority Interest</t>
  </si>
  <si>
    <t>Equity Value</t>
  </si>
  <si>
    <t>No. of Shares outstanding (Cr)</t>
  </si>
  <si>
    <t xml:space="preserve">intrinsic value per share </t>
  </si>
  <si>
    <t>Current CMP - ₹17,314</t>
  </si>
  <si>
    <t>Note: Live Scenario changed to Scenario 2 (Avg Growth ~36.5% CAGR) - reflects Solar Industries' defence order book growth</t>
  </si>
  <si>
    <t xml:space="preserve">Weighted average cost of capital </t>
  </si>
  <si>
    <t>All Figures are in INR unless stated otherwise</t>
  </si>
  <si>
    <t>Peer Comp</t>
  </si>
  <si>
    <t>Mar Cap Rs.Cr.</t>
  </si>
  <si>
    <t>Debt / Eq</t>
  </si>
  <si>
    <t>Debt/</t>
  </si>
  <si>
    <t>Levered/</t>
  </si>
  <si>
    <t>Unlevered/</t>
  </si>
  <si>
    <t xml:space="preserve">Name of the company </t>
  </si>
  <si>
    <t xml:space="preserve">Country </t>
  </si>
  <si>
    <t>Total Equity</t>
  </si>
  <si>
    <t>Total Debt</t>
  </si>
  <si>
    <t>Tax Rate 1</t>
  </si>
  <si>
    <t>Equity</t>
  </si>
  <si>
    <t>Capital</t>
  </si>
  <si>
    <t>beta 2</t>
  </si>
  <si>
    <t>beta 3</t>
  </si>
  <si>
    <t>India</t>
  </si>
  <si>
    <t xml:space="preserve">Average </t>
  </si>
  <si>
    <t xml:space="preserve">Median </t>
  </si>
  <si>
    <t>Cost of Debt</t>
  </si>
  <si>
    <t>Cost of Equity</t>
  </si>
  <si>
    <t>Pre-tax Cost of Debt</t>
  </si>
  <si>
    <t>Equity Risk Premium</t>
  </si>
  <si>
    <t>After Tax Cost of Debt</t>
  </si>
  <si>
    <t>Levered Beta 4</t>
  </si>
  <si>
    <t xml:space="preserve">Capital Structure </t>
  </si>
  <si>
    <t xml:space="preserve">Levered Beta </t>
  </si>
  <si>
    <t>Current</t>
  </si>
  <si>
    <t>Target</t>
  </si>
  <si>
    <t>Comps Median Unlevered Beta</t>
  </si>
  <si>
    <t xml:space="preserve">Total Debt </t>
  </si>
  <si>
    <t xml:space="preserve">Target Debt/ Equity  </t>
  </si>
  <si>
    <t xml:space="preserve">Market Captailizatation </t>
  </si>
  <si>
    <t>Levered Beta</t>
  </si>
  <si>
    <t>Debt/equity</t>
  </si>
  <si>
    <t>Weighted Average Cost of Capital</t>
  </si>
  <si>
    <t>1. Tax Rate considered as Marginal Tax Rate for the country</t>
  </si>
  <si>
    <t>2. Levered Beta is based on 5 year monthly data</t>
  </si>
  <si>
    <t>Equity Weight</t>
  </si>
  <si>
    <t>3. Unlevered Beta = Levered Beta/(1+(1-Tax Rate) x Debt/Equity)</t>
  </si>
  <si>
    <t>4. Levered Beta = Unlevered Beta*(1+(1-Tax Rate) x Debt/Equity)</t>
  </si>
  <si>
    <t>Debt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</si>
</sst>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mmm\-yy"/>
    <numFmt numFmtId="165" formatCode="0.0%"/>
    <numFmt numFmtId="166" formatCode="&quot;Mar &quot;yy"/>
    <numFmt numFmtId="167" formatCode="&quot;₹ &quot;#,##0.00;&quot;(₹ &quot;#,##0.00\);\-"/>
    <numFmt numFmtId="168" formatCode="&quot;₹ &quot;#,##0.00"/>
    <numFmt numFmtId="169" formatCode="&quot;₹ &quot;#,##0.00;&quot;(₹ -&quot;#,##0.0\);\-"/>
    <numFmt numFmtId="170" formatCode="_ * #,##0.00_ ;_ * \-#,##0.00_ ;_ * \-??_ ;_ @_ "/>
    <numFmt numFmtId="171" formatCode="&quot;₹ &quot;#,##0.00;&quot;₹ -&quot;#,##0.00"/>
    <numFmt numFmtId="172" formatCode="m/d/yyyy"/>
    <numFmt numFmtId="173" formatCode="0.000%"/>
    <numFmt numFmtId="174" formatCode="yyyy\-mm\-dd"/>
    <numFmt numFmtId="175" formatCode="0.\X"/>
    <numFmt numFmtId="176" formatCode="0.0000"/>
    <numFmt numFmtId="177" formatCode="0\A"/>
    <numFmt numFmtId="178" formatCode="0\E"/>
    <numFmt numFmtId="179" formatCode="\ yyyy\E"/>
    <numFmt numFmtId="180" formatCode="_ * #,##0.0000_ ;_ * \-#,##0.0000_ ;_ * \-??_ ;_ @_ "/>
    <numFmt numFmtId="181" formatCode="0.000"/>
    <numFmt numFmtId="182" formatCode="#,##0.0"/>
  </numFmts>
  <fonts count="138" x14ac:knownFonts="1">
    <font>
      <sz val="11"/>
      <color theme="1"/>
      <name val="Calibri"/>
      <family val="2"/>
      <charset val="1"/>
    </font>
    <font>
      <sz val="11"/>
      <color theme="1"/>
      <name val="Arial"/>
      <family val="2"/>
      <charset val="1"/>
    </font>
    <font>
      <b/>
      <sz val="22"/>
      <color rgb="FFFF5050"/>
      <name val="Arial"/>
      <family val="2"/>
      <charset val="1"/>
    </font>
    <font>
      <b/>
      <sz val="10"/>
      <color theme="5"/>
      <name val="Arial"/>
      <family val="2"/>
      <charset val="1"/>
    </font>
    <font>
      <b/>
      <sz val="10"/>
      <color theme="0" tint="-4.9989318521683403E-2"/>
      <name val="Arial"/>
      <family val="2"/>
      <charset val="1"/>
    </font>
    <font>
      <u/>
      <sz val="11"/>
      <color theme="10"/>
      <name val="Arial"/>
      <family val="2"/>
      <charset val="1"/>
    </font>
    <font>
      <sz val="11"/>
      <color theme="0" tint="-4.9989318521683403E-2"/>
      <name val="Arial"/>
      <family val="2"/>
      <charset val="1"/>
    </font>
    <font>
      <sz val="10"/>
      <color theme="1"/>
      <name val="Arial"/>
      <family val="2"/>
      <charset val="1"/>
    </font>
    <font>
      <b/>
      <sz val="10"/>
      <color rgb="FFFFFFFF"/>
      <name val="Arial"/>
      <family val="2"/>
      <charset val="1"/>
    </font>
    <font>
      <b/>
      <sz val="10"/>
      <color rgb="FF000000"/>
      <name val="Arial"/>
      <family val="2"/>
      <charset val="1"/>
    </font>
    <font>
      <sz val="10"/>
      <color rgb="FF000000"/>
      <name val="Arial"/>
      <family val="2"/>
      <charset val="1"/>
    </font>
    <font>
      <i/>
      <sz val="10"/>
      <color rgb="FF8B0000"/>
      <name val="Arial"/>
      <family val="2"/>
      <charset val="1"/>
    </font>
    <font>
      <sz val="9"/>
      <color rgb="FF000000"/>
      <name val="Arial"/>
      <family val="2"/>
      <charset val="1"/>
    </font>
    <font>
      <sz val="9"/>
      <name val="Arial"/>
      <family val="2"/>
      <charset val="1"/>
    </font>
    <font>
      <sz val="10"/>
      <name val="Arial"/>
      <family val="2"/>
      <charset val="1"/>
    </font>
    <font>
      <i/>
      <sz val="10"/>
      <color rgb="FF1A3A8C"/>
      <name val="Arial"/>
      <family val="2"/>
      <charset val="1"/>
    </font>
    <font>
      <i/>
      <sz val="10"/>
      <color rgb="FF145A32"/>
      <name val="Arial"/>
      <family val="2"/>
      <charset val="1"/>
    </font>
    <font>
      <i/>
      <u/>
      <sz val="10"/>
      <color rgb="FF000000"/>
      <name val="Arial"/>
      <family val="2"/>
      <charset val="1"/>
    </font>
    <font>
      <b/>
      <sz val="9"/>
      <color rgb="FF8B0000"/>
      <name val="Arial"/>
      <family val="2"/>
      <charset val="1"/>
    </font>
    <font>
      <b/>
      <sz val="9"/>
      <color rgb="FF1A3A8C"/>
      <name val="Arial"/>
      <family val="2"/>
      <charset val="1"/>
    </font>
    <font>
      <b/>
      <sz val="9"/>
      <color rgb="FF145A32"/>
      <name val="Arial"/>
      <family val="2"/>
      <charset val="1"/>
    </font>
    <font>
      <sz val="20"/>
      <name val="Arial"/>
      <family val="2"/>
      <charset val="1"/>
    </font>
    <font>
      <b/>
      <sz val="9"/>
      <color rgb="FFFFFFFF"/>
      <name val="Arial"/>
      <family val="2"/>
      <charset val="1"/>
    </font>
    <font>
      <sz val="11"/>
      <color rgb="FF000000"/>
      <name val="Arial"/>
      <family val="2"/>
      <charset val="1"/>
    </font>
    <font>
      <u/>
      <sz val="11"/>
      <color rgb="FF000000"/>
      <name val="Arial"/>
      <family val="2"/>
      <charset val="1"/>
    </font>
    <font>
      <sz val="16"/>
      <name val="Arial"/>
      <family val="2"/>
      <charset val="1"/>
    </font>
    <font>
      <b/>
      <sz val="14"/>
      <color theme="0"/>
      <name val="Arial"/>
      <family val="2"/>
      <charset val="1"/>
    </font>
    <font>
      <b/>
      <sz val="11"/>
      <color theme="0"/>
      <name val="Arial"/>
      <family val="2"/>
      <charset val="1"/>
    </font>
    <font>
      <b/>
      <sz val="14"/>
      <color rgb="FFFF5050"/>
      <name val="Arial"/>
      <family val="2"/>
      <charset val="1"/>
    </font>
    <font>
      <sz val="14"/>
      <color theme="0"/>
      <name val="Arial"/>
      <family val="2"/>
      <charset val="1"/>
    </font>
    <font>
      <sz val="14"/>
      <color theme="1"/>
      <name val="Arial"/>
      <family val="2"/>
      <charset val="1"/>
    </font>
    <font>
      <i/>
      <sz val="12"/>
      <color rgb="FF595959"/>
      <name val="Arial"/>
      <family val="2"/>
      <charset val="1"/>
    </font>
    <font>
      <b/>
      <sz val="12"/>
      <color theme="0"/>
      <name val="Arial"/>
      <family val="2"/>
      <charset val="1"/>
    </font>
    <font>
      <sz val="12"/>
      <color rgb="FF595959"/>
      <name val="Arial"/>
      <family val="2"/>
      <charset val="1"/>
    </font>
    <font>
      <sz val="12"/>
      <color theme="1"/>
      <name val="Arial"/>
      <family val="2"/>
      <charset val="1"/>
    </font>
    <font>
      <b/>
      <sz val="11"/>
      <color theme="1"/>
      <name val="Arial"/>
      <family val="2"/>
      <charset val="1"/>
    </font>
    <font>
      <b/>
      <sz val="11"/>
      <color rgb="FF1F3864"/>
      <name val="Arial"/>
      <family val="2"/>
      <charset val="1"/>
    </font>
    <font>
      <b/>
      <sz val="10"/>
      <color rgb="FF1F3864"/>
      <name val="Arial"/>
      <family val="2"/>
      <charset val="1"/>
    </font>
    <font>
      <b/>
      <sz val="16"/>
      <color rgb="FFFFFFFF"/>
      <name val="Arial"/>
      <family val="2"/>
      <charset val="1"/>
    </font>
    <font>
      <sz val="14"/>
      <color rgb="FF595959"/>
      <name val="Arial"/>
      <family val="2"/>
      <charset val="1"/>
    </font>
    <font>
      <b/>
      <sz val="12"/>
      <color rgb="FFFFFFFF"/>
      <name val="Arial"/>
      <family val="2"/>
      <charset val="1"/>
    </font>
    <font>
      <b/>
      <sz val="12"/>
      <color theme="1"/>
      <name val="Arial"/>
      <family val="2"/>
      <charset val="1"/>
    </font>
    <font>
      <b/>
      <sz val="16"/>
      <color theme="1"/>
      <name val="Arial"/>
      <family val="2"/>
      <charset val="1"/>
    </font>
    <font>
      <b/>
      <sz val="11"/>
      <color rgb="FFFFFFFF"/>
      <name val="Arial"/>
      <family val="2"/>
      <charset val="1"/>
    </font>
    <font>
      <sz val="10"/>
      <color rgb="FFFFFFFF"/>
      <name val="Arial"/>
      <family val="2"/>
      <charset val="1"/>
    </font>
    <font>
      <b/>
      <sz val="10"/>
      <color theme="1"/>
      <name val="Arial"/>
      <family val="2"/>
      <charset val="1"/>
    </font>
    <font>
      <u/>
      <sz val="11"/>
      <color theme="1"/>
      <name val="Arial"/>
      <family val="2"/>
      <charset val="1"/>
    </font>
    <font>
      <b/>
      <sz val="10"/>
      <name val="Arial"/>
      <family val="2"/>
      <charset val="1"/>
    </font>
    <font>
      <sz val="12"/>
      <color rgb="FF000000"/>
      <name val="Arial"/>
      <family val="2"/>
      <charset val="1"/>
    </font>
    <font>
      <sz val="10"/>
      <color rgb="FF595959"/>
      <name val="Calibri"/>
      <family val="2"/>
      <charset val="1"/>
    </font>
    <font>
      <b/>
      <sz val="10"/>
      <color rgb="FF1F3864"/>
      <name val="Calibri"/>
      <family val="2"/>
      <charset val="1"/>
    </font>
    <font>
      <b/>
      <sz val="11"/>
      <color rgb="FFFFFFFF"/>
      <name val="Calibri"/>
      <family val="2"/>
      <charset val="1"/>
    </font>
    <font>
      <b/>
      <sz val="10"/>
      <color rgb="FF000000"/>
      <name val="Calibri"/>
      <family val="2"/>
      <charset val="1"/>
    </font>
    <font>
      <sz val="10"/>
      <color rgb="FF000000"/>
      <name val="Calibri"/>
      <family val="2"/>
      <charset val="1"/>
    </font>
    <font>
      <b/>
      <sz val="14"/>
      <color theme="0"/>
      <name val="Calibri"/>
      <family val="2"/>
      <charset val="1"/>
    </font>
    <font>
      <sz val="14"/>
      <color theme="0"/>
      <name val="Calibri"/>
      <family val="2"/>
      <charset val="1"/>
    </font>
    <font>
      <b/>
      <sz val="11"/>
      <color theme="0"/>
      <name val="Calibri"/>
      <family val="2"/>
      <charset val="1"/>
    </font>
    <font>
      <i/>
      <sz val="11"/>
      <color theme="1"/>
      <name val="Calibri"/>
      <family val="2"/>
      <charset val="1"/>
    </font>
    <font>
      <b/>
      <sz val="11"/>
      <color rgb="FF1F3864"/>
      <name val="Calibri"/>
      <family val="2"/>
      <charset val="1"/>
    </font>
    <font>
      <sz val="10"/>
      <color rgb="FFFFFFFF"/>
      <name val="Calibri"/>
      <family val="2"/>
      <charset val="1"/>
    </font>
    <font>
      <i/>
      <sz val="11"/>
      <color theme="1"/>
      <name val="Arial"/>
      <family val="2"/>
      <charset val="1"/>
    </font>
    <font>
      <b/>
      <sz val="11"/>
      <color rgb="FF333333"/>
      <name val="Arial"/>
      <family val="2"/>
      <charset val="1"/>
    </font>
    <font>
      <sz val="11"/>
      <color rgb="FF333333"/>
      <name val="Arial"/>
      <family val="2"/>
      <charset val="1"/>
    </font>
    <font>
      <i/>
      <sz val="8"/>
      <color rgb="FF666666"/>
      <name val="Arial"/>
      <family val="2"/>
      <charset val="1"/>
    </font>
    <font>
      <b/>
      <sz val="9"/>
      <color rgb="FF333333"/>
      <name val="Arial"/>
      <family val="2"/>
      <charset val="1"/>
    </font>
    <font>
      <sz val="9"/>
      <color rgb="FF333333"/>
      <name val="Arial"/>
      <family val="2"/>
      <charset val="1"/>
    </font>
    <font>
      <i/>
      <sz val="9"/>
      <color rgb="FF666666"/>
      <name val="Arial"/>
      <family val="2"/>
      <charset val="1"/>
    </font>
    <font>
      <sz val="12"/>
      <color theme="1"/>
      <name val="Calibri"/>
      <family val="2"/>
      <charset val="1"/>
    </font>
    <font>
      <b/>
      <sz val="12"/>
      <color theme="0"/>
      <name val="Calibri"/>
      <family val="2"/>
      <charset val="1"/>
    </font>
    <font>
      <b/>
      <sz val="11"/>
      <color theme="1"/>
      <name val="Calibri"/>
      <family val="2"/>
      <charset val="1"/>
    </font>
    <font>
      <b/>
      <i/>
      <sz val="11"/>
      <color theme="0" tint="-0.499984740745262"/>
      <name val="Calibri"/>
      <family val="2"/>
      <charset val="1"/>
    </font>
    <font>
      <sz val="11"/>
      <color rgb="FF22222F"/>
      <name val="Calibri"/>
      <family val="2"/>
      <charset val="1"/>
    </font>
    <font>
      <b/>
      <sz val="11"/>
      <color rgb="FF22222F"/>
      <name val="Calibri"/>
      <family val="2"/>
      <charset val="1"/>
    </font>
    <font>
      <sz val="11"/>
      <color theme="0"/>
      <name val="Calibri"/>
      <family val="2"/>
      <charset val="1"/>
    </font>
    <font>
      <sz val="11"/>
      <name val="Calibri"/>
      <family val="2"/>
      <charset val="1"/>
    </font>
    <font>
      <b/>
      <sz val="11"/>
      <name val="Calibri"/>
      <family val="2"/>
      <charset val="1"/>
    </font>
    <font>
      <sz val="12"/>
      <color theme="0"/>
      <name val="Arial"/>
      <family val="2"/>
      <charset val="1"/>
    </font>
    <font>
      <sz val="11"/>
      <color theme="0"/>
      <name val="Arial"/>
      <family val="2"/>
      <charset val="1"/>
    </font>
    <font>
      <sz val="11"/>
      <color rgb="FF181818"/>
      <name val="Arial"/>
      <family val="2"/>
      <charset val="1"/>
    </font>
    <font>
      <u/>
      <sz val="11"/>
      <color theme="10"/>
      <name val="Calibri"/>
      <family val="2"/>
      <charset val="1"/>
    </font>
    <font>
      <sz val="11"/>
      <color rgb="FFFFFFFF"/>
      <name val="Arial"/>
      <family val="2"/>
      <charset val="1"/>
    </font>
    <font>
      <sz val="11"/>
      <name val="Arial"/>
      <family val="2"/>
      <charset val="1"/>
    </font>
    <font>
      <sz val="11"/>
      <color rgb="FF22222F"/>
      <name val="Arial"/>
      <family val="2"/>
      <charset val="1"/>
    </font>
    <font>
      <sz val="18"/>
      <color theme="0"/>
      <name val="Arial"/>
      <family val="2"/>
      <charset val="1"/>
    </font>
    <font>
      <b/>
      <sz val="11"/>
      <color rgb="FF606F7B"/>
      <name val="Arial"/>
      <family val="2"/>
      <charset val="1"/>
    </font>
    <font>
      <sz val="11"/>
      <color rgb="FF0000FF"/>
      <name val="Arial"/>
      <family val="2"/>
      <charset val="1"/>
    </font>
    <font>
      <b/>
      <sz val="12"/>
      <color theme="1"/>
      <name val="Calibri"/>
      <family val="2"/>
      <charset val="1"/>
    </font>
    <font>
      <sz val="11"/>
      <color theme="10"/>
      <name val="Calibri"/>
      <family val="2"/>
      <charset val="1"/>
    </font>
    <font>
      <sz val="11"/>
      <color rgb="FF606F7B"/>
      <name val="Arial"/>
      <family val="2"/>
      <charset val="1"/>
    </font>
    <font>
      <sz val="20"/>
      <color theme="0"/>
      <name val="Arial"/>
      <family val="2"/>
      <charset val="1"/>
    </font>
    <font>
      <b/>
      <sz val="11"/>
      <name val="Arial"/>
      <family val="2"/>
      <charset val="1"/>
    </font>
    <font>
      <b/>
      <sz val="11"/>
      <color rgb="FF22222F"/>
      <name val="Arial"/>
      <family val="2"/>
      <charset val="1"/>
    </font>
    <font>
      <sz val="11"/>
      <color rgb="FF0070C0"/>
      <name val="Calibri"/>
      <family val="2"/>
      <charset val="1"/>
    </font>
    <font>
      <b/>
      <i/>
      <sz val="11"/>
      <color theme="1"/>
      <name val="Calibri"/>
      <family val="2"/>
      <charset val="1"/>
    </font>
    <font>
      <b/>
      <sz val="11"/>
      <color theme="1"/>
      <name val="Calibri"/>
      <family val="2"/>
    </font>
    <font>
      <sz val="11"/>
      <color rgb="FF000000"/>
      <name val="Cambria"/>
      <family val="1"/>
    </font>
    <font>
      <b/>
      <sz val="11"/>
      <name val="Cambria"/>
      <family val="1"/>
    </font>
    <font>
      <sz val="11"/>
      <color rgb="FF0000FF"/>
      <name val="Cambria"/>
      <family val="1"/>
    </font>
    <font>
      <b/>
      <sz val="11"/>
      <color rgb="FF000000"/>
      <name val="Cambria"/>
      <family val="1"/>
    </font>
    <font>
      <i/>
      <sz val="9"/>
      <color rgb="FFFF0000"/>
      <name val="Cambria"/>
      <family val="1"/>
    </font>
    <font>
      <sz val="11"/>
      <color theme="0"/>
      <name val="Calibri"/>
      <family val="2"/>
    </font>
    <font>
      <i/>
      <sz val="10"/>
      <color theme="1"/>
      <name val="Calibri"/>
      <family val="2"/>
      <charset val="1"/>
    </font>
    <font>
      <sz val="11"/>
      <color rgb="FF22222F"/>
      <name val="Arial"/>
      <family val="2"/>
    </font>
    <font>
      <sz val="11"/>
      <color rgb="FF645DF9"/>
      <name val="Arial"/>
      <family val="2"/>
    </font>
    <font>
      <sz val="11"/>
      <color rgb="FF0000FF"/>
      <name val="Calibri"/>
      <family val="2"/>
      <charset val="1"/>
    </font>
    <font>
      <sz val="11"/>
      <color theme="1" tint="4.9897762993255407E-2"/>
      <name val="Calibri"/>
      <family val="2"/>
      <charset val="1"/>
    </font>
    <font>
      <b/>
      <sz val="11"/>
      <color theme="0"/>
      <name val="Calibri"/>
      <family val="2"/>
    </font>
    <font>
      <sz val="11"/>
      <color theme="7"/>
      <name val="Calibri"/>
      <family val="2"/>
    </font>
    <font>
      <i/>
      <sz val="9"/>
      <color theme="1"/>
      <name val="Calibri"/>
      <family val="2"/>
      <charset val="1"/>
    </font>
    <font>
      <sz val="11"/>
      <color theme="1"/>
      <name val="Calibri"/>
      <family val="2"/>
      <charset val="1"/>
    </font>
    <font>
      <b/>
      <sz val="22"/>
      <color theme="0"/>
      <name val="Arial"/>
      <family val="2"/>
      <charset val="1"/>
    </font>
    <font>
      <b/>
      <sz val="10"/>
      <color theme="1"/>
      <name val="Arial"/>
      <family val="2"/>
    </font>
    <font>
      <b/>
      <sz val="22"/>
      <color theme="0"/>
      <name val="Arial"/>
      <family val="2"/>
    </font>
    <font>
      <i/>
      <sz val="9"/>
      <color theme="1"/>
      <name val="Arial"/>
      <family val="2"/>
      <charset val="1"/>
    </font>
    <font>
      <b/>
      <sz val="18"/>
      <color theme="0"/>
      <name val="Arial"/>
      <family val="2"/>
    </font>
    <font>
      <b/>
      <sz val="20"/>
      <color theme="0"/>
      <name val="Arial"/>
      <family val="2"/>
    </font>
    <font>
      <i/>
      <sz val="8"/>
      <name val="Arial"/>
      <family val="2"/>
      <charset val="1"/>
    </font>
    <font>
      <b/>
      <sz val="16"/>
      <color theme="0"/>
      <name val="Arial"/>
      <family val="2"/>
    </font>
    <font>
      <b/>
      <sz val="14"/>
      <color theme="0"/>
      <name val="Arial"/>
      <family val="2"/>
    </font>
    <font>
      <b/>
      <sz val="16"/>
      <color theme="0"/>
      <name val="Arial"/>
      <family val="2"/>
      <charset val="1"/>
    </font>
    <font>
      <b/>
      <sz val="12"/>
      <color rgb="FFFFFFFF"/>
      <name val="Arial"/>
      <family val="2"/>
    </font>
    <font>
      <b/>
      <sz val="12"/>
      <color theme="1"/>
      <name val="Arial"/>
      <family val="2"/>
    </font>
    <font>
      <b/>
      <sz val="13"/>
      <color theme="0"/>
      <name val="Arial"/>
      <family val="2"/>
      <charset val="1"/>
    </font>
    <font>
      <b/>
      <sz val="10"/>
      <color rgb="FFFFFFFF"/>
      <name val="Arial"/>
      <family val="2"/>
    </font>
    <font>
      <sz val="18"/>
      <color theme="0"/>
      <name val="Calibri"/>
      <family val="2"/>
      <charset val="1"/>
    </font>
    <font>
      <b/>
      <sz val="18"/>
      <color theme="0"/>
      <name val="Calibri"/>
      <family val="2"/>
    </font>
    <font>
      <b/>
      <sz val="14"/>
      <color theme="0"/>
      <name val="Calibri"/>
      <family val="2"/>
    </font>
    <font>
      <b/>
      <sz val="16"/>
      <color theme="0"/>
      <name val="Calibri"/>
      <family val="2"/>
    </font>
    <font>
      <b/>
      <sz val="12"/>
      <color theme="0"/>
      <name val="Arial"/>
      <family val="2"/>
    </font>
    <font>
      <b/>
      <sz val="22"/>
      <color theme="0"/>
      <name val="Calibri"/>
      <family val="2"/>
    </font>
    <font>
      <b/>
      <sz val="20"/>
      <color theme="0"/>
      <name val="Calibri"/>
      <family val="2"/>
    </font>
    <font>
      <b/>
      <sz val="12"/>
      <color theme="0"/>
      <name val="Calibri"/>
      <family val="2"/>
    </font>
    <font>
      <b/>
      <sz val="12"/>
      <name val="Arial"/>
      <family val="2"/>
      <charset val="1"/>
    </font>
    <font>
      <i/>
      <sz val="12"/>
      <name val="Arial"/>
      <family val="2"/>
      <charset val="1"/>
    </font>
    <font>
      <sz val="12"/>
      <name val="Arial"/>
      <family val="2"/>
      <charset val="1"/>
    </font>
    <font>
      <b/>
      <sz val="11"/>
      <color theme="0"/>
      <name val="Cambria"/>
      <family val="1"/>
    </font>
    <font>
      <sz val="16"/>
      <color theme="0"/>
      <name val="Calibri"/>
      <family val="2"/>
    </font>
    <font>
      <b/>
      <sz val="11"/>
      <color theme="0"/>
      <name val="Arial"/>
      <family val="2"/>
    </font>
  </fonts>
  <fills count="24">
    <fill>
      <patternFill patternType="none"/>
    </fill>
    <fill>
      <patternFill patternType="gray125"/>
    </fill>
    <fill>
      <patternFill patternType="solid">
        <fgColor theme="0"/>
        <bgColor rgb="FFF8F8FC"/>
      </patternFill>
    </fill>
    <fill>
      <patternFill patternType="solid">
        <fgColor rgb="FFF2F2F2"/>
        <bgColor rgb="FFF5F5F5"/>
      </patternFill>
    </fill>
    <fill>
      <patternFill patternType="solid">
        <fgColor rgb="FFFF5050"/>
        <bgColor rgb="FFC0504D"/>
      </patternFill>
    </fill>
    <fill>
      <patternFill patternType="solid">
        <fgColor rgb="FFED1F2C"/>
        <bgColor rgb="FFFF0000"/>
      </patternFill>
    </fill>
    <fill>
      <patternFill patternType="solid">
        <fgColor rgb="FFF0F4FF"/>
        <bgColor rgb="FFF5F5F5"/>
      </patternFill>
    </fill>
    <fill>
      <patternFill patternType="solid">
        <fgColor rgb="FFFCE8E9"/>
        <bgColor rgb="FFFFE8E8"/>
      </patternFill>
    </fill>
    <fill>
      <patternFill patternType="solid">
        <fgColor rgb="FFF0FFF4"/>
        <bgColor rgb="FFF8F8FC"/>
      </patternFill>
    </fill>
    <fill>
      <patternFill patternType="solid">
        <fgColor theme="5" tint="0.79979857783745845"/>
        <bgColor rgb="FFDDDDDD"/>
      </patternFill>
    </fill>
    <fill>
      <patternFill patternType="solid">
        <fgColor theme="4" tint="0.79979857783745845"/>
        <bgColor rgb="FFDDDDDD"/>
      </patternFill>
    </fill>
    <fill>
      <patternFill patternType="solid">
        <fgColor theme="0" tint="-0.14999847407452621"/>
        <bgColor rgb="FFD8D8D8"/>
      </patternFill>
    </fill>
    <fill>
      <patternFill patternType="solid">
        <fgColor rgb="FFF8F8FC"/>
        <bgColor rgb="FFF5F5F5"/>
      </patternFill>
    </fill>
    <fill>
      <patternFill patternType="solid">
        <fgColor rgb="FFFFFF00"/>
        <bgColor rgb="FF99CC00"/>
      </patternFill>
    </fill>
    <fill>
      <patternFill patternType="solid">
        <fgColor theme="0" tint="-0.249977111117893"/>
        <bgColor rgb="FFD0D0D0"/>
      </patternFill>
    </fill>
    <fill>
      <patternFill patternType="solid">
        <fgColor rgb="FFD8D8D8"/>
        <bgColor rgb="FFD9D9D9"/>
      </patternFill>
    </fill>
    <fill>
      <patternFill patternType="solid">
        <fgColor theme="4" tint="-0.249977111117893"/>
        <bgColor rgb="FFF8F8FC"/>
      </patternFill>
    </fill>
    <fill>
      <patternFill patternType="solid">
        <fgColor theme="4" tint="-0.249977111117893"/>
        <bgColor rgb="FFC0504D"/>
      </patternFill>
    </fill>
    <fill>
      <patternFill patternType="solid">
        <fgColor theme="4" tint="-0.249977111117893"/>
        <bgColor indexed="64"/>
      </patternFill>
    </fill>
    <fill>
      <patternFill patternType="solid">
        <fgColor theme="4" tint="0.79998168889431442"/>
        <bgColor rgb="FFDDDDDD"/>
      </patternFill>
    </fill>
    <fill>
      <patternFill patternType="solid">
        <fgColor theme="4" tint="-0.249977111117893"/>
        <bgColor rgb="FFF5F5F5"/>
      </patternFill>
    </fill>
    <fill>
      <patternFill patternType="solid">
        <fgColor theme="3" tint="0.79998168889431442"/>
        <bgColor rgb="FFC0504D"/>
      </patternFill>
    </fill>
    <fill>
      <patternFill patternType="solid">
        <fgColor theme="3" tint="0.79998168889431442"/>
        <bgColor rgb="FF1A3A8C"/>
      </patternFill>
    </fill>
    <fill>
      <patternFill patternType="solid">
        <fgColor theme="4" tint="-0.249977111117893"/>
        <bgColor rgb="FF22222F"/>
      </patternFill>
    </fill>
  </fills>
  <borders count="72">
    <border>
      <left/>
      <right/>
      <top/>
      <bottom/>
      <diagonal/>
    </border>
    <border>
      <left style="thin">
        <color auto="1"/>
      </left>
      <right style="thin">
        <color auto="1"/>
      </right>
      <top style="thin">
        <color auto="1"/>
      </top>
      <bottom style="thin">
        <color auto="1"/>
      </bottom>
      <diagonal/>
    </border>
    <border>
      <left style="thin">
        <color rgb="FFD0D0D0"/>
      </left>
      <right style="thin">
        <color rgb="FFD0D0D0"/>
      </right>
      <top/>
      <bottom/>
      <diagonal/>
    </border>
    <border>
      <left style="thin">
        <color auto="1"/>
      </left>
      <right style="thin">
        <color rgb="FFD0D0D0"/>
      </right>
      <top style="thin">
        <color auto="1"/>
      </top>
      <bottom style="thin">
        <color auto="1"/>
      </bottom>
      <diagonal/>
    </border>
    <border>
      <left style="thin">
        <color rgb="FFD0D0D0"/>
      </left>
      <right style="thin">
        <color auto="1"/>
      </right>
      <top style="thin">
        <color auto="1"/>
      </top>
      <bottom style="thin">
        <color auto="1"/>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style="medium">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thin">
        <color auto="1"/>
      </left>
      <right style="medium">
        <color auto="1"/>
      </right>
      <top/>
      <bottom/>
      <diagonal/>
    </border>
    <border>
      <left style="medium">
        <color auto="1"/>
      </left>
      <right style="medium">
        <color auto="1"/>
      </right>
      <top/>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medium">
        <color auto="1"/>
      </right>
      <top style="medium">
        <color auto="1"/>
      </top>
      <bottom style="double">
        <color auto="1"/>
      </bottom>
      <diagonal/>
    </border>
    <border>
      <left style="medium">
        <color auto="1"/>
      </left>
      <right style="medium">
        <color auto="1"/>
      </right>
      <top style="medium">
        <color auto="1"/>
      </top>
      <bottom style="double">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thin">
        <color auto="1"/>
      </right>
      <top style="dotted">
        <color auto="1"/>
      </top>
      <bottom style="dotted">
        <color auto="1"/>
      </bottom>
      <diagonal/>
    </border>
    <border>
      <left style="thin">
        <color auto="1"/>
      </left>
      <right/>
      <top style="dotted">
        <color rgb="FF002060"/>
      </top>
      <bottom style="dotted">
        <color rgb="FF002060"/>
      </bottom>
      <diagonal/>
    </border>
    <border>
      <left/>
      <right/>
      <top style="dotted">
        <color rgb="FF002060"/>
      </top>
      <bottom style="dotted">
        <color rgb="FF002060"/>
      </bottom>
      <diagonal/>
    </border>
    <border>
      <left/>
      <right style="thin">
        <color auto="1"/>
      </right>
      <top style="dotted">
        <color rgb="FF002060"/>
      </top>
      <bottom style="dotted">
        <color rgb="FF00206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double">
        <color auto="1"/>
      </bottom>
      <diagonal/>
    </border>
    <border>
      <left style="thin">
        <color rgb="FF0070C0"/>
      </left>
      <right style="thin">
        <color rgb="FF0070C0"/>
      </right>
      <top style="thin">
        <color rgb="FF0070C0"/>
      </top>
      <bottom/>
      <diagonal/>
    </border>
    <border>
      <left style="thin">
        <color theme="1"/>
      </left>
      <right/>
      <top style="thin">
        <color rgb="FF0070C0"/>
      </top>
      <bottom style="thin">
        <color rgb="FF0070C0"/>
      </bottom>
      <diagonal/>
    </border>
    <border>
      <left/>
      <right style="thin">
        <color theme="1"/>
      </right>
      <top style="thin">
        <color rgb="FF0070C0"/>
      </top>
      <bottom style="thin">
        <color rgb="FF0070C0"/>
      </bottom>
      <diagonal/>
    </border>
    <border>
      <left style="thin">
        <color theme="1"/>
      </left>
      <right/>
      <top style="thin">
        <color rgb="FF0070C0"/>
      </top>
      <bottom/>
      <diagonal/>
    </border>
    <border>
      <left/>
      <right style="thin">
        <color theme="1"/>
      </right>
      <top style="thin">
        <color rgb="FF0070C0"/>
      </top>
      <bottom/>
      <diagonal/>
    </border>
    <border>
      <left style="thin">
        <color theme="1"/>
      </left>
      <right/>
      <top/>
      <bottom style="thin">
        <color rgb="FF0070C0"/>
      </bottom>
      <diagonal/>
    </border>
    <border>
      <left/>
      <right style="thin">
        <color theme="1"/>
      </right>
      <top/>
      <bottom style="thin">
        <color rgb="FF0070C0"/>
      </bottom>
      <diagonal/>
    </border>
    <border>
      <left style="thin">
        <color theme="1"/>
      </left>
      <right/>
      <top style="thin">
        <color rgb="FF0070C0"/>
      </top>
      <bottom style="thin">
        <color theme="1"/>
      </bottom>
      <diagonal/>
    </border>
    <border>
      <left/>
      <right style="thin">
        <color theme="1"/>
      </right>
      <top style="thin">
        <color rgb="FF0070C0"/>
      </top>
      <bottom style="thin">
        <color theme="1"/>
      </bottom>
      <diagonal/>
    </border>
    <border>
      <left style="thin">
        <color rgb="FF0070C0"/>
      </left>
      <right/>
      <top/>
      <bottom/>
      <diagonal/>
    </border>
    <border>
      <left/>
      <right/>
      <top style="medium">
        <color auto="1"/>
      </top>
      <bottom style="thin">
        <color auto="1"/>
      </bottom>
      <diagonal/>
    </border>
    <border>
      <left/>
      <right/>
      <top/>
      <bottom style="medium">
        <color auto="1"/>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right/>
      <top style="hair">
        <color rgb="FF002060"/>
      </top>
      <bottom style="hair">
        <color rgb="FF002060"/>
      </bottom>
      <diagonal/>
    </border>
    <border>
      <left/>
      <right/>
      <top style="thin">
        <color auto="1"/>
      </top>
      <bottom style="thick">
        <color auto="1"/>
      </bottom>
      <diagonal/>
    </border>
    <border>
      <left/>
      <right/>
      <top style="hair">
        <color auto="1"/>
      </top>
      <bottom/>
      <diagonal/>
    </border>
    <border>
      <left/>
      <right/>
      <top/>
      <bottom style="hair">
        <color auto="1"/>
      </bottom>
      <diagonal/>
    </border>
    <border>
      <left/>
      <right/>
      <top style="hair">
        <color auto="1"/>
      </top>
      <bottom style="thick">
        <color auto="1"/>
      </bottom>
      <diagonal/>
    </border>
    <border>
      <left/>
      <right/>
      <top style="hair">
        <color auto="1"/>
      </top>
      <bottom style="hair">
        <color auto="1"/>
      </bottom>
      <diagonal/>
    </border>
    <border>
      <left style="thin">
        <color rgb="FFDDDDDD"/>
      </left>
      <right style="thin">
        <color rgb="FFDDDDDD"/>
      </right>
      <top style="thin">
        <color rgb="FFDDDDDD"/>
      </top>
      <bottom/>
      <diagonal/>
    </border>
    <border>
      <left style="thin">
        <color rgb="FFDDDDDD"/>
      </left>
      <right style="thin">
        <color rgb="FFDDDDDD"/>
      </right>
      <top/>
      <bottom style="thin">
        <color rgb="FFDDDDDD"/>
      </bottom>
      <diagonal/>
    </border>
  </borders>
  <cellStyleXfs count="2">
    <xf numFmtId="0" fontId="0" fillId="0" borderId="0"/>
    <xf numFmtId="0" fontId="109" fillId="0" borderId="0"/>
  </cellStyleXfs>
  <cellXfs count="737">
    <xf numFmtId="0" fontId="0" fillId="0" borderId="0" xfId="0"/>
    <xf numFmtId="0" fontId="1" fillId="0" borderId="0" xfId="0" applyFont="1"/>
    <xf numFmtId="0" fontId="1" fillId="2" borderId="0" xfId="0" applyFont="1" applyFill="1"/>
    <xf numFmtId="0" fontId="2" fillId="2" borderId="0" xfId="0" applyFont="1" applyFill="1" applyAlignment="1">
      <alignment vertical="center" wrapText="1"/>
    </xf>
    <xf numFmtId="0" fontId="3" fillId="2" borderId="0" xfId="0" applyFont="1" applyFill="1" applyAlignment="1">
      <alignment vertical="center" wrapText="1"/>
    </xf>
    <xf numFmtId="0" fontId="5" fillId="0" borderId="0" xfId="0" applyFont="1"/>
    <xf numFmtId="0" fontId="6" fillId="0" borderId="0" xfId="0" applyFont="1"/>
    <xf numFmtId="0" fontId="9" fillId="2" borderId="3" xfId="0" applyFont="1" applyFill="1" applyBorder="1" applyAlignment="1">
      <alignment horizontal="left" vertical="center" wrapText="1"/>
    </xf>
    <xf numFmtId="0" fontId="6" fillId="0" borderId="0" xfId="0" applyFont="1" applyAlignment="1">
      <alignment horizontal="left"/>
    </xf>
    <xf numFmtId="0" fontId="8" fillId="2" borderId="0" xfId="0" applyFont="1" applyFill="1" applyAlignment="1">
      <alignment horizontal="center" vertical="center" wrapText="1"/>
    </xf>
    <xf numFmtId="0" fontId="8" fillId="5" borderId="5" xfId="0" applyFont="1" applyFill="1" applyBorder="1" applyAlignment="1">
      <alignment horizontal="center" vertical="center" wrapText="1"/>
    </xf>
    <xf numFmtId="0" fontId="4" fillId="2" borderId="0" xfId="0" applyFont="1" applyFill="1" applyAlignment="1">
      <alignment horizontal="left" vertical="center" wrapText="1"/>
    </xf>
    <xf numFmtId="0" fontId="10" fillId="2" borderId="5" xfId="0"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2" borderId="6" xfId="0" applyFont="1" applyFill="1" applyBorder="1" applyAlignment="1">
      <alignment horizontal="center" vertical="center" wrapText="1"/>
    </xf>
    <xf numFmtId="0" fontId="10" fillId="2" borderId="0" xfId="0" applyFont="1" applyFill="1" applyAlignment="1">
      <alignment horizontal="center" vertical="center" wrapText="1"/>
    </xf>
    <xf numFmtId="0" fontId="12" fillId="2" borderId="5" xfId="0" applyFont="1" applyFill="1" applyBorder="1" applyAlignment="1">
      <alignment horizontal="left" vertical="center" wrapText="1"/>
    </xf>
    <xf numFmtId="0" fontId="13" fillId="2" borderId="5" xfId="0" applyFont="1" applyFill="1" applyBorder="1" applyAlignment="1">
      <alignment horizontal="left" vertical="center" wrapText="1"/>
    </xf>
    <xf numFmtId="0" fontId="14" fillId="2" borderId="0" xfId="0" applyFont="1" applyFill="1" applyAlignment="1">
      <alignment horizontal="left" vertical="center" wrapText="1"/>
    </xf>
    <xf numFmtId="0" fontId="10" fillId="6" borderId="5" xfId="0" applyFont="1" applyFill="1" applyBorder="1" applyAlignment="1">
      <alignment horizontal="center" vertical="center" wrapText="1"/>
    </xf>
    <xf numFmtId="0" fontId="10" fillId="6" borderId="5" xfId="0" applyFont="1" applyFill="1" applyBorder="1" applyAlignment="1">
      <alignment horizontal="left" vertical="center" wrapText="1"/>
    </xf>
    <xf numFmtId="0" fontId="15" fillId="6" borderId="6" xfId="0" applyFont="1" applyFill="1" applyBorder="1" applyAlignment="1">
      <alignment horizontal="center" vertical="center" wrapText="1"/>
    </xf>
    <xf numFmtId="0" fontId="8" fillId="2" borderId="0" xfId="0" applyFont="1" applyFill="1" applyAlignment="1">
      <alignment horizontal="left" vertical="center" wrapText="1"/>
    </xf>
    <xf numFmtId="0" fontId="10" fillId="7" borderId="5" xfId="0" applyFont="1" applyFill="1" applyBorder="1" applyAlignment="1">
      <alignment horizontal="center" vertical="center" wrapText="1"/>
    </xf>
    <xf numFmtId="0" fontId="10" fillId="8" borderId="5" xfId="0" applyFont="1" applyFill="1" applyBorder="1" applyAlignment="1">
      <alignment horizontal="center" vertical="center" wrapText="1"/>
    </xf>
    <xf numFmtId="0" fontId="10" fillId="8" borderId="5" xfId="0" applyFont="1" applyFill="1" applyBorder="1" applyAlignment="1">
      <alignment horizontal="left" vertical="center" wrapText="1"/>
    </xf>
    <xf numFmtId="0" fontId="16" fillId="8" borderId="6" xfId="0" applyFont="1" applyFill="1" applyBorder="1" applyAlignment="1">
      <alignment horizontal="center" vertical="center" wrapText="1"/>
    </xf>
    <xf numFmtId="0" fontId="17" fillId="2" borderId="0" xfId="0" applyFont="1" applyFill="1"/>
    <xf numFmtId="0" fontId="18" fillId="2" borderId="0" xfId="0" applyFont="1" applyFill="1"/>
    <xf numFmtId="0" fontId="19" fillId="2" borderId="0" xfId="0" applyFont="1" applyFill="1"/>
    <xf numFmtId="0" fontId="20" fillId="2" borderId="0" xfId="0" applyFont="1" applyFill="1"/>
    <xf numFmtId="0" fontId="23" fillId="2" borderId="11" xfId="0" applyFont="1" applyFill="1" applyBorder="1" applyAlignment="1">
      <alignment horizontal="left" vertical="center" wrapText="1"/>
    </xf>
    <xf numFmtId="0" fontId="23" fillId="2" borderId="12" xfId="0" applyFont="1" applyFill="1" applyBorder="1" applyAlignment="1">
      <alignment horizontal="right" vertical="center" wrapText="1"/>
    </xf>
    <xf numFmtId="0" fontId="23" fillId="2" borderId="13" xfId="0" applyFont="1" applyFill="1" applyBorder="1" applyAlignment="1">
      <alignment horizontal="left" vertical="center" wrapText="1"/>
    </xf>
    <xf numFmtId="0" fontId="23" fillId="2" borderId="10" xfId="0" applyFont="1" applyFill="1" applyBorder="1" applyAlignment="1">
      <alignment horizontal="right" vertical="center" wrapText="1"/>
    </xf>
    <xf numFmtId="0" fontId="23" fillId="2" borderId="14" xfId="0" applyFont="1" applyFill="1" applyBorder="1" applyAlignment="1">
      <alignment horizontal="left" vertical="center" wrapText="1"/>
    </xf>
    <xf numFmtId="0" fontId="23" fillId="2" borderId="15" xfId="0" applyFont="1" applyFill="1" applyBorder="1" applyAlignment="1">
      <alignment horizontal="right" vertical="center" wrapText="1"/>
    </xf>
    <xf numFmtId="3" fontId="23" fillId="2" borderId="15" xfId="0" applyNumberFormat="1" applyFont="1" applyFill="1" applyBorder="1" applyAlignment="1">
      <alignment horizontal="right" vertical="center" wrapText="1"/>
    </xf>
    <xf numFmtId="3" fontId="23" fillId="2" borderId="12" xfId="0" applyNumberFormat="1" applyFont="1" applyFill="1" applyBorder="1" applyAlignment="1">
      <alignment horizontal="right" vertical="center" wrapText="1"/>
    </xf>
    <xf numFmtId="0" fontId="23" fillId="2" borderId="1" xfId="0" applyFont="1" applyFill="1" applyBorder="1" applyAlignment="1">
      <alignment horizontal="left" vertical="center" wrapText="1"/>
    </xf>
    <xf numFmtId="0" fontId="23" fillId="2" borderId="1" xfId="0" applyFont="1" applyFill="1" applyBorder="1" applyAlignment="1">
      <alignment horizontal="right" vertical="center" wrapText="1"/>
    </xf>
    <xf numFmtId="3" fontId="23" fillId="2" borderId="1" xfId="0" applyNumberFormat="1" applyFont="1" applyFill="1" applyBorder="1" applyAlignment="1">
      <alignment horizontal="right" vertical="center" wrapText="1"/>
    </xf>
    <xf numFmtId="0" fontId="23" fillId="2" borderId="16" xfId="0" applyFont="1" applyFill="1" applyBorder="1" applyAlignment="1">
      <alignment horizontal="left" vertical="center" wrapText="1"/>
    </xf>
    <xf numFmtId="0" fontId="23" fillId="2" borderId="16" xfId="0" applyFont="1" applyFill="1" applyBorder="1" applyAlignment="1">
      <alignment horizontal="right" vertical="center" wrapText="1"/>
    </xf>
    <xf numFmtId="0" fontId="23" fillId="2" borderId="17" xfId="0" applyFont="1" applyFill="1" applyBorder="1" applyAlignment="1">
      <alignment horizontal="left" vertical="center" wrapText="1"/>
    </xf>
    <xf numFmtId="0" fontId="23" fillId="2" borderId="17" xfId="0" applyFont="1" applyFill="1" applyBorder="1" applyAlignment="1">
      <alignment horizontal="right" vertical="center" wrapText="1"/>
    </xf>
    <xf numFmtId="3" fontId="23" fillId="2" borderId="17" xfId="0" applyNumberFormat="1" applyFont="1" applyFill="1" applyBorder="1" applyAlignment="1">
      <alignment horizontal="right" vertical="center" wrapText="1"/>
    </xf>
    <xf numFmtId="0" fontId="23" fillId="2" borderId="13" xfId="0" applyFont="1" applyFill="1" applyBorder="1" applyAlignment="1">
      <alignment horizontal="right" vertical="center" wrapText="1"/>
    </xf>
    <xf numFmtId="0" fontId="23" fillId="2" borderId="18" xfId="0" applyFont="1" applyFill="1" applyBorder="1" applyAlignment="1">
      <alignment horizontal="left" vertical="center" wrapText="1"/>
    </xf>
    <xf numFmtId="0" fontId="23" fillId="2" borderId="18" xfId="0" applyFont="1" applyFill="1" applyBorder="1" applyAlignment="1">
      <alignment horizontal="right" vertical="center" wrapText="1"/>
    </xf>
    <xf numFmtId="0" fontId="23" fillId="2" borderId="19" xfId="0" applyFont="1" applyFill="1" applyBorder="1" applyAlignment="1">
      <alignment horizontal="left" vertical="center" wrapText="1"/>
    </xf>
    <xf numFmtId="3" fontId="23" fillId="2" borderId="20" xfId="0" applyNumberFormat="1" applyFont="1" applyFill="1" applyBorder="1" applyAlignment="1">
      <alignment horizontal="right" vertical="center" wrapText="1"/>
    </xf>
    <xf numFmtId="0" fontId="23" fillId="2" borderId="20" xfId="0" applyFont="1" applyFill="1" applyBorder="1" applyAlignment="1">
      <alignment horizontal="right" vertical="center" wrapText="1"/>
    </xf>
    <xf numFmtId="0" fontId="27" fillId="4" borderId="1" xfId="0" applyFont="1" applyFill="1" applyBorder="1" applyAlignment="1">
      <alignment horizontal="left" vertical="center" wrapText="1"/>
    </xf>
    <xf numFmtId="0" fontId="10" fillId="2" borderId="12" xfId="0" applyFont="1" applyFill="1" applyBorder="1" applyAlignment="1">
      <alignment horizontal="left" vertical="center" wrapText="1"/>
    </xf>
    <xf numFmtId="0" fontId="10" fillId="2" borderId="12" xfId="0" applyFont="1" applyFill="1" applyBorder="1" applyAlignment="1">
      <alignment horizontal="right" vertical="center" wrapText="1"/>
    </xf>
    <xf numFmtId="0" fontId="10" fillId="2" borderId="15" xfId="0" applyFont="1" applyFill="1" applyBorder="1" applyAlignment="1">
      <alignment horizontal="left" vertical="center" wrapText="1"/>
    </xf>
    <xf numFmtId="0" fontId="10" fillId="2" borderId="15" xfId="0" applyFont="1" applyFill="1" applyBorder="1" applyAlignment="1">
      <alignment horizontal="right" vertical="center" wrapText="1"/>
    </xf>
    <xf numFmtId="3" fontId="10" fillId="2" borderId="12" xfId="0" applyNumberFormat="1" applyFont="1" applyFill="1" applyBorder="1" applyAlignment="1">
      <alignment horizontal="right" vertical="center" wrapText="1"/>
    </xf>
    <xf numFmtId="0" fontId="10" fillId="2" borderId="10" xfId="0" applyFont="1" applyFill="1" applyBorder="1" applyAlignment="1">
      <alignment horizontal="left" vertical="center" wrapText="1"/>
    </xf>
    <xf numFmtId="0" fontId="10" fillId="2" borderId="10" xfId="0" applyFont="1" applyFill="1" applyBorder="1" applyAlignment="1">
      <alignment horizontal="right" vertical="center" wrapText="1"/>
    </xf>
    <xf numFmtId="3" fontId="10" fillId="2" borderId="10" xfId="0" applyNumberFormat="1" applyFont="1" applyFill="1" applyBorder="1" applyAlignment="1">
      <alignment horizontal="right" vertical="center" wrapText="1"/>
    </xf>
    <xf numFmtId="0" fontId="1" fillId="2" borderId="23" xfId="0" applyFont="1" applyFill="1" applyBorder="1"/>
    <xf numFmtId="0" fontId="28" fillId="2" borderId="0" xfId="0" applyFont="1" applyFill="1" applyAlignment="1">
      <alignment vertical="center" wrapText="1"/>
    </xf>
    <xf numFmtId="0" fontId="28" fillId="2" borderId="1" xfId="0" applyFont="1" applyFill="1" applyBorder="1" applyAlignment="1">
      <alignment vertical="center" wrapText="1"/>
    </xf>
    <xf numFmtId="0" fontId="30" fillId="0" borderId="0" xfId="0" applyFont="1"/>
    <xf numFmtId="0" fontId="31" fillId="2" borderId="0" xfId="0" applyFont="1" applyFill="1" applyAlignment="1">
      <alignment vertical="center" wrapText="1"/>
    </xf>
    <xf numFmtId="0" fontId="33" fillId="2" borderId="0" xfId="0" applyFont="1" applyFill="1" applyAlignment="1">
      <alignment vertical="center" wrapText="1"/>
    </xf>
    <xf numFmtId="0" fontId="34" fillId="0" borderId="0" xfId="0" applyFont="1"/>
    <xf numFmtId="0" fontId="27" fillId="2" borderId="0" xfId="0" applyFont="1" applyFill="1" applyAlignment="1">
      <alignment horizontal="center" vertical="center" wrapText="1"/>
    </xf>
    <xf numFmtId="0" fontId="35" fillId="0" borderId="21" xfId="0" applyFont="1" applyBorder="1" applyAlignment="1">
      <alignment vertical="center" wrapText="1"/>
    </xf>
    <xf numFmtId="0" fontId="1" fillId="0" borderId="26" xfId="0" applyFont="1" applyBorder="1" applyAlignment="1">
      <alignment horizontal="right" vertical="center" wrapText="1"/>
    </xf>
    <xf numFmtId="0" fontId="1" fillId="3" borderId="0" xfId="0" applyFont="1" applyFill="1" applyAlignment="1">
      <alignment horizontal="right" vertical="center" wrapText="1"/>
    </xf>
    <xf numFmtId="0" fontId="1" fillId="0" borderId="22" xfId="0" applyFont="1" applyBorder="1" applyAlignment="1">
      <alignment horizontal="right" vertical="center" wrapText="1"/>
    </xf>
    <xf numFmtId="0" fontId="36" fillId="2" borderId="0" xfId="0" applyFont="1" applyFill="1" applyAlignment="1">
      <alignment horizontal="center" vertical="center" wrapText="1"/>
    </xf>
    <xf numFmtId="0" fontId="1" fillId="0" borderId="27" xfId="0" applyFont="1" applyBorder="1" applyAlignment="1">
      <alignment vertical="center" wrapText="1"/>
    </xf>
    <xf numFmtId="3" fontId="1" fillId="0" borderId="0" xfId="0" applyNumberFormat="1" applyFont="1" applyAlignment="1">
      <alignment horizontal="right" vertical="center" wrapText="1"/>
    </xf>
    <xf numFmtId="3" fontId="1" fillId="3" borderId="0" xfId="0" applyNumberFormat="1" applyFont="1" applyFill="1" applyAlignment="1">
      <alignment horizontal="right" vertical="center" wrapText="1"/>
    </xf>
    <xf numFmtId="10" fontId="1" fillId="0" borderId="0" xfId="0" applyNumberFormat="1" applyFont="1" applyAlignment="1">
      <alignment horizontal="right" vertical="center" wrapText="1"/>
    </xf>
    <xf numFmtId="10" fontId="1" fillId="0" borderId="28" xfId="0" applyNumberFormat="1" applyFont="1" applyBorder="1" applyAlignment="1">
      <alignment horizontal="right" vertical="center" wrapText="1"/>
    </xf>
    <xf numFmtId="0" fontId="37" fillId="2" borderId="0" xfId="0" applyFont="1" applyFill="1" applyAlignment="1">
      <alignment horizontal="left" vertical="center" wrapText="1"/>
    </xf>
    <xf numFmtId="0" fontId="1" fillId="0" borderId="0" xfId="0" applyFont="1" applyAlignment="1">
      <alignment horizontal="right" vertical="center" wrapText="1"/>
    </xf>
    <xf numFmtId="0" fontId="10" fillId="2" borderId="0" xfId="0" applyFont="1" applyFill="1" applyAlignment="1">
      <alignment horizontal="left" vertical="center" wrapText="1"/>
    </xf>
    <xf numFmtId="0" fontId="35" fillId="0" borderId="27" xfId="0" applyFont="1" applyBorder="1" applyAlignment="1">
      <alignment vertical="center" wrapText="1"/>
    </xf>
    <xf numFmtId="3" fontId="35" fillId="0" borderId="0" xfId="0" applyNumberFormat="1" applyFont="1" applyAlignment="1">
      <alignment horizontal="right" vertical="center" wrapText="1"/>
    </xf>
    <xf numFmtId="3" fontId="35" fillId="3" borderId="0" xfId="0" applyNumberFormat="1" applyFont="1" applyFill="1" applyAlignment="1">
      <alignment horizontal="right" vertical="center" wrapText="1"/>
    </xf>
    <xf numFmtId="10" fontId="35" fillId="0" borderId="0" xfId="0" applyNumberFormat="1" applyFont="1" applyAlignment="1">
      <alignment horizontal="right" vertical="center" wrapText="1"/>
    </xf>
    <xf numFmtId="10" fontId="35" fillId="0" borderId="28" xfId="0" applyNumberFormat="1" applyFont="1" applyBorder="1" applyAlignment="1">
      <alignment horizontal="right" vertical="center" wrapText="1"/>
    </xf>
    <xf numFmtId="0" fontId="9" fillId="2" borderId="0" xfId="0" applyFont="1" applyFill="1" applyAlignment="1">
      <alignment horizontal="left" vertical="center" wrapText="1"/>
    </xf>
    <xf numFmtId="0" fontId="35" fillId="0" borderId="29" xfId="0" applyFont="1" applyBorder="1" applyAlignment="1">
      <alignment vertical="center" wrapText="1"/>
    </xf>
    <xf numFmtId="3" fontId="27" fillId="0" borderId="30" xfId="0" applyNumberFormat="1" applyFont="1" applyBorder="1" applyAlignment="1">
      <alignment horizontal="right" vertical="center" wrapText="1"/>
    </xf>
    <xf numFmtId="3" fontId="35" fillId="0" borderId="30" xfId="0" applyNumberFormat="1" applyFont="1" applyBorder="1" applyAlignment="1">
      <alignment horizontal="right" vertical="center" wrapText="1"/>
    </xf>
    <xf numFmtId="10" fontId="35" fillId="0" borderId="30" xfId="0" applyNumberFormat="1" applyFont="1" applyBorder="1" applyAlignment="1">
      <alignment horizontal="right" vertical="center" wrapText="1"/>
    </xf>
    <xf numFmtId="10" fontId="35" fillId="0" borderId="31" xfId="0" applyNumberFormat="1" applyFont="1" applyBorder="1" applyAlignment="1">
      <alignment horizontal="right" vertical="center" wrapText="1"/>
    </xf>
    <xf numFmtId="0" fontId="35" fillId="0" borderId="24" xfId="0" applyFont="1" applyBorder="1" applyAlignment="1">
      <alignment vertical="center" wrapText="1"/>
    </xf>
    <xf numFmtId="0" fontId="1" fillId="0" borderId="23" xfId="0" applyFont="1" applyBorder="1" applyAlignment="1">
      <alignment horizontal="right" vertical="center" wrapText="1"/>
    </xf>
    <xf numFmtId="0" fontId="1" fillId="0" borderId="25" xfId="0" applyFont="1" applyBorder="1" applyAlignment="1">
      <alignment horizontal="right" vertical="center" wrapText="1"/>
    </xf>
    <xf numFmtId="10" fontId="1" fillId="3" borderId="0" xfId="0" applyNumberFormat="1" applyFont="1" applyFill="1" applyAlignment="1">
      <alignment horizontal="right" vertical="center" wrapText="1"/>
    </xf>
    <xf numFmtId="0" fontId="35" fillId="0" borderId="32" xfId="0" applyFont="1" applyBorder="1" applyAlignment="1">
      <alignment vertical="center" wrapText="1"/>
    </xf>
    <xf numFmtId="0" fontId="35" fillId="0" borderId="33" xfId="0" applyFont="1" applyBorder="1" applyAlignment="1">
      <alignment horizontal="right" vertical="center" wrapText="1"/>
    </xf>
    <xf numFmtId="3" fontId="35" fillId="0" borderId="33" xfId="0" applyNumberFormat="1" applyFont="1" applyBorder="1" applyAlignment="1">
      <alignment horizontal="right" vertical="center" wrapText="1"/>
    </xf>
    <xf numFmtId="10" fontId="35" fillId="0" borderId="33" xfId="0" applyNumberFormat="1" applyFont="1" applyBorder="1" applyAlignment="1">
      <alignment horizontal="right" vertical="center" wrapText="1"/>
    </xf>
    <xf numFmtId="10" fontId="35" fillId="0" borderId="34" xfId="0" applyNumberFormat="1" applyFont="1" applyBorder="1" applyAlignment="1">
      <alignment horizontal="right" vertical="center" wrapText="1"/>
    </xf>
    <xf numFmtId="0" fontId="35" fillId="3" borderId="0" xfId="0" applyFont="1" applyFill="1" applyAlignment="1">
      <alignment horizontal="right" vertical="center" wrapText="1"/>
    </xf>
    <xf numFmtId="0" fontId="1" fillId="0" borderId="28" xfId="0" applyFont="1" applyBorder="1" applyAlignment="1">
      <alignment horizontal="right" vertical="center" wrapText="1"/>
    </xf>
    <xf numFmtId="0" fontId="1" fillId="0" borderId="24" xfId="0" applyFont="1" applyBorder="1" applyAlignment="1">
      <alignment vertical="center" wrapText="1"/>
    </xf>
    <xf numFmtId="3" fontId="1" fillId="0" borderId="23" xfId="0" applyNumberFormat="1" applyFont="1" applyBorder="1" applyAlignment="1">
      <alignment horizontal="right" vertical="center" wrapText="1"/>
    </xf>
    <xf numFmtId="10" fontId="1" fillId="0" borderId="23" xfId="0" applyNumberFormat="1" applyFont="1" applyBorder="1" applyAlignment="1">
      <alignment horizontal="right" vertical="center" wrapText="1"/>
    </xf>
    <xf numFmtId="10" fontId="1" fillId="0" borderId="25" xfId="0" applyNumberFormat="1" applyFont="1" applyBorder="1" applyAlignment="1">
      <alignment horizontal="right" vertical="center" wrapText="1"/>
    </xf>
    <xf numFmtId="165" fontId="10" fillId="2" borderId="0" xfId="0" applyNumberFormat="1" applyFont="1" applyFill="1" applyAlignment="1">
      <alignment horizontal="right" vertical="center"/>
    </xf>
    <xf numFmtId="0" fontId="10" fillId="2" borderId="0" xfId="0" applyFont="1" applyFill="1" applyAlignment="1">
      <alignment horizontal="right" vertical="center"/>
    </xf>
    <xf numFmtId="0" fontId="1" fillId="3" borderId="0" xfId="0" applyFont="1" applyFill="1"/>
    <xf numFmtId="0" fontId="38" fillId="2" borderId="0" xfId="0" applyFont="1" applyFill="1" applyAlignment="1">
      <alignment vertical="center" wrapText="1"/>
    </xf>
    <xf numFmtId="0" fontId="38" fillId="2" borderId="0" xfId="0" applyFont="1" applyFill="1" applyAlignment="1">
      <alignment horizontal="center" vertical="center" wrapText="1"/>
    </xf>
    <xf numFmtId="0" fontId="39" fillId="2" borderId="0" xfId="0" applyFont="1" applyFill="1" applyAlignment="1">
      <alignment vertical="center" wrapText="1"/>
    </xf>
    <xf numFmtId="0" fontId="40" fillId="2" borderId="0" xfId="0" applyFont="1" applyFill="1" applyAlignment="1">
      <alignment horizontal="center" vertical="center" wrapText="1"/>
    </xf>
    <xf numFmtId="0" fontId="41" fillId="9" borderId="21" xfId="0" applyFont="1" applyFill="1" applyBorder="1" applyAlignment="1">
      <alignment horizontal="left" vertical="center" wrapText="1"/>
    </xf>
    <xf numFmtId="164" fontId="41" fillId="9" borderId="26" xfId="0" applyNumberFormat="1" applyFont="1" applyFill="1" applyBorder="1" applyAlignment="1">
      <alignment horizontal="right" vertical="center" wrapText="1"/>
    </xf>
    <xf numFmtId="0" fontId="41" fillId="9" borderId="26" xfId="0" applyFont="1" applyFill="1" applyBorder="1" applyAlignment="1">
      <alignment horizontal="right" vertical="center" wrapText="1"/>
    </xf>
    <xf numFmtId="0" fontId="41" fillId="9" borderId="22" xfId="0" applyFont="1" applyFill="1" applyBorder="1" applyAlignment="1">
      <alignment horizontal="right" vertical="center" wrapText="1"/>
    </xf>
    <xf numFmtId="0" fontId="34" fillId="2" borderId="0" xfId="0" applyFont="1" applyFill="1"/>
    <xf numFmtId="0" fontId="35" fillId="0" borderId="35" xfId="0" applyFont="1" applyBorder="1" applyAlignment="1">
      <alignment horizontal="left" vertical="center" wrapText="1"/>
    </xf>
    <xf numFmtId="0" fontId="1" fillId="0" borderId="36" xfId="0" applyFont="1" applyBorder="1" applyAlignment="1">
      <alignment horizontal="right" vertical="center" wrapText="1"/>
    </xf>
    <xf numFmtId="0" fontId="1" fillId="3" borderId="36" xfId="0" applyFont="1" applyFill="1" applyBorder="1" applyAlignment="1">
      <alignment horizontal="right" vertical="center" wrapText="1"/>
    </xf>
    <xf numFmtId="0" fontId="1" fillId="0" borderId="37" xfId="0" applyFont="1" applyBorder="1" applyAlignment="1">
      <alignment horizontal="right" vertical="center" wrapText="1"/>
    </xf>
    <xf numFmtId="0" fontId="1" fillId="0" borderId="27" xfId="0" applyFont="1" applyBorder="1" applyAlignment="1">
      <alignment horizontal="left" vertical="center" wrapText="1"/>
    </xf>
    <xf numFmtId="0" fontId="35" fillId="0" borderId="38" xfId="0" applyFont="1" applyBorder="1" applyAlignment="1">
      <alignment horizontal="left" vertical="center" wrapText="1"/>
    </xf>
    <xf numFmtId="3" fontId="35" fillId="0" borderId="39" xfId="0" applyNumberFormat="1" applyFont="1" applyBorder="1" applyAlignment="1">
      <alignment horizontal="right" vertical="center" wrapText="1"/>
    </xf>
    <xf numFmtId="3" fontId="35" fillId="3" borderId="39" xfId="0" applyNumberFormat="1" applyFont="1" applyFill="1" applyBorder="1" applyAlignment="1">
      <alignment horizontal="right" vertical="center" wrapText="1"/>
    </xf>
    <xf numFmtId="10" fontId="35" fillId="0" borderId="39" xfId="0" applyNumberFormat="1" applyFont="1" applyBorder="1" applyAlignment="1">
      <alignment horizontal="right" vertical="center" wrapText="1"/>
    </xf>
    <xf numFmtId="10" fontId="35" fillId="0" borderId="40" xfId="0" applyNumberFormat="1" applyFont="1" applyBorder="1" applyAlignment="1">
      <alignment horizontal="right" vertical="center" wrapText="1"/>
    </xf>
    <xf numFmtId="0" fontId="35" fillId="0" borderId="41" xfId="0" applyFont="1" applyBorder="1" applyAlignment="1">
      <alignment horizontal="left" vertical="center" wrapText="1"/>
    </xf>
    <xf numFmtId="0" fontId="1" fillId="0" borderId="42" xfId="0" applyFont="1" applyBorder="1" applyAlignment="1">
      <alignment horizontal="right" vertical="center" wrapText="1"/>
    </xf>
    <xf numFmtId="0" fontId="1" fillId="3" borderId="42" xfId="0" applyFont="1" applyFill="1" applyBorder="1" applyAlignment="1">
      <alignment horizontal="right" vertical="center" wrapText="1"/>
    </xf>
    <xf numFmtId="0" fontId="1" fillId="0" borderId="43" xfId="0" applyFont="1" applyBorder="1" applyAlignment="1">
      <alignment horizontal="right" vertical="center" wrapText="1"/>
    </xf>
    <xf numFmtId="0" fontId="35" fillId="0" borderId="21" xfId="0" applyFont="1" applyBorder="1" applyAlignment="1">
      <alignment horizontal="left" vertical="center" wrapText="1"/>
    </xf>
    <xf numFmtId="0" fontId="35" fillId="0" borderId="26" xfId="0" applyFont="1" applyBorder="1" applyAlignment="1">
      <alignment horizontal="right" vertical="center" wrapText="1"/>
    </xf>
    <xf numFmtId="3" fontId="35" fillId="0" borderId="26" xfId="0" applyNumberFormat="1" applyFont="1" applyBorder="1" applyAlignment="1">
      <alignment horizontal="right" vertical="center" wrapText="1"/>
    </xf>
    <xf numFmtId="3" fontId="35" fillId="3" borderId="26" xfId="0" applyNumberFormat="1" applyFont="1" applyFill="1" applyBorder="1" applyAlignment="1">
      <alignment horizontal="right" vertical="center" wrapText="1"/>
    </xf>
    <xf numFmtId="10" fontId="35" fillId="0" borderId="26" xfId="0" applyNumberFormat="1" applyFont="1" applyBorder="1" applyAlignment="1">
      <alignment horizontal="right" vertical="center" wrapText="1"/>
    </xf>
    <xf numFmtId="10" fontId="35" fillId="0" borderId="22" xfId="0" applyNumberFormat="1" applyFont="1" applyBorder="1" applyAlignment="1">
      <alignment horizontal="right" vertical="center" wrapText="1"/>
    </xf>
    <xf numFmtId="0" fontId="35" fillId="3" borderId="26" xfId="0" applyFont="1" applyFill="1" applyBorder="1" applyAlignment="1">
      <alignment horizontal="right" vertical="center" wrapText="1"/>
    </xf>
    <xf numFmtId="0" fontId="35" fillId="0" borderId="24" xfId="0" applyFont="1" applyBorder="1" applyAlignment="1">
      <alignment horizontal="left" vertical="center" wrapText="1"/>
    </xf>
    <xf numFmtId="0" fontId="1" fillId="3" borderId="23" xfId="0" applyFont="1" applyFill="1" applyBorder="1" applyAlignment="1">
      <alignment horizontal="right" vertical="center" wrapText="1"/>
    </xf>
    <xf numFmtId="0" fontId="1" fillId="0" borderId="24" xfId="0" applyFont="1" applyBorder="1" applyAlignment="1">
      <alignment horizontal="left" vertical="center" wrapText="1"/>
    </xf>
    <xf numFmtId="3" fontId="1" fillId="3" borderId="23" xfId="0" applyNumberFormat="1" applyFont="1" applyFill="1" applyBorder="1" applyAlignment="1">
      <alignment horizontal="right" vertical="center" wrapText="1"/>
    </xf>
    <xf numFmtId="0" fontId="42" fillId="0" borderId="0" xfId="0" applyFont="1" applyAlignment="1">
      <alignment vertical="center"/>
    </xf>
    <xf numFmtId="0" fontId="1" fillId="0" borderId="0" xfId="0" applyFont="1" applyAlignment="1">
      <alignment vertical="center" wrapText="1"/>
    </xf>
    <xf numFmtId="0" fontId="1" fillId="0" borderId="26" xfId="0" applyFont="1" applyBorder="1" applyAlignment="1">
      <alignment vertical="center" wrapText="1"/>
    </xf>
    <xf numFmtId="0" fontId="1" fillId="3" borderId="26" xfId="0" applyFont="1" applyFill="1" applyBorder="1" applyAlignment="1">
      <alignment vertical="center" wrapText="1"/>
    </xf>
    <xf numFmtId="0" fontId="1" fillId="0" borderId="22" xfId="0" applyFont="1" applyBorder="1" applyAlignment="1">
      <alignment vertical="center" wrapText="1"/>
    </xf>
    <xf numFmtId="0" fontId="1" fillId="3" borderId="0" xfId="0" applyFont="1" applyFill="1" applyAlignment="1">
      <alignment vertical="center" wrapText="1"/>
    </xf>
    <xf numFmtId="10" fontId="1" fillId="0" borderId="28" xfId="0" applyNumberFormat="1" applyFont="1" applyBorder="1" applyAlignment="1">
      <alignment vertical="center" wrapText="1"/>
    </xf>
    <xf numFmtId="4" fontId="1" fillId="0" borderId="0" xfId="0" applyNumberFormat="1" applyFont="1" applyAlignment="1">
      <alignment vertical="center" wrapText="1"/>
    </xf>
    <xf numFmtId="4" fontId="1" fillId="3" borderId="0" xfId="0" applyNumberFormat="1" applyFont="1" applyFill="1" applyAlignment="1">
      <alignment vertical="center" wrapText="1"/>
    </xf>
    <xf numFmtId="0" fontId="1" fillId="0" borderId="23" xfId="0" applyFont="1" applyBorder="1" applyAlignment="1">
      <alignment vertical="center" wrapText="1"/>
    </xf>
    <xf numFmtId="0" fontId="1" fillId="3" borderId="23" xfId="0" applyFont="1" applyFill="1" applyBorder="1" applyAlignment="1">
      <alignment vertical="center" wrapText="1"/>
    </xf>
    <xf numFmtId="0" fontId="1" fillId="0" borderId="25" xfId="0" applyFont="1" applyBorder="1" applyAlignment="1">
      <alignment vertical="center" wrapText="1"/>
    </xf>
    <xf numFmtId="4" fontId="35" fillId="0" borderId="39" xfId="0" applyNumberFormat="1" applyFont="1" applyBorder="1" applyAlignment="1">
      <alignment vertical="center" wrapText="1"/>
    </xf>
    <xf numFmtId="4" fontId="35" fillId="3" borderId="39" xfId="0" applyNumberFormat="1" applyFont="1" applyFill="1" applyBorder="1" applyAlignment="1">
      <alignment vertical="center" wrapText="1"/>
    </xf>
    <xf numFmtId="10" fontId="35" fillId="0" borderId="40" xfId="0" applyNumberFormat="1" applyFont="1" applyBorder="1" applyAlignment="1">
      <alignment vertical="center" wrapText="1"/>
    </xf>
    <xf numFmtId="0" fontId="35" fillId="0" borderId="44" xfId="0" applyFont="1" applyBorder="1" applyAlignment="1">
      <alignment horizontal="left" vertical="center" wrapText="1"/>
    </xf>
    <xf numFmtId="4" fontId="35" fillId="0" borderId="45" xfId="0" applyNumberFormat="1" applyFont="1" applyBorder="1" applyAlignment="1">
      <alignment vertical="center" wrapText="1"/>
    </xf>
    <xf numFmtId="4" fontId="35" fillId="3" borderId="45" xfId="0" applyNumberFormat="1" applyFont="1" applyFill="1" applyBorder="1" applyAlignment="1">
      <alignment vertical="center" wrapText="1"/>
    </xf>
    <xf numFmtId="10" fontId="35" fillId="0" borderId="46" xfId="0" applyNumberFormat="1" applyFont="1" applyBorder="1" applyAlignment="1">
      <alignment vertical="center" wrapText="1"/>
    </xf>
    <xf numFmtId="0" fontId="42" fillId="2" borderId="0" xfId="0" applyFont="1" applyFill="1" applyAlignment="1">
      <alignment vertical="center"/>
    </xf>
    <xf numFmtId="0" fontId="35" fillId="2" borderId="0" xfId="0" applyFont="1" applyFill="1" applyAlignment="1">
      <alignment horizontal="left" vertical="center" wrapText="1"/>
    </xf>
    <xf numFmtId="164" fontId="35" fillId="2" borderId="0" xfId="0" applyNumberFormat="1" applyFont="1" applyFill="1" applyAlignment="1">
      <alignment horizontal="center" vertical="center" wrapText="1"/>
    </xf>
    <xf numFmtId="0" fontId="35" fillId="2" borderId="0" xfId="0" applyFont="1" applyFill="1" applyAlignment="1">
      <alignment horizontal="center" vertical="center" wrapText="1"/>
    </xf>
    <xf numFmtId="0" fontId="1" fillId="2" borderId="0" xfId="0" applyFont="1" applyFill="1" applyAlignment="1">
      <alignment vertical="center" wrapText="1"/>
    </xf>
    <xf numFmtId="0" fontId="1" fillId="2" borderId="0" xfId="0" applyFont="1" applyFill="1" applyAlignment="1">
      <alignment horizontal="left" vertical="center" wrapText="1"/>
    </xf>
    <xf numFmtId="10" fontId="1" fillId="2" borderId="0" xfId="0" applyNumberFormat="1" applyFont="1" applyFill="1" applyAlignment="1">
      <alignment vertical="center" wrapText="1"/>
    </xf>
    <xf numFmtId="4" fontId="1" fillId="2" borderId="0" xfId="0" applyNumberFormat="1" applyFont="1" applyFill="1" applyAlignment="1">
      <alignment vertical="center" wrapText="1"/>
    </xf>
    <xf numFmtId="0" fontId="43" fillId="2" borderId="0" xfId="0" applyFont="1" applyFill="1" applyAlignment="1">
      <alignment horizontal="center" vertical="center" wrapText="1"/>
    </xf>
    <xf numFmtId="0" fontId="43" fillId="2" borderId="0" xfId="0" applyFont="1" applyFill="1" applyAlignment="1">
      <alignment horizontal="right" vertical="center" wrapText="1"/>
    </xf>
    <xf numFmtId="0" fontId="1" fillId="2" borderId="0" xfId="0" applyFont="1" applyFill="1" applyAlignment="1">
      <alignment horizontal="right"/>
    </xf>
    <xf numFmtId="0" fontId="44" fillId="2" borderId="0" xfId="0" applyFont="1" applyFill="1" applyAlignment="1">
      <alignment horizontal="right" vertical="center"/>
    </xf>
    <xf numFmtId="3" fontId="35" fillId="0" borderId="45" xfId="0" applyNumberFormat="1" applyFont="1" applyBorder="1" applyAlignment="1">
      <alignment horizontal="right" vertical="center" wrapText="1"/>
    </xf>
    <xf numFmtId="3" fontId="35" fillId="3" borderId="45" xfId="0" applyNumberFormat="1" applyFont="1" applyFill="1" applyBorder="1" applyAlignment="1">
      <alignment horizontal="right" vertical="center" wrapText="1"/>
    </xf>
    <xf numFmtId="10" fontId="35" fillId="0" borderId="46" xfId="0" applyNumberFormat="1" applyFont="1" applyBorder="1" applyAlignment="1">
      <alignment horizontal="right" vertical="center" wrapText="1"/>
    </xf>
    <xf numFmtId="4" fontId="9" fillId="2" borderId="27" xfId="0" applyNumberFormat="1" applyFont="1" applyFill="1" applyBorder="1" applyAlignment="1">
      <alignment horizontal="left" vertical="center"/>
    </xf>
    <xf numFmtId="4" fontId="9" fillId="2" borderId="0" xfId="0" applyNumberFormat="1" applyFont="1" applyFill="1" applyAlignment="1">
      <alignment horizontal="right" vertical="center"/>
    </xf>
    <xf numFmtId="4" fontId="9" fillId="3" borderId="0" xfId="0" applyNumberFormat="1" applyFont="1" applyFill="1" applyAlignment="1">
      <alignment horizontal="right" vertical="center"/>
    </xf>
    <xf numFmtId="4" fontId="9" fillId="2" borderId="28" xfId="0" applyNumberFormat="1" applyFont="1" applyFill="1" applyBorder="1" applyAlignment="1">
      <alignment horizontal="right" vertical="center"/>
    </xf>
    <xf numFmtId="0" fontId="35" fillId="0" borderId="27" xfId="0" applyFont="1" applyBorder="1" applyAlignment="1">
      <alignment horizontal="left" vertical="center" wrapText="1"/>
    </xf>
    <xf numFmtId="164" fontId="35" fillId="0" borderId="1" xfId="0" applyNumberFormat="1" applyFont="1" applyBorder="1" applyAlignment="1">
      <alignment horizontal="right" vertical="center" wrapText="1"/>
    </xf>
    <xf numFmtId="164" fontId="35" fillId="0" borderId="21" xfId="0" applyNumberFormat="1" applyFont="1" applyBorder="1" applyAlignment="1">
      <alignment horizontal="right" vertical="center" wrapText="1"/>
    </xf>
    <xf numFmtId="164" fontId="35" fillId="3" borderId="47" xfId="0" applyNumberFormat="1" applyFont="1" applyFill="1" applyBorder="1" applyAlignment="1">
      <alignment horizontal="right" vertical="center" wrapText="1"/>
    </xf>
    <xf numFmtId="0" fontId="35" fillId="0" borderId="22" xfId="0" applyFont="1" applyBorder="1" applyAlignment="1">
      <alignment horizontal="right" vertical="center" wrapText="1"/>
    </xf>
    <xf numFmtId="0" fontId="1" fillId="3" borderId="26" xfId="0" applyFont="1" applyFill="1" applyBorder="1" applyAlignment="1">
      <alignment horizontal="right" vertical="center" wrapText="1"/>
    </xf>
    <xf numFmtId="0" fontId="35" fillId="0" borderId="39" xfId="0" applyFont="1" applyBorder="1" applyAlignment="1">
      <alignment horizontal="right" vertical="center" wrapText="1"/>
    </xf>
    <xf numFmtId="0" fontId="35" fillId="3" borderId="39" xfId="0" applyFont="1" applyFill="1" applyBorder="1" applyAlignment="1">
      <alignment horizontal="right" vertical="center" wrapText="1"/>
    </xf>
    <xf numFmtId="0" fontId="35" fillId="0" borderId="0" xfId="0" applyFont="1" applyAlignment="1">
      <alignment horizontal="left" vertical="center" wrapText="1"/>
    </xf>
    <xf numFmtId="0" fontId="35" fillId="0" borderId="0" xfId="0" applyFont="1" applyAlignment="1">
      <alignment horizontal="right" vertical="center" wrapText="1"/>
    </xf>
    <xf numFmtId="0" fontId="35" fillId="2" borderId="0" xfId="0" applyFont="1" applyFill="1" applyAlignment="1">
      <alignment horizontal="right" vertical="center" wrapText="1"/>
    </xf>
    <xf numFmtId="10" fontId="10" fillId="2" borderId="0" xfId="0" applyNumberFormat="1" applyFont="1" applyFill="1" applyAlignment="1">
      <alignment horizontal="left" vertical="center"/>
    </xf>
    <xf numFmtId="10" fontId="10" fillId="2" borderId="0" xfId="0" applyNumberFormat="1" applyFont="1" applyFill="1" applyAlignment="1">
      <alignment horizontal="right" vertical="center"/>
    </xf>
    <xf numFmtId="0" fontId="27" fillId="4" borderId="1" xfId="0" applyFont="1" applyFill="1" applyBorder="1"/>
    <xf numFmtId="164" fontId="27" fillId="4" borderId="1" xfId="0" applyNumberFormat="1" applyFont="1" applyFill="1" applyBorder="1" applyAlignment="1">
      <alignment horizontal="right" vertical="center" wrapText="1"/>
    </xf>
    <xf numFmtId="0" fontId="27" fillId="4" borderId="1" xfId="0" applyFont="1" applyFill="1" applyBorder="1" applyAlignment="1">
      <alignment horizontal="right" vertical="center" wrapText="1"/>
    </xf>
    <xf numFmtId="0" fontId="35" fillId="2" borderId="27" xfId="0" applyFont="1" applyFill="1" applyBorder="1" applyAlignment="1">
      <alignment wrapText="1"/>
    </xf>
    <xf numFmtId="0" fontId="35" fillId="2" borderId="27" xfId="0" applyFont="1" applyFill="1" applyBorder="1" applyAlignment="1">
      <alignmen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right" vertical="center" wrapText="1"/>
    </xf>
    <xf numFmtId="10" fontId="1" fillId="2" borderId="1" xfId="0" applyNumberFormat="1" applyFont="1" applyFill="1" applyBorder="1" applyAlignment="1">
      <alignment horizontal="right" vertical="center" wrapText="1"/>
    </xf>
    <xf numFmtId="0" fontId="35" fillId="2" borderId="0" xfId="0" applyFont="1" applyFill="1" applyAlignment="1">
      <alignment vertical="center" wrapText="1"/>
    </xf>
    <xf numFmtId="9" fontId="1" fillId="2" borderId="1" xfId="0" applyNumberFormat="1" applyFont="1" applyFill="1" applyBorder="1" applyAlignment="1">
      <alignment horizontal="right" vertical="center" wrapText="1"/>
    </xf>
    <xf numFmtId="0" fontId="1" fillId="2" borderId="0" xfId="0" applyFont="1" applyFill="1" applyAlignment="1">
      <alignment horizontal="left"/>
    </xf>
    <xf numFmtId="0" fontId="27" fillId="4" borderId="21" xfId="0" applyFont="1" applyFill="1" applyBorder="1" applyAlignment="1">
      <alignment horizontal="left" vertical="center" wrapText="1"/>
    </xf>
    <xf numFmtId="0" fontId="1" fillId="0" borderId="1" xfId="0" applyFont="1" applyBorder="1" applyAlignment="1">
      <alignment horizontal="left" vertical="center" wrapText="1"/>
    </xf>
    <xf numFmtId="3" fontId="1" fillId="0" borderId="1" xfId="0" applyNumberFormat="1" applyFont="1" applyBorder="1" applyAlignment="1">
      <alignment horizontal="right" vertical="center" wrapText="1"/>
    </xf>
    <xf numFmtId="0" fontId="1" fillId="0" borderId="1" xfId="0" applyFont="1" applyBorder="1" applyAlignment="1">
      <alignment horizontal="right" vertical="center" wrapText="1"/>
    </xf>
    <xf numFmtId="10" fontId="1" fillId="0" borderId="1" xfId="0" applyNumberFormat="1" applyFont="1" applyBorder="1" applyAlignment="1">
      <alignment horizontal="right" vertical="center" wrapText="1"/>
    </xf>
    <xf numFmtId="0" fontId="21" fillId="2" borderId="24" xfId="0" applyFont="1" applyFill="1" applyBorder="1" applyAlignment="1">
      <alignment wrapText="1"/>
    </xf>
    <xf numFmtId="0" fontId="43" fillId="2" borderId="27" xfId="0" applyFont="1" applyFill="1" applyBorder="1" applyAlignment="1">
      <alignment horizontal="center" vertical="center" wrapText="1"/>
    </xf>
    <xf numFmtId="0" fontId="46" fillId="2" borderId="0" xfId="0" applyFont="1" applyFill="1"/>
    <xf numFmtId="0" fontId="10" fillId="2" borderId="27" xfId="0" applyFont="1" applyFill="1" applyBorder="1" applyAlignment="1">
      <alignment horizontal="left" vertical="center" wrapText="1"/>
    </xf>
    <xf numFmtId="0" fontId="35" fillId="2" borderId="1" xfId="0" applyFont="1" applyFill="1" applyBorder="1" applyAlignment="1">
      <alignment horizontal="left" vertical="center" wrapText="1"/>
    </xf>
    <xf numFmtId="0" fontId="10" fillId="2" borderId="28" xfId="0" applyFont="1" applyFill="1" applyBorder="1" applyAlignment="1">
      <alignment horizontal="left" vertical="center" wrapText="1"/>
    </xf>
    <xf numFmtId="0" fontId="47" fillId="2" borderId="35" xfId="0" applyFont="1" applyFill="1" applyBorder="1" applyAlignment="1">
      <alignment horizontal="right" vertical="center"/>
    </xf>
    <xf numFmtId="0" fontId="10" fillId="2" borderId="36" xfId="0" applyFont="1" applyFill="1" applyBorder="1" applyAlignment="1">
      <alignment horizontal="right" vertical="center"/>
    </xf>
    <xf numFmtId="0" fontId="1" fillId="2" borderId="36" xfId="0" applyFont="1" applyFill="1" applyBorder="1"/>
    <xf numFmtId="0" fontId="1" fillId="2" borderId="37" xfId="0" applyFont="1" applyFill="1" applyBorder="1"/>
    <xf numFmtId="0" fontId="48" fillId="2" borderId="0" xfId="0" applyFont="1" applyFill="1" applyAlignment="1">
      <alignment horizontal="left" vertical="center" wrapText="1"/>
    </xf>
    <xf numFmtId="0" fontId="1" fillId="0" borderId="1" xfId="0" applyFont="1" applyBorder="1" applyAlignment="1">
      <alignment vertical="center" wrapText="1"/>
    </xf>
    <xf numFmtId="4" fontId="1" fillId="0" borderId="1" xfId="0" applyNumberFormat="1" applyFont="1" applyBorder="1" applyAlignment="1">
      <alignment horizontal="right" vertical="center" wrapText="1"/>
    </xf>
    <xf numFmtId="9" fontId="1" fillId="0" borderId="1" xfId="0" applyNumberFormat="1" applyFont="1" applyBorder="1" applyAlignment="1">
      <alignment vertical="center" wrapText="1"/>
    </xf>
    <xf numFmtId="9" fontId="1" fillId="0" borderId="1" xfId="0" applyNumberFormat="1" applyFont="1" applyBorder="1" applyAlignment="1">
      <alignment horizontal="right" vertical="center" wrapText="1"/>
    </xf>
    <xf numFmtId="0" fontId="0" fillId="2" borderId="0" xfId="0" applyFill="1"/>
    <xf numFmtId="0" fontId="50" fillId="2" borderId="0" xfId="0" applyFont="1" applyFill="1" applyAlignment="1">
      <alignment horizontal="left" vertical="center" wrapText="1"/>
    </xf>
    <xf numFmtId="0" fontId="51" fillId="2" borderId="0" xfId="0" applyFont="1" applyFill="1" applyAlignment="1">
      <alignment horizontal="center" vertical="center" wrapText="1"/>
    </xf>
    <xf numFmtId="0" fontId="52" fillId="2" borderId="0" xfId="0" applyFont="1" applyFill="1" applyAlignment="1">
      <alignment horizontal="left" vertical="center" wrapText="1"/>
    </xf>
    <xf numFmtId="0" fontId="53" fillId="2" borderId="0" xfId="0" applyFont="1" applyFill="1" applyAlignment="1">
      <alignment horizontal="right" vertical="center"/>
    </xf>
    <xf numFmtId="0" fontId="56" fillId="2" borderId="27" xfId="0" applyFont="1" applyFill="1" applyBorder="1" applyAlignment="1">
      <alignment horizontal="right" vertical="center" wrapText="1"/>
    </xf>
    <xf numFmtId="0" fontId="0" fillId="0" borderId="1" xfId="0" applyBorder="1" applyAlignment="1">
      <alignment vertical="center" wrapText="1"/>
    </xf>
    <xf numFmtId="3" fontId="0" fillId="0" borderId="1" xfId="0" applyNumberFormat="1" applyBorder="1" applyAlignment="1">
      <alignment horizontal="right" vertical="center" wrapText="1"/>
    </xf>
    <xf numFmtId="0" fontId="0" fillId="0" borderId="1" xfId="0" applyBorder="1" applyAlignment="1">
      <alignment horizontal="right" vertical="center" wrapText="1"/>
    </xf>
    <xf numFmtId="10" fontId="0" fillId="0" borderId="1" xfId="0" applyNumberFormat="1" applyBorder="1" applyAlignment="1">
      <alignment horizontal="right" vertical="center" wrapText="1"/>
    </xf>
    <xf numFmtId="10" fontId="0" fillId="0" borderId="21" xfId="0" applyNumberFormat="1" applyBorder="1" applyAlignment="1">
      <alignment horizontal="right" vertical="center" wrapText="1"/>
    </xf>
    <xf numFmtId="10" fontId="0" fillId="2" borderId="27" xfId="0" applyNumberFormat="1" applyFill="1" applyBorder="1" applyAlignment="1">
      <alignment horizontal="right" vertical="center" wrapText="1"/>
    </xf>
    <xf numFmtId="0" fontId="53" fillId="2" borderId="0" xfId="0" applyFont="1" applyFill="1" applyAlignment="1">
      <alignment horizontal="left" vertical="center" wrapText="1"/>
    </xf>
    <xf numFmtId="9" fontId="0" fillId="2" borderId="27" xfId="0" applyNumberFormat="1" applyFill="1" applyBorder="1" applyAlignment="1">
      <alignment horizontal="right" vertical="center" wrapText="1"/>
    </xf>
    <xf numFmtId="0" fontId="0" fillId="2" borderId="36" xfId="0" applyFill="1" applyBorder="1"/>
    <xf numFmtId="0" fontId="60" fillId="0" borderId="0" xfId="0" applyFont="1"/>
    <xf numFmtId="2" fontId="1" fillId="0" borderId="0" xfId="0" applyNumberFormat="1" applyFont="1"/>
    <xf numFmtId="0" fontId="63" fillId="0" borderId="0" xfId="0" applyFont="1"/>
    <xf numFmtId="0" fontId="1" fillId="0" borderId="1" xfId="0" applyFont="1" applyBorder="1"/>
    <xf numFmtId="0" fontId="66" fillId="0" borderId="0" xfId="0" applyFont="1"/>
    <xf numFmtId="0" fontId="67" fillId="0" borderId="0" xfId="0" applyFont="1" applyAlignment="1">
      <alignment vertical="center"/>
    </xf>
    <xf numFmtId="0" fontId="69" fillId="3" borderId="1" xfId="0" applyFont="1" applyFill="1" applyBorder="1"/>
    <xf numFmtId="0" fontId="0" fillId="3" borderId="1" xfId="0" applyFill="1" applyBorder="1"/>
    <xf numFmtId="0" fontId="0" fillId="0" borderId="1" xfId="0" applyBorder="1"/>
    <xf numFmtId="167" fontId="0" fillId="0" borderId="1" xfId="0" applyNumberFormat="1" applyBorder="1"/>
    <xf numFmtId="0" fontId="70" fillId="0" borderId="1" xfId="0" applyFont="1" applyBorder="1"/>
    <xf numFmtId="9" fontId="70" fillId="0" borderId="1" xfId="0" applyNumberFormat="1" applyFont="1" applyBorder="1"/>
    <xf numFmtId="0" fontId="69" fillId="0" borderId="1" xfId="0" applyFont="1" applyBorder="1"/>
    <xf numFmtId="168" fontId="69" fillId="0" borderId="1" xfId="0" applyNumberFormat="1" applyFont="1" applyBorder="1"/>
    <xf numFmtId="168" fontId="0" fillId="0" borderId="1" xfId="0" applyNumberFormat="1" applyBorder="1"/>
    <xf numFmtId="169" fontId="69" fillId="0" borderId="1" xfId="0" applyNumberFormat="1" applyFont="1" applyBorder="1"/>
    <xf numFmtId="169" fontId="0" fillId="0" borderId="1" xfId="0" applyNumberFormat="1" applyBorder="1"/>
    <xf numFmtId="0" fontId="69" fillId="10" borderId="1" xfId="0" applyFont="1" applyFill="1" applyBorder="1"/>
    <xf numFmtId="170" fontId="0" fillId="0" borderId="1" xfId="0" applyNumberFormat="1" applyBorder="1"/>
    <xf numFmtId="4" fontId="69" fillId="0" borderId="1" xfId="0" applyNumberFormat="1" applyFont="1" applyBorder="1"/>
    <xf numFmtId="170" fontId="69" fillId="0" borderId="1" xfId="0" applyNumberFormat="1" applyFont="1" applyBorder="1"/>
    <xf numFmtId="0" fontId="57" fillId="0" borderId="0" xfId="0" applyFont="1"/>
    <xf numFmtId="0" fontId="69" fillId="10" borderId="0" xfId="0" applyFont="1" applyFill="1"/>
    <xf numFmtId="164" fontId="69" fillId="10" borderId="0" xfId="0" applyNumberFormat="1" applyFont="1" applyFill="1"/>
    <xf numFmtId="0" fontId="69" fillId="0" borderId="0" xfId="0" applyFont="1"/>
    <xf numFmtId="0" fontId="71" fillId="2" borderId="0" xfId="0" applyFont="1" applyFill="1" applyAlignment="1">
      <alignment vertical="center"/>
    </xf>
    <xf numFmtId="169" fontId="0" fillId="0" borderId="0" xfId="0" applyNumberFormat="1"/>
    <xf numFmtId="169" fontId="69" fillId="0" borderId="0" xfId="0" applyNumberFormat="1" applyFont="1"/>
    <xf numFmtId="0" fontId="72" fillId="2" borderId="0" xfId="0" applyFont="1" applyFill="1" applyAlignment="1">
      <alignment vertical="center"/>
    </xf>
    <xf numFmtId="0" fontId="0" fillId="0" borderId="45" xfId="0" applyBorder="1"/>
    <xf numFmtId="169" fontId="0" fillId="0" borderId="45" xfId="0" applyNumberFormat="1" applyBorder="1"/>
    <xf numFmtId="0" fontId="74" fillId="0" borderId="1" xfId="0" applyFont="1" applyBorder="1"/>
    <xf numFmtId="4" fontId="74" fillId="0" borderId="1" xfId="0" applyNumberFormat="1" applyFont="1" applyBorder="1"/>
    <xf numFmtId="0" fontId="75" fillId="0" borderId="1" xfId="0" applyFont="1" applyBorder="1"/>
    <xf numFmtId="4" fontId="75" fillId="0" borderId="1" xfId="0" applyNumberFormat="1" applyFont="1" applyBorder="1"/>
    <xf numFmtId="0" fontId="74" fillId="0" borderId="0" xfId="0" applyFont="1"/>
    <xf numFmtId="10" fontId="74" fillId="0" borderId="1" xfId="0" applyNumberFormat="1" applyFont="1" applyBorder="1"/>
    <xf numFmtId="10" fontId="14" fillId="0" borderId="1" xfId="0" applyNumberFormat="1" applyFont="1" applyBorder="1"/>
    <xf numFmtId="171" fontId="0" fillId="0" borderId="1" xfId="0" applyNumberFormat="1" applyBorder="1"/>
    <xf numFmtId="0" fontId="69" fillId="0" borderId="49" xfId="0" applyFont="1" applyBorder="1"/>
    <xf numFmtId="169" fontId="69" fillId="0" borderId="49" xfId="0" applyNumberFormat="1" applyFont="1" applyBorder="1"/>
    <xf numFmtId="0" fontId="69" fillId="11" borderId="1" xfId="0" applyFont="1" applyFill="1" applyBorder="1"/>
    <xf numFmtId="9" fontId="0" fillId="11" borderId="1" xfId="0" applyNumberFormat="1" applyFill="1" applyBorder="1"/>
    <xf numFmtId="9" fontId="0" fillId="11" borderId="0" xfId="0" applyNumberFormat="1" applyFill="1"/>
    <xf numFmtId="9" fontId="0" fillId="0" borderId="1" xfId="0" applyNumberFormat="1" applyBorder="1"/>
    <xf numFmtId="9" fontId="0" fillId="0" borderId="0" xfId="0" applyNumberFormat="1"/>
    <xf numFmtId="0" fontId="78" fillId="0" borderId="1" xfId="0" applyFont="1" applyBorder="1" applyAlignment="1">
      <alignment horizontal="left" vertical="center" wrapText="1"/>
    </xf>
    <xf numFmtId="10" fontId="78" fillId="0" borderId="1" xfId="0" applyNumberFormat="1" applyFont="1" applyBorder="1" applyAlignment="1">
      <alignment horizontal="right" vertical="center" wrapText="1"/>
    </xf>
    <xf numFmtId="0" fontId="1" fillId="3" borderId="35" xfId="0" applyFont="1" applyFill="1" applyBorder="1"/>
    <xf numFmtId="10" fontId="1" fillId="3" borderId="37" xfId="0" applyNumberFormat="1" applyFont="1" applyFill="1" applyBorder="1" applyAlignment="1">
      <alignment horizontal="center"/>
    </xf>
    <xf numFmtId="0" fontId="79" fillId="0" borderId="0" xfId="0" applyFont="1"/>
    <xf numFmtId="0" fontId="1" fillId="3" borderId="27" xfId="0" applyFont="1" applyFill="1" applyBorder="1"/>
    <xf numFmtId="10" fontId="1" fillId="3" borderId="28" xfId="0" applyNumberFormat="1" applyFont="1" applyFill="1" applyBorder="1" applyAlignment="1">
      <alignment horizontal="center"/>
    </xf>
    <xf numFmtId="0" fontId="35" fillId="3" borderId="24" xfId="0" applyFont="1" applyFill="1" applyBorder="1"/>
    <xf numFmtId="10" fontId="35" fillId="3" borderId="25" xfId="0" applyNumberFormat="1" applyFont="1" applyFill="1" applyBorder="1" applyAlignment="1">
      <alignment horizontal="center"/>
    </xf>
    <xf numFmtId="0" fontId="1" fillId="0" borderId="0" xfId="0" applyFont="1" applyAlignment="1">
      <alignment vertical="center"/>
    </xf>
    <xf numFmtId="0" fontId="78" fillId="2" borderId="0" xfId="0" applyFont="1" applyFill="1" applyAlignment="1">
      <alignment horizontal="right" vertical="center" wrapText="1"/>
    </xf>
    <xf numFmtId="0" fontId="80" fillId="2" borderId="0" xfId="0" applyFont="1" applyFill="1" applyAlignment="1">
      <alignment horizontal="right" vertical="center" wrapText="1"/>
    </xf>
    <xf numFmtId="10" fontId="78" fillId="2" borderId="0" xfId="0" applyNumberFormat="1" applyFont="1" applyFill="1" applyAlignment="1">
      <alignment horizontal="right" vertical="center" wrapText="1"/>
    </xf>
    <xf numFmtId="0" fontId="60" fillId="0" borderId="35" xfId="0" applyFont="1" applyBorder="1"/>
    <xf numFmtId="172" fontId="60" fillId="0" borderId="37" xfId="0" applyNumberFormat="1" applyFont="1" applyBorder="1"/>
    <xf numFmtId="0" fontId="1" fillId="0" borderId="27" xfId="0" applyFont="1" applyBorder="1"/>
    <xf numFmtId="0" fontId="1" fillId="0" borderId="28" xfId="0" applyFont="1" applyBorder="1"/>
    <xf numFmtId="10" fontId="1" fillId="0" borderId="28" xfId="0" applyNumberFormat="1" applyFont="1" applyBorder="1"/>
    <xf numFmtId="0" fontId="5" fillId="0" borderId="0" xfId="0" applyFont="1" applyAlignment="1">
      <alignment vertical="center" wrapText="1"/>
    </xf>
    <xf numFmtId="10" fontId="1" fillId="0" borderId="0" xfId="0" applyNumberFormat="1" applyFont="1"/>
    <xf numFmtId="0" fontId="5" fillId="0" borderId="0" xfId="0" applyFont="1" applyAlignment="1">
      <alignment horizontal="left" vertical="center" wrapText="1"/>
    </xf>
    <xf numFmtId="2" fontId="1" fillId="0" borderId="28" xfId="0" applyNumberFormat="1" applyFont="1" applyBorder="1"/>
    <xf numFmtId="0" fontId="35" fillId="0" borderId="51" xfId="0" applyFont="1" applyBorder="1"/>
    <xf numFmtId="10" fontId="35" fillId="0" borderId="52" xfId="0" applyNumberFormat="1" applyFont="1" applyBorder="1"/>
    <xf numFmtId="173" fontId="1" fillId="0" borderId="0" xfId="0" applyNumberFormat="1" applyFont="1"/>
    <xf numFmtId="10" fontId="1" fillId="0" borderId="27" xfId="0" applyNumberFormat="1" applyFont="1" applyBorder="1"/>
    <xf numFmtId="10" fontId="81" fillId="0" borderId="28" xfId="0" applyNumberFormat="1" applyFont="1" applyBorder="1"/>
    <xf numFmtId="4" fontId="1" fillId="0" borderId="28" xfId="0" applyNumberFormat="1" applyFont="1" applyBorder="1"/>
    <xf numFmtId="0" fontId="1" fillId="0" borderId="51" xfId="0" applyFont="1" applyBorder="1"/>
    <xf numFmtId="4" fontId="1" fillId="0" borderId="52" xfId="0" applyNumberFormat="1" applyFont="1" applyBorder="1"/>
    <xf numFmtId="9" fontId="1" fillId="0" borderId="28" xfId="0" applyNumberFormat="1" applyFont="1" applyBorder="1"/>
    <xf numFmtId="0" fontId="1" fillId="0" borderId="0" xfId="0" applyFont="1" applyAlignment="1">
      <alignment horizontal="center" vertical="center" wrapText="1"/>
    </xf>
    <xf numFmtId="0" fontId="1" fillId="0" borderId="53" xfId="0" applyFont="1" applyBorder="1" applyAlignment="1">
      <alignment vertical="center" wrapText="1"/>
    </xf>
    <xf numFmtId="2" fontId="1" fillId="0" borderId="54" xfId="0" applyNumberFormat="1" applyFont="1" applyBorder="1" applyAlignment="1">
      <alignment vertical="center" wrapText="1"/>
    </xf>
    <xf numFmtId="0" fontId="82" fillId="0" borderId="0" xfId="0" applyFont="1"/>
    <xf numFmtId="2" fontId="1" fillId="0" borderId="28" xfId="0" applyNumberFormat="1" applyFont="1" applyBorder="1" applyAlignment="1">
      <alignment vertical="center" wrapText="1"/>
    </xf>
    <xf numFmtId="3" fontId="82" fillId="0" borderId="28" xfId="0" applyNumberFormat="1" applyFont="1" applyBorder="1"/>
    <xf numFmtId="0" fontId="1" fillId="0" borderId="55" xfId="0" applyFont="1" applyBorder="1"/>
    <xf numFmtId="2" fontId="1" fillId="0" borderId="56" xfId="0" applyNumberFormat="1" applyFont="1" applyBorder="1"/>
    <xf numFmtId="0" fontId="35" fillId="0" borderId="53" xfId="0" applyFont="1" applyBorder="1"/>
    <xf numFmtId="0" fontId="35" fillId="0" borderId="54" xfId="0" applyFont="1" applyBorder="1"/>
    <xf numFmtId="3" fontId="1" fillId="0" borderId="56" xfId="0" applyNumberFormat="1" applyFont="1" applyBorder="1"/>
    <xf numFmtId="0" fontId="35" fillId="0" borderId="57" xfId="0" applyFont="1" applyBorder="1"/>
    <xf numFmtId="10" fontId="35" fillId="0" borderId="58" xfId="0" applyNumberFormat="1" applyFont="1" applyBorder="1"/>
    <xf numFmtId="0" fontId="0" fillId="0" borderId="0" xfId="0" applyAlignment="1">
      <alignment horizontal="left"/>
    </xf>
    <xf numFmtId="0" fontId="67" fillId="0" borderId="0" xfId="0" applyFont="1"/>
    <xf numFmtId="0" fontId="67" fillId="0" borderId="0" xfId="0" applyFont="1" applyAlignment="1">
      <alignment horizontal="left"/>
    </xf>
    <xf numFmtId="0" fontId="74" fillId="0" borderId="0" xfId="0" applyFont="1" applyAlignment="1">
      <alignment horizontal="left" vertical="top"/>
    </xf>
    <xf numFmtId="174" fontId="0" fillId="0" borderId="0" xfId="0" applyNumberFormat="1" applyAlignment="1">
      <alignment horizontal="left"/>
    </xf>
    <xf numFmtId="0" fontId="0" fillId="3" borderId="0" xfId="0" applyFill="1"/>
    <xf numFmtId="2" fontId="0" fillId="3" borderId="0" xfId="0" applyNumberFormat="1" applyFill="1"/>
    <xf numFmtId="0" fontId="0" fillId="2" borderId="0" xfId="0" applyFill="1" applyAlignment="1">
      <alignment wrapText="1"/>
    </xf>
    <xf numFmtId="0" fontId="57" fillId="0" borderId="60" xfId="0" applyFont="1" applyBorder="1" applyAlignment="1">
      <alignment horizontal="center"/>
    </xf>
    <xf numFmtId="0" fontId="0" fillId="0" borderId="0" xfId="0" applyAlignment="1">
      <alignment wrapText="1"/>
    </xf>
    <xf numFmtId="0" fontId="0" fillId="0" borderId="61" xfId="0" applyBorder="1"/>
    <xf numFmtId="0" fontId="84" fillId="2" borderId="1" xfId="0" applyFont="1" applyFill="1" applyBorder="1" applyAlignment="1">
      <alignment horizontal="left" vertical="center"/>
    </xf>
    <xf numFmtId="0" fontId="84" fillId="2" borderId="1" xfId="0" applyFont="1" applyFill="1" applyBorder="1" applyAlignment="1">
      <alignment horizontal="right" vertical="center"/>
    </xf>
    <xf numFmtId="0" fontId="84" fillId="2" borderId="1" xfId="0" applyFont="1" applyFill="1" applyBorder="1" applyAlignment="1">
      <alignment horizontal="right" vertical="center" wrapText="1"/>
    </xf>
    <xf numFmtId="0" fontId="1" fillId="12" borderId="1" xfId="0" applyFont="1" applyFill="1" applyBorder="1" applyAlignment="1">
      <alignment horizontal="left" vertical="center"/>
    </xf>
    <xf numFmtId="0" fontId="85" fillId="12" borderId="1" xfId="0" applyFont="1" applyFill="1" applyBorder="1" applyAlignment="1">
      <alignment horizontal="right" vertical="center"/>
    </xf>
    <xf numFmtId="0" fontId="81" fillId="12" borderId="1" xfId="0" applyFont="1" applyFill="1" applyBorder="1" applyAlignment="1">
      <alignment horizontal="right" vertical="center" wrapText="1"/>
    </xf>
    <xf numFmtId="0" fontId="1" fillId="12" borderId="1" xfId="0" applyFont="1" applyFill="1" applyBorder="1" applyAlignment="1">
      <alignment horizontal="right" vertical="center" wrapText="1"/>
    </xf>
    <xf numFmtId="4" fontId="82" fillId="12" borderId="1" xfId="0" applyNumberFormat="1" applyFont="1" applyFill="1" applyBorder="1" applyAlignment="1">
      <alignment horizontal="right" vertical="center" wrapText="1"/>
    </xf>
    <xf numFmtId="0" fontId="1" fillId="2" borderId="1" xfId="0" applyFont="1" applyFill="1" applyBorder="1" applyAlignment="1">
      <alignment horizontal="left" vertical="center"/>
    </xf>
    <xf numFmtId="0" fontId="85" fillId="2" borderId="1" xfId="0" applyFont="1" applyFill="1" applyBorder="1" applyAlignment="1">
      <alignment horizontal="right" vertical="center"/>
    </xf>
    <xf numFmtId="0" fontId="81" fillId="2" borderId="1" xfId="0" applyFont="1" applyFill="1" applyBorder="1" applyAlignment="1">
      <alignment horizontal="right" vertical="center" wrapText="1"/>
    </xf>
    <xf numFmtId="0" fontId="82" fillId="2" borderId="1" xfId="0" applyFont="1" applyFill="1" applyBorder="1" applyAlignment="1">
      <alignment horizontal="right" vertical="center" wrapText="1"/>
    </xf>
    <xf numFmtId="2" fontId="1" fillId="2" borderId="1" xfId="0" applyNumberFormat="1" applyFont="1" applyFill="1" applyBorder="1" applyAlignment="1">
      <alignment horizontal="right" vertical="center" wrapText="1"/>
    </xf>
    <xf numFmtId="0" fontId="82" fillId="12" borderId="1" xfId="0" applyFont="1" applyFill="1" applyBorder="1" applyAlignment="1">
      <alignment horizontal="right" vertical="center" wrapText="1"/>
    </xf>
    <xf numFmtId="0" fontId="69" fillId="0" borderId="0" xfId="0" applyFont="1" applyAlignment="1">
      <alignment horizontal="center" vertical="center" wrapText="1"/>
    </xf>
    <xf numFmtId="0" fontId="69" fillId="0" borderId="0" xfId="0" applyFont="1" applyAlignment="1">
      <alignment horizontal="right" vertical="center" wrapText="1"/>
    </xf>
    <xf numFmtId="0" fontId="0" fillId="0" borderId="0" xfId="0" applyAlignment="1">
      <alignment vertical="center" wrapText="1"/>
    </xf>
    <xf numFmtId="0" fontId="0" fillId="0" borderId="0" xfId="0" applyAlignment="1">
      <alignment horizontal="right" vertical="center" wrapText="1"/>
    </xf>
    <xf numFmtId="0" fontId="0" fillId="0" borderId="0" xfId="0" applyAlignment="1">
      <alignment horizontal="right"/>
    </xf>
    <xf numFmtId="0" fontId="86" fillId="13" borderId="27" xfId="0" applyFont="1" applyFill="1" applyBorder="1" applyAlignment="1">
      <alignment horizontal="left" vertical="center"/>
    </xf>
    <xf numFmtId="2" fontId="71" fillId="13" borderId="27" xfId="0" applyNumberFormat="1" applyFont="1" applyFill="1" applyBorder="1"/>
    <xf numFmtId="2" fontId="71" fillId="13" borderId="0" xfId="0" applyNumberFormat="1" applyFont="1" applyFill="1"/>
    <xf numFmtId="0" fontId="0" fillId="13" borderId="27" xfId="0" applyFill="1" applyBorder="1"/>
    <xf numFmtId="0" fontId="0" fillId="13" borderId="47" xfId="0" applyFill="1" applyBorder="1"/>
    <xf numFmtId="175" fontId="0" fillId="13" borderId="0" xfId="0" applyNumberFormat="1" applyFill="1"/>
    <xf numFmtId="175" fontId="71" fillId="13" borderId="28" xfId="0" applyNumberFormat="1" applyFont="1" applyFill="1" applyBorder="1"/>
    <xf numFmtId="0" fontId="86" fillId="2" borderId="27" xfId="0" applyFont="1" applyFill="1" applyBorder="1" applyAlignment="1">
      <alignment horizontal="left" vertical="center"/>
    </xf>
    <xf numFmtId="2" fontId="71" fillId="0" borderId="27" xfId="0" applyNumberFormat="1" applyFont="1" applyBorder="1"/>
    <xf numFmtId="2" fontId="71" fillId="0" borderId="0" xfId="0" applyNumberFormat="1" applyFont="1"/>
    <xf numFmtId="0" fontId="0" fillId="0" borderId="27" xfId="0" applyBorder="1"/>
    <xf numFmtId="0" fontId="0" fillId="0" borderId="47" xfId="0" applyBorder="1"/>
    <xf numFmtId="175" fontId="0" fillId="0" borderId="0" xfId="0" applyNumberFormat="1"/>
    <xf numFmtId="175" fontId="71" fillId="0" borderId="28" xfId="0" applyNumberFormat="1" applyFont="1" applyBorder="1"/>
    <xf numFmtId="2" fontId="71" fillId="2" borderId="27" xfId="0" applyNumberFormat="1" applyFont="1" applyFill="1" applyBorder="1"/>
    <xf numFmtId="2" fontId="0" fillId="2" borderId="0" xfId="0" applyNumberFormat="1" applyFill="1"/>
    <xf numFmtId="2" fontId="71" fillId="2" borderId="0" xfId="0" applyNumberFormat="1" applyFont="1" applyFill="1"/>
    <xf numFmtId="0" fontId="0" fillId="2" borderId="27" xfId="0" applyFill="1" applyBorder="1"/>
    <xf numFmtId="0" fontId="0" fillId="2" borderId="47" xfId="0" applyFill="1" applyBorder="1"/>
    <xf numFmtId="175" fontId="0" fillId="2" borderId="0" xfId="0" applyNumberFormat="1" applyFill="1"/>
    <xf numFmtId="175" fontId="71" fillId="2" borderId="28" xfId="0" applyNumberFormat="1" applyFont="1" applyFill="1" applyBorder="1"/>
    <xf numFmtId="175" fontId="71" fillId="0" borderId="0" xfId="0" applyNumberFormat="1" applyFont="1"/>
    <xf numFmtId="0" fontId="86" fillId="12" borderId="24" xfId="0" applyFont="1" applyFill="1" applyBorder="1" applyAlignment="1">
      <alignment horizontal="left" vertical="center"/>
    </xf>
    <xf numFmtId="2" fontId="71" fillId="0" borderId="24" xfId="0" applyNumberFormat="1" applyFont="1" applyBorder="1"/>
    <xf numFmtId="2" fontId="71" fillId="0" borderId="23" xfId="0" applyNumberFormat="1" applyFont="1" applyBorder="1"/>
    <xf numFmtId="0" fontId="0" fillId="0" borderId="24" xfId="0" applyBorder="1"/>
    <xf numFmtId="0" fontId="0" fillId="0" borderId="18" xfId="0" applyBorder="1"/>
    <xf numFmtId="175" fontId="0" fillId="0" borderId="24" xfId="0" applyNumberFormat="1" applyBorder="1"/>
    <xf numFmtId="175" fontId="0" fillId="0" borderId="23" xfId="0" applyNumberFormat="1" applyBorder="1"/>
    <xf numFmtId="175" fontId="71" fillId="0" borderId="23" xfId="0" applyNumberFormat="1" applyFont="1" applyBorder="1"/>
    <xf numFmtId="0" fontId="87" fillId="12" borderId="0" xfId="0" applyFont="1" applyFill="1" applyAlignment="1">
      <alignment horizontal="left" vertical="center"/>
    </xf>
    <xf numFmtId="0" fontId="71" fillId="0" borderId="0" xfId="0" applyFont="1"/>
    <xf numFmtId="175" fontId="0" fillId="3" borderId="27" xfId="0" applyNumberFormat="1" applyFill="1" applyBorder="1"/>
    <xf numFmtId="175" fontId="0" fillId="3" borderId="0" xfId="0" applyNumberFormat="1" applyFill="1"/>
    <xf numFmtId="2" fontId="0" fillId="0" borderId="1" xfId="0" applyNumberFormat="1" applyBorder="1"/>
    <xf numFmtId="176" fontId="72" fillId="3" borderId="0" xfId="0" applyNumberFormat="1" applyFont="1" applyFill="1" applyAlignment="1">
      <alignment horizontal="left"/>
    </xf>
    <xf numFmtId="0" fontId="69" fillId="3" borderId="0" xfId="0" applyFont="1" applyFill="1" applyAlignment="1">
      <alignment horizontal="left"/>
    </xf>
    <xf numFmtId="175" fontId="71" fillId="3" borderId="0" xfId="0" applyNumberFormat="1" applyFont="1" applyFill="1"/>
    <xf numFmtId="2" fontId="0" fillId="0" borderId="16" xfId="0" applyNumberFormat="1" applyBorder="1"/>
    <xf numFmtId="0" fontId="69" fillId="0" borderId="44" xfId="0" applyFont="1" applyBorder="1"/>
    <xf numFmtId="2" fontId="0" fillId="0" borderId="62" xfId="0" applyNumberFormat="1" applyBorder="1"/>
    <xf numFmtId="2" fontId="0" fillId="0" borderId="63" xfId="0" applyNumberFormat="1" applyBorder="1"/>
    <xf numFmtId="0" fontId="0" fillId="0" borderId="19" xfId="0" applyBorder="1"/>
    <xf numFmtId="0" fontId="56" fillId="2" borderId="0" xfId="0" applyFont="1" applyFill="1"/>
    <xf numFmtId="0" fontId="88" fillId="2" borderId="0" xfId="0" applyFont="1" applyFill="1" applyAlignment="1">
      <alignment horizontal="left" vertical="center" indent="1"/>
    </xf>
    <xf numFmtId="0" fontId="82" fillId="2" borderId="0" xfId="0" applyFont="1" applyFill="1" applyAlignment="1">
      <alignment horizontal="left" vertical="center" indent="1"/>
    </xf>
    <xf numFmtId="0" fontId="88" fillId="2" borderId="0" xfId="0" applyFont="1" applyFill="1" applyAlignment="1">
      <alignment horizontal="left" vertical="center"/>
    </xf>
    <xf numFmtId="0" fontId="88" fillId="2" borderId="0" xfId="0" applyFont="1" applyFill="1" applyAlignment="1">
      <alignment horizontal="right" vertical="center" wrapText="1"/>
    </xf>
    <xf numFmtId="0" fontId="79" fillId="2" borderId="0" xfId="0" applyFont="1" applyFill="1" applyAlignment="1">
      <alignment horizontal="left" vertical="center"/>
    </xf>
    <xf numFmtId="0" fontId="82" fillId="2" borderId="0" xfId="0" applyFont="1" applyFill="1" applyAlignment="1">
      <alignment horizontal="right" vertical="center" wrapText="1"/>
    </xf>
    <xf numFmtId="0" fontId="82" fillId="2" borderId="0" xfId="0" applyFont="1" applyFill="1" applyAlignment="1">
      <alignment horizontal="right" vertical="center" wrapText="1" indent="1"/>
    </xf>
    <xf numFmtId="0" fontId="82" fillId="2" borderId="0" xfId="0" applyFont="1" applyFill="1" applyAlignment="1">
      <alignment horizontal="left" vertical="center"/>
    </xf>
    <xf numFmtId="0" fontId="35" fillId="0" borderId="1" xfId="0" applyFont="1" applyBorder="1"/>
    <xf numFmtId="4" fontId="35" fillId="0" borderId="1" xfId="0" applyNumberFormat="1" applyFont="1" applyBorder="1"/>
    <xf numFmtId="4" fontId="1" fillId="0" borderId="1" xfId="0" applyNumberFormat="1" applyFont="1" applyBorder="1"/>
    <xf numFmtId="0" fontId="81" fillId="0" borderId="1" xfId="0" applyFont="1" applyBorder="1"/>
    <xf numFmtId="10" fontId="1" fillId="0" borderId="1" xfId="0" applyNumberFormat="1" applyFont="1" applyBorder="1"/>
    <xf numFmtId="0" fontId="90" fillId="0" borderId="16" xfId="0" applyFont="1" applyBorder="1"/>
    <xf numFmtId="0" fontId="81" fillId="0" borderId="21" xfId="0" applyFont="1" applyBorder="1"/>
    <xf numFmtId="0" fontId="81" fillId="0" borderId="0" xfId="0" applyFont="1"/>
    <xf numFmtId="9" fontId="1" fillId="0" borderId="1" xfId="0" applyNumberFormat="1" applyFont="1" applyBorder="1"/>
    <xf numFmtId="2" fontId="1" fillId="0" borderId="1" xfId="0" applyNumberFormat="1" applyFont="1" applyBorder="1"/>
    <xf numFmtId="0" fontId="90" fillId="0" borderId="21" xfId="0" applyFont="1" applyBorder="1"/>
    <xf numFmtId="0" fontId="1" fillId="0" borderId="26" xfId="0" applyFont="1" applyBorder="1"/>
    <xf numFmtId="10" fontId="1" fillId="0" borderId="22" xfId="0" applyNumberFormat="1" applyFont="1" applyBorder="1"/>
    <xf numFmtId="170" fontId="1" fillId="0" borderId="0" xfId="0" applyNumberFormat="1" applyFont="1"/>
    <xf numFmtId="170" fontId="35" fillId="0" borderId="0" xfId="0" applyNumberFormat="1" applyFont="1"/>
    <xf numFmtId="0" fontId="1" fillId="0" borderId="64" xfId="0" applyFont="1" applyBorder="1"/>
    <xf numFmtId="0" fontId="35" fillId="0" borderId="45" xfId="0" applyFont="1" applyBorder="1"/>
    <xf numFmtId="0" fontId="35" fillId="10" borderId="0" xfId="0" applyFont="1" applyFill="1"/>
    <xf numFmtId="0" fontId="35" fillId="0" borderId="0" xfId="0" applyFont="1"/>
    <xf numFmtId="0" fontId="82" fillId="2" borderId="0" xfId="0" applyFont="1" applyFill="1" applyAlignment="1">
      <alignment vertical="center"/>
    </xf>
    <xf numFmtId="0" fontId="91" fillId="2" borderId="0" xfId="0" applyFont="1" applyFill="1" applyAlignment="1">
      <alignment vertical="center"/>
    </xf>
    <xf numFmtId="0" fontId="1" fillId="0" borderId="45" xfId="0" applyFont="1" applyBorder="1"/>
    <xf numFmtId="0" fontId="0" fillId="0" borderId="1" xfId="0" applyBorder="1" applyAlignment="1">
      <alignment horizontal="left"/>
    </xf>
    <xf numFmtId="177" fontId="0" fillId="0" borderId="1" xfId="0" applyNumberFormat="1" applyBorder="1" applyAlignment="1">
      <alignment horizontal="right"/>
    </xf>
    <xf numFmtId="4" fontId="92" fillId="0" borderId="1" xfId="0" applyNumberFormat="1" applyFont="1" applyBorder="1"/>
    <xf numFmtId="4" fontId="92" fillId="0" borderId="1" xfId="0" applyNumberFormat="1" applyFont="1" applyBorder="1" applyAlignment="1">
      <alignment horizontal="right"/>
    </xf>
    <xf numFmtId="10" fontId="0" fillId="0" borderId="1" xfId="0" applyNumberFormat="1" applyBorder="1" applyAlignment="1">
      <alignment horizontal="right"/>
    </xf>
    <xf numFmtId="177" fontId="0" fillId="0" borderId="1" xfId="0" applyNumberFormat="1" applyBorder="1"/>
    <xf numFmtId="10" fontId="0" fillId="0" borderId="1" xfId="0" applyNumberFormat="1" applyBorder="1"/>
    <xf numFmtId="0" fontId="0" fillId="11" borderId="1" xfId="0" applyFill="1" applyBorder="1" applyAlignment="1">
      <alignment horizontal="left"/>
    </xf>
    <xf numFmtId="178" fontId="0" fillId="11" borderId="1" xfId="0" applyNumberFormat="1" applyFill="1" applyBorder="1" applyAlignment="1">
      <alignment horizontal="right"/>
    </xf>
    <xf numFmtId="2" fontId="0" fillId="11" borderId="1" xfId="0" applyNumberFormat="1" applyFill="1" applyBorder="1"/>
    <xf numFmtId="10" fontId="0" fillId="11" borderId="1" xfId="0" applyNumberFormat="1" applyFill="1" applyBorder="1"/>
    <xf numFmtId="179" fontId="0" fillId="11" borderId="1" xfId="0" applyNumberFormat="1" applyFill="1" applyBorder="1" applyAlignment="1">
      <alignment horizontal="right"/>
    </xf>
    <xf numFmtId="2" fontId="0" fillId="11" borderId="1" xfId="0" applyNumberFormat="1" applyFill="1" applyBorder="1" applyAlignment="1">
      <alignment horizontal="right"/>
    </xf>
    <xf numFmtId="10" fontId="0" fillId="11" borderId="1" xfId="0" applyNumberFormat="1" applyFill="1" applyBorder="1" applyAlignment="1">
      <alignment horizontal="right"/>
    </xf>
    <xf numFmtId="179" fontId="0" fillId="0" borderId="1" xfId="0" applyNumberFormat="1" applyBorder="1"/>
    <xf numFmtId="0" fontId="35" fillId="2" borderId="0" xfId="0" applyFont="1" applyFill="1"/>
    <xf numFmtId="0" fontId="1" fillId="0" borderId="35" xfId="0" applyFont="1" applyBorder="1"/>
    <xf numFmtId="0" fontId="1" fillId="0" borderId="36" xfId="0" applyFont="1" applyBorder="1"/>
    <xf numFmtId="0" fontId="1" fillId="0" borderId="37" xfId="0" applyFont="1" applyBorder="1"/>
    <xf numFmtId="0" fontId="35" fillId="0" borderId="1" xfId="0" applyFont="1" applyBorder="1" applyAlignment="1">
      <alignment horizontal="right"/>
    </xf>
    <xf numFmtId="165" fontId="1" fillId="11" borderId="1" xfId="0" applyNumberFormat="1" applyFont="1" applyFill="1" applyBorder="1"/>
    <xf numFmtId="170" fontId="1" fillId="0" borderId="1" xfId="0" applyNumberFormat="1" applyFont="1" applyBorder="1" applyAlignment="1">
      <alignment horizontal="right"/>
    </xf>
    <xf numFmtId="10" fontId="1" fillId="11" borderId="1" xfId="0" applyNumberFormat="1" applyFont="1" applyFill="1" applyBorder="1"/>
    <xf numFmtId="0" fontId="1" fillId="0" borderId="1" xfId="0" applyFont="1" applyBorder="1" applyAlignment="1">
      <alignment horizontal="right"/>
    </xf>
    <xf numFmtId="165" fontId="1" fillId="0" borderId="1" xfId="0" applyNumberFormat="1" applyFont="1" applyBorder="1" applyAlignment="1">
      <alignment horizontal="right"/>
    </xf>
    <xf numFmtId="173" fontId="1" fillId="11" borderId="46" xfId="0" applyNumberFormat="1" applyFont="1" applyFill="1" applyBorder="1"/>
    <xf numFmtId="0" fontId="1" fillId="0" borderId="27" xfId="0" applyFont="1" applyBorder="1" applyAlignment="1">
      <alignment horizontal="right"/>
    </xf>
    <xf numFmtId="10" fontId="1" fillId="0" borderId="0" xfId="0" applyNumberFormat="1" applyFont="1" applyAlignment="1">
      <alignment horizontal="right"/>
    </xf>
    <xf numFmtId="10" fontId="1" fillId="0" borderId="28" xfId="0" applyNumberFormat="1" applyFont="1" applyBorder="1" applyAlignment="1">
      <alignment horizontal="right"/>
    </xf>
    <xf numFmtId="10" fontId="1" fillId="11" borderId="25" xfId="0" applyNumberFormat="1" applyFont="1" applyFill="1" applyBorder="1"/>
    <xf numFmtId="9" fontId="1" fillId="2" borderId="0" xfId="0" applyNumberFormat="1" applyFont="1" applyFill="1"/>
    <xf numFmtId="0" fontId="35" fillId="0" borderId="27" xfId="0" applyFont="1" applyBorder="1" applyAlignment="1">
      <alignment horizontal="right"/>
    </xf>
    <xf numFmtId="0" fontId="35" fillId="0" borderId="0" xfId="0" applyFont="1" applyAlignment="1">
      <alignment horizontal="right"/>
    </xf>
    <xf numFmtId="0" fontId="35" fillId="0" borderId="28" xfId="0" applyFont="1" applyBorder="1" applyAlignment="1">
      <alignment horizontal="right"/>
    </xf>
    <xf numFmtId="10" fontId="1" fillId="11" borderId="16" xfId="0" applyNumberFormat="1" applyFont="1" applyFill="1" applyBorder="1"/>
    <xf numFmtId="10" fontId="1" fillId="11" borderId="18" xfId="0" applyNumberFormat="1" applyFont="1" applyFill="1" applyBorder="1"/>
    <xf numFmtId="10" fontId="1" fillId="0" borderId="1" xfId="0" applyNumberFormat="1" applyFont="1" applyBorder="1" applyAlignment="1">
      <alignment horizontal="right"/>
    </xf>
    <xf numFmtId="10" fontId="14" fillId="11" borderId="45" xfId="0" applyNumberFormat="1" applyFont="1" applyFill="1" applyBorder="1"/>
    <xf numFmtId="0" fontId="1" fillId="0" borderId="0" xfId="0" applyFont="1" applyAlignment="1">
      <alignment horizontal="right"/>
    </xf>
    <xf numFmtId="0" fontId="1" fillId="0" borderId="28" xfId="0" applyFont="1" applyBorder="1" applyAlignment="1">
      <alignment horizontal="right"/>
    </xf>
    <xf numFmtId="10" fontId="14" fillId="11" borderId="18" xfId="0" applyNumberFormat="1" applyFont="1" applyFill="1" applyBorder="1"/>
    <xf numFmtId="10" fontId="1" fillId="11" borderId="0" xfId="0" applyNumberFormat="1" applyFont="1" applyFill="1"/>
    <xf numFmtId="10" fontId="1" fillId="11" borderId="39" xfId="0" applyNumberFormat="1" applyFont="1" applyFill="1" applyBorder="1"/>
    <xf numFmtId="0" fontId="35" fillId="13" borderId="27" xfId="0" applyFont="1" applyFill="1" applyBorder="1" applyAlignment="1">
      <alignment horizontal="right"/>
    </xf>
    <xf numFmtId="0" fontId="69" fillId="0" borderId="23" xfId="0" applyFont="1" applyBorder="1"/>
    <xf numFmtId="10" fontId="0" fillId="0" borderId="0" xfId="0" applyNumberFormat="1"/>
    <xf numFmtId="170" fontId="0" fillId="0" borderId="0" xfId="0" applyNumberFormat="1"/>
    <xf numFmtId="0" fontId="0" fillId="0" borderId="0" xfId="0" applyAlignment="1">
      <alignment horizontal="center" vertical="center"/>
    </xf>
    <xf numFmtId="180" fontId="0" fillId="0" borderId="0" xfId="0" applyNumberFormat="1"/>
    <xf numFmtId="2" fontId="0" fillId="0" borderId="0" xfId="0" applyNumberFormat="1"/>
    <xf numFmtId="0" fontId="0" fillId="0" borderId="0" xfId="0" applyAlignment="1">
      <alignment horizontal="center"/>
    </xf>
    <xf numFmtId="0" fontId="93" fillId="0" borderId="0" xfId="0" applyFont="1"/>
    <xf numFmtId="170" fontId="69" fillId="0" borderId="0" xfId="0" applyNumberFormat="1" applyFont="1"/>
    <xf numFmtId="170" fontId="94" fillId="0" borderId="0" xfId="0" applyNumberFormat="1" applyFont="1"/>
    <xf numFmtId="2" fontId="69" fillId="0" borderId="0" xfId="0" applyNumberFormat="1" applyFont="1"/>
    <xf numFmtId="4" fontId="0" fillId="0" borderId="0" xfId="0" applyNumberFormat="1"/>
    <xf numFmtId="4" fontId="95" fillId="0" borderId="0" xfId="0" applyNumberFormat="1" applyFont="1"/>
    <xf numFmtId="181" fontId="95" fillId="0" borderId="0" xfId="0" applyNumberFormat="1" applyFont="1"/>
    <xf numFmtId="2" fontId="0" fillId="0" borderId="0" xfId="0" applyNumberFormat="1" applyAlignment="1">
      <alignment horizontal="left"/>
    </xf>
    <xf numFmtId="10" fontId="96" fillId="0" borderId="0" xfId="0" applyNumberFormat="1" applyFont="1" applyAlignment="1">
      <alignment horizontal="center"/>
    </xf>
    <xf numFmtId="4" fontId="97" fillId="0" borderId="0" xfId="0" applyNumberFormat="1" applyFont="1"/>
    <xf numFmtId="10" fontId="96" fillId="0" borderId="0" xfId="0" applyNumberFormat="1" applyFont="1" applyAlignment="1">
      <alignment horizontal="left"/>
    </xf>
    <xf numFmtId="3" fontId="0" fillId="0" borderId="0" xfId="0" applyNumberFormat="1"/>
    <xf numFmtId="3" fontId="0" fillId="14" borderId="0" xfId="0" applyNumberFormat="1" applyFill="1"/>
    <xf numFmtId="3" fontId="96" fillId="13" borderId="0" xfId="0" applyNumberFormat="1" applyFont="1" applyFill="1"/>
    <xf numFmtId="0" fontId="69" fillId="0" borderId="65" xfId="0" applyFont="1" applyBorder="1"/>
    <xf numFmtId="4" fontId="95" fillId="0" borderId="65" xfId="0" applyNumberFormat="1" applyFont="1" applyBorder="1"/>
    <xf numFmtId="170" fontId="69" fillId="0" borderId="65" xfId="0" applyNumberFormat="1" applyFont="1" applyBorder="1"/>
    <xf numFmtId="3" fontId="0" fillId="2" borderId="0" xfId="0" applyNumberFormat="1" applyFill="1"/>
    <xf numFmtId="3" fontId="98" fillId="0" borderId="65" xfId="0" applyNumberFormat="1" applyFont="1" applyBorder="1"/>
    <xf numFmtId="2" fontId="69" fillId="0" borderId="65" xfId="0" applyNumberFormat="1" applyFont="1" applyBorder="1"/>
    <xf numFmtId="0" fontId="99" fillId="0" borderId="0" xfId="0" applyFont="1"/>
    <xf numFmtId="0" fontId="101" fillId="0" borderId="0" xfId="0" applyFont="1"/>
    <xf numFmtId="0" fontId="0" fillId="0" borderId="36" xfId="0" applyBorder="1"/>
    <xf numFmtId="0" fontId="94" fillId="0" borderId="0" xfId="0" applyFont="1"/>
    <xf numFmtId="0" fontId="94" fillId="0" borderId="0" xfId="0" applyFont="1" applyAlignment="1">
      <alignment horizontal="right"/>
    </xf>
    <xf numFmtId="0" fontId="102" fillId="12" borderId="0" xfId="0" applyFont="1" applyFill="1" applyAlignment="1">
      <alignment horizontal="left" vertical="center" indent="1"/>
    </xf>
    <xf numFmtId="0" fontId="79" fillId="12" borderId="0" xfId="0" applyFont="1" applyFill="1" applyAlignment="1">
      <alignment horizontal="left" vertical="center"/>
    </xf>
    <xf numFmtId="0" fontId="102" fillId="12" borderId="0" xfId="0" applyFont="1" applyFill="1" applyAlignment="1">
      <alignment horizontal="right" vertical="center" wrapText="1"/>
    </xf>
    <xf numFmtId="0" fontId="94" fillId="0" borderId="23" xfId="0" applyFont="1" applyBorder="1"/>
    <xf numFmtId="0" fontId="94" fillId="0" borderId="23" xfId="0" applyFont="1" applyBorder="1" applyAlignment="1">
      <alignment horizontal="right"/>
    </xf>
    <xf numFmtId="0" fontId="102" fillId="2" borderId="0" xfId="0" applyFont="1" applyFill="1" applyAlignment="1">
      <alignment horizontal="left" vertical="center" indent="1"/>
    </xf>
    <xf numFmtId="0" fontId="102" fillId="2" borderId="0" xfId="0" applyFont="1" applyFill="1" applyAlignment="1">
      <alignment horizontal="right" vertical="center" wrapText="1"/>
    </xf>
    <xf numFmtId="0" fontId="103" fillId="12" borderId="0" xfId="0" applyFont="1" applyFill="1" applyAlignment="1">
      <alignment horizontal="left" vertical="center"/>
    </xf>
    <xf numFmtId="0" fontId="104" fillId="0" borderId="0" xfId="0" applyFont="1"/>
    <xf numFmtId="0" fontId="104" fillId="0" borderId="0" xfId="0" applyFont="1" applyAlignment="1">
      <alignment horizontal="right"/>
    </xf>
    <xf numFmtId="10" fontId="104" fillId="0" borderId="0" xfId="0" applyNumberFormat="1" applyFont="1" applyAlignment="1">
      <alignment horizontal="right"/>
    </xf>
    <xf numFmtId="10" fontId="0" fillId="2" borderId="0" xfId="0" applyNumberFormat="1" applyFill="1" applyAlignment="1">
      <alignment horizontal="right"/>
    </xf>
    <xf numFmtId="2" fontId="104" fillId="0" borderId="0" xfId="0" applyNumberFormat="1" applyFont="1" applyAlignment="1">
      <alignment horizontal="right"/>
    </xf>
    <xf numFmtId="2" fontId="0" fillId="0" borderId="0" xfId="0" applyNumberFormat="1" applyAlignment="1">
      <alignment horizontal="right"/>
    </xf>
    <xf numFmtId="0" fontId="69" fillId="0" borderId="66" xfId="0" applyFont="1" applyBorder="1"/>
    <xf numFmtId="10" fontId="105" fillId="0" borderId="66" xfId="0" applyNumberFormat="1" applyFont="1" applyBorder="1"/>
    <xf numFmtId="2" fontId="105" fillId="0" borderId="66" xfId="0" applyNumberFormat="1" applyFont="1" applyBorder="1"/>
    <xf numFmtId="0" fontId="69" fillId="0" borderId="67" xfId="0" applyFont="1" applyBorder="1"/>
    <xf numFmtId="10" fontId="105" fillId="0" borderId="67" xfId="0" applyNumberFormat="1" applyFont="1" applyBorder="1"/>
    <xf numFmtId="2" fontId="105" fillId="0" borderId="67" xfId="0" applyNumberFormat="1" applyFont="1" applyBorder="1"/>
    <xf numFmtId="10" fontId="107" fillId="0" borderId="0" xfId="0" applyNumberFormat="1" applyFont="1"/>
    <xf numFmtId="0" fontId="94" fillId="0" borderId="68" xfId="0" applyFont="1" applyBorder="1"/>
    <xf numFmtId="10" fontId="94" fillId="2" borderId="68" xfId="0" applyNumberFormat="1" applyFont="1" applyFill="1" applyBorder="1"/>
    <xf numFmtId="0" fontId="94" fillId="2" borderId="68" xfId="0" applyFont="1" applyFill="1" applyBorder="1"/>
    <xf numFmtId="0" fontId="94" fillId="0" borderId="0" xfId="0" applyFont="1" applyAlignment="1">
      <alignment horizontal="center"/>
    </xf>
    <xf numFmtId="9" fontId="0" fillId="0" borderId="0" xfId="0" applyNumberFormat="1" applyAlignment="1">
      <alignment horizontal="right"/>
    </xf>
    <xf numFmtId="10" fontId="0" fillId="0" borderId="0" xfId="0" applyNumberFormat="1" applyAlignment="1">
      <alignment horizontal="right"/>
    </xf>
    <xf numFmtId="182" fontId="0" fillId="0" borderId="0" xfId="0" applyNumberFormat="1" applyAlignment="1">
      <alignment horizontal="center" wrapText="1"/>
    </xf>
    <xf numFmtId="182" fontId="0" fillId="0" borderId="69" xfId="0" applyNumberFormat="1" applyBorder="1" applyAlignment="1">
      <alignment horizontal="center" wrapText="1"/>
    </xf>
    <xf numFmtId="10" fontId="0" fillId="0" borderId="69" xfId="0" applyNumberFormat="1" applyBorder="1" applyAlignment="1">
      <alignment horizontal="right"/>
    </xf>
    <xf numFmtId="2" fontId="94" fillId="2" borderId="68" xfId="0" applyNumberFormat="1" applyFont="1" applyFill="1" applyBorder="1"/>
    <xf numFmtId="182" fontId="0" fillId="0" borderId="0" xfId="0" applyNumberFormat="1"/>
    <xf numFmtId="10" fontId="94" fillId="0" borderId="68" xfId="0" applyNumberFormat="1" applyFont="1" applyBorder="1"/>
    <xf numFmtId="0" fontId="94" fillId="2" borderId="0" xfId="0" applyFont="1" applyFill="1"/>
    <xf numFmtId="10" fontId="0" fillId="2" borderId="0" xfId="0" applyNumberFormat="1" applyFill="1"/>
    <xf numFmtId="0" fontId="108" fillId="0" borderId="0" xfId="0" applyFont="1" applyAlignment="1">
      <alignment vertical="center"/>
    </xf>
    <xf numFmtId="0" fontId="0" fillId="0" borderId="0" xfId="0" applyAlignment="1">
      <alignment vertical="center"/>
    </xf>
    <xf numFmtId="10" fontId="0" fillId="0" borderId="0" xfId="0" applyNumberFormat="1" applyAlignment="1">
      <alignment horizontal="right" wrapText="1"/>
    </xf>
    <xf numFmtId="0" fontId="0" fillId="0" borderId="0" xfId="0" applyAlignment="1">
      <alignment vertical="top" wrapText="1"/>
    </xf>
    <xf numFmtId="0" fontId="94" fillId="15" borderId="68" xfId="0" applyFont="1" applyFill="1" applyBorder="1" applyAlignment="1">
      <alignment wrapText="1"/>
    </xf>
    <xf numFmtId="0" fontId="0" fillId="15" borderId="68" xfId="0" applyFill="1" applyBorder="1" applyAlignment="1">
      <alignment wrapText="1"/>
    </xf>
    <xf numFmtId="10" fontId="94" fillId="15" borderId="68" xfId="0" applyNumberFormat="1" applyFont="1" applyFill="1" applyBorder="1" applyAlignment="1">
      <alignment horizontal="right" wrapText="1"/>
    </xf>
    <xf numFmtId="0" fontId="10" fillId="2" borderId="4" xfId="0" applyFont="1" applyFill="1" applyBorder="1" applyAlignment="1">
      <alignment horizontal="left" vertical="center" wrapText="1"/>
    </xf>
    <xf numFmtId="0" fontId="3" fillId="3" borderId="0" xfId="0" applyFont="1" applyFill="1" applyAlignment="1">
      <alignment horizontal="center" vertical="center" wrapText="1"/>
    </xf>
    <xf numFmtId="0" fontId="7" fillId="0" borderId="1" xfId="0" applyFont="1" applyBorder="1" applyAlignment="1">
      <alignment horizontal="left" vertical="top" wrapText="1"/>
    </xf>
    <xf numFmtId="0" fontId="23" fillId="2" borderId="0" xfId="0" applyFont="1" applyFill="1" applyAlignment="1">
      <alignment vertical="center" wrapText="1"/>
    </xf>
    <xf numFmtId="0" fontId="24" fillId="2" borderId="0" xfId="0" applyFont="1" applyFill="1" applyAlignment="1">
      <alignment vertical="center" wrapText="1"/>
    </xf>
    <xf numFmtId="0" fontId="45" fillId="0" borderId="21" xfId="0" applyFont="1" applyBorder="1" applyAlignment="1">
      <alignment horizontal="left" vertical="center" wrapText="1"/>
    </xf>
    <xf numFmtId="0" fontId="45" fillId="2" borderId="2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59" fillId="2" borderId="0" xfId="0" applyFont="1" applyFill="1" applyAlignment="1">
      <alignment horizontal="left" vertical="top" wrapText="1"/>
    </xf>
    <xf numFmtId="0" fontId="53" fillId="2" borderId="0" xfId="0" applyFont="1" applyFill="1" applyAlignment="1">
      <alignment horizontal="left" vertical="top" wrapText="1"/>
    </xf>
    <xf numFmtId="0" fontId="58" fillId="2" borderId="0" xfId="0" applyFont="1" applyFill="1" applyAlignment="1">
      <alignment horizontal="left" vertical="center" wrapText="1"/>
    </xf>
    <xf numFmtId="0" fontId="49" fillId="2" borderId="0" xfId="0" applyFont="1" applyFill="1" applyAlignment="1">
      <alignment horizontal="center" vertical="center" wrapText="1"/>
    </xf>
    <xf numFmtId="0" fontId="57" fillId="3" borderId="47" xfId="0" applyFont="1" applyFill="1" applyBorder="1" applyAlignment="1">
      <alignment horizontal="left" vertical="center" wrapText="1"/>
    </xf>
    <xf numFmtId="0" fontId="0" fillId="2" borderId="59" xfId="0" applyFill="1" applyBorder="1" applyAlignment="1">
      <alignment horizontal="left" wrapText="1"/>
    </xf>
    <xf numFmtId="0" fontId="57" fillId="0" borderId="60" xfId="0" applyFont="1" applyBorder="1" applyAlignment="1">
      <alignment horizontal="center"/>
    </xf>
    <xf numFmtId="0" fontId="69" fillId="3" borderId="1" xfId="0" applyFont="1" applyFill="1" applyBorder="1" applyAlignment="1">
      <alignment horizontal="left"/>
    </xf>
    <xf numFmtId="0" fontId="67" fillId="2" borderId="1" xfId="0" applyFont="1" applyFill="1" applyBorder="1" applyAlignment="1">
      <alignment horizontal="left" vertical="center"/>
    </xf>
    <xf numFmtId="0" fontId="35" fillId="0" borderId="1" xfId="0" applyFont="1" applyBorder="1" applyAlignment="1">
      <alignment horizontal="center"/>
    </xf>
    <xf numFmtId="0" fontId="110" fillId="16" borderId="1" xfId="0" applyFont="1" applyFill="1" applyBorder="1" applyAlignment="1">
      <alignment horizontal="center" vertical="center" wrapText="1"/>
    </xf>
    <xf numFmtId="0" fontId="4" fillId="16" borderId="0" xfId="0" applyFont="1" applyFill="1" applyAlignment="1">
      <alignment horizontal="left" vertical="center" wrapText="1"/>
    </xf>
    <xf numFmtId="0" fontId="8" fillId="16" borderId="2" xfId="0" applyFont="1" applyFill="1" applyBorder="1" applyAlignment="1">
      <alignment horizontal="left" vertical="center" wrapText="1"/>
    </xf>
    <xf numFmtId="0" fontId="8" fillId="16" borderId="5" xfId="0" applyFont="1" applyFill="1" applyBorder="1" applyAlignment="1">
      <alignment horizontal="left" vertical="center" wrapText="1"/>
    </xf>
    <xf numFmtId="0" fontId="8" fillId="16" borderId="6" xfId="0" applyFont="1" applyFill="1" applyBorder="1" applyAlignment="1">
      <alignment horizontal="left" vertical="center" wrapText="1"/>
    </xf>
    <xf numFmtId="0" fontId="8" fillId="16" borderId="5" xfId="0" applyFont="1" applyFill="1" applyBorder="1" applyAlignment="1">
      <alignment horizontal="center" vertical="center" wrapText="1"/>
    </xf>
    <xf numFmtId="0" fontId="111" fillId="3" borderId="0" xfId="0" applyFont="1" applyFill="1" applyAlignment="1">
      <alignment horizontal="center" vertical="center" wrapText="1"/>
    </xf>
    <xf numFmtId="0" fontId="112" fillId="16" borderId="7" xfId="0" applyFont="1" applyFill="1" applyBorder="1" applyAlignment="1">
      <alignment horizontal="left" vertical="center" wrapText="1"/>
    </xf>
    <xf numFmtId="0" fontId="8" fillId="17" borderId="8" xfId="0" applyFont="1" applyFill="1" applyBorder="1" applyAlignment="1">
      <alignment horizontal="left" vertical="center" wrapText="1"/>
    </xf>
    <xf numFmtId="0" fontId="22" fillId="17" borderId="9" xfId="0" applyFont="1" applyFill="1" applyBorder="1" applyAlignment="1">
      <alignment horizontal="left" vertical="center" wrapText="1"/>
    </xf>
    <xf numFmtId="0" fontId="22" fillId="17" borderId="10" xfId="0" applyFont="1" applyFill="1" applyBorder="1" applyAlignment="1">
      <alignment horizontal="left" vertical="center" wrapText="1"/>
    </xf>
    <xf numFmtId="0" fontId="22" fillId="17" borderId="9" xfId="0" applyFont="1" applyFill="1" applyBorder="1" applyAlignment="1">
      <alignment horizontal="left" vertical="center" wrapText="1"/>
    </xf>
    <xf numFmtId="0" fontId="113" fillId="3" borderId="1" xfId="0" applyFont="1" applyFill="1" applyBorder="1" applyAlignment="1">
      <alignment horizontal="left" vertical="center" wrapText="1"/>
    </xf>
    <xf numFmtId="0" fontId="114" fillId="16" borderId="22" xfId="0" applyFont="1" applyFill="1" applyBorder="1" applyAlignment="1">
      <alignment horizontal="left" vertical="center" wrapText="1"/>
    </xf>
    <xf numFmtId="0" fontId="26" fillId="17" borderId="1" xfId="0" applyFont="1" applyFill="1" applyBorder="1" applyAlignment="1">
      <alignment horizontal="left" vertical="center" wrapText="1"/>
    </xf>
    <xf numFmtId="0" fontId="27" fillId="17" borderId="1" xfId="0" applyFont="1" applyFill="1" applyBorder="1" applyAlignment="1">
      <alignment horizontal="left" vertical="center" wrapText="1"/>
    </xf>
    <xf numFmtId="0" fontId="27" fillId="17" borderId="1" xfId="0" applyFont="1" applyFill="1" applyBorder="1" applyAlignment="1">
      <alignment horizontal="left" vertical="center" wrapText="1"/>
    </xf>
    <xf numFmtId="0" fontId="116" fillId="3" borderId="1" xfId="0" applyFont="1" applyFill="1" applyBorder="1" applyAlignment="1">
      <alignment horizontal="left" vertical="center" wrapText="1"/>
    </xf>
    <xf numFmtId="0" fontId="25" fillId="16" borderId="21" xfId="0" applyFont="1" applyFill="1" applyBorder="1" applyAlignment="1">
      <alignment wrapText="1"/>
    </xf>
    <xf numFmtId="0" fontId="29" fillId="17" borderId="1" xfId="0" applyFont="1" applyFill="1" applyBorder="1" applyAlignment="1">
      <alignment horizontal="center" vertical="center" wrapText="1"/>
    </xf>
    <xf numFmtId="0" fontId="29" fillId="17" borderId="1" xfId="0" applyFont="1" applyFill="1" applyBorder="1" applyAlignment="1">
      <alignment vertical="center" wrapText="1"/>
    </xf>
    <xf numFmtId="164" fontId="32" fillId="17" borderId="18" xfId="0" applyNumberFormat="1" applyFont="1" applyFill="1" applyBorder="1" applyAlignment="1">
      <alignment vertical="center" wrapText="1"/>
    </xf>
    <xf numFmtId="164" fontId="32" fillId="17" borderId="24" xfId="0" applyNumberFormat="1" applyFont="1" applyFill="1" applyBorder="1" applyAlignment="1">
      <alignment vertical="center" wrapText="1"/>
    </xf>
    <xf numFmtId="164" fontId="32" fillId="17" borderId="0" xfId="0" applyNumberFormat="1" applyFont="1" applyFill="1" applyAlignment="1">
      <alignment vertical="center" wrapText="1"/>
    </xf>
    <xf numFmtId="0" fontId="32" fillId="17" borderId="25" xfId="0" applyFont="1" applyFill="1" applyBorder="1" applyAlignment="1">
      <alignment vertical="center" wrapText="1"/>
    </xf>
    <xf numFmtId="0" fontId="32" fillId="17" borderId="18" xfId="0" applyFont="1" applyFill="1" applyBorder="1" applyAlignment="1">
      <alignment vertical="center" wrapText="1"/>
    </xf>
    <xf numFmtId="0" fontId="32" fillId="17" borderId="18" xfId="0" applyFont="1" applyFill="1" applyBorder="1" applyAlignment="1">
      <alignment horizontal="left" vertical="center" wrapText="1"/>
    </xf>
    <xf numFmtId="0" fontId="115" fillId="16" borderId="23" xfId="0" applyFont="1" applyFill="1" applyBorder="1" applyAlignment="1">
      <alignment horizontal="left" vertical="center"/>
    </xf>
    <xf numFmtId="0" fontId="114" fillId="16" borderId="1" xfId="0" applyFont="1" applyFill="1" applyBorder="1" applyAlignment="1">
      <alignment horizontal="center" vertical="center" wrapText="1"/>
    </xf>
    <xf numFmtId="0" fontId="117" fillId="18" borderId="1" xfId="0" applyFont="1" applyFill="1" applyBorder="1" applyAlignment="1">
      <alignment horizontal="center" vertical="center"/>
    </xf>
    <xf numFmtId="0" fontId="29" fillId="17" borderId="1" xfId="0" applyFont="1" applyFill="1" applyBorder="1" applyAlignment="1">
      <alignment horizontal="left" vertical="center" wrapText="1"/>
    </xf>
    <xf numFmtId="164" fontId="29" fillId="17" borderId="1" xfId="0" applyNumberFormat="1" applyFont="1" applyFill="1" applyBorder="1" applyAlignment="1">
      <alignment horizontal="center" vertical="center" wrapText="1"/>
    </xf>
    <xf numFmtId="0" fontId="29" fillId="17" borderId="1" xfId="0" applyFont="1" applyFill="1" applyBorder="1" applyAlignment="1">
      <alignment horizontal="center" vertical="center" wrapText="1"/>
    </xf>
    <xf numFmtId="0" fontId="118" fillId="16" borderId="1" xfId="0" applyFont="1" applyFill="1" applyBorder="1" applyAlignment="1">
      <alignment horizontal="center" vertical="center"/>
    </xf>
    <xf numFmtId="164" fontId="27" fillId="17" borderId="18" xfId="0" applyNumberFormat="1" applyFont="1" applyFill="1" applyBorder="1" applyAlignment="1">
      <alignment horizontal="right" vertical="center" wrapText="1"/>
    </xf>
    <xf numFmtId="164" fontId="27" fillId="17" borderId="24" xfId="0" applyNumberFormat="1" applyFont="1" applyFill="1" applyBorder="1" applyAlignment="1">
      <alignment horizontal="right" vertical="center" wrapText="1"/>
    </xf>
    <xf numFmtId="164" fontId="27" fillId="17" borderId="47" xfId="0" applyNumberFormat="1" applyFont="1" applyFill="1" applyBorder="1" applyAlignment="1">
      <alignment horizontal="right" vertical="center" wrapText="1"/>
    </xf>
    <xf numFmtId="0" fontId="27" fillId="17" borderId="25" xfId="0" applyFont="1" applyFill="1" applyBorder="1" applyAlignment="1">
      <alignment horizontal="right" vertical="center" wrapText="1"/>
    </xf>
    <xf numFmtId="0" fontId="115" fillId="16" borderId="22" xfId="0" applyFont="1" applyFill="1" applyBorder="1" applyAlignment="1">
      <alignment horizontal="left" vertical="center" wrapText="1"/>
    </xf>
    <xf numFmtId="0" fontId="26" fillId="17" borderId="24" xfId="0" applyFont="1" applyFill="1" applyBorder="1" applyAlignment="1">
      <alignment horizontal="left" vertical="center" wrapText="1"/>
    </xf>
    <xf numFmtId="0" fontId="26" fillId="17" borderId="18" xfId="0" applyFont="1" applyFill="1" applyBorder="1" applyAlignment="1">
      <alignment horizontal="left" vertical="center" wrapText="1"/>
    </xf>
    <xf numFmtId="0" fontId="35" fillId="19" borderId="1" xfId="0" applyFont="1" applyFill="1" applyBorder="1" applyAlignment="1">
      <alignment horizontal="left" vertical="center" wrapText="1"/>
    </xf>
    <xf numFmtId="0" fontId="1" fillId="19" borderId="1" xfId="0" applyFont="1" applyFill="1" applyBorder="1" applyAlignment="1">
      <alignment horizontal="left" vertical="center" wrapText="1"/>
    </xf>
    <xf numFmtId="0" fontId="32" fillId="17" borderId="1" xfId="0" applyFont="1" applyFill="1" applyBorder="1" applyAlignment="1">
      <alignment horizontal="left" vertical="center" wrapText="1"/>
    </xf>
    <xf numFmtId="0" fontId="32" fillId="17" borderId="1" xfId="0" applyFont="1" applyFill="1" applyBorder="1" applyAlignment="1">
      <alignment horizontal="right" vertical="center" wrapText="1"/>
    </xf>
    <xf numFmtId="0" fontId="54" fillId="17" borderId="27" xfId="0" applyFont="1" applyFill="1" applyBorder="1" applyAlignment="1">
      <alignment vertical="center"/>
    </xf>
    <xf numFmtId="0" fontId="54" fillId="17" borderId="0" xfId="0" applyFont="1" applyFill="1" applyAlignment="1">
      <alignment vertical="center"/>
    </xf>
    <xf numFmtId="0" fontId="55" fillId="17" borderId="0" xfId="0" applyFont="1" applyFill="1"/>
    <xf numFmtId="0" fontId="55" fillId="17" borderId="28" xfId="0" applyFont="1" applyFill="1" applyBorder="1"/>
    <xf numFmtId="0" fontId="56" fillId="17" borderId="1" xfId="0" applyFont="1" applyFill="1" applyBorder="1" applyAlignment="1">
      <alignment horizontal="center" vertical="center" wrapText="1"/>
    </xf>
    <xf numFmtId="0" fontId="56" fillId="17" borderId="1" xfId="0" applyFont="1" applyFill="1" applyBorder="1" applyAlignment="1">
      <alignment horizontal="right" vertical="center" wrapText="1"/>
    </xf>
    <xf numFmtId="0" fontId="56" fillId="17" borderId="21" xfId="0" applyFont="1" applyFill="1" applyBorder="1" applyAlignment="1">
      <alignment horizontal="right" vertical="center" wrapText="1"/>
    </xf>
    <xf numFmtId="0" fontId="119" fillId="20" borderId="1" xfId="0" applyFont="1" applyFill="1" applyBorder="1" applyAlignment="1">
      <alignment horizontal="center" vertical="center"/>
    </xf>
    <xf numFmtId="0" fontId="43" fillId="17" borderId="48" xfId="0" applyFont="1" applyFill="1" applyBorder="1" applyAlignment="1">
      <alignment horizontal="center" vertical="center"/>
    </xf>
    <xf numFmtId="166" fontId="43" fillId="17" borderId="48" xfId="0" applyNumberFormat="1" applyFont="1" applyFill="1" applyBorder="1" applyAlignment="1">
      <alignment horizontal="center" vertical="center"/>
    </xf>
    <xf numFmtId="0" fontId="1" fillId="18" borderId="0" xfId="0" applyFont="1" applyFill="1"/>
    <xf numFmtId="0" fontId="43" fillId="17" borderId="48" xfId="0" applyFont="1" applyFill="1" applyBorder="1" applyAlignment="1">
      <alignment horizontal="center" wrapText="1"/>
    </xf>
    <xf numFmtId="0" fontId="1" fillId="0" borderId="0" xfId="0" applyFont="1" applyFill="1"/>
    <xf numFmtId="0" fontId="61" fillId="0" borderId="70" xfId="0" applyFont="1" applyFill="1" applyBorder="1"/>
    <xf numFmtId="0" fontId="1" fillId="0" borderId="70" xfId="0" applyFont="1" applyFill="1" applyBorder="1"/>
    <xf numFmtId="0" fontId="43" fillId="0" borderId="71" xfId="0" applyFont="1" applyFill="1" applyBorder="1"/>
    <xf numFmtId="4" fontId="43" fillId="0" borderId="71" xfId="0" applyNumberFormat="1" applyFont="1" applyFill="1" applyBorder="1" applyAlignment="1">
      <alignment horizontal="right"/>
    </xf>
    <xf numFmtId="165" fontId="43" fillId="0" borderId="71" xfId="0" applyNumberFormat="1" applyFont="1" applyFill="1" applyBorder="1" applyAlignment="1">
      <alignment horizontal="center"/>
    </xf>
    <xf numFmtId="0" fontId="61" fillId="0" borderId="1" xfId="0" applyFont="1" applyFill="1" applyBorder="1"/>
    <xf numFmtId="4" fontId="61" fillId="0" borderId="1" xfId="0" applyNumberFormat="1" applyFont="1" applyFill="1" applyBorder="1" applyAlignment="1">
      <alignment horizontal="right"/>
    </xf>
    <xf numFmtId="0" fontId="1" fillId="0" borderId="1" xfId="0" applyFont="1" applyFill="1" applyBorder="1"/>
    <xf numFmtId="165" fontId="61" fillId="0" borderId="1" xfId="0" applyNumberFormat="1" applyFont="1" applyFill="1" applyBorder="1" applyAlignment="1">
      <alignment horizontal="center"/>
    </xf>
    <xf numFmtId="0" fontId="62" fillId="0" borderId="1" xfId="0" applyFont="1" applyFill="1" applyBorder="1"/>
    <xf numFmtId="4" fontId="62" fillId="0" borderId="1" xfId="0" applyNumberFormat="1" applyFont="1" applyFill="1" applyBorder="1" applyAlignment="1">
      <alignment horizontal="right"/>
    </xf>
    <xf numFmtId="165" fontId="62" fillId="0" borderId="1" xfId="0" applyNumberFormat="1" applyFont="1" applyFill="1" applyBorder="1" applyAlignment="1">
      <alignment horizontal="center"/>
    </xf>
    <xf numFmtId="2" fontId="1" fillId="0" borderId="1" xfId="0" applyNumberFormat="1" applyFont="1" applyFill="1" applyBorder="1"/>
    <xf numFmtId="0" fontId="122" fillId="18" borderId="1" xfId="0" applyFont="1" applyFill="1" applyBorder="1" applyAlignment="1">
      <alignment horizontal="center" vertical="center"/>
    </xf>
    <xf numFmtId="0" fontId="120" fillId="17" borderId="1" xfId="0" applyFont="1" applyFill="1" applyBorder="1" applyAlignment="1">
      <alignment horizontal="center" vertical="center"/>
    </xf>
    <xf numFmtId="166" fontId="120" fillId="17" borderId="1" xfId="0" applyNumberFormat="1" applyFont="1" applyFill="1" applyBorder="1" applyAlignment="1">
      <alignment horizontal="center" vertical="center"/>
    </xf>
    <xf numFmtId="0" fontId="121" fillId="18" borderId="1" xfId="0" applyFont="1" applyFill="1" applyBorder="1"/>
    <xf numFmtId="0" fontId="120" fillId="17" borderId="1" xfId="0" applyFont="1" applyFill="1" applyBorder="1" applyAlignment="1">
      <alignment horizontal="center" wrapText="1"/>
    </xf>
    <xf numFmtId="0" fontId="64" fillId="0" borderId="18" xfId="0" applyFont="1" applyFill="1" applyBorder="1"/>
    <xf numFmtId="0" fontId="1" fillId="0" borderId="18" xfId="0" applyFont="1" applyFill="1" applyBorder="1"/>
    <xf numFmtId="0" fontId="64" fillId="0" borderId="1" xfId="0" applyFont="1" applyFill="1" applyBorder="1"/>
    <xf numFmtId="0" fontId="65" fillId="0" borderId="1" xfId="0" applyFont="1" applyFill="1" applyBorder="1"/>
    <xf numFmtId="4" fontId="65" fillId="0" borderId="1" xfId="0" applyNumberFormat="1" applyFont="1" applyFill="1" applyBorder="1" applyAlignment="1">
      <alignment horizontal="right"/>
    </xf>
    <xf numFmtId="165" fontId="65" fillId="0" borderId="1" xfId="0" applyNumberFormat="1" applyFont="1" applyFill="1" applyBorder="1" applyAlignment="1">
      <alignment horizontal="center"/>
    </xf>
    <xf numFmtId="4" fontId="64" fillId="0" borderId="1" xfId="0" applyNumberFormat="1" applyFont="1" applyFill="1" applyBorder="1" applyAlignment="1">
      <alignment horizontal="right"/>
    </xf>
    <xf numFmtId="165" fontId="64" fillId="0" borderId="1" xfId="0" applyNumberFormat="1" applyFont="1" applyFill="1" applyBorder="1" applyAlignment="1">
      <alignment horizontal="center"/>
    </xf>
    <xf numFmtId="0" fontId="22" fillId="0" borderId="1" xfId="0" applyFont="1" applyFill="1" applyBorder="1"/>
    <xf numFmtId="4" fontId="22" fillId="0" borderId="1" xfId="0" applyNumberFormat="1" applyFont="1" applyFill="1" applyBorder="1" applyAlignment="1">
      <alignment horizontal="right"/>
    </xf>
    <xf numFmtId="165" fontId="22" fillId="0" borderId="1" xfId="0" applyNumberFormat="1" applyFont="1" applyFill="1" applyBorder="1" applyAlignment="1">
      <alignment horizontal="center"/>
    </xf>
    <xf numFmtId="0" fontId="123" fillId="17" borderId="48" xfId="0" applyFont="1" applyFill="1" applyBorder="1" applyAlignment="1">
      <alignment horizontal="center" vertical="center"/>
    </xf>
    <xf numFmtId="166" fontId="123" fillId="17" borderId="48" xfId="0" applyNumberFormat="1" applyFont="1" applyFill="1" applyBorder="1" applyAlignment="1">
      <alignment horizontal="center" vertical="center"/>
    </xf>
    <xf numFmtId="0" fontId="111" fillId="18" borderId="0" xfId="0" applyFont="1" applyFill="1"/>
    <xf numFmtId="0" fontId="123" fillId="17" borderId="48" xfId="0" applyFont="1" applyFill="1" applyBorder="1" applyAlignment="1">
      <alignment horizontal="center" wrapText="1"/>
    </xf>
    <xf numFmtId="0" fontId="26" fillId="18" borderId="0" xfId="0" applyFont="1" applyFill="1" applyAlignment="1">
      <alignment horizontal="center" vertical="center"/>
    </xf>
    <xf numFmtId="0" fontId="22" fillId="0" borderId="71" xfId="0" applyFont="1" applyFill="1" applyBorder="1"/>
    <xf numFmtId="4" fontId="22" fillId="0" borderId="71" xfId="0" applyNumberFormat="1" applyFont="1" applyFill="1" applyBorder="1" applyAlignment="1">
      <alignment horizontal="right"/>
    </xf>
    <xf numFmtId="165" fontId="22" fillId="0" borderId="71" xfId="0" applyNumberFormat="1" applyFont="1" applyFill="1" applyBorder="1" applyAlignment="1">
      <alignment horizontal="center"/>
    </xf>
    <xf numFmtId="0" fontId="64" fillId="0" borderId="70" xfId="0" applyFont="1" applyFill="1" applyBorder="1"/>
    <xf numFmtId="0" fontId="125" fillId="17" borderId="1" xfId="0" applyFont="1" applyFill="1" applyBorder="1" applyAlignment="1">
      <alignment horizontal="center" vertical="center"/>
    </xf>
    <xf numFmtId="0" fontId="54" fillId="17" borderId="1" xfId="0" applyFont="1" applyFill="1" applyBorder="1" applyAlignment="1">
      <alignment vertical="center"/>
    </xf>
    <xf numFmtId="0" fontId="73" fillId="17" borderId="1" xfId="0" applyFont="1" applyFill="1" applyBorder="1"/>
    <xf numFmtId="164" fontId="73" fillId="17" borderId="1" xfId="0" applyNumberFormat="1" applyFont="1" applyFill="1" applyBorder="1"/>
    <xf numFmtId="164" fontId="73" fillId="17" borderId="21" xfId="0" applyNumberFormat="1" applyFont="1" applyFill="1" applyBorder="1"/>
    <xf numFmtId="0" fontId="106" fillId="17" borderId="1" xfId="0" applyFont="1" applyFill="1" applyBorder="1"/>
    <xf numFmtId="164" fontId="106" fillId="17" borderId="1" xfId="0" applyNumberFormat="1" applyFont="1" applyFill="1" applyBorder="1"/>
    <xf numFmtId="164" fontId="106" fillId="17" borderId="21" xfId="0" applyNumberFormat="1" applyFont="1" applyFill="1" applyBorder="1"/>
    <xf numFmtId="0" fontId="126" fillId="18" borderId="1" xfId="0" applyFont="1" applyFill="1" applyBorder="1" applyAlignment="1">
      <alignment horizontal="center" vertical="center"/>
    </xf>
    <xf numFmtId="0" fontId="126" fillId="16" borderId="1" xfId="0" applyFont="1" applyFill="1" applyBorder="1" applyAlignment="1">
      <alignment horizontal="center" vertical="center"/>
    </xf>
    <xf numFmtId="0" fontId="56" fillId="17" borderId="0" xfId="0" applyFont="1" applyFill="1"/>
    <xf numFmtId="164" fontId="56" fillId="17" borderId="0" xfId="0" applyNumberFormat="1" applyFont="1" applyFill="1"/>
    <xf numFmtId="0" fontId="127" fillId="16" borderId="1" xfId="0" applyFont="1" applyFill="1" applyBorder="1" applyAlignment="1">
      <alignment horizontal="center" vertical="center"/>
    </xf>
    <xf numFmtId="0" fontId="76" fillId="17" borderId="1" xfId="0" applyFont="1" applyFill="1" applyBorder="1" applyAlignment="1">
      <alignment horizontal="center" vertical="center"/>
    </xf>
    <xf numFmtId="0" fontId="77" fillId="17" borderId="18" xfId="0" applyFont="1" applyFill="1" applyBorder="1" applyAlignment="1">
      <alignment horizontal="left" vertical="center" wrapText="1"/>
    </xf>
    <xf numFmtId="0" fontId="77" fillId="17" borderId="18" xfId="0" applyFont="1" applyFill="1" applyBorder="1" applyAlignment="1">
      <alignment horizontal="right"/>
    </xf>
    <xf numFmtId="0" fontId="117" fillId="17" borderId="1" xfId="0" applyFont="1" applyFill="1" applyBorder="1" applyAlignment="1">
      <alignment horizontal="center" vertical="center"/>
    </xf>
    <xf numFmtId="0" fontId="128" fillId="17" borderId="50" xfId="0" applyFont="1" applyFill="1" applyBorder="1" applyAlignment="1">
      <alignment horizontal="left"/>
    </xf>
    <xf numFmtId="0" fontId="76" fillId="17" borderId="27" xfId="0" applyFont="1" applyFill="1" applyBorder="1"/>
    <xf numFmtId="0" fontId="77" fillId="17" borderId="28" xfId="0" applyFont="1" applyFill="1" applyBorder="1"/>
    <xf numFmtId="0" fontId="32" fillId="17" borderId="27" xfId="0" applyFont="1" applyFill="1" applyBorder="1" applyAlignment="1">
      <alignment vertical="center"/>
    </xf>
    <xf numFmtId="0" fontId="124" fillId="17" borderId="1" xfId="0" applyFont="1" applyFill="1" applyBorder="1" applyAlignment="1">
      <alignment horizontal="center" vertical="center"/>
    </xf>
    <xf numFmtId="0" fontId="68" fillId="17" borderId="1" xfId="0" applyFont="1" applyFill="1" applyBorder="1" applyAlignment="1">
      <alignment horizontal="left" vertical="center"/>
    </xf>
    <xf numFmtId="0" fontId="68" fillId="17" borderId="1" xfId="0" applyFont="1" applyFill="1" applyBorder="1"/>
    <xf numFmtId="0" fontId="73" fillId="17" borderId="1" xfId="0" applyFont="1" applyFill="1" applyBorder="1" applyAlignment="1">
      <alignment horizontal="right" vertical="top"/>
    </xf>
    <xf numFmtId="0" fontId="68" fillId="17" borderId="1" xfId="0" applyFont="1" applyFill="1" applyBorder="1" applyAlignment="1">
      <alignment horizontal="center"/>
    </xf>
    <xf numFmtId="0" fontId="83" fillId="17" borderId="24" xfId="0" applyFont="1" applyFill="1" applyBorder="1" applyAlignment="1">
      <alignment horizontal="center" vertical="center" wrapText="1"/>
    </xf>
    <xf numFmtId="0" fontId="129" fillId="16" borderId="1" xfId="0" applyFont="1" applyFill="1" applyBorder="1" applyAlignment="1">
      <alignment horizontal="center"/>
    </xf>
    <xf numFmtId="0" fontId="55" fillId="17" borderId="1" xfId="0" applyFont="1" applyFill="1" applyBorder="1" applyAlignment="1">
      <alignment horizontal="left" vertical="center"/>
    </xf>
    <xf numFmtId="0" fontId="55" fillId="17" borderId="1" xfId="0" applyFont="1" applyFill="1" applyBorder="1" applyAlignment="1">
      <alignment horizontal="center" vertical="center"/>
    </xf>
    <xf numFmtId="0" fontId="68" fillId="17" borderId="1" xfId="0" applyFont="1" applyFill="1" applyBorder="1" applyAlignment="1">
      <alignment horizontal="center" vertical="center"/>
    </xf>
    <xf numFmtId="0" fontId="68" fillId="17" borderId="1" xfId="0" applyFont="1" applyFill="1" applyBorder="1" applyAlignment="1">
      <alignment horizontal="right" vertical="center"/>
    </xf>
    <xf numFmtId="0" fontId="68" fillId="17" borderId="1" xfId="0" applyFont="1" applyFill="1" applyBorder="1" applyAlignment="1">
      <alignment horizontal="right" vertical="center" wrapText="1"/>
    </xf>
    <xf numFmtId="0" fontId="54" fillId="17" borderId="16" xfId="0" applyFont="1" applyFill="1" applyBorder="1" applyAlignment="1">
      <alignment horizontal="center"/>
    </xf>
    <xf numFmtId="0" fontId="56" fillId="17" borderId="1" xfId="0" applyFont="1" applyFill="1" applyBorder="1" applyAlignment="1">
      <alignment horizontal="center"/>
    </xf>
    <xf numFmtId="0" fontId="89" fillId="17" borderId="1" xfId="0" applyFont="1" applyFill="1" applyBorder="1" applyAlignment="1">
      <alignment horizontal="center"/>
    </xf>
    <xf numFmtId="0" fontId="77" fillId="18" borderId="1" xfId="0" applyFont="1" applyFill="1" applyBorder="1"/>
    <xf numFmtId="164" fontId="27" fillId="17" borderId="1" xfId="0" applyNumberFormat="1" applyFont="1" applyFill="1" applyBorder="1" applyAlignment="1">
      <alignment horizontal="center" vertical="center"/>
    </xf>
    <xf numFmtId="0" fontId="56" fillId="17" borderId="1" xfId="0" applyFont="1" applyFill="1" applyBorder="1" applyAlignment="1">
      <alignment horizontal="right"/>
    </xf>
    <xf numFmtId="0" fontId="130" fillId="18" borderId="1" xfId="0" applyFont="1" applyFill="1" applyBorder="1" applyAlignment="1">
      <alignment horizontal="center" vertical="center"/>
    </xf>
    <xf numFmtId="0" fontId="131" fillId="17" borderId="1" xfId="0" applyFont="1" applyFill="1" applyBorder="1" applyAlignment="1">
      <alignment horizontal="center"/>
    </xf>
    <xf numFmtId="0" fontId="131" fillId="17" borderId="18" xfId="0" applyFont="1" applyFill="1" applyBorder="1" applyAlignment="1">
      <alignment horizontal="center"/>
    </xf>
    <xf numFmtId="0" fontId="114" fillId="20" borderId="1" xfId="0" applyFont="1" applyFill="1" applyBorder="1" applyAlignment="1">
      <alignment horizontal="center" vertical="center"/>
    </xf>
    <xf numFmtId="0" fontId="132" fillId="21" borderId="0" xfId="0" applyFont="1" applyFill="1"/>
    <xf numFmtId="0" fontId="133" fillId="21" borderId="23" xfId="0" applyFont="1" applyFill="1" applyBorder="1"/>
    <xf numFmtId="0" fontId="134" fillId="21" borderId="0" xfId="0" applyFont="1" applyFill="1"/>
    <xf numFmtId="0" fontId="90" fillId="22" borderId="1" xfId="0" applyFont="1" applyFill="1" applyBorder="1" applyAlignment="1">
      <alignment horizontal="left"/>
    </xf>
    <xf numFmtId="0" fontId="81" fillId="22" borderId="1" xfId="0" applyFont="1" applyFill="1" applyBorder="1" applyAlignment="1">
      <alignment horizontal="left"/>
    </xf>
    <xf numFmtId="0" fontId="81" fillId="22" borderId="27" xfId="0" applyFont="1" applyFill="1" applyBorder="1"/>
    <xf numFmtId="0" fontId="81" fillId="22" borderId="21" xfId="0" applyFont="1" applyFill="1" applyBorder="1"/>
    <xf numFmtId="0" fontId="81" fillId="22" borderId="0" xfId="0" applyFont="1" applyFill="1"/>
    <xf numFmtId="0" fontId="0" fillId="17" borderId="0" xfId="0" applyFill="1"/>
    <xf numFmtId="0" fontId="73" fillId="17" borderId="16" xfId="0" applyFont="1" applyFill="1" applyBorder="1"/>
    <xf numFmtId="0" fontId="56" fillId="17" borderId="1" xfId="0" applyFont="1" applyFill="1" applyBorder="1"/>
    <xf numFmtId="0" fontId="130" fillId="18" borderId="0" xfId="0" applyFont="1" applyFill="1" applyAlignment="1">
      <alignment horizontal="center" vertical="center"/>
    </xf>
    <xf numFmtId="0" fontId="56" fillId="23" borderId="0" xfId="0" applyFont="1" applyFill="1"/>
    <xf numFmtId="0" fontId="135" fillId="23" borderId="0" xfId="0" applyFont="1" applyFill="1"/>
    <xf numFmtId="0" fontId="127" fillId="23" borderId="0" xfId="0" applyFont="1" applyFill="1" applyAlignment="1">
      <alignment horizontal="center"/>
    </xf>
    <xf numFmtId="0" fontId="136" fillId="23" borderId="0" xfId="0" applyFont="1" applyFill="1" applyAlignment="1">
      <alignment horizontal="center"/>
    </xf>
    <xf numFmtId="0" fontId="106" fillId="23" borderId="23" xfId="0" applyFont="1" applyFill="1" applyBorder="1"/>
    <xf numFmtId="0" fontId="106" fillId="23" borderId="23" xfId="0" applyFont="1" applyFill="1" applyBorder="1" applyAlignment="1">
      <alignment horizontal="center"/>
    </xf>
    <xf numFmtId="0" fontId="100" fillId="23" borderId="23" xfId="0" applyFont="1" applyFill="1" applyBorder="1"/>
    <xf numFmtId="0" fontId="106" fillId="23" borderId="23" xfId="0" applyFont="1" applyFill="1" applyBorder="1" applyAlignment="1">
      <alignment vertical="center"/>
    </xf>
    <xf numFmtId="0" fontId="106" fillId="23" borderId="23" xfId="0" applyFont="1" applyFill="1" applyBorder="1" applyAlignment="1">
      <alignment wrapText="1"/>
    </xf>
    <xf numFmtId="0" fontId="137" fillId="23" borderId="0" xfId="0" applyFont="1" applyFill="1" applyAlignment="1">
      <alignment horizontal="left" vertical="center" indent="1"/>
    </xf>
    <xf numFmtId="0" fontId="137" fillId="23" borderId="0" xfId="0" applyFont="1" applyFill="1" applyAlignment="1">
      <alignment horizontal="left" vertical="center"/>
    </xf>
    <xf numFmtId="0" fontId="137" fillId="23" borderId="0" xfId="0" applyFont="1" applyFill="1" applyAlignment="1">
      <alignment horizontal="right" vertical="center" wrapText="1"/>
    </xf>
    <xf numFmtId="0" fontId="56" fillId="23" borderId="0" xfId="0" applyFont="1" applyFill="1" applyAlignment="1">
      <alignment horizontal="right" vertical="center" wrapText="1"/>
    </xf>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B0000"/>
      <rgbColor rgb="FF145A32"/>
      <rgbColor rgb="FF0D0D0D"/>
      <rgbColor rgb="FF666666"/>
      <rgbColor rgb="FF800080"/>
      <rgbColor rgb="FF1F497D"/>
      <rgbColor rgb="FFBFBFBF"/>
      <rgbColor rgb="FF808080"/>
      <rgbColor rgb="FFF5F5F5"/>
      <rgbColor rgb="FF953735"/>
      <rgbColor rgb="FFF0FFF4"/>
      <rgbColor rgb="FFF0F4FF"/>
      <rgbColor rgb="FF660066"/>
      <rgbColor rgb="FFFF8080"/>
      <rgbColor rgb="FF0070C0"/>
      <rgbColor rgb="FFD0D0D0"/>
      <rgbColor rgb="FF1F3864"/>
      <rgbColor rgb="FFFF00FF"/>
      <rgbColor rgb="FFFCE8E9"/>
      <rgbColor rgb="FF00FFFF"/>
      <rgbColor rgb="FF800080"/>
      <rgbColor rgb="FF800000"/>
      <rgbColor rgb="FF008080"/>
      <rgbColor rgb="FF0000FF"/>
      <rgbColor rgb="FF00CCFF"/>
      <rgbColor rgb="FFDCE6F2"/>
      <rgbColor rgb="FFF2F2F2"/>
      <rgbColor rgb="FFFFE8E8"/>
      <rgbColor rgb="FFD8D8D8"/>
      <rgbColor rgb="FFDDDDDD"/>
      <rgbColor rgb="FFD9D9D9"/>
      <rgbColor rgb="FFF2DCDB"/>
      <rgbColor rgb="FF645DF9"/>
      <rgbColor rgb="FF33CCCC"/>
      <rgbColor rgb="FF99CC00"/>
      <rgbColor rgb="FFF8F8FC"/>
      <rgbColor rgb="FFFF9900"/>
      <rgbColor rgb="FFFF5050"/>
      <rgbColor rgb="FF606F7B"/>
      <rgbColor rgb="FF8064A2"/>
      <rgbColor rgb="FF002060"/>
      <rgbColor rgb="FF595959"/>
      <rgbColor rgb="FF181818"/>
      <rgbColor rgb="FF22222F"/>
      <rgbColor rgb="FFED1F2C"/>
      <rgbColor rgb="FFC0504D"/>
      <rgbColor rgb="FF1A3A8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Forecasting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Forecasting!$D$4</c:f>
              <c:strCache>
                <c:ptCount val="1"/>
                <c:pt idx="0">
                  <c:v>Sales</c:v>
                </c:pt>
              </c:strCache>
            </c:strRef>
          </c:tx>
          <c:spPr>
            <a:solidFill>
              <a:schemeClr val="accent1"/>
            </a:solidFill>
            <a:ln>
              <a:noFill/>
            </a:ln>
            <a:effectLst/>
          </c:spPr>
          <c:invertIfNegative val="0"/>
          <c:cat>
            <c:numRef>
              <c:f>Forecasting!$B$5:$B$14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Forecasting!$D$5:$D$14</c:f>
              <c:numCache>
                <c:formatCode>#,##0.00</c:formatCode>
                <c:ptCount val="10"/>
                <c:pt idx="0">
                  <c:v>2441.92</c:v>
                </c:pt>
                <c:pt idx="1">
                  <c:v>3828.51</c:v>
                </c:pt>
                <c:pt idx="2">
                  <c:v>6804.35</c:v>
                </c:pt>
                <c:pt idx="3">
                  <c:v>5909.02</c:v>
                </c:pt>
                <c:pt idx="4">
                  <c:v>7360.06</c:v>
                </c:pt>
                <c:pt idx="5" formatCode="0.00">
                  <c:v>8843.8090000000011</c:v>
                </c:pt>
                <c:pt idx="6" formatCode="0.00">
                  <c:v>10035.488000000001</c:v>
                </c:pt>
                <c:pt idx="7" formatCode="0.00">
                  <c:v>11227.167000000001</c:v>
                </c:pt>
                <c:pt idx="8" formatCode="0.00">
                  <c:v>12418.846000000001</c:v>
                </c:pt>
                <c:pt idx="9" formatCode="0.00">
                  <c:v>13610.525000000001</c:v>
                </c:pt>
              </c:numCache>
            </c:numRef>
          </c:val>
          <c:extLst>
            <c:ext xmlns:c16="http://schemas.microsoft.com/office/drawing/2014/chart" uri="{C3380CC4-5D6E-409C-BE32-E72D297353CC}">
              <c16:uniqueId val="{00000000-1259-464C-B969-61A263ACD05C}"/>
            </c:ext>
          </c:extLst>
        </c:ser>
        <c:dLbls>
          <c:showLegendKey val="0"/>
          <c:showVal val="0"/>
          <c:showCatName val="0"/>
          <c:showSerName val="0"/>
          <c:showPercent val="0"/>
          <c:showBubbleSize val="0"/>
        </c:dLbls>
        <c:gapWidth val="219"/>
        <c:overlap val="-27"/>
        <c:axId val="661442720"/>
        <c:axId val="515022480"/>
      </c:barChart>
      <c:lineChart>
        <c:grouping val="standard"/>
        <c:varyColors val="0"/>
        <c:ser>
          <c:idx val="1"/>
          <c:order val="1"/>
          <c:tx>
            <c:strRef>
              <c:f>Forecasting!$E$4</c:f>
              <c:strCache>
                <c:ptCount val="1"/>
                <c:pt idx="0">
                  <c:v>Sales Growth</c:v>
                </c:pt>
              </c:strCache>
            </c:strRef>
          </c:tx>
          <c:spPr>
            <a:ln w="28575" cap="rnd">
              <a:solidFill>
                <a:schemeClr val="accent2"/>
              </a:solidFill>
              <a:round/>
            </a:ln>
            <a:effectLst/>
          </c:spPr>
          <c:marker>
            <c:symbol val="none"/>
          </c:marker>
          <c:cat>
            <c:numRef>
              <c:f>Forecasting!$B$5:$B$14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Forecasting!$E$5:$E$14</c:f>
              <c:numCache>
                <c:formatCode>0.00%</c:formatCode>
                <c:ptCount val="10"/>
                <c:pt idx="1">
                  <c:v>0.56782777486567948</c:v>
                </c:pt>
                <c:pt idx="2">
                  <c:v>0.77728411314062129</c:v>
                </c:pt>
                <c:pt idx="3">
                  <c:v>-0.131582002689456</c:v>
                </c:pt>
                <c:pt idx="4">
                  <c:v>0.24556356214736114</c:v>
                </c:pt>
                <c:pt idx="5">
                  <c:v>0.20159468808678199</c:v>
                </c:pt>
                <c:pt idx="6">
                  <c:v>0.13474725652713665</c:v>
                </c:pt>
                <c:pt idx="7">
                  <c:v>0.11874649244760195</c:v>
                </c:pt>
                <c:pt idx="8">
                  <c:v>0.10614244893658391</c:v>
                </c:pt>
                <c:pt idx="9">
                  <c:v>9.5957305533863613E-2</c:v>
                </c:pt>
              </c:numCache>
            </c:numRef>
          </c:val>
          <c:smooth val="0"/>
          <c:extLst>
            <c:ext xmlns:c16="http://schemas.microsoft.com/office/drawing/2014/chart" uri="{C3380CC4-5D6E-409C-BE32-E72D297353CC}">
              <c16:uniqueId val="{00000001-1259-464C-B969-61A263ACD05C}"/>
            </c:ext>
          </c:extLst>
        </c:ser>
        <c:dLbls>
          <c:showLegendKey val="0"/>
          <c:showVal val="0"/>
          <c:showCatName val="0"/>
          <c:showSerName val="0"/>
          <c:showPercent val="0"/>
          <c:showBubbleSize val="0"/>
        </c:dLbls>
        <c:marker val="1"/>
        <c:smooth val="0"/>
        <c:axId val="661441792"/>
        <c:axId val="515024400"/>
      </c:lineChart>
      <c:catAx>
        <c:axId val="66144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022480"/>
        <c:crosses val="autoZero"/>
        <c:auto val="1"/>
        <c:lblAlgn val="ctr"/>
        <c:lblOffset val="100"/>
        <c:noMultiLvlLbl val="0"/>
      </c:catAx>
      <c:valAx>
        <c:axId val="5150224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442720"/>
        <c:crosses val="autoZero"/>
        <c:crossBetween val="between"/>
      </c:valAx>
      <c:valAx>
        <c:axId val="51502440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441792"/>
        <c:crosses val="max"/>
        <c:crossBetween val="between"/>
      </c:valAx>
      <c:catAx>
        <c:axId val="661441792"/>
        <c:scaling>
          <c:orientation val="minMax"/>
        </c:scaling>
        <c:delete val="1"/>
        <c:axPos val="b"/>
        <c:numFmt formatCode="General" sourceLinked="1"/>
        <c:majorTickMark val="none"/>
        <c:minorTickMark val="none"/>
        <c:tickLblPos val="nextTo"/>
        <c:crossAx val="51502440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131400</xdr:colOff>
      <xdr:row>0</xdr:row>
      <xdr:rowOff>14760</xdr:rowOff>
    </xdr:from>
    <xdr:to>
      <xdr:col>2</xdr:col>
      <xdr:colOff>1728000</xdr:colOff>
      <xdr:row>1</xdr:row>
      <xdr:rowOff>2160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31400" y="14760"/>
          <a:ext cx="2378160" cy="6159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68400</xdr:colOff>
      <xdr:row>0</xdr:row>
      <xdr:rowOff>29160</xdr:rowOff>
    </xdr:from>
    <xdr:to>
      <xdr:col>1</xdr:col>
      <xdr:colOff>2460240</xdr:colOff>
      <xdr:row>0</xdr:row>
      <xdr:rowOff>618840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311760" y="29160"/>
          <a:ext cx="2391840" cy="589680"/>
        </a:xfrm>
        <a:prstGeom prst="rect">
          <a:avLst/>
        </a:prstGeom>
        <a:ln w="0">
          <a:noFill/>
        </a:ln>
      </xdr:spPr>
    </xdr:pic>
    <xdr:clientData/>
  </xdr:twoCellAnchor>
  <xdr:twoCellAnchor editAs="oneCell">
    <xdr:from>
      <xdr:col>15</xdr:col>
      <xdr:colOff>0</xdr:colOff>
      <xdr:row>4</xdr:row>
      <xdr:rowOff>0</xdr:rowOff>
    </xdr:from>
    <xdr:to>
      <xdr:col>25</xdr:col>
      <xdr:colOff>10080</xdr:colOff>
      <xdr:row>22</xdr:row>
      <xdr:rowOff>23400</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748480" y="1171440"/>
          <a:ext cx="6093360" cy="36241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37080</xdr:rowOff>
    </xdr:from>
    <xdr:to>
      <xdr:col>0</xdr:col>
      <xdr:colOff>2093400</xdr:colOff>
      <xdr:row>0</xdr:row>
      <xdr:rowOff>538560</xdr:rowOff>
    </xdr:to>
    <xdr:pic>
      <xdr:nvPicPr>
        <xdr:cNvPr id="3" name="Picture 1">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0" y="37080"/>
          <a:ext cx="2093400" cy="5014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24480</xdr:colOff>
      <xdr:row>0</xdr:row>
      <xdr:rowOff>130320</xdr:rowOff>
    </xdr:from>
    <xdr:to>
      <xdr:col>1</xdr:col>
      <xdr:colOff>2117880</xdr:colOff>
      <xdr:row>1</xdr:row>
      <xdr:rowOff>37440</xdr:rowOff>
    </xdr:to>
    <xdr:pic>
      <xdr:nvPicPr>
        <xdr:cNvPr id="4" name="Picture 1">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184680" y="130320"/>
          <a:ext cx="2093400" cy="49752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25065</xdr:colOff>
      <xdr:row>0</xdr:row>
      <xdr:rowOff>0</xdr:rowOff>
    </xdr:from>
    <xdr:to>
      <xdr:col>1</xdr:col>
      <xdr:colOff>2118465</xdr:colOff>
      <xdr:row>2</xdr:row>
      <xdr:rowOff>360</xdr:rowOff>
    </xdr:to>
    <xdr:pic>
      <xdr:nvPicPr>
        <xdr:cNvPr id="5" name="Picture 1">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1"/>
        <a:stretch/>
      </xdr:blipFill>
      <xdr:spPr>
        <a:xfrm>
          <a:off x="175460" y="0"/>
          <a:ext cx="2093400" cy="501676"/>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164520</xdr:colOff>
      <xdr:row>0</xdr:row>
      <xdr:rowOff>0</xdr:rowOff>
    </xdr:from>
    <xdr:to>
      <xdr:col>1</xdr:col>
      <xdr:colOff>1699200</xdr:colOff>
      <xdr:row>1</xdr:row>
      <xdr:rowOff>159840</xdr:rowOff>
    </xdr:to>
    <xdr:pic>
      <xdr:nvPicPr>
        <xdr:cNvPr id="6" name="Picture 1">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1"/>
        <a:stretch/>
      </xdr:blipFill>
      <xdr:spPr>
        <a:xfrm>
          <a:off x="164520" y="0"/>
          <a:ext cx="1713600" cy="40752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12960</xdr:colOff>
      <xdr:row>0</xdr:row>
      <xdr:rowOff>6480</xdr:rowOff>
    </xdr:from>
    <xdr:to>
      <xdr:col>1</xdr:col>
      <xdr:colOff>1377360</xdr:colOff>
      <xdr:row>0</xdr:row>
      <xdr:rowOff>376200</xdr:rowOff>
    </xdr:to>
    <xdr:pic>
      <xdr:nvPicPr>
        <xdr:cNvPr id="7" name="Picture 1">
          <a:extLst>
            <a:ext uri="{FF2B5EF4-FFF2-40B4-BE49-F238E27FC236}">
              <a16:creationId xmlns:a16="http://schemas.microsoft.com/office/drawing/2014/main" id="{00000000-0008-0000-0600-000007000000}"/>
            </a:ext>
          </a:extLst>
        </xdr:cNvPr>
        <xdr:cNvPicPr/>
      </xdr:nvPicPr>
      <xdr:blipFill>
        <a:blip xmlns:r="http://schemas.openxmlformats.org/officeDocument/2006/relationships" r:embed="rId1"/>
        <a:stretch/>
      </xdr:blipFill>
      <xdr:spPr>
        <a:xfrm>
          <a:off x="218160" y="6480"/>
          <a:ext cx="1364400" cy="36972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551102</xdr:colOff>
      <xdr:row>3</xdr:row>
      <xdr:rowOff>78282</xdr:rowOff>
    </xdr:from>
    <xdr:to>
      <xdr:col>22</xdr:col>
      <xdr:colOff>110097</xdr:colOff>
      <xdr:row>8</xdr:row>
      <xdr:rowOff>348643</xdr:rowOff>
    </xdr:to>
    <xdr:pic>
      <xdr:nvPicPr>
        <xdr:cNvPr id="8" name="Picture 1">
          <a:extLst>
            <a:ext uri="{FF2B5EF4-FFF2-40B4-BE49-F238E27FC236}">
              <a16:creationId xmlns:a16="http://schemas.microsoft.com/office/drawing/2014/main" id="{00000000-0008-0000-0700-000008000000}"/>
            </a:ext>
          </a:extLst>
        </xdr:cNvPr>
        <xdr:cNvPicPr/>
      </xdr:nvPicPr>
      <xdr:blipFill>
        <a:blip xmlns:r="http://schemas.openxmlformats.org/officeDocument/2006/relationships" r:embed="rId1"/>
        <a:stretch/>
      </xdr:blipFill>
      <xdr:spPr>
        <a:xfrm>
          <a:off x="10373118" y="1030782"/>
          <a:ext cx="6153982" cy="2605522"/>
        </a:xfrm>
        <a:prstGeom prst="rect">
          <a:avLst/>
        </a:prstGeom>
        <a:ln w="0">
          <a:noFill/>
        </a:ln>
      </xdr:spPr>
    </xdr:pic>
    <xdr:clientData/>
  </xdr:twoCellAnchor>
  <xdr:twoCellAnchor editAs="oneCell">
    <xdr:from>
      <xdr:col>0</xdr:col>
      <xdr:colOff>162720</xdr:colOff>
      <xdr:row>0</xdr:row>
      <xdr:rowOff>108360</xdr:rowOff>
    </xdr:from>
    <xdr:to>
      <xdr:col>1</xdr:col>
      <xdr:colOff>1585800</xdr:colOff>
      <xdr:row>1</xdr:row>
      <xdr:rowOff>145440</xdr:rowOff>
    </xdr:to>
    <xdr:pic>
      <xdr:nvPicPr>
        <xdr:cNvPr id="9" name="Picture 2">
          <a:extLst>
            <a:ext uri="{FF2B5EF4-FFF2-40B4-BE49-F238E27FC236}">
              <a16:creationId xmlns:a16="http://schemas.microsoft.com/office/drawing/2014/main" id="{00000000-0008-0000-0700-000009000000}"/>
            </a:ext>
          </a:extLst>
        </xdr:cNvPr>
        <xdr:cNvPicPr/>
      </xdr:nvPicPr>
      <xdr:blipFill>
        <a:blip xmlns:r="http://schemas.openxmlformats.org/officeDocument/2006/relationships" r:embed="rId2"/>
        <a:stretch/>
      </xdr:blipFill>
      <xdr:spPr>
        <a:xfrm>
          <a:off x="162720" y="108360"/>
          <a:ext cx="1608480" cy="51336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2880</xdr:rowOff>
    </xdr:from>
    <xdr:to>
      <xdr:col>7</xdr:col>
      <xdr:colOff>75960</xdr:colOff>
      <xdr:row>16</xdr:row>
      <xdr:rowOff>105840</xdr:rowOff>
    </xdr:to>
    <xdr:pic>
      <xdr:nvPicPr>
        <xdr:cNvPr id="10" name="Picture 1">
          <a:extLst>
            <a:ext uri="{FF2B5EF4-FFF2-40B4-BE49-F238E27FC236}">
              <a16:creationId xmlns:a16="http://schemas.microsoft.com/office/drawing/2014/main" id="{00000000-0008-0000-0800-00000A000000}"/>
            </a:ext>
          </a:extLst>
        </xdr:cNvPr>
        <xdr:cNvPicPr/>
      </xdr:nvPicPr>
      <xdr:blipFill>
        <a:blip xmlns:r="http://schemas.openxmlformats.org/officeDocument/2006/relationships" r:embed="rId1"/>
        <a:stretch/>
      </xdr:blipFill>
      <xdr:spPr>
        <a:xfrm>
          <a:off x="0" y="441000"/>
          <a:ext cx="7041240" cy="300816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29880</xdr:colOff>
      <xdr:row>0</xdr:row>
      <xdr:rowOff>0</xdr:rowOff>
    </xdr:from>
    <xdr:to>
      <xdr:col>1</xdr:col>
      <xdr:colOff>1285560</xdr:colOff>
      <xdr:row>1</xdr:row>
      <xdr:rowOff>213840</xdr:rowOff>
    </xdr:to>
    <xdr:pic>
      <xdr:nvPicPr>
        <xdr:cNvPr id="11" name="Picture 1">
          <a:extLst>
            <a:ext uri="{FF2B5EF4-FFF2-40B4-BE49-F238E27FC236}">
              <a16:creationId xmlns:a16="http://schemas.microsoft.com/office/drawing/2014/main" id="{00000000-0008-0000-0D00-00000B000000}"/>
            </a:ext>
          </a:extLst>
        </xdr:cNvPr>
        <xdr:cNvPicPr/>
      </xdr:nvPicPr>
      <xdr:blipFill>
        <a:blip xmlns:r="http://schemas.openxmlformats.org/officeDocument/2006/relationships" r:embed="rId1"/>
        <a:stretch/>
      </xdr:blipFill>
      <xdr:spPr>
        <a:xfrm>
          <a:off x="183600" y="0"/>
          <a:ext cx="1255680" cy="39492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31680</xdr:colOff>
      <xdr:row>0</xdr:row>
      <xdr:rowOff>0</xdr:rowOff>
    </xdr:from>
    <xdr:to>
      <xdr:col>1</xdr:col>
      <xdr:colOff>1287360</xdr:colOff>
      <xdr:row>1</xdr:row>
      <xdr:rowOff>183240</xdr:rowOff>
    </xdr:to>
    <xdr:pic>
      <xdr:nvPicPr>
        <xdr:cNvPr id="12" name="Picture 1">
          <a:extLst>
            <a:ext uri="{FF2B5EF4-FFF2-40B4-BE49-F238E27FC236}">
              <a16:creationId xmlns:a16="http://schemas.microsoft.com/office/drawing/2014/main" id="{00000000-0008-0000-0E00-00000C000000}"/>
            </a:ext>
          </a:extLst>
        </xdr:cNvPr>
        <xdr:cNvPicPr/>
      </xdr:nvPicPr>
      <xdr:blipFill>
        <a:blip xmlns:r="http://schemas.openxmlformats.org/officeDocument/2006/relationships" r:embed="rId1"/>
        <a:stretch/>
      </xdr:blipFill>
      <xdr:spPr>
        <a:xfrm>
          <a:off x="204480" y="0"/>
          <a:ext cx="1255680" cy="36432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76320</xdr:colOff>
      <xdr:row>0</xdr:row>
      <xdr:rowOff>6480</xdr:rowOff>
    </xdr:from>
    <xdr:to>
      <xdr:col>1</xdr:col>
      <xdr:colOff>1332000</xdr:colOff>
      <xdr:row>1</xdr:row>
      <xdr:rowOff>163800</xdr:rowOff>
    </xdr:to>
    <xdr:pic>
      <xdr:nvPicPr>
        <xdr:cNvPr id="13" name="Picture 1">
          <a:extLst>
            <a:ext uri="{FF2B5EF4-FFF2-40B4-BE49-F238E27FC236}">
              <a16:creationId xmlns:a16="http://schemas.microsoft.com/office/drawing/2014/main" id="{00000000-0008-0000-0F00-00000D000000}"/>
            </a:ext>
          </a:extLst>
        </xdr:cNvPr>
        <xdr:cNvPicPr/>
      </xdr:nvPicPr>
      <xdr:blipFill>
        <a:blip xmlns:r="http://schemas.openxmlformats.org/officeDocument/2006/relationships" r:embed="rId1"/>
        <a:stretch/>
      </xdr:blipFill>
      <xdr:spPr>
        <a:xfrm>
          <a:off x="230040" y="6480"/>
          <a:ext cx="1255680" cy="3859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189057</xdr:colOff>
      <xdr:row>17</xdr:row>
      <xdr:rowOff>6639</xdr:rowOff>
    </xdr:from>
    <xdr:to>
      <xdr:col>10</xdr:col>
      <xdr:colOff>359353</xdr:colOff>
      <xdr:row>31</xdr:row>
      <xdr:rowOff>123248</xdr:rowOff>
    </xdr:to>
    <xdr:graphicFrame macro="">
      <xdr:nvGraphicFramePr>
        <xdr:cNvPr id="2" name="Chart 1">
          <a:extLst>
            <a:ext uri="{FF2B5EF4-FFF2-40B4-BE49-F238E27FC236}">
              <a16:creationId xmlns:a16="http://schemas.microsoft.com/office/drawing/2014/main" id="{FCB96C10-904B-0FE3-B737-2A0AB4B80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docs.live.net/18420.ar.en.2024-2025.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2" Type="http://schemas.openxmlformats.org/officeDocument/2006/relationships/hyperlink" Target="https://d.docs.live.net/Dividend%20Yield" TargetMode="External"/><Relationship Id="rId1" Type="http://schemas.openxmlformats.org/officeDocument/2006/relationships/hyperlink" Target="https://primeinvestor.in/nifty-50-returns/"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s://pages.stern.nyu.edu/~adamodar/New_Home_Page/datafile/ctryprem.html?utm_source=chatgpt.com" TargetMode="External"/><Relationship Id="rId1" Type="http://schemas.openxmlformats.org/officeDocument/2006/relationships/hyperlink" Target="https://tradingeconomics.com/india/government-bond-yield"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www.screener.in/company/GOCLCORP/consolidated/" TargetMode="External"/><Relationship Id="rId2" Type="http://schemas.openxmlformats.org/officeDocument/2006/relationships/hyperlink" Target="https://www.screener.in/company/PREMEXPLN/" TargetMode="External"/><Relationship Id="rId1" Type="http://schemas.openxmlformats.org/officeDocument/2006/relationships/hyperlink" Target="https://www.screener.in/company/SOLARINDS/consolidated/" TargetMode="External"/><Relationship Id="rId5" Type="http://schemas.openxmlformats.org/officeDocument/2006/relationships/hyperlink" Target="https://www.screener.in/company/544369/" TargetMode="External"/><Relationship Id="rId4" Type="http://schemas.openxmlformats.org/officeDocument/2006/relationships/hyperlink" Target="https://www.screener.in/company/506528/"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www.screener.in/company/GOCLCORP/consolidated/" TargetMode="External"/><Relationship Id="rId2" Type="http://schemas.openxmlformats.org/officeDocument/2006/relationships/hyperlink" Target="https://www.screener.in/company/PREMEXPLN/" TargetMode="External"/><Relationship Id="rId1" Type="http://schemas.openxmlformats.org/officeDocument/2006/relationships/hyperlink" Target="https://www.screener.in/company/SOLARINDS/consolidated/" TargetMode="External"/><Relationship Id="rId5" Type="http://schemas.openxmlformats.org/officeDocument/2006/relationships/hyperlink" Target="https://www.screener.in/company/544369/" TargetMode="External"/><Relationship Id="rId4" Type="http://schemas.openxmlformats.org/officeDocument/2006/relationships/hyperlink" Target="https://www.screener.in/company/506528/"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www.screener.in/company/GOCLCORP/consolidated/" TargetMode="External"/><Relationship Id="rId2" Type="http://schemas.openxmlformats.org/officeDocument/2006/relationships/hyperlink" Target="https://www.screener.in/company/PREMEXPLN/" TargetMode="External"/><Relationship Id="rId1" Type="http://schemas.openxmlformats.org/officeDocument/2006/relationships/hyperlink" Target="https://www.screener.in/company/SOLARINDS/consolidated/" TargetMode="External"/><Relationship Id="rId5" Type="http://schemas.openxmlformats.org/officeDocument/2006/relationships/hyperlink" Target="https://www.screener.in/company/544369/" TargetMode="External"/><Relationship Id="rId4" Type="http://schemas.openxmlformats.org/officeDocument/2006/relationships/hyperlink" Target="https://www.screener.in/company/506528/"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7"/>
  <sheetViews>
    <sheetView showGridLines="0" zoomScale="80" zoomScaleNormal="80" workbookViewId="0">
      <pane ySplit="1" topLeftCell="A2" activePane="bottomLeft" state="frozen"/>
      <selection pane="bottomLeft" activeCell="B2" sqref="B2:K2"/>
    </sheetView>
  </sheetViews>
  <sheetFormatPr defaultColWidth="8.6328125" defaultRowHeight="14" x14ac:dyDescent="0.3"/>
  <cols>
    <col min="1" max="1" width="2.08984375" style="1" customWidth="1"/>
    <col min="2" max="2" width="9" style="1" customWidth="1"/>
    <col min="3" max="3" width="38.1796875" style="1" customWidth="1"/>
    <col min="4" max="4" width="23.1796875" style="1" customWidth="1"/>
    <col min="5" max="5" width="6.453125" style="2" customWidth="1"/>
    <col min="6" max="6" width="48.6328125" style="1" customWidth="1"/>
    <col min="7" max="7" width="47.81640625" style="1" customWidth="1"/>
    <col min="8" max="8" width="25.54296875" style="1" customWidth="1"/>
    <col min="9" max="10" width="18" style="1" hidden="1" customWidth="1"/>
    <col min="11" max="11" width="0.36328125" style="1" customWidth="1"/>
    <col min="12" max="16384" width="8.6328125" style="1"/>
  </cols>
  <sheetData>
    <row r="1" spans="1:13" ht="49.5" customHeight="1" x14ac:dyDescent="0.3">
      <c r="A1" s="573" t="s">
        <v>0</v>
      </c>
      <c r="B1" s="573"/>
      <c r="C1" s="573"/>
      <c r="D1" s="573"/>
      <c r="E1" s="573"/>
      <c r="F1" s="573"/>
      <c r="G1" s="573"/>
      <c r="H1" s="573"/>
      <c r="I1" s="573"/>
      <c r="J1" s="573"/>
      <c r="K1" s="573"/>
      <c r="L1" s="3"/>
      <c r="M1" s="3"/>
    </row>
    <row r="2" spans="1:13" ht="13.5" customHeight="1" x14ac:dyDescent="0.3">
      <c r="B2" s="579" t="s">
        <v>1</v>
      </c>
      <c r="C2" s="556"/>
      <c r="D2" s="556"/>
      <c r="E2" s="556"/>
      <c r="F2" s="556"/>
      <c r="G2" s="556"/>
      <c r="H2" s="556"/>
      <c r="I2" s="556"/>
      <c r="J2" s="556"/>
      <c r="K2" s="556"/>
      <c r="L2" s="4"/>
      <c r="M2" s="4"/>
    </row>
    <row r="3" spans="1:13" ht="13.5" customHeight="1" x14ac:dyDescent="0.3">
      <c r="B3" s="574" t="s">
        <v>2</v>
      </c>
      <c r="C3" s="574"/>
      <c r="D3" s="574"/>
      <c r="E3" s="574"/>
      <c r="F3" s="574"/>
      <c r="G3" s="574"/>
      <c r="H3" s="574"/>
      <c r="I3" s="574"/>
      <c r="J3" s="574"/>
      <c r="K3" s="574"/>
      <c r="L3" s="5" t="s">
        <v>3</v>
      </c>
      <c r="M3" s="6"/>
    </row>
    <row r="4" spans="1:13" ht="54" customHeight="1" x14ac:dyDescent="0.3">
      <c r="B4" s="557" t="s">
        <v>4</v>
      </c>
      <c r="C4" s="557"/>
      <c r="D4" s="557"/>
      <c r="E4" s="557"/>
      <c r="F4" s="557"/>
      <c r="G4" s="557"/>
      <c r="H4" s="557"/>
      <c r="I4" s="557"/>
      <c r="J4" s="557"/>
      <c r="K4" s="557"/>
      <c r="L4" s="6"/>
      <c r="M4" s="6"/>
    </row>
    <row r="5" spans="1:13" ht="13.5" customHeight="1" x14ac:dyDescent="0.3">
      <c r="B5" s="575" t="s">
        <v>5</v>
      </c>
      <c r="C5" s="575"/>
      <c r="D5" s="575"/>
      <c r="E5" s="575"/>
      <c r="F5" s="575"/>
      <c r="G5" s="575"/>
      <c r="H5" s="575"/>
      <c r="I5" s="575"/>
      <c r="J5" s="575"/>
      <c r="K5" s="575"/>
      <c r="L5" s="6"/>
      <c r="M5" s="6"/>
    </row>
    <row r="6" spans="1:13" ht="13.5" customHeight="1" x14ac:dyDescent="0.3">
      <c r="B6" s="7" t="s">
        <v>6</v>
      </c>
      <c r="C6" s="555" t="s">
        <v>7</v>
      </c>
      <c r="D6" s="555"/>
      <c r="E6" s="555"/>
      <c r="F6" s="555"/>
      <c r="G6" s="555"/>
      <c r="H6" s="555"/>
      <c r="I6" s="555"/>
      <c r="J6" s="555"/>
      <c r="K6" s="555"/>
      <c r="L6" s="6"/>
      <c r="M6" s="6"/>
    </row>
    <row r="7" spans="1:13" ht="13.5" customHeight="1" x14ac:dyDescent="0.3">
      <c r="B7" s="6"/>
      <c r="C7" s="6"/>
      <c r="D7" s="6"/>
      <c r="E7" s="6"/>
      <c r="F7" s="6"/>
      <c r="G7" s="6"/>
      <c r="H7" s="8"/>
      <c r="I7" s="6"/>
      <c r="J7" s="6"/>
      <c r="K7" s="6"/>
      <c r="L7" s="6"/>
      <c r="M7" s="6"/>
    </row>
    <row r="8" spans="1:13" ht="13.5" customHeight="1" x14ac:dyDescent="0.3">
      <c r="B8" s="576" t="s">
        <v>8</v>
      </c>
      <c r="C8" s="576" t="s">
        <v>9</v>
      </c>
      <c r="D8" s="577" t="s">
        <v>10</v>
      </c>
      <c r="E8" s="9"/>
      <c r="F8" s="578" t="s">
        <v>11</v>
      </c>
      <c r="G8" s="578" t="s">
        <v>12</v>
      </c>
      <c r="H8" s="576" t="s">
        <v>13</v>
      </c>
      <c r="I8" s="11"/>
      <c r="J8" s="11"/>
      <c r="K8" s="11"/>
      <c r="L8" s="6"/>
      <c r="M8" s="6"/>
    </row>
    <row r="9" spans="1:13" ht="24.75" customHeight="1" x14ac:dyDescent="0.3">
      <c r="B9" s="12">
        <v>1</v>
      </c>
      <c r="C9" s="13" t="s">
        <v>14</v>
      </c>
      <c r="D9" s="14" t="s">
        <v>15</v>
      </c>
      <c r="E9" s="15"/>
      <c r="F9" s="13" t="s">
        <v>16</v>
      </c>
      <c r="G9" s="16" t="s">
        <v>17</v>
      </c>
      <c r="H9" s="17" t="s">
        <v>18</v>
      </c>
      <c r="I9" s="18"/>
      <c r="J9" s="18"/>
      <c r="K9" s="18"/>
      <c r="L9" s="6"/>
      <c r="M9" s="6"/>
    </row>
    <row r="10" spans="1:13" ht="22.5" customHeight="1" x14ac:dyDescent="0.3">
      <c r="B10" s="12">
        <v>2</v>
      </c>
      <c r="C10" s="13" t="s">
        <v>19</v>
      </c>
      <c r="D10" s="14" t="s">
        <v>15</v>
      </c>
      <c r="E10" s="15"/>
      <c r="F10" s="13" t="s">
        <v>20</v>
      </c>
      <c r="G10" s="16" t="s">
        <v>21</v>
      </c>
      <c r="H10" s="17" t="s">
        <v>22</v>
      </c>
      <c r="I10" s="18"/>
      <c r="J10" s="18"/>
      <c r="K10" s="18"/>
      <c r="L10" s="6"/>
      <c r="M10" s="6"/>
    </row>
    <row r="11" spans="1:13" ht="22.5" customHeight="1" x14ac:dyDescent="0.3">
      <c r="B11" s="12">
        <v>3</v>
      </c>
      <c r="C11" s="13" t="s">
        <v>23</v>
      </c>
      <c r="D11" s="14" t="s">
        <v>15</v>
      </c>
      <c r="E11" s="15"/>
      <c r="F11" s="13" t="s">
        <v>24</v>
      </c>
      <c r="G11" s="16" t="s">
        <v>25</v>
      </c>
      <c r="H11" s="17" t="s">
        <v>26</v>
      </c>
      <c r="I11" s="18"/>
      <c r="J11" s="18"/>
      <c r="K11" s="18"/>
      <c r="L11" s="6"/>
      <c r="M11" s="6"/>
    </row>
    <row r="12" spans="1:13" ht="22.5" customHeight="1" x14ac:dyDescent="0.3">
      <c r="B12" s="12">
        <v>4</v>
      </c>
      <c r="C12" s="13" t="s">
        <v>27</v>
      </c>
      <c r="D12" s="14" t="s">
        <v>15</v>
      </c>
      <c r="E12" s="15"/>
      <c r="F12" s="13" t="s">
        <v>28</v>
      </c>
      <c r="G12" s="16" t="s">
        <v>29</v>
      </c>
      <c r="H12" s="17" t="s">
        <v>30</v>
      </c>
      <c r="I12" s="18"/>
      <c r="J12" s="18"/>
      <c r="K12" s="18"/>
      <c r="L12" s="6"/>
      <c r="M12" s="6"/>
    </row>
    <row r="13" spans="1:13" ht="22.5" customHeight="1" x14ac:dyDescent="0.3">
      <c r="B13" s="12">
        <v>5</v>
      </c>
      <c r="C13" s="13" t="s">
        <v>31</v>
      </c>
      <c r="D13" s="14" t="s">
        <v>15</v>
      </c>
      <c r="E13" s="15"/>
      <c r="F13" s="13" t="s">
        <v>32</v>
      </c>
      <c r="G13" s="16" t="s">
        <v>33</v>
      </c>
      <c r="H13" s="17" t="s">
        <v>34</v>
      </c>
      <c r="I13" s="18"/>
      <c r="J13" s="18"/>
      <c r="K13" s="18"/>
    </row>
    <row r="14" spans="1:13" ht="22.5" customHeight="1" x14ac:dyDescent="0.3">
      <c r="B14" s="12">
        <v>6</v>
      </c>
      <c r="C14" s="13" t="s">
        <v>35</v>
      </c>
      <c r="D14" s="14" t="s">
        <v>15</v>
      </c>
      <c r="E14" s="15"/>
      <c r="F14" s="13" t="s">
        <v>36</v>
      </c>
      <c r="G14" s="16" t="s">
        <v>37</v>
      </c>
      <c r="H14" s="17" t="s">
        <v>38</v>
      </c>
      <c r="I14" s="18"/>
      <c r="J14" s="18"/>
      <c r="K14" s="18"/>
    </row>
    <row r="15" spans="1:13" ht="22.5" customHeight="1" x14ac:dyDescent="0.3">
      <c r="B15" s="12">
        <v>7</v>
      </c>
      <c r="C15" s="13" t="s">
        <v>39</v>
      </c>
      <c r="D15" s="14" t="s">
        <v>15</v>
      </c>
      <c r="E15" s="15"/>
      <c r="F15" s="13" t="s">
        <v>40</v>
      </c>
      <c r="G15" s="16" t="s">
        <v>41</v>
      </c>
      <c r="H15" s="17" t="s">
        <v>42</v>
      </c>
      <c r="I15" s="18"/>
      <c r="J15" s="18"/>
      <c r="K15" s="18"/>
    </row>
    <row r="16" spans="1:13" ht="22.5" customHeight="1" x14ac:dyDescent="0.3">
      <c r="B16" s="12">
        <v>8</v>
      </c>
      <c r="C16" s="13" t="s">
        <v>43</v>
      </c>
      <c r="D16" s="14" t="s">
        <v>15</v>
      </c>
      <c r="E16" s="15"/>
      <c r="F16" s="13" t="s">
        <v>44</v>
      </c>
      <c r="G16" s="16" t="s">
        <v>45</v>
      </c>
      <c r="H16" s="17" t="s">
        <v>46</v>
      </c>
    </row>
    <row r="17" spans="2:11" ht="22.5" customHeight="1" x14ac:dyDescent="0.3">
      <c r="B17" s="19">
        <v>9</v>
      </c>
      <c r="C17" s="20" t="s">
        <v>47</v>
      </c>
      <c r="D17" s="21" t="s">
        <v>48</v>
      </c>
      <c r="E17" s="15"/>
      <c r="F17" s="13" t="s">
        <v>49</v>
      </c>
      <c r="G17" s="16" t="s">
        <v>50</v>
      </c>
      <c r="H17" s="17" t="s">
        <v>51</v>
      </c>
      <c r="I17" s="22"/>
      <c r="J17" s="22"/>
      <c r="K17" s="22"/>
    </row>
    <row r="18" spans="2:11" ht="34.5" customHeight="1" x14ac:dyDescent="0.3">
      <c r="B18" s="19">
        <v>10</v>
      </c>
      <c r="C18" s="20" t="s">
        <v>52</v>
      </c>
      <c r="D18" s="21" t="s">
        <v>48</v>
      </c>
      <c r="E18" s="15"/>
      <c r="F18" s="13" t="s">
        <v>53</v>
      </c>
      <c r="G18" s="16" t="s">
        <v>54</v>
      </c>
      <c r="H18" s="17" t="s">
        <v>55</v>
      </c>
      <c r="I18" s="2"/>
      <c r="J18" s="2"/>
      <c r="K18" s="2"/>
    </row>
    <row r="19" spans="2:11" ht="22.5" customHeight="1" x14ac:dyDescent="0.3">
      <c r="B19" s="19">
        <v>11</v>
      </c>
      <c r="C19" s="20" t="s">
        <v>56</v>
      </c>
      <c r="D19" s="21" t="s">
        <v>48</v>
      </c>
      <c r="E19" s="15"/>
      <c r="F19" s="13" t="s">
        <v>57</v>
      </c>
      <c r="G19" s="16" t="s">
        <v>58</v>
      </c>
      <c r="H19" s="17" t="s">
        <v>59</v>
      </c>
      <c r="I19" s="2"/>
      <c r="J19" s="2"/>
      <c r="K19" s="2"/>
    </row>
    <row r="20" spans="2:11" ht="22.5" customHeight="1" x14ac:dyDescent="0.3">
      <c r="B20" s="19">
        <v>12</v>
      </c>
      <c r="C20" s="20" t="s">
        <v>60</v>
      </c>
      <c r="D20" s="21" t="s">
        <v>48</v>
      </c>
      <c r="E20" s="15"/>
      <c r="F20" s="13" t="s">
        <v>61</v>
      </c>
      <c r="G20" s="16" t="s">
        <v>62</v>
      </c>
      <c r="H20" s="17" t="s">
        <v>63</v>
      </c>
      <c r="I20" s="2"/>
      <c r="J20" s="2"/>
      <c r="K20" s="2"/>
    </row>
    <row r="21" spans="2:11" ht="22.5" customHeight="1" x14ac:dyDescent="0.3">
      <c r="B21" s="19">
        <v>13</v>
      </c>
      <c r="C21" s="20" t="s">
        <v>64</v>
      </c>
      <c r="D21" s="21" t="s">
        <v>48</v>
      </c>
      <c r="E21" s="15"/>
      <c r="F21" s="13" t="s">
        <v>65</v>
      </c>
      <c r="G21" s="16" t="s">
        <v>66</v>
      </c>
      <c r="H21" s="17" t="s">
        <v>67</v>
      </c>
      <c r="I21" s="2"/>
      <c r="J21" s="2"/>
      <c r="K21" s="2"/>
    </row>
    <row r="22" spans="2:11" ht="24.75" customHeight="1" x14ac:dyDescent="0.3">
      <c r="B22" s="19">
        <v>14</v>
      </c>
      <c r="C22" s="20" t="s">
        <v>68</v>
      </c>
      <c r="D22" s="21" t="s">
        <v>48</v>
      </c>
      <c r="E22" s="15"/>
      <c r="F22" s="13" t="s">
        <v>69</v>
      </c>
      <c r="G22" s="16" t="s">
        <v>70</v>
      </c>
      <c r="H22" s="17" t="s">
        <v>71</v>
      </c>
      <c r="I22" s="2"/>
      <c r="J22" s="2"/>
      <c r="K22" s="2"/>
    </row>
    <row r="23" spans="2:11" ht="24.75" customHeight="1" x14ac:dyDescent="0.3">
      <c r="B23" s="19">
        <v>15</v>
      </c>
      <c r="C23" s="20" t="s">
        <v>72</v>
      </c>
      <c r="D23" s="21" t="s">
        <v>48</v>
      </c>
      <c r="E23" s="15"/>
      <c r="F23" s="13" t="s">
        <v>73</v>
      </c>
      <c r="G23" s="16" t="s">
        <v>74</v>
      </c>
      <c r="H23" s="17" t="s">
        <v>75</v>
      </c>
      <c r="I23" s="2"/>
      <c r="J23" s="2"/>
      <c r="K23" s="2"/>
    </row>
    <row r="24" spans="2:11" ht="34.5" customHeight="1" x14ac:dyDescent="0.3">
      <c r="B24" s="19">
        <v>16</v>
      </c>
      <c r="C24" s="20" t="s">
        <v>76</v>
      </c>
      <c r="D24" s="21" t="s">
        <v>48</v>
      </c>
      <c r="E24" s="15"/>
      <c r="F24" s="13" t="s">
        <v>77</v>
      </c>
      <c r="G24" s="16" t="s">
        <v>78</v>
      </c>
      <c r="H24" s="17" t="s">
        <v>79</v>
      </c>
    </row>
    <row r="25" spans="2:11" ht="34.5" customHeight="1" x14ac:dyDescent="0.3">
      <c r="B25" s="19">
        <v>17</v>
      </c>
      <c r="C25" s="20" t="s">
        <v>80</v>
      </c>
      <c r="D25" s="21" t="s">
        <v>48</v>
      </c>
      <c r="E25" s="15"/>
      <c r="F25" s="13" t="s">
        <v>81</v>
      </c>
      <c r="G25" s="16" t="s">
        <v>82</v>
      </c>
      <c r="H25" s="17" t="s">
        <v>83</v>
      </c>
    </row>
    <row r="26" spans="2:11" ht="25.5" customHeight="1" x14ac:dyDescent="0.3">
      <c r="B26" s="19">
        <v>18</v>
      </c>
      <c r="C26" s="20" t="s">
        <v>84</v>
      </c>
      <c r="D26" s="21" t="s">
        <v>48</v>
      </c>
      <c r="E26" s="15"/>
      <c r="F26" s="13" t="s">
        <v>85</v>
      </c>
      <c r="G26" s="16" t="s">
        <v>86</v>
      </c>
      <c r="H26" s="17" t="s">
        <v>87</v>
      </c>
      <c r="I26" s="10" t="s">
        <v>88</v>
      </c>
    </row>
    <row r="27" spans="2:11" ht="22.5" customHeight="1" x14ac:dyDescent="0.3">
      <c r="B27" s="19">
        <v>19</v>
      </c>
      <c r="C27" s="20" t="s">
        <v>89</v>
      </c>
      <c r="D27" s="21" t="s">
        <v>48</v>
      </c>
      <c r="E27" s="15"/>
      <c r="F27" s="13" t="s">
        <v>90</v>
      </c>
      <c r="G27" s="16" t="s">
        <v>91</v>
      </c>
      <c r="H27" s="17" t="s">
        <v>92</v>
      </c>
      <c r="I27" s="23" t="s">
        <v>93</v>
      </c>
    </row>
    <row r="28" spans="2:11" ht="13.5" customHeight="1" x14ac:dyDescent="0.3">
      <c r="B28" s="19">
        <v>20</v>
      </c>
      <c r="C28" s="20" t="s">
        <v>94</v>
      </c>
      <c r="D28" s="21" t="s">
        <v>48</v>
      </c>
      <c r="E28" s="15"/>
      <c r="F28" s="13" t="s">
        <v>95</v>
      </c>
      <c r="G28" s="16" t="s">
        <v>96</v>
      </c>
      <c r="H28" s="17" t="s">
        <v>18</v>
      </c>
      <c r="I28" s="23" t="s">
        <v>97</v>
      </c>
    </row>
    <row r="29" spans="2:11" ht="22.5" customHeight="1" x14ac:dyDescent="0.3">
      <c r="B29" s="19">
        <v>21</v>
      </c>
      <c r="C29" s="20" t="s">
        <v>98</v>
      </c>
      <c r="D29" s="21" t="s">
        <v>48</v>
      </c>
      <c r="E29" s="15"/>
      <c r="F29" s="13" t="s">
        <v>99</v>
      </c>
      <c r="G29" s="16" t="s">
        <v>100</v>
      </c>
      <c r="H29" s="17" t="s">
        <v>18</v>
      </c>
      <c r="I29" s="23" t="s">
        <v>97</v>
      </c>
    </row>
    <row r="30" spans="2:11" ht="24.75" customHeight="1" x14ac:dyDescent="0.3">
      <c r="B30" s="19">
        <v>22</v>
      </c>
      <c r="C30" s="20" t="s">
        <v>101</v>
      </c>
      <c r="D30" s="21" t="s">
        <v>48</v>
      </c>
      <c r="E30" s="15"/>
      <c r="F30" s="13" t="s">
        <v>102</v>
      </c>
      <c r="G30" s="16" t="s">
        <v>103</v>
      </c>
      <c r="H30" s="17" t="s">
        <v>26</v>
      </c>
      <c r="I30" s="23" t="s">
        <v>97</v>
      </c>
    </row>
    <row r="31" spans="2:11" ht="22.5" customHeight="1" x14ac:dyDescent="0.3">
      <c r="B31" s="19">
        <v>23</v>
      </c>
      <c r="C31" s="20" t="s">
        <v>104</v>
      </c>
      <c r="D31" s="21" t="s">
        <v>48</v>
      </c>
      <c r="E31" s="15"/>
      <c r="F31" s="13" t="s">
        <v>105</v>
      </c>
      <c r="G31" s="16" t="s">
        <v>106</v>
      </c>
      <c r="H31" s="17" t="s">
        <v>107</v>
      </c>
      <c r="I31" s="23" t="s">
        <v>97</v>
      </c>
    </row>
    <row r="32" spans="2:11" ht="22.5" customHeight="1" x14ac:dyDescent="0.3">
      <c r="B32" s="19">
        <v>24</v>
      </c>
      <c r="C32" s="20" t="s">
        <v>108</v>
      </c>
      <c r="D32" s="21" t="s">
        <v>48</v>
      </c>
      <c r="E32" s="15"/>
      <c r="F32" s="13" t="s">
        <v>109</v>
      </c>
      <c r="G32" s="16" t="s">
        <v>110</v>
      </c>
      <c r="H32" s="17" t="s">
        <v>26</v>
      </c>
      <c r="I32" s="23" t="s">
        <v>97</v>
      </c>
    </row>
    <row r="33" spans="2:9" ht="22.5" customHeight="1" x14ac:dyDescent="0.3">
      <c r="B33" s="19">
        <v>25</v>
      </c>
      <c r="C33" s="20" t="s">
        <v>111</v>
      </c>
      <c r="D33" s="21" t="s">
        <v>48</v>
      </c>
      <c r="E33" s="15"/>
      <c r="F33" s="13" t="s">
        <v>112</v>
      </c>
      <c r="G33" s="16" t="s">
        <v>113</v>
      </c>
      <c r="H33" s="17" t="s">
        <v>114</v>
      </c>
      <c r="I33" s="23" t="s">
        <v>97</v>
      </c>
    </row>
    <row r="34" spans="2:9" ht="24.75" customHeight="1" x14ac:dyDescent="0.3">
      <c r="B34" s="19">
        <v>26</v>
      </c>
      <c r="C34" s="20" t="s">
        <v>115</v>
      </c>
      <c r="D34" s="21" t="s">
        <v>48</v>
      </c>
      <c r="E34" s="15"/>
      <c r="I34" s="23" t="s">
        <v>97</v>
      </c>
    </row>
    <row r="35" spans="2:9" ht="13.5" customHeight="1" x14ac:dyDescent="0.3">
      <c r="B35" s="19">
        <v>27</v>
      </c>
      <c r="C35" s="20" t="s">
        <v>116</v>
      </c>
      <c r="D35" s="21" t="s">
        <v>48</v>
      </c>
      <c r="E35" s="15"/>
      <c r="I35" s="19" t="s">
        <v>97</v>
      </c>
    </row>
    <row r="36" spans="2:9" ht="13.5" customHeight="1" x14ac:dyDescent="0.3">
      <c r="B36" s="19">
        <v>28</v>
      </c>
      <c r="C36" s="20" t="s">
        <v>117</v>
      </c>
      <c r="D36" s="21" t="s">
        <v>48</v>
      </c>
      <c r="E36" s="15"/>
      <c r="I36" s="19" t="s">
        <v>97</v>
      </c>
    </row>
    <row r="37" spans="2:9" ht="13.5" customHeight="1" x14ac:dyDescent="0.3">
      <c r="B37" s="19">
        <v>29</v>
      </c>
      <c r="C37" s="20" t="s">
        <v>118</v>
      </c>
      <c r="D37" s="21" t="s">
        <v>48</v>
      </c>
      <c r="E37" s="15"/>
      <c r="I37" s="19" t="s">
        <v>97</v>
      </c>
    </row>
    <row r="38" spans="2:9" ht="24.75" customHeight="1" x14ac:dyDescent="0.3">
      <c r="B38" s="19">
        <v>30</v>
      </c>
      <c r="C38" s="20" t="s">
        <v>119</v>
      </c>
      <c r="D38" s="21" t="s">
        <v>48</v>
      </c>
      <c r="E38" s="15"/>
      <c r="I38" s="19" t="s">
        <v>97</v>
      </c>
    </row>
    <row r="39" spans="2:9" ht="13.5" customHeight="1" x14ac:dyDescent="0.3">
      <c r="B39" s="19">
        <v>31</v>
      </c>
      <c r="C39" s="20" t="s">
        <v>120</v>
      </c>
      <c r="D39" s="21" t="s">
        <v>48</v>
      </c>
      <c r="E39" s="15"/>
      <c r="I39" s="19" t="s">
        <v>97</v>
      </c>
    </row>
    <row r="40" spans="2:9" ht="13.5" customHeight="1" x14ac:dyDescent="0.3">
      <c r="B40" s="19">
        <v>32</v>
      </c>
      <c r="C40" s="20" t="s">
        <v>121</v>
      </c>
      <c r="D40" s="21" t="s">
        <v>48</v>
      </c>
      <c r="E40" s="15"/>
      <c r="I40" s="19" t="s">
        <v>97</v>
      </c>
    </row>
    <row r="41" spans="2:9" ht="13.5" customHeight="1" x14ac:dyDescent="0.3">
      <c r="B41" s="19">
        <v>33</v>
      </c>
      <c r="C41" s="20" t="s">
        <v>122</v>
      </c>
      <c r="D41" s="21" t="s">
        <v>48</v>
      </c>
      <c r="E41" s="15"/>
      <c r="I41" s="19" t="s">
        <v>97</v>
      </c>
    </row>
    <row r="42" spans="2:9" ht="13.5" customHeight="1" x14ac:dyDescent="0.3">
      <c r="B42" s="19">
        <v>34</v>
      </c>
      <c r="C42" s="20" t="s">
        <v>123</v>
      </c>
      <c r="D42" s="21" t="s">
        <v>48</v>
      </c>
      <c r="E42" s="15"/>
      <c r="I42" s="19" t="s">
        <v>97</v>
      </c>
    </row>
    <row r="43" spans="2:9" ht="13.5" customHeight="1" x14ac:dyDescent="0.3">
      <c r="B43" s="19">
        <v>35</v>
      </c>
      <c r="C43" s="20" t="s">
        <v>124</v>
      </c>
      <c r="D43" s="21" t="s">
        <v>48</v>
      </c>
      <c r="E43" s="15"/>
      <c r="I43" s="19" t="s">
        <v>97</v>
      </c>
    </row>
    <row r="44" spans="2:9" ht="13.5" customHeight="1" x14ac:dyDescent="0.3">
      <c r="B44" s="19">
        <v>36</v>
      </c>
      <c r="C44" s="20" t="s">
        <v>125</v>
      </c>
      <c r="D44" s="21" t="s">
        <v>48</v>
      </c>
      <c r="E44" s="15"/>
      <c r="I44" s="19" t="s">
        <v>97</v>
      </c>
    </row>
    <row r="45" spans="2:9" ht="13.5" customHeight="1" x14ac:dyDescent="0.3">
      <c r="B45" s="24">
        <v>37</v>
      </c>
      <c r="C45" s="25" t="s">
        <v>126</v>
      </c>
      <c r="D45" s="26" t="s">
        <v>127</v>
      </c>
      <c r="E45" s="15"/>
      <c r="I45" s="19" t="s">
        <v>97</v>
      </c>
    </row>
    <row r="46" spans="2:9" ht="13.5" customHeight="1" x14ac:dyDescent="0.3">
      <c r="B46" s="24">
        <v>38</v>
      </c>
      <c r="C46" s="25" t="s">
        <v>128</v>
      </c>
      <c r="D46" s="26" t="s">
        <v>127</v>
      </c>
      <c r="E46" s="15"/>
      <c r="I46" s="19" t="s">
        <v>97</v>
      </c>
    </row>
    <row r="47" spans="2:9" ht="13.5" customHeight="1" x14ac:dyDescent="0.3">
      <c r="B47" s="24">
        <v>39</v>
      </c>
      <c r="C47" s="25" t="s">
        <v>129</v>
      </c>
      <c r="D47" s="26" t="s">
        <v>127</v>
      </c>
      <c r="E47" s="15"/>
      <c r="I47" s="19" t="s">
        <v>97</v>
      </c>
    </row>
    <row r="48" spans="2:9" ht="13.5" customHeight="1" x14ac:dyDescent="0.3">
      <c r="I48" s="19" t="s">
        <v>97</v>
      </c>
    </row>
    <row r="49" spans="2:9" ht="13.5" customHeight="1" x14ac:dyDescent="0.3">
      <c r="B49" s="27"/>
      <c r="C49" s="2"/>
      <c r="I49" s="19" t="s">
        <v>97</v>
      </c>
    </row>
    <row r="50" spans="2:9" ht="13.5" customHeight="1" x14ac:dyDescent="0.3">
      <c r="B50" s="2"/>
      <c r="C50" s="28"/>
      <c r="I50" s="19" t="s">
        <v>97</v>
      </c>
    </row>
    <row r="51" spans="2:9" ht="13.5" customHeight="1" x14ac:dyDescent="0.3">
      <c r="B51" s="2"/>
      <c r="C51" s="29"/>
      <c r="I51" s="19" t="s">
        <v>97</v>
      </c>
    </row>
    <row r="52" spans="2:9" ht="13.5" customHeight="1" x14ac:dyDescent="0.3">
      <c r="B52" s="2"/>
      <c r="C52" s="30"/>
      <c r="E52" s="9"/>
      <c r="I52" s="19" t="s">
        <v>97</v>
      </c>
    </row>
    <row r="53" spans="2:9" ht="13.5" customHeight="1" x14ac:dyDescent="0.3">
      <c r="E53" s="15"/>
      <c r="I53" s="19" t="s">
        <v>97</v>
      </c>
    </row>
    <row r="54" spans="2:9" ht="13.5" customHeight="1" x14ac:dyDescent="0.3">
      <c r="E54" s="15"/>
      <c r="I54" s="19" t="s">
        <v>97</v>
      </c>
    </row>
    <row r="55" spans="2:9" ht="13.5" customHeight="1" x14ac:dyDescent="0.3">
      <c r="E55" s="15"/>
      <c r="I55" s="19" t="s">
        <v>97</v>
      </c>
    </row>
    <row r="56" spans="2:9" ht="13.5" customHeight="1" x14ac:dyDescent="0.3">
      <c r="E56" s="15"/>
      <c r="I56" s="19" t="s">
        <v>97</v>
      </c>
    </row>
    <row r="57" spans="2:9" ht="13.5" customHeight="1" x14ac:dyDescent="0.3">
      <c r="E57" s="15"/>
      <c r="I57" s="19" t="s">
        <v>97</v>
      </c>
    </row>
    <row r="58" spans="2:9" ht="13.5" customHeight="1" x14ac:dyDescent="0.3">
      <c r="E58" s="15"/>
      <c r="I58" s="19" t="s">
        <v>97</v>
      </c>
    </row>
    <row r="59" spans="2:9" ht="13.5" customHeight="1" x14ac:dyDescent="0.3">
      <c r="E59" s="15"/>
      <c r="I59" s="19" t="s">
        <v>97</v>
      </c>
    </row>
    <row r="60" spans="2:9" ht="13.5" customHeight="1" x14ac:dyDescent="0.3">
      <c r="E60" s="15"/>
      <c r="I60" s="19" t="s">
        <v>97</v>
      </c>
    </row>
    <row r="61" spans="2:9" ht="13.5" customHeight="1" x14ac:dyDescent="0.3">
      <c r="E61" s="15"/>
      <c r="I61" s="19" t="s">
        <v>97</v>
      </c>
    </row>
    <row r="62" spans="2:9" ht="13.5" customHeight="1" x14ac:dyDescent="0.3">
      <c r="E62" s="15"/>
      <c r="I62" s="19" t="s">
        <v>97</v>
      </c>
    </row>
    <row r="63" spans="2:9" ht="13.5" customHeight="1" x14ac:dyDescent="0.3">
      <c r="E63" s="15"/>
      <c r="I63" s="24" t="s">
        <v>97</v>
      </c>
    </row>
    <row r="64" spans="2:9" ht="13.5" customHeight="1" x14ac:dyDescent="0.3">
      <c r="E64" s="15"/>
      <c r="I64" s="24" t="s">
        <v>97</v>
      </c>
    </row>
    <row r="65" spans="5:9" ht="13.5" customHeight="1" x14ac:dyDescent="0.3">
      <c r="E65" s="15"/>
      <c r="I65" s="24" t="s">
        <v>97</v>
      </c>
    </row>
    <row r="66" spans="5:9" ht="13.5" customHeight="1" x14ac:dyDescent="0.3">
      <c r="E66" s="15"/>
    </row>
    <row r="67" spans="5:9" ht="13.5" customHeight="1" x14ac:dyDescent="0.3">
      <c r="E67" s="15"/>
    </row>
    <row r="68" spans="5:9" ht="13.5" customHeight="1" x14ac:dyDescent="0.3">
      <c r="E68" s="15"/>
    </row>
    <row r="69" spans="5:9" ht="13.5" customHeight="1" x14ac:dyDescent="0.3">
      <c r="E69" s="15"/>
    </row>
    <row r="70" spans="5:9" ht="13.5" customHeight="1" x14ac:dyDescent="0.3">
      <c r="E70" s="15"/>
    </row>
    <row r="71" spans="5:9" ht="13.5" customHeight="1" x14ac:dyDescent="0.3">
      <c r="E71" s="15"/>
    </row>
    <row r="72" spans="5:9" ht="13.5" customHeight="1" x14ac:dyDescent="0.3">
      <c r="E72" s="15"/>
    </row>
    <row r="73" spans="5:9" ht="13.5" customHeight="1" x14ac:dyDescent="0.3">
      <c r="E73" s="15"/>
    </row>
    <row r="74" spans="5:9" ht="13.5" customHeight="1" x14ac:dyDescent="0.3">
      <c r="E74" s="15"/>
    </row>
    <row r="75" spans="5:9" ht="13.5" customHeight="1" x14ac:dyDescent="0.3">
      <c r="E75" s="15"/>
    </row>
    <row r="76" spans="5:9" ht="13.5" customHeight="1" x14ac:dyDescent="0.3">
      <c r="E76" s="15"/>
    </row>
    <row r="77" spans="5:9" ht="13.5" customHeight="1" x14ac:dyDescent="0.3">
      <c r="E77" s="15"/>
    </row>
  </sheetData>
  <mergeCells count="6">
    <mergeCell ref="C6:K6"/>
    <mergeCell ref="A1:K1"/>
    <mergeCell ref="B2:K2"/>
    <mergeCell ref="B3:K3"/>
    <mergeCell ref="B4:K4"/>
    <mergeCell ref="B5:K5"/>
  </mergeCells>
  <hyperlinks>
    <hyperlink ref="L3" r:id="rId1" xr:uid="{00000000-0004-0000-0000-000000000000}"/>
  </hyperlinks>
  <pageMargins left="0.75" right="0.75" top="1" bottom="1" header="0.511811023622047" footer="0.511811023622047"/>
  <pageSetup paperSize="9" orientation="portrait"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U62"/>
  <sheetViews>
    <sheetView showGridLines="0" zoomScale="59" zoomScaleNormal="59" workbookViewId="0">
      <selection activeCell="Q26" sqref="Q26"/>
    </sheetView>
  </sheetViews>
  <sheetFormatPr defaultColWidth="8.6328125" defaultRowHeight="14" x14ac:dyDescent="0.3"/>
  <cols>
    <col min="1" max="1" width="3.453125" style="2" customWidth="1"/>
    <col min="2" max="2" width="38" style="2" customWidth="1"/>
    <col min="3" max="6" width="14" style="2" customWidth="1"/>
    <col min="7" max="7" width="11.36328125" style="2" customWidth="1"/>
    <col min="8" max="8" width="8.81640625" style="2" customWidth="1"/>
    <col min="9" max="9" width="19.08984375" style="2" customWidth="1"/>
    <col min="10" max="10" width="20.36328125" style="2" customWidth="1"/>
    <col min="11" max="11" width="11.6328125" style="2" customWidth="1"/>
    <col min="12" max="12" width="10.90625" style="2" customWidth="1"/>
    <col min="13" max="13" width="10.453125" style="2" customWidth="1"/>
    <col min="14" max="14" width="10.54296875" style="2" customWidth="1"/>
    <col min="15" max="16384" width="8.6328125" style="2"/>
  </cols>
  <sheetData>
    <row r="1" spans="2:14" s="1" customFormat="1" ht="50.25" customHeight="1" x14ac:dyDescent="0.3">
      <c r="C1" s="580" t="s">
        <v>130</v>
      </c>
      <c r="D1" s="580"/>
      <c r="E1" s="580"/>
      <c r="F1" s="580"/>
      <c r="G1" s="580"/>
      <c r="H1" s="580"/>
      <c r="I1" s="580"/>
      <c r="J1" s="580"/>
      <c r="K1" s="580"/>
      <c r="L1" s="580"/>
      <c r="M1" s="580"/>
      <c r="N1" s="580"/>
    </row>
    <row r="2" spans="2:14" s="1" customFormat="1" ht="13.5" customHeight="1" x14ac:dyDescent="0.3">
      <c r="B2" s="585" t="s">
        <v>131</v>
      </c>
      <c r="C2" s="585"/>
      <c r="D2" s="585"/>
      <c r="E2" s="585"/>
      <c r="F2" s="585"/>
      <c r="G2" s="585"/>
      <c r="H2" s="585"/>
      <c r="I2" s="585"/>
      <c r="J2" s="585"/>
      <c r="K2" s="585"/>
      <c r="L2" s="585"/>
      <c r="M2" s="585"/>
      <c r="N2" s="585"/>
    </row>
    <row r="3" spans="2:14" ht="14.25" customHeight="1" x14ac:dyDescent="0.3">
      <c r="B3" s="581" t="s">
        <v>132</v>
      </c>
      <c r="C3" s="582" t="s">
        <v>133</v>
      </c>
      <c r="D3" s="582" t="s">
        <v>134</v>
      </c>
      <c r="E3" s="582" t="s">
        <v>135</v>
      </c>
      <c r="F3" s="582" t="s">
        <v>136</v>
      </c>
      <c r="G3" s="582" t="s">
        <v>137</v>
      </c>
      <c r="H3" s="582" t="s">
        <v>138</v>
      </c>
      <c r="I3" s="582" t="s">
        <v>139</v>
      </c>
      <c r="J3" s="582" t="s">
        <v>140</v>
      </c>
      <c r="K3" s="582" t="s">
        <v>141</v>
      </c>
      <c r="L3" s="582" t="s">
        <v>142</v>
      </c>
      <c r="M3" s="582"/>
      <c r="N3" s="582"/>
    </row>
    <row r="4" spans="2:14" ht="14.25" customHeight="1" x14ac:dyDescent="0.3">
      <c r="B4" s="581"/>
      <c r="C4" s="582"/>
      <c r="D4" s="582"/>
      <c r="E4" s="582"/>
      <c r="F4" s="582"/>
      <c r="G4" s="582"/>
      <c r="H4" s="582"/>
      <c r="I4" s="582"/>
      <c r="J4" s="582"/>
      <c r="K4" s="582"/>
      <c r="L4" s="583" t="s">
        <v>143</v>
      </c>
      <c r="M4" s="583"/>
      <c r="N4" s="583"/>
    </row>
    <row r="5" spans="2:14" ht="36.75" customHeight="1" x14ac:dyDescent="0.3">
      <c r="B5" s="581"/>
      <c r="C5" s="582"/>
      <c r="D5" s="582"/>
      <c r="E5" s="582"/>
      <c r="F5" s="582"/>
      <c r="G5" s="582"/>
      <c r="H5" s="582"/>
      <c r="I5" s="582"/>
      <c r="J5" s="582"/>
      <c r="K5" s="582"/>
      <c r="L5" s="584" t="s">
        <v>144</v>
      </c>
      <c r="M5" s="584" t="s">
        <v>145</v>
      </c>
      <c r="N5" s="584" t="s">
        <v>146</v>
      </c>
    </row>
    <row r="6" spans="2:14" ht="14.25" customHeight="1" x14ac:dyDescent="0.3">
      <c r="B6" s="31" t="s">
        <v>147</v>
      </c>
      <c r="C6" s="32" t="s">
        <v>148</v>
      </c>
      <c r="D6" s="32" t="s">
        <v>148</v>
      </c>
      <c r="E6" s="32" t="s">
        <v>148</v>
      </c>
      <c r="F6" s="32">
        <v>0</v>
      </c>
      <c r="G6" s="32" t="s">
        <v>148</v>
      </c>
      <c r="H6" s="32">
        <v>0</v>
      </c>
      <c r="I6" s="32" t="s">
        <v>148</v>
      </c>
      <c r="J6" s="32">
        <v>0</v>
      </c>
      <c r="K6" s="32" t="s">
        <v>148</v>
      </c>
      <c r="L6" s="32" t="s">
        <v>148</v>
      </c>
      <c r="M6" s="32" t="s">
        <v>148</v>
      </c>
      <c r="N6" s="32" t="s">
        <v>148</v>
      </c>
    </row>
    <row r="7" spans="2:14" ht="14.25" customHeight="1" x14ac:dyDescent="0.3">
      <c r="B7" s="33" t="s">
        <v>149</v>
      </c>
      <c r="C7" s="34" t="s">
        <v>148</v>
      </c>
      <c r="D7" s="34" t="s">
        <v>148</v>
      </c>
      <c r="E7" s="34" t="s">
        <v>148</v>
      </c>
      <c r="F7" s="34">
        <v>0</v>
      </c>
      <c r="G7" s="34" t="s">
        <v>148</v>
      </c>
      <c r="H7" s="34">
        <v>0</v>
      </c>
      <c r="I7" s="34" t="s">
        <v>148</v>
      </c>
      <c r="J7" s="34">
        <v>0</v>
      </c>
      <c r="K7" s="34" t="s">
        <v>148</v>
      </c>
      <c r="L7" s="34" t="s">
        <v>148</v>
      </c>
      <c r="M7" s="34" t="s">
        <v>148</v>
      </c>
      <c r="N7" s="34" t="s">
        <v>148</v>
      </c>
    </row>
    <row r="8" spans="2:14" ht="13.5" customHeight="1" x14ac:dyDescent="0.3">
      <c r="B8" s="35" t="s">
        <v>150</v>
      </c>
      <c r="C8" s="36">
        <v>41</v>
      </c>
      <c r="D8" s="37">
        <v>10798557</v>
      </c>
      <c r="E8" s="37">
        <v>10798557</v>
      </c>
      <c r="F8" s="36">
        <v>11.93</v>
      </c>
      <c r="G8" s="37">
        <v>10798557</v>
      </c>
      <c r="H8" s="36">
        <v>11.93</v>
      </c>
      <c r="I8" s="37">
        <v>10798557</v>
      </c>
      <c r="J8" s="36">
        <v>11.93</v>
      </c>
      <c r="K8" s="37">
        <v>10798557</v>
      </c>
      <c r="L8" s="36" t="s">
        <v>148</v>
      </c>
      <c r="M8" s="36" t="s">
        <v>148</v>
      </c>
      <c r="N8" s="36" t="s">
        <v>148</v>
      </c>
    </row>
    <row r="9" spans="2:14" ht="27.75" customHeight="1" x14ac:dyDescent="0.3">
      <c r="B9" s="31" t="s">
        <v>151</v>
      </c>
      <c r="C9" s="32">
        <v>1</v>
      </c>
      <c r="D9" s="38">
        <v>1053013</v>
      </c>
      <c r="E9" s="38">
        <v>1053013</v>
      </c>
      <c r="F9" s="32">
        <v>1.1599999999999999</v>
      </c>
      <c r="G9" s="38">
        <v>1053013</v>
      </c>
      <c r="H9" s="32">
        <v>1.1599999999999999</v>
      </c>
      <c r="I9" s="38">
        <v>1053013</v>
      </c>
      <c r="J9" s="32">
        <v>1.1599999999999999</v>
      </c>
      <c r="K9" s="38">
        <v>1053013</v>
      </c>
      <c r="L9" s="32" t="s">
        <v>148</v>
      </c>
      <c r="M9" s="32" t="s">
        <v>148</v>
      </c>
      <c r="N9" s="32" t="s">
        <v>148</v>
      </c>
    </row>
    <row r="10" spans="2:14" ht="13.5" customHeight="1" x14ac:dyDescent="0.3">
      <c r="B10" s="31" t="s">
        <v>152</v>
      </c>
      <c r="C10" s="32">
        <v>1</v>
      </c>
      <c r="D10" s="38">
        <v>2579213</v>
      </c>
      <c r="E10" s="38">
        <v>2579213</v>
      </c>
      <c r="F10" s="32">
        <v>2.85</v>
      </c>
      <c r="G10" s="38">
        <v>2579213</v>
      </c>
      <c r="H10" s="32">
        <v>2.85</v>
      </c>
      <c r="I10" s="38">
        <v>2579213</v>
      </c>
      <c r="J10" s="32">
        <v>2.85</v>
      </c>
      <c r="K10" s="38">
        <v>2579213</v>
      </c>
      <c r="L10" s="32" t="s">
        <v>148</v>
      </c>
      <c r="M10" s="32" t="s">
        <v>148</v>
      </c>
      <c r="N10" s="32" t="s">
        <v>148</v>
      </c>
    </row>
    <row r="11" spans="2:14" ht="13.5" customHeight="1" x14ac:dyDescent="0.3">
      <c r="B11" s="31" t="s">
        <v>153</v>
      </c>
      <c r="C11" s="32">
        <v>1</v>
      </c>
      <c r="D11" s="38">
        <v>3251372</v>
      </c>
      <c r="E11" s="38">
        <v>3251372</v>
      </c>
      <c r="F11" s="32">
        <v>3.59</v>
      </c>
      <c r="G11" s="38">
        <v>3251372</v>
      </c>
      <c r="H11" s="32">
        <v>3.59</v>
      </c>
      <c r="I11" s="38">
        <v>3251372</v>
      </c>
      <c r="J11" s="32">
        <v>3.59</v>
      </c>
      <c r="K11" s="38">
        <v>3251372</v>
      </c>
      <c r="L11" s="32" t="s">
        <v>148</v>
      </c>
      <c r="M11" s="32" t="s">
        <v>148</v>
      </c>
      <c r="N11" s="32" t="s">
        <v>148</v>
      </c>
    </row>
    <row r="12" spans="2:14" ht="13.5" customHeight="1" x14ac:dyDescent="0.3">
      <c r="B12" s="31" t="s">
        <v>154</v>
      </c>
      <c r="C12" s="32" t="s">
        <v>148</v>
      </c>
      <c r="D12" s="32" t="s">
        <v>148</v>
      </c>
      <c r="E12" s="32" t="s">
        <v>148</v>
      </c>
      <c r="F12" s="32">
        <v>0</v>
      </c>
      <c r="G12" s="32" t="s">
        <v>148</v>
      </c>
      <c r="H12" s="32">
        <v>0</v>
      </c>
      <c r="I12" s="32" t="s">
        <v>148</v>
      </c>
      <c r="J12" s="32">
        <v>0</v>
      </c>
      <c r="K12" s="32" t="s">
        <v>148</v>
      </c>
      <c r="L12" s="32" t="s">
        <v>148</v>
      </c>
      <c r="M12" s="32" t="s">
        <v>148</v>
      </c>
      <c r="N12" s="32" t="s">
        <v>148</v>
      </c>
    </row>
    <row r="13" spans="2:14" ht="13.5" customHeight="1" x14ac:dyDescent="0.3">
      <c r="B13" s="39" t="s">
        <v>155</v>
      </c>
      <c r="C13" s="40">
        <v>27</v>
      </c>
      <c r="D13" s="41">
        <v>218593</v>
      </c>
      <c r="E13" s="41">
        <v>218593</v>
      </c>
      <c r="F13" s="40">
        <v>0.24</v>
      </c>
      <c r="G13" s="41">
        <v>218593</v>
      </c>
      <c r="H13" s="40">
        <v>0.24</v>
      </c>
      <c r="I13" s="41">
        <v>218593</v>
      </c>
      <c r="J13" s="40">
        <v>0.24</v>
      </c>
      <c r="K13" s="41">
        <v>218593</v>
      </c>
      <c r="L13" s="40" t="s">
        <v>148</v>
      </c>
      <c r="M13" s="40" t="s">
        <v>148</v>
      </c>
      <c r="N13" s="40" t="s">
        <v>148</v>
      </c>
    </row>
    <row r="14" spans="2:14" ht="13.5" customHeight="1" x14ac:dyDescent="0.3">
      <c r="B14" s="39" t="s">
        <v>156</v>
      </c>
      <c r="C14" s="40">
        <v>1</v>
      </c>
      <c r="D14" s="40">
        <v>25</v>
      </c>
      <c r="E14" s="40">
        <v>25</v>
      </c>
      <c r="F14" s="40">
        <v>0</v>
      </c>
      <c r="G14" s="40">
        <v>25</v>
      </c>
      <c r="H14" s="40">
        <v>0</v>
      </c>
      <c r="I14" s="40">
        <v>25</v>
      </c>
      <c r="J14" s="40">
        <v>0</v>
      </c>
      <c r="K14" s="40">
        <v>25</v>
      </c>
      <c r="L14" s="40" t="s">
        <v>148</v>
      </c>
      <c r="M14" s="40" t="s">
        <v>148</v>
      </c>
      <c r="N14" s="40" t="s">
        <v>148</v>
      </c>
    </row>
    <row r="15" spans="2:14" ht="13.5" customHeight="1" x14ac:dyDescent="0.3">
      <c r="B15" s="39" t="s">
        <v>157</v>
      </c>
      <c r="C15" s="40">
        <v>17</v>
      </c>
      <c r="D15" s="41">
        <v>447243</v>
      </c>
      <c r="E15" s="41">
        <v>447243</v>
      </c>
      <c r="F15" s="40">
        <v>0.49</v>
      </c>
      <c r="G15" s="41">
        <v>447243</v>
      </c>
      <c r="H15" s="40">
        <v>0.49</v>
      </c>
      <c r="I15" s="41">
        <v>447243</v>
      </c>
      <c r="J15" s="40">
        <v>0.49</v>
      </c>
      <c r="K15" s="41">
        <v>447243</v>
      </c>
      <c r="L15" s="40" t="s">
        <v>148</v>
      </c>
      <c r="M15" s="40" t="s">
        <v>148</v>
      </c>
      <c r="N15" s="40" t="s">
        <v>148</v>
      </c>
    </row>
    <row r="16" spans="2:14" ht="13.5" customHeight="1" x14ac:dyDescent="0.3">
      <c r="B16" s="39" t="s">
        <v>158</v>
      </c>
      <c r="C16" s="40">
        <v>1</v>
      </c>
      <c r="D16" s="41">
        <v>207363</v>
      </c>
      <c r="E16" s="41">
        <v>207363</v>
      </c>
      <c r="F16" s="40">
        <v>0.23</v>
      </c>
      <c r="G16" s="41">
        <v>207363</v>
      </c>
      <c r="H16" s="40">
        <v>0.23</v>
      </c>
      <c r="I16" s="41">
        <v>207363</v>
      </c>
      <c r="J16" s="40">
        <v>0.23</v>
      </c>
      <c r="K16" s="41">
        <v>207363</v>
      </c>
      <c r="L16" s="40" t="s">
        <v>148</v>
      </c>
      <c r="M16" s="40" t="s">
        <v>148</v>
      </c>
      <c r="N16" s="40" t="s">
        <v>148</v>
      </c>
    </row>
    <row r="17" spans="2:14" ht="13.5" customHeight="1" x14ac:dyDescent="0.3">
      <c r="B17" s="39" t="s">
        <v>159</v>
      </c>
      <c r="C17" s="40" t="s">
        <v>148</v>
      </c>
      <c r="D17" s="40" t="s">
        <v>148</v>
      </c>
      <c r="E17" s="40" t="s">
        <v>148</v>
      </c>
      <c r="F17" s="40">
        <v>0</v>
      </c>
      <c r="G17" s="40" t="s">
        <v>148</v>
      </c>
      <c r="H17" s="40">
        <v>0</v>
      </c>
      <c r="I17" s="40" t="s">
        <v>148</v>
      </c>
      <c r="J17" s="40">
        <v>0</v>
      </c>
      <c r="K17" s="40" t="s">
        <v>148</v>
      </c>
      <c r="L17" s="40" t="s">
        <v>148</v>
      </c>
      <c r="M17" s="40" t="s">
        <v>148</v>
      </c>
      <c r="N17" s="40" t="s">
        <v>148</v>
      </c>
    </row>
    <row r="18" spans="2:14" ht="13.5" customHeight="1" x14ac:dyDescent="0.3">
      <c r="B18" s="39" t="s">
        <v>160</v>
      </c>
      <c r="C18" s="40" t="s">
        <v>148</v>
      </c>
      <c r="D18" s="40" t="s">
        <v>148</v>
      </c>
      <c r="E18" s="40" t="s">
        <v>148</v>
      </c>
      <c r="F18" s="40">
        <v>0</v>
      </c>
      <c r="G18" s="40" t="s">
        <v>148</v>
      </c>
      <c r="H18" s="40">
        <v>0</v>
      </c>
      <c r="I18" s="40" t="s">
        <v>148</v>
      </c>
      <c r="J18" s="40">
        <v>0</v>
      </c>
      <c r="K18" s="40" t="s">
        <v>148</v>
      </c>
      <c r="L18" s="40" t="s">
        <v>148</v>
      </c>
      <c r="M18" s="40" t="s">
        <v>148</v>
      </c>
      <c r="N18" s="40" t="s">
        <v>148</v>
      </c>
    </row>
    <row r="19" spans="2:14" ht="13.5" customHeight="1" x14ac:dyDescent="0.3">
      <c r="B19" s="39" t="s">
        <v>161</v>
      </c>
      <c r="C19" s="40">
        <v>4</v>
      </c>
      <c r="D19" s="41">
        <v>3080</v>
      </c>
      <c r="E19" s="41">
        <v>3080</v>
      </c>
      <c r="F19" s="40">
        <v>0</v>
      </c>
      <c r="G19" s="41">
        <v>3080</v>
      </c>
      <c r="H19" s="40">
        <v>0</v>
      </c>
      <c r="I19" s="41">
        <v>3080</v>
      </c>
      <c r="J19" s="40">
        <v>0</v>
      </c>
      <c r="K19" s="41">
        <v>3080</v>
      </c>
      <c r="L19" s="40" t="s">
        <v>148</v>
      </c>
      <c r="M19" s="40" t="s">
        <v>148</v>
      </c>
      <c r="N19" s="40" t="s">
        <v>148</v>
      </c>
    </row>
    <row r="20" spans="2:14" ht="13.5" customHeight="1" x14ac:dyDescent="0.3">
      <c r="B20" s="39" t="s">
        <v>162</v>
      </c>
      <c r="C20" s="40">
        <v>1</v>
      </c>
      <c r="D20" s="41">
        <v>2000</v>
      </c>
      <c r="E20" s="41">
        <v>2000</v>
      </c>
      <c r="F20" s="40">
        <v>0</v>
      </c>
      <c r="G20" s="41">
        <v>2000</v>
      </c>
      <c r="H20" s="40">
        <v>0</v>
      </c>
      <c r="I20" s="41">
        <v>2000</v>
      </c>
      <c r="J20" s="40">
        <v>0</v>
      </c>
      <c r="K20" s="41">
        <v>2000</v>
      </c>
      <c r="L20" s="40" t="s">
        <v>148</v>
      </c>
      <c r="M20" s="40" t="s">
        <v>148</v>
      </c>
      <c r="N20" s="40" t="s">
        <v>148</v>
      </c>
    </row>
    <row r="21" spans="2:14" ht="14.25" customHeight="1" x14ac:dyDescent="0.3">
      <c r="B21" s="42" t="s">
        <v>163</v>
      </c>
      <c r="C21" s="43" t="s">
        <v>148</v>
      </c>
      <c r="D21" s="43" t="s">
        <v>148</v>
      </c>
      <c r="E21" s="43" t="s">
        <v>148</v>
      </c>
      <c r="F21" s="43">
        <v>0</v>
      </c>
      <c r="G21" s="43" t="s">
        <v>148</v>
      </c>
      <c r="H21" s="43">
        <v>0</v>
      </c>
      <c r="I21" s="43" t="s">
        <v>148</v>
      </c>
      <c r="J21" s="43">
        <v>0</v>
      </c>
      <c r="K21" s="43" t="s">
        <v>148</v>
      </c>
      <c r="L21" s="43" t="s">
        <v>148</v>
      </c>
      <c r="M21" s="43" t="s">
        <v>148</v>
      </c>
      <c r="N21" s="43" t="s">
        <v>148</v>
      </c>
    </row>
    <row r="22" spans="2:14" ht="14.25" customHeight="1" x14ac:dyDescent="0.3">
      <c r="B22" s="44" t="s">
        <v>164</v>
      </c>
      <c r="C22" s="45">
        <v>92</v>
      </c>
      <c r="D22" s="46">
        <v>11676861</v>
      </c>
      <c r="E22" s="46">
        <v>11676861</v>
      </c>
      <c r="F22" s="45">
        <v>12.9</v>
      </c>
      <c r="G22" s="46">
        <v>11676861</v>
      </c>
      <c r="H22" s="45">
        <v>12.9</v>
      </c>
      <c r="I22" s="46">
        <v>11676861</v>
      </c>
      <c r="J22" s="45">
        <v>12.9</v>
      </c>
      <c r="K22" s="46">
        <v>11676861</v>
      </c>
      <c r="L22" s="45" t="s">
        <v>148</v>
      </c>
      <c r="M22" s="45" t="s">
        <v>148</v>
      </c>
      <c r="N22" s="47" t="s">
        <v>148</v>
      </c>
    </row>
    <row r="23" spans="2:14" ht="13.5" customHeight="1" x14ac:dyDescent="0.3">
      <c r="B23" s="48" t="s">
        <v>165</v>
      </c>
      <c r="C23" s="49" t="s">
        <v>148</v>
      </c>
      <c r="D23" s="49" t="s">
        <v>148</v>
      </c>
      <c r="E23" s="49" t="s">
        <v>148</v>
      </c>
      <c r="F23" s="49">
        <v>0</v>
      </c>
      <c r="G23" s="49" t="s">
        <v>148</v>
      </c>
      <c r="H23" s="49">
        <v>0</v>
      </c>
      <c r="I23" s="49" t="s">
        <v>148</v>
      </c>
      <c r="J23" s="49">
        <v>0</v>
      </c>
      <c r="K23" s="49" t="s">
        <v>148</v>
      </c>
      <c r="L23" s="49" t="s">
        <v>148</v>
      </c>
      <c r="M23" s="49" t="s">
        <v>148</v>
      </c>
      <c r="N23" s="49" t="s">
        <v>148</v>
      </c>
    </row>
    <row r="24" spans="2:14" ht="13.5" customHeight="1" x14ac:dyDescent="0.3">
      <c r="B24" s="39" t="s">
        <v>166</v>
      </c>
      <c r="C24" s="40" t="s">
        <v>148</v>
      </c>
      <c r="D24" s="40" t="s">
        <v>148</v>
      </c>
      <c r="E24" s="40" t="s">
        <v>148</v>
      </c>
      <c r="F24" s="40">
        <v>0</v>
      </c>
      <c r="G24" s="40" t="s">
        <v>148</v>
      </c>
      <c r="H24" s="40">
        <v>0</v>
      </c>
      <c r="I24" s="40" t="s">
        <v>148</v>
      </c>
      <c r="J24" s="40">
        <v>0</v>
      </c>
      <c r="K24" s="40" t="s">
        <v>148</v>
      </c>
      <c r="L24" s="40" t="s">
        <v>148</v>
      </c>
      <c r="M24" s="40" t="s">
        <v>148</v>
      </c>
      <c r="N24" s="40" t="s">
        <v>148</v>
      </c>
    </row>
    <row r="25" spans="2:14" ht="13.5" customHeight="1" x14ac:dyDescent="0.3">
      <c r="B25" s="39" t="s">
        <v>167</v>
      </c>
      <c r="C25" s="40" t="s">
        <v>148</v>
      </c>
      <c r="D25" s="40" t="s">
        <v>148</v>
      </c>
      <c r="E25" s="40" t="s">
        <v>148</v>
      </c>
      <c r="F25" s="40">
        <v>0</v>
      </c>
      <c r="G25" s="40" t="s">
        <v>148</v>
      </c>
      <c r="H25" s="40">
        <v>0</v>
      </c>
      <c r="I25" s="40" t="s">
        <v>148</v>
      </c>
      <c r="J25" s="40">
        <v>0</v>
      </c>
      <c r="K25" s="40" t="s">
        <v>148</v>
      </c>
      <c r="L25" s="40" t="s">
        <v>148</v>
      </c>
      <c r="M25" s="40" t="s">
        <v>148</v>
      </c>
      <c r="N25" s="40" t="s">
        <v>148</v>
      </c>
    </row>
    <row r="26" spans="2:14" ht="13.5" customHeight="1" x14ac:dyDescent="0.3">
      <c r="B26" s="39" t="s">
        <v>160</v>
      </c>
      <c r="C26" s="40" t="s">
        <v>148</v>
      </c>
      <c r="D26" s="40" t="s">
        <v>148</v>
      </c>
      <c r="E26" s="40" t="s">
        <v>148</v>
      </c>
      <c r="F26" s="40">
        <v>0</v>
      </c>
      <c r="G26" s="40" t="s">
        <v>148</v>
      </c>
      <c r="H26" s="40">
        <v>0</v>
      </c>
      <c r="I26" s="40" t="s">
        <v>148</v>
      </c>
      <c r="J26" s="40">
        <v>0</v>
      </c>
      <c r="K26" s="40" t="s">
        <v>148</v>
      </c>
      <c r="L26" s="40" t="s">
        <v>148</v>
      </c>
      <c r="M26" s="40" t="s">
        <v>148</v>
      </c>
      <c r="N26" s="40" t="s">
        <v>148</v>
      </c>
    </row>
    <row r="27" spans="2:14" ht="13.5" customHeight="1" x14ac:dyDescent="0.3">
      <c r="B27" s="39" t="s">
        <v>168</v>
      </c>
      <c r="C27" s="40">
        <v>371</v>
      </c>
      <c r="D27" s="41">
        <v>5766958</v>
      </c>
      <c r="E27" s="41">
        <v>5766958</v>
      </c>
      <c r="F27" s="40">
        <v>6.37</v>
      </c>
      <c r="G27" s="41">
        <v>5766958</v>
      </c>
      <c r="H27" s="40">
        <v>6.37</v>
      </c>
      <c r="I27" s="41">
        <v>5766958</v>
      </c>
      <c r="J27" s="40">
        <v>6.37</v>
      </c>
      <c r="K27" s="41">
        <v>5766958</v>
      </c>
      <c r="L27" s="40" t="s">
        <v>148</v>
      </c>
      <c r="M27" s="40" t="s">
        <v>148</v>
      </c>
      <c r="N27" s="40" t="s">
        <v>148</v>
      </c>
    </row>
    <row r="28" spans="2:14" ht="13.5" customHeight="1" x14ac:dyDescent="0.3">
      <c r="B28" s="39" t="s">
        <v>169</v>
      </c>
      <c r="C28" s="40">
        <v>20</v>
      </c>
      <c r="D28" s="41">
        <v>202861</v>
      </c>
      <c r="E28" s="41">
        <v>202861</v>
      </c>
      <c r="F28" s="40">
        <v>0.22</v>
      </c>
      <c r="G28" s="41">
        <v>202861</v>
      </c>
      <c r="H28" s="40">
        <v>0.22</v>
      </c>
      <c r="I28" s="41">
        <v>202861</v>
      </c>
      <c r="J28" s="40">
        <v>0.22</v>
      </c>
      <c r="K28" s="41">
        <v>202861</v>
      </c>
      <c r="L28" s="40" t="s">
        <v>148</v>
      </c>
      <c r="M28" s="40" t="s">
        <v>148</v>
      </c>
      <c r="N28" s="40" t="s">
        <v>148</v>
      </c>
    </row>
    <row r="29" spans="2:14" ht="27.75" customHeight="1" x14ac:dyDescent="0.3">
      <c r="B29" s="39" t="s">
        <v>170</v>
      </c>
      <c r="C29" s="40" t="s">
        <v>148</v>
      </c>
      <c r="D29" s="40" t="s">
        <v>148</v>
      </c>
      <c r="E29" s="40" t="s">
        <v>148</v>
      </c>
      <c r="F29" s="40">
        <v>0</v>
      </c>
      <c r="G29" s="40" t="s">
        <v>148</v>
      </c>
      <c r="H29" s="40">
        <v>0</v>
      </c>
      <c r="I29" s="40" t="s">
        <v>148</v>
      </c>
      <c r="J29" s="40">
        <v>0</v>
      </c>
      <c r="K29" s="40" t="s">
        <v>148</v>
      </c>
      <c r="L29" s="40" t="s">
        <v>148</v>
      </c>
      <c r="M29" s="40" t="s">
        <v>148</v>
      </c>
      <c r="N29" s="40" t="s">
        <v>148</v>
      </c>
    </row>
    <row r="30" spans="2:14" ht="14.25" customHeight="1" x14ac:dyDescent="0.3">
      <c r="B30" s="42" t="s">
        <v>171</v>
      </c>
      <c r="C30" s="43" t="s">
        <v>148</v>
      </c>
      <c r="D30" s="43" t="s">
        <v>148</v>
      </c>
      <c r="E30" s="43" t="s">
        <v>148</v>
      </c>
      <c r="F30" s="43">
        <v>0</v>
      </c>
      <c r="G30" s="43" t="s">
        <v>148</v>
      </c>
      <c r="H30" s="43">
        <v>0</v>
      </c>
      <c r="I30" s="43" t="s">
        <v>148</v>
      </c>
      <c r="J30" s="43">
        <v>0</v>
      </c>
      <c r="K30" s="43" t="s">
        <v>148</v>
      </c>
      <c r="L30" s="43" t="s">
        <v>148</v>
      </c>
      <c r="M30" s="43" t="s">
        <v>148</v>
      </c>
      <c r="N30" s="43" t="s">
        <v>148</v>
      </c>
    </row>
    <row r="31" spans="2:14" ht="14.25" customHeight="1" x14ac:dyDescent="0.3">
      <c r="B31" s="44" t="s">
        <v>172</v>
      </c>
      <c r="C31" s="45">
        <v>391</v>
      </c>
      <c r="D31" s="46">
        <v>5969819</v>
      </c>
      <c r="E31" s="46">
        <v>5969819</v>
      </c>
      <c r="F31" s="45">
        <v>6.6</v>
      </c>
      <c r="G31" s="46">
        <v>5969819</v>
      </c>
      <c r="H31" s="45">
        <v>6.6</v>
      </c>
      <c r="I31" s="46">
        <v>5969819</v>
      </c>
      <c r="J31" s="45">
        <v>6.6</v>
      </c>
      <c r="K31" s="46">
        <v>5969819</v>
      </c>
      <c r="L31" s="45" t="s">
        <v>148</v>
      </c>
      <c r="M31" s="45" t="s">
        <v>148</v>
      </c>
      <c r="N31" s="47" t="s">
        <v>148</v>
      </c>
    </row>
    <row r="32" spans="2:14" ht="27.75" customHeight="1" x14ac:dyDescent="0.3">
      <c r="B32" s="48" t="s">
        <v>173</v>
      </c>
      <c r="C32" s="49" t="s">
        <v>148</v>
      </c>
      <c r="D32" s="49" t="s">
        <v>148</v>
      </c>
      <c r="E32" s="49" t="s">
        <v>148</v>
      </c>
      <c r="F32" s="49">
        <v>0</v>
      </c>
      <c r="G32" s="49" t="s">
        <v>148</v>
      </c>
      <c r="H32" s="49">
        <v>0</v>
      </c>
      <c r="I32" s="49" t="s">
        <v>148</v>
      </c>
      <c r="J32" s="49">
        <v>0</v>
      </c>
      <c r="K32" s="49" t="s">
        <v>148</v>
      </c>
      <c r="L32" s="49" t="s">
        <v>148</v>
      </c>
      <c r="M32" s="49" t="s">
        <v>148</v>
      </c>
      <c r="N32" s="49" t="s">
        <v>148</v>
      </c>
    </row>
    <row r="33" spans="2:14" ht="13.5" customHeight="1" x14ac:dyDescent="0.3">
      <c r="B33" s="39" t="s">
        <v>174</v>
      </c>
      <c r="C33" s="40">
        <v>1</v>
      </c>
      <c r="D33" s="40">
        <v>946</v>
      </c>
      <c r="E33" s="40">
        <v>946</v>
      </c>
      <c r="F33" s="40">
        <v>0</v>
      </c>
      <c r="G33" s="40">
        <v>946</v>
      </c>
      <c r="H33" s="40">
        <v>0</v>
      </c>
      <c r="I33" s="40">
        <v>946</v>
      </c>
      <c r="J33" s="40">
        <v>0</v>
      </c>
      <c r="K33" s="40">
        <v>946</v>
      </c>
      <c r="L33" s="40" t="s">
        <v>148</v>
      </c>
      <c r="M33" s="40" t="s">
        <v>148</v>
      </c>
      <c r="N33" s="40" t="s">
        <v>148</v>
      </c>
    </row>
    <row r="34" spans="2:14" ht="13.5" customHeight="1" x14ac:dyDescent="0.3">
      <c r="B34" s="39" t="s">
        <v>175</v>
      </c>
      <c r="C34" s="40" t="s">
        <v>148</v>
      </c>
      <c r="D34" s="40" t="s">
        <v>148</v>
      </c>
      <c r="E34" s="40" t="s">
        <v>148</v>
      </c>
      <c r="F34" s="40">
        <v>0</v>
      </c>
      <c r="G34" s="40" t="s">
        <v>148</v>
      </c>
      <c r="H34" s="40">
        <v>0</v>
      </c>
      <c r="I34" s="40" t="s">
        <v>148</v>
      </c>
      <c r="J34" s="40">
        <v>0</v>
      </c>
      <c r="K34" s="40" t="s">
        <v>148</v>
      </c>
      <c r="L34" s="40" t="s">
        <v>148</v>
      </c>
      <c r="M34" s="40" t="s">
        <v>148</v>
      </c>
      <c r="N34" s="40" t="s">
        <v>148</v>
      </c>
    </row>
    <row r="35" spans="2:14" ht="42" customHeight="1" x14ac:dyDescent="0.3">
      <c r="B35" s="42" t="s">
        <v>176</v>
      </c>
      <c r="C35" s="43" t="s">
        <v>148</v>
      </c>
      <c r="D35" s="43" t="s">
        <v>148</v>
      </c>
      <c r="E35" s="43" t="s">
        <v>148</v>
      </c>
      <c r="F35" s="43">
        <v>0</v>
      </c>
      <c r="G35" s="43" t="s">
        <v>148</v>
      </c>
      <c r="H35" s="43">
        <v>0</v>
      </c>
      <c r="I35" s="43" t="s">
        <v>148</v>
      </c>
      <c r="J35" s="43">
        <v>0</v>
      </c>
      <c r="K35" s="43" t="s">
        <v>148</v>
      </c>
      <c r="L35" s="43" t="s">
        <v>148</v>
      </c>
      <c r="M35" s="43" t="s">
        <v>148</v>
      </c>
      <c r="N35" s="43" t="s">
        <v>148</v>
      </c>
    </row>
    <row r="36" spans="2:14" ht="14.25" customHeight="1" x14ac:dyDescent="0.3">
      <c r="B36" s="44" t="s">
        <v>177</v>
      </c>
      <c r="C36" s="45">
        <v>1</v>
      </c>
      <c r="D36" s="45">
        <v>946</v>
      </c>
      <c r="E36" s="45">
        <v>946</v>
      </c>
      <c r="F36" s="45">
        <v>0</v>
      </c>
      <c r="G36" s="45">
        <v>946</v>
      </c>
      <c r="H36" s="45">
        <v>0</v>
      </c>
      <c r="I36" s="45">
        <v>946</v>
      </c>
      <c r="J36" s="45">
        <v>0</v>
      </c>
      <c r="K36" s="45">
        <v>946</v>
      </c>
      <c r="L36" s="45" t="s">
        <v>148</v>
      </c>
      <c r="M36" s="45" t="s">
        <v>148</v>
      </c>
      <c r="N36" s="47" t="s">
        <v>148</v>
      </c>
    </row>
    <row r="37" spans="2:14" ht="13.5" customHeight="1" x14ac:dyDescent="0.3">
      <c r="B37" s="48" t="s">
        <v>178</v>
      </c>
      <c r="C37" s="49" t="s">
        <v>148</v>
      </c>
      <c r="D37" s="49" t="s">
        <v>148</v>
      </c>
      <c r="E37" s="49" t="s">
        <v>148</v>
      </c>
      <c r="F37" s="49">
        <v>0</v>
      </c>
      <c r="G37" s="49" t="s">
        <v>148</v>
      </c>
      <c r="H37" s="49">
        <v>0</v>
      </c>
      <c r="I37" s="49" t="s">
        <v>148</v>
      </c>
      <c r="J37" s="49">
        <v>0</v>
      </c>
      <c r="K37" s="49" t="s">
        <v>148</v>
      </c>
      <c r="L37" s="49" t="s">
        <v>148</v>
      </c>
      <c r="M37" s="49" t="s">
        <v>148</v>
      </c>
      <c r="N37" s="49" t="s">
        <v>148</v>
      </c>
    </row>
    <row r="38" spans="2:14" ht="13.5" customHeight="1" x14ac:dyDescent="0.3">
      <c r="B38" s="39" t="s">
        <v>179</v>
      </c>
      <c r="C38" s="40" t="s">
        <v>148</v>
      </c>
      <c r="D38" s="40" t="s">
        <v>148</v>
      </c>
      <c r="E38" s="40" t="s">
        <v>148</v>
      </c>
      <c r="F38" s="40">
        <v>0</v>
      </c>
      <c r="G38" s="40" t="s">
        <v>148</v>
      </c>
      <c r="H38" s="40">
        <v>0</v>
      </c>
      <c r="I38" s="40" t="s">
        <v>148</v>
      </c>
      <c r="J38" s="40">
        <v>0</v>
      </c>
      <c r="K38" s="40" t="s">
        <v>148</v>
      </c>
      <c r="L38" s="40" t="s">
        <v>148</v>
      </c>
      <c r="M38" s="40" t="s">
        <v>148</v>
      </c>
      <c r="N38" s="40" t="s">
        <v>148</v>
      </c>
    </row>
    <row r="39" spans="2:14" ht="42" customHeight="1" x14ac:dyDescent="0.3">
      <c r="B39" s="39" t="s">
        <v>180</v>
      </c>
      <c r="C39" s="40" t="s">
        <v>148</v>
      </c>
      <c r="D39" s="40" t="s">
        <v>148</v>
      </c>
      <c r="E39" s="40" t="s">
        <v>148</v>
      </c>
      <c r="F39" s="40">
        <v>0</v>
      </c>
      <c r="G39" s="40" t="s">
        <v>148</v>
      </c>
      <c r="H39" s="40">
        <v>0</v>
      </c>
      <c r="I39" s="40" t="s">
        <v>148</v>
      </c>
      <c r="J39" s="40">
        <v>0</v>
      </c>
      <c r="K39" s="40" t="s">
        <v>148</v>
      </c>
      <c r="L39" s="40" t="s">
        <v>148</v>
      </c>
      <c r="M39" s="40" t="s">
        <v>148</v>
      </c>
      <c r="N39" s="40" t="s">
        <v>148</v>
      </c>
    </row>
    <row r="40" spans="2:14" ht="13.5" customHeight="1" x14ac:dyDescent="0.3">
      <c r="B40" s="39" t="s">
        <v>181</v>
      </c>
      <c r="C40" s="40">
        <v>2</v>
      </c>
      <c r="D40" s="41">
        <v>3978</v>
      </c>
      <c r="E40" s="41">
        <v>3978</v>
      </c>
      <c r="F40" s="40">
        <v>0</v>
      </c>
      <c r="G40" s="41">
        <v>3978</v>
      </c>
      <c r="H40" s="40">
        <v>0</v>
      </c>
      <c r="I40" s="41">
        <v>3978</v>
      </c>
      <c r="J40" s="40">
        <v>0</v>
      </c>
      <c r="K40" s="41">
        <v>3978</v>
      </c>
      <c r="L40" s="40" t="s">
        <v>148</v>
      </c>
      <c r="M40" s="40" t="s">
        <v>148</v>
      </c>
      <c r="N40" s="40" t="s">
        <v>148</v>
      </c>
    </row>
    <row r="41" spans="2:14" ht="55.5" customHeight="1" x14ac:dyDescent="0.3">
      <c r="B41" s="39" t="s">
        <v>182</v>
      </c>
      <c r="C41" s="40" t="s">
        <v>148</v>
      </c>
      <c r="D41" s="40" t="s">
        <v>148</v>
      </c>
      <c r="E41" s="40" t="s">
        <v>148</v>
      </c>
      <c r="F41" s="40">
        <v>0</v>
      </c>
      <c r="G41" s="40" t="s">
        <v>148</v>
      </c>
      <c r="H41" s="40">
        <v>0</v>
      </c>
      <c r="I41" s="40" t="s">
        <v>148</v>
      </c>
      <c r="J41" s="40">
        <v>0</v>
      </c>
      <c r="K41" s="40" t="s">
        <v>148</v>
      </c>
      <c r="L41" s="40" t="s">
        <v>148</v>
      </c>
      <c r="M41" s="40" t="s">
        <v>148</v>
      </c>
      <c r="N41" s="40" t="s">
        <v>148</v>
      </c>
    </row>
    <row r="42" spans="2:14" ht="55.5" customHeight="1" x14ac:dyDescent="0.3">
      <c r="B42" s="39" t="s">
        <v>183</v>
      </c>
      <c r="C42" s="40" t="s">
        <v>148</v>
      </c>
      <c r="D42" s="40" t="s">
        <v>148</v>
      </c>
      <c r="E42" s="40" t="s">
        <v>148</v>
      </c>
      <c r="F42" s="40">
        <v>0</v>
      </c>
      <c r="G42" s="40" t="s">
        <v>148</v>
      </c>
      <c r="H42" s="40">
        <v>0</v>
      </c>
      <c r="I42" s="40" t="s">
        <v>148</v>
      </c>
      <c r="J42" s="40">
        <v>0</v>
      </c>
      <c r="K42" s="40" t="s">
        <v>148</v>
      </c>
      <c r="L42" s="40" t="s">
        <v>148</v>
      </c>
      <c r="M42" s="40" t="s">
        <v>148</v>
      </c>
      <c r="N42" s="40" t="s">
        <v>148</v>
      </c>
    </row>
    <row r="43" spans="2:14" ht="27.75" customHeight="1" x14ac:dyDescent="0.3">
      <c r="B43" s="39" t="s">
        <v>184</v>
      </c>
      <c r="C43" s="40">
        <v>1</v>
      </c>
      <c r="D43" s="41">
        <v>2352</v>
      </c>
      <c r="E43" s="41">
        <v>2352</v>
      </c>
      <c r="F43" s="40">
        <v>0</v>
      </c>
      <c r="G43" s="41">
        <v>2352</v>
      </c>
      <c r="H43" s="40">
        <v>0</v>
      </c>
      <c r="I43" s="41">
        <v>2352</v>
      </c>
      <c r="J43" s="40">
        <v>0</v>
      </c>
      <c r="K43" s="41">
        <v>2352</v>
      </c>
      <c r="L43" s="40" t="s">
        <v>148</v>
      </c>
      <c r="M43" s="40" t="s">
        <v>148</v>
      </c>
      <c r="N43" s="40" t="s">
        <v>148</v>
      </c>
    </row>
    <row r="44" spans="2:14" ht="27.75" customHeight="1" x14ac:dyDescent="0.3">
      <c r="B44" s="39" t="s">
        <v>185</v>
      </c>
      <c r="C44" s="41">
        <v>108874</v>
      </c>
      <c r="D44" s="41">
        <v>4294247</v>
      </c>
      <c r="E44" s="41">
        <v>4294247</v>
      </c>
      <c r="F44" s="40">
        <v>4.75</v>
      </c>
      <c r="G44" s="41">
        <v>4294247</v>
      </c>
      <c r="H44" s="40">
        <v>4.75</v>
      </c>
      <c r="I44" s="41">
        <v>4294247</v>
      </c>
      <c r="J44" s="40">
        <v>4.75</v>
      </c>
      <c r="K44" s="41">
        <v>4294247</v>
      </c>
      <c r="L44" s="40" t="s">
        <v>148</v>
      </c>
      <c r="M44" s="40" t="s">
        <v>148</v>
      </c>
      <c r="N44" s="40" t="s">
        <v>148</v>
      </c>
    </row>
    <row r="45" spans="2:14" ht="27.75" customHeight="1" x14ac:dyDescent="0.3">
      <c r="B45" s="39" t="s">
        <v>186</v>
      </c>
      <c r="C45" s="40">
        <v>4</v>
      </c>
      <c r="D45" s="41">
        <v>665483</v>
      </c>
      <c r="E45" s="41">
        <v>665483</v>
      </c>
      <c r="F45" s="40">
        <v>0.74</v>
      </c>
      <c r="G45" s="41">
        <v>665483</v>
      </c>
      <c r="H45" s="40">
        <v>0.74</v>
      </c>
      <c r="I45" s="41">
        <v>665483</v>
      </c>
      <c r="J45" s="40">
        <v>0.74</v>
      </c>
      <c r="K45" s="41">
        <v>665483</v>
      </c>
      <c r="L45" s="40" t="s">
        <v>148</v>
      </c>
      <c r="M45" s="40" t="s">
        <v>148</v>
      </c>
      <c r="N45" s="40" t="s">
        <v>148</v>
      </c>
    </row>
    <row r="46" spans="2:14" ht="13.5" customHeight="1" x14ac:dyDescent="0.3">
      <c r="B46" s="39" t="s">
        <v>187</v>
      </c>
      <c r="C46" s="41">
        <v>3335</v>
      </c>
      <c r="D46" s="41">
        <v>188955</v>
      </c>
      <c r="E46" s="41">
        <v>188955</v>
      </c>
      <c r="F46" s="40">
        <v>0.21</v>
      </c>
      <c r="G46" s="41">
        <v>188955</v>
      </c>
      <c r="H46" s="40">
        <v>0.21</v>
      </c>
      <c r="I46" s="41">
        <v>188955</v>
      </c>
      <c r="J46" s="40">
        <v>0.21</v>
      </c>
      <c r="K46" s="41">
        <v>188955</v>
      </c>
      <c r="L46" s="40" t="s">
        <v>148</v>
      </c>
      <c r="M46" s="40" t="s">
        <v>148</v>
      </c>
      <c r="N46" s="40" t="s">
        <v>148</v>
      </c>
    </row>
    <row r="47" spans="2:14" ht="13.5" customHeight="1" x14ac:dyDescent="0.3">
      <c r="B47" s="39" t="s">
        <v>188</v>
      </c>
      <c r="C47" s="40" t="s">
        <v>148</v>
      </c>
      <c r="D47" s="40" t="s">
        <v>148</v>
      </c>
      <c r="E47" s="40" t="s">
        <v>148</v>
      </c>
      <c r="F47" s="40">
        <v>0</v>
      </c>
      <c r="G47" s="40" t="s">
        <v>148</v>
      </c>
      <c r="H47" s="40">
        <v>0</v>
      </c>
      <c r="I47" s="40" t="s">
        <v>148</v>
      </c>
      <c r="J47" s="40">
        <v>0</v>
      </c>
      <c r="K47" s="40" t="s">
        <v>148</v>
      </c>
      <c r="L47" s="40" t="s">
        <v>148</v>
      </c>
      <c r="M47" s="40" t="s">
        <v>148</v>
      </c>
      <c r="N47" s="40" t="s">
        <v>148</v>
      </c>
    </row>
    <row r="48" spans="2:14" ht="13.5" customHeight="1" x14ac:dyDescent="0.3">
      <c r="B48" s="39" t="s">
        <v>189</v>
      </c>
      <c r="C48" s="40" t="s">
        <v>148</v>
      </c>
      <c r="D48" s="40" t="s">
        <v>148</v>
      </c>
      <c r="E48" s="40" t="s">
        <v>148</v>
      </c>
      <c r="F48" s="40">
        <v>0</v>
      </c>
      <c r="G48" s="40" t="s">
        <v>148</v>
      </c>
      <c r="H48" s="40">
        <v>0</v>
      </c>
      <c r="I48" s="40" t="s">
        <v>148</v>
      </c>
      <c r="J48" s="40">
        <v>0</v>
      </c>
      <c r="K48" s="40" t="s">
        <v>148</v>
      </c>
      <c r="L48" s="40" t="s">
        <v>148</v>
      </c>
      <c r="M48" s="40" t="s">
        <v>148</v>
      </c>
      <c r="N48" s="40" t="s">
        <v>148</v>
      </c>
    </row>
    <row r="49" spans="2:21" ht="13.5" customHeight="1" x14ac:dyDescent="0.3">
      <c r="B49" s="39" t="s">
        <v>190</v>
      </c>
      <c r="C49" s="40">
        <v>766</v>
      </c>
      <c r="D49" s="41">
        <v>1177837</v>
      </c>
      <c r="E49" s="41">
        <v>1177837</v>
      </c>
      <c r="F49" s="40">
        <v>1.3</v>
      </c>
      <c r="G49" s="41">
        <v>1177837</v>
      </c>
      <c r="H49" s="40">
        <v>1.3</v>
      </c>
      <c r="I49" s="41">
        <v>1177837</v>
      </c>
      <c r="J49" s="40">
        <v>1.3</v>
      </c>
      <c r="K49" s="41">
        <v>1177837</v>
      </c>
      <c r="L49" s="40" t="s">
        <v>148</v>
      </c>
      <c r="M49" s="40" t="s">
        <v>148</v>
      </c>
      <c r="N49" s="40" t="s">
        <v>148</v>
      </c>
    </row>
    <row r="50" spans="2:21" ht="13.5" customHeight="1" x14ac:dyDescent="0.3">
      <c r="B50" s="31" t="s">
        <v>191</v>
      </c>
      <c r="C50" s="38">
        <v>2445</v>
      </c>
      <c r="D50" s="38">
        <v>318306</v>
      </c>
      <c r="E50" s="38">
        <v>318306</v>
      </c>
      <c r="F50" s="32">
        <v>0.35</v>
      </c>
      <c r="G50" s="38">
        <v>318306</v>
      </c>
      <c r="H50" s="32">
        <v>0.35</v>
      </c>
      <c r="I50" s="38">
        <v>318306</v>
      </c>
      <c r="J50" s="32">
        <v>0.35</v>
      </c>
      <c r="K50" s="38">
        <v>318306</v>
      </c>
      <c r="L50" s="32" t="s">
        <v>148</v>
      </c>
      <c r="M50" s="32" t="s">
        <v>148</v>
      </c>
      <c r="N50" s="32" t="s">
        <v>148</v>
      </c>
    </row>
    <row r="51" spans="2:21" ht="13.5" customHeight="1" x14ac:dyDescent="0.3">
      <c r="B51" s="31" t="s">
        <v>192</v>
      </c>
      <c r="C51" s="32">
        <v>20</v>
      </c>
      <c r="D51" s="38">
        <v>41244</v>
      </c>
      <c r="E51" s="38">
        <v>41244</v>
      </c>
      <c r="F51" s="32">
        <v>0.05</v>
      </c>
      <c r="G51" s="38">
        <v>41244</v>
      </c>
      <c r="H51" s="32">
        <v>0.05</v>
      </c>
      <c r="I51" s="38">
        <v>41244</v>
      </c>
      <c r="J51" s="32">
        <v>0.05</v>
      </c>
      <c r="K51" s="38">
        <v>41244</v>
      </c>
      <c r="L51" s="32" t="s">
        <v>148</v>
      </c>
      <c r="M51" s="32" t="s">
        <v>148</v>
      </c>
      <c r="N51" s="32" t="s">
        <v>148</v>
      </c>
    </row>
    <row r="52" spans="2:21" ht="13.5" customHeight="1" x14ac:dyDescent="0.3">
      <c r="B52" s="31" t="s">
        <v>193</v>
      </c>
      <c r="C52" s="32">
        <v>103</v>
      </c>
      <c r="D52" s="38">
        <v>40439</v>
      </c>
      <c r="E52" s="38">
        <v>40439</v>
      </c>
      <c r="F52" s="32">
        <v>0.04</v>
      </c>
      <c r="G52" s="38">
        <v>40439</v>
      </c>
      <c r="H52" s="32">
        <v>0.04</v>
      </c>
      <c r="I52" s="38">
        <v>40439</v>
      </c>
      <c r="J52" s="32">
        <v>0.04</v>
      </c>
      <c r="K52" s="38">
        <v>40439</v>
      </c>
      <c r="L52" s="32" t="s">
        <v>148</v>
      </c>
      <c r="M52" s="32" t="s">
        <v>148</v>
      </c>
      <c r="N52" s="32" t="s">
        <v>148</v>
      </c>
    </row>
    <row r="53" spans="2:21" ht="13.5" customHeight="1" x14ac:dyDescent="0.3">
      <c r="B53" s="31" t="s">
        <v>194</v>
      </c>
      <c r="C53" s="38">
        <v>2297</v>
      </c>
      <c r="D53" s="38">
        <v>222426</v>
      </c>
      <c r="E53" s="38">
        <v>222426</v>
      </c>
      <c r="F53" s="32">
        <v>0.25</v>
      </c>
      <c r="G53" s="38">
        <v>222426</v>
      </c>
      <c r="H53" s="32">
        <v>0.25</v>
      </c>
      <c r="I53" s="38">
        <v>222426</v>
      </c>
      <c r="J53" s="32">
        <v>0.25</v>
      </c>
      <c r="K53" s="38">
        <v>222426</v>
      </c>
      <c r="L53" s="32" t="s">
        <v>148</v>
      </c>
      <c r="M53" s="32" t="s">
        <v>148</v>
      </c>
      <c r="N53" s="32" t="s">
        <v>148</v>
      </c>
    </row>
    <row r="54" spans="2:21" ht="14.25" customHeight="1" x14ac:dyDescent="0.3">
      <c r="B54" s="31" t="s">
        <v>195</v>
      </c>
      <c r="C54" s="32">
        <v>25</v>
      </c>
      <c r="D54" s="38">
        <v>14197</v>
      </c>
      <c r="E54" s="38">
        <v>14197</v>
      </c>
      <c r="F54" s="32">
        <v>0.02</v>
      </c>
      <c r="G54" s="38">
        <v>14197</v>
      </c>
      <c r="H54" s="32">
        <v>0.02</v>
      </c>
      <c r="I54" s="38">
        <v>14197</v>
      </c>
      <c r="J54" s="32">
        <v>0.02</v>
      </c>
      <c r="K54" s="38">
        <v>14197</v>
      </c>
      <c r="L54" s="32" t="s">
        <v>148</v>
      </c>
      <c r="M54" s="32" t="s">
        <v>148</v>
      </c>
      <c r="N54" s="32" t="s">
        <v>148</v>
      </c>
    </row>
    <row r="55" spans="2:21" ht="14.25" customHeight="1" x14ac:dyDescent="0.3">
      <c r="B55" s="44" t="s">
        <v>196</v>
      </c>
      <c r="C55" s="46">
        <v>115427</v>
      </c>
      <c r="D55" s="46">
        <v>6651158</v>
      </c>
      <c r="E55" s="46">
        <v>6651158</v>
      </c>
      <c r="F55" s="45">
        <v>7.35</v>
      </c>
      <c r="G55" s="46">
        <v>6651158</v>
      </c>
      <c r="H55" s="45">
        <v>7.35</v>
      </c>
      <c r="I55" s="46">
        <v>6651158</v>
      </c>
      <c r="J55" s="45">
        <v>7.35</v>
      </c>
      <c r="K55" s="46">
        <v>6651158</v>
      </c>
      <c r="L55" s="45" t="s">
        <v>148</v>
      </c>
      <c r="M55" s="45" t="s">
        <v>148</v>
      </c>
      <c r="N55" s="47" t="s">
        <v>148</v>
      </c>
    </row>
    <row r="56" spans="2:21" ht="14.25" customHeight="1" x14ac:dyDescent="0.3">
      <c r="B56" s="50" t="s">
        <v>197</v>
      </c>
      <c r="C56" s="51">
        <v>115911</v>
      </c>
      <c r="D56" s="51">
        <v>24298784</v>
      </c>
      <c r="E56" s="51">
        <v>24298784</v>
      </c>
      <c r="F56" s="52">
        <v>26.85</v>
      </c>
      <c r="G56" s="51">
        <v>24298784</v>
      </c>
      <c r="H56" s="52">
        <v>26.85</v>
      </c>
      <c r="I56" s="51">
        <v>24298784</v>
      </c>
      <c r="J56" s="52">
        <v>26.85</v>
      </c>
      <c r="K56" s="51">
        <v>24298784</v>
      </c>
      <c r="L56" s="52" t="s">
        <v>148</v>
      </c>
      <c r="M56" s="52" t="s">
        <v>148</v>
      </c>
      <c r="N56" s="52" t="s">
        <v>148</v>
      </c>
    </row>
    <row r="57" spans="2:21" ht="14.25" customHeight="1" x14ac:dyDescent="0.3">
      <c r="B57" s="558"/>
      <c r="C57" s="558"/>
      <c r="D57" s="558"/>
      <c r="E57" s="558"/>
      <c r="F57" s="558"/>
      <c r="G57" s="558"/>
      <c r="H57" s="558"/>
      <c r="I57" s="558"/>
      <c r="J57" s="558"/>
      <c r="K57" s="558"/>
      <c r="L57" s="558"/>
      <c r="M57" s="558"/>
      <c r="N57" s="558"/>
      <c r="O57" s="558"/>
      <c r="P57" s="558"/>
      <c r="Q57" s="558"/>
      <c r="R57" s="558"/>
      <c r="S57" s="558"/>
      <c r="T57" s="558"/>
      <c r="U57" s="558"/>
    </row>
    <row r="58" spans="2:21" ht="13.5" customHeight="1" x14ac:dyDescent="0.3">
      <c r="B58" s="558"/>
      <c r="C58" s="558"/>
      <c r="D58" s="558"/>
      <c r="E58" s="558"/>
      <c r="F58" s="558"/>
      <c r="G58" s="558"/>
      <c r="H58" s="558"/>
      <c r="I58" s="558"/>
      <c r="J58" s="558"/>
      <c r="K58" s="558"/>
      <c r="L58" s="558"/>
      <c r="M58" s="558"/>
      <c r="N58" s="558"/>
      <c r="O58" s="558"/>
      <c r="P58" s="558"/>
      <c r="Q58" s="558"/>
      <c r="R58" s="558"/>
      <c r="S58" s="558"/>
      <c r="T58" s="558"/>
      <c r="U58" s="558"/>
    </row>
    <row r="59" spans="2:21" ht="13.5" customHeight="1" x14ac:dyDescent="0.3">
      <c r="B59" s="559"/>
      <c r="C59" s="559"/>
      <c r="D59" s="559"/>
      <c r="E59" s="559"/>
      <c r="F59" s="559"/>
      <c r="G59" s="559"/>
      <c r="H59" s="559"/>
      <c r="I59" s="559"/>
      <c r="J59" s="559"/>
      <c r="K59" s="559"/>
      <c r="L59" s="559"/>
      <c r="M59" s="559"/>
      <c r="N59" s="559"/>
      <c r="O59" s="559"/>
      <c r="P59" s="559"/>
      <c r="Q59" s="559"/>
      <c r="R59" s="559"/>
      <c r="S59" s="559"/>
      <c r="T59" s="559"/>
      <c r="U59" s="559"/>
    </row>
    <row r="60" spans="2:21" ht="13.5" customHeight="1" x14ac:dyDescent="0.3">
      <c r="B60" s="558"/>
      <c r="C60" s="558"/>
      <c r="D60" s="558"/>
      <c r="E60" s="558"/>
      <c r="F60" s="558"/>
      <c r="G60" s="558"/>
      <c r="H60" s="558"/>
      <c r="I60" s="558"/>
      <c r="J60" s="558"/>
      <c r="K60" s="558"/>
      <c r="L60" s="558"/>
      <c r="M60" s="558"/>
      <c r="N60" s="558"/>
      <c r="O60" s="558"/>
      <c r="P60" s="558"/>
      <c r="Q60" s="558"/>
      <c r="R60" s="558"/>
      <c r="S60" s="558"/>
      <c r="T60" s="558"/>
      <c r="U60" s="558"/>
    </row>
    <row r="61" spans="2:21" ht="13.5" customHeight="1" x14ac:dyDescent="0.3">
      <c r="B61" s="558"/>
      <c r="C61" s="558"/>
      <c r="D61" s="558"/>
      <c r="E61" s="558"/>
      <c r="F61" s="558"/>
      <c r="G61" s="558"/>
      <c r="H61" s="558"/>
      <c r="I61" s="558"/>
      <c r="J61" s="558"/>
      <c r="K61" s="558"/>
      <c r="L61" s="558"/>
      <c r="M61" s="558"/>
      <c r="N61" s="558"/>
      <c r="O61" s="558"/>
      <c r="P61" s="558"/>
      <c r="Q61" s="558"/>
      <c r="R61" s="558"/>
      <c r="S61" s="558"/>
      <c r="T61" s="558"/>
      <c r="U61" s="558"/>
    </row>
    <row r="62" spans="2:21" ht="13.5" customHeight="1" x14ac:dyDescent="0.3">
      <c r="B62" s="558"/>
      <c r="C62" s="558"/>
      <c r="D62" s="558"/>
      <c r="E62" s="558"/>
      <c r="F62" s="558"/>
      <c r="G62" s="558"/>
      <c r="H62" s="558"/>
      <c r="I62" s="558"/>
      <c r="J62" s="558"/>
      <c r="K62" s="558"/>
      <c r="L62" s="558"/>
      <c r="M62" s="558"/>
      <c r="N62" s="558"/>
      <c r="O62" s="558"/>
      <c r="P62" s="558"/>
      <c r="Q62" s="558"/>
      <c r="R62" s="558"/>
      <c r="S62" s="558"/>
      <c r="T62" s="558"/>
      <c r="U62" s="558"/>
    </row>
  </sheetData>
  <mergeCells count="20">
    <mergeCell ref="C1:N1"/>
    <mergeCell ref="B2:N2"/>
    <mergeCell ref="B3:B5"/>
    <mergeCell ref="C3:C5"/>
    <mergeCell ref="D3:D5"/>
    <mergeCell ref="E3:E5"/>
    <mergeCell ref="F3:F5"/>
    <mergeCell ref="G3:G5"/>
    <mergeCell ref="H3:H5"/>
    <mergeCell ref="I3:I5"/>
    <mergeCell ref="J3:J5"/>
    <mergeCell ref="K3:K5"/>
    <mergeCell ref="L3:N3"/>
    <mergeCell ref="L4:N4"/>
    <mergeCell ref="B62:U62"/>
    <mergeCell ref="B57:U57"/>
    <mergeCell ref="B58:U58"/>
    <mergeCell ref="B59:U59"/>
    <mergeCell ref="B60:U60"/>
    <mergeCell ref="B61:U61"/>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0"/>
  <sheetViews>
    <sheetView showGridLines="0" zoomScale="72" zoomScaleNormal="72" workbookViewId="0">
      <selection activeCell="I4" sqref="I4"/>
    </sheetView>
  </sheetViews>
  <sheetFormatPr defaultColWidth="8.6328125" defaultRowHeight="14" x14ac:dyDescent="0.3"/>
  <cols>
    <col min="1" max="1" width="50.7265625" style="1" customWidth="1"/>
    <col min="2" max="2" width="32.453125" style="1" customWidth="1"/>
    <col min="3" max="3" width="30.08984375" style="1" customWidth="1"/>
    <col min="4" max="16384" width="8.6328125" style="1"/>
  </cols>
  <sheetData>
    <row r="1" spans="1:3" ht="45" customHeight="1" x14ac:dyDescent="0.4">
      <c r="A1" s="591"/>
      <c r="B1" s="586" t="s">
        <v>198</v>
      </c>
      <c r="C1" s="586"/>
    </row>
    <row r="2" spans="1:3" ht="13.5" customHeight="1" x14ac:dyDescent="0.3">
      <c r="A2" s="590" t="s">
        <v>131</v>
      </c>
      <c r="B2" s="590"/>
      <c r="C2" s="590"/>
    </row>
    <row r="3" spans="1:3" ht="40.5" customHeight="1" x14ac:dyDescent="0.3">
      <c r="A3" s="587" t="s">
        <v>199</v>
      </c>
      <c r="B3" s="588" t="s">
        <v>200</v>
      </c>
      <c r="C3" s="589" t="s">
        <v>201</v>
      </c>
    </row>
    <row r="4" spans="1:3" ht="43.5" customHeight="1" x14ac:dyDescent="0.3">
      <c r="A4" s="587"/>
      <c r="B4" s="587"/>
      <c r="C4" s="589" t="s">
        <v>137</v>
      </c>
    </row>
    <row r="5" spans="1:3" ht="13.5" customHeight="1" x14ac:dyDescent="0.3">
      <c r="A5" s="587"/>
      <c r="B5" s="587"/>
      <c r="C5" s="589" t="s">
        <v>202</v>
      </c>
    </row>
    <row r="6" spans="1:3" ht="13.5" customHeight="1" x14ac:dyDescent="0.3">
      <c r="A6" s="54" t="s">
        <v>203</v>
      </c>
      <c r="B6" s="55">
        <v>0</v>
      </c>
      <c r="C6" s="55"/>
    </row>
    <row r="7" spans="1:3" ht="13.5" customHeight="1" x14ac:dyDescent="0.3">
      <c r="A7" s="56" t="s">
        <v>204</v>
      </c>
      <c r="B7" s="57">
        <v>0</v>
      </c>
      <c r="C7" s="57"/>
    </row>
    <row r="8" spans="1:3" ht="13.5" customHeight="1" x14ac:dyDescent="0.3">
      <c r="A8" s="54" t="s">
        <v>205</v>
      </c>
      <c r="B8" s="55">
        <v>73.150000000000006</v>
      </c>
      <c r="C8" s="58">
        <v>66191271</v>
      </c>
    </row>
    <row r="9" spans="1:3" ht="13.5" customHeight="1" x14ac:dyDescent="0.3">
      <c r="A9" s="54" t="s">
        <v>206</v>
      </c>
      <c r="B9" s="55">
        <v>0</v>
      </c>
      <c r="C9" s="55"/>
    </row>
    <row r="10" spans="1:3" ht="13.5" customHeight="1" x14ac:dyDescent="0.3">
      <c r="A10" s="54" t="s">
        <v>207</v>
      </c>
      <c r="B10" s="55">
        <v>6.15</v>
      </c>
      <c r="C10" s="58">
        <v>5568230</v>
      </c>
    </row>
    <row r="11" spans="1:3" ht="13.5" customHeight="1" x14ac:dyDescent="0.3">
      <c r="A11" s="54" t="s">
        <v>208</v>
      </c>
      <c r="B11" s="55">
        <v>23.08</v>
      </c>
      <c r="C11" s="58">
        <v>20882963</v>
      </c>
    </row>
    <row r="12" spans="1:3" ht="13.5" customHeight="1" x14ac:dyDescent="0.3">
      <c r="A12" s="54" t="s">
        <v>209</v>
      </c>
      <c r="B12" s="55">
        <v>0</v>
      </c>
      <c r="C12" s="58">
        <v>1000</v>
      </c>
    </row>
    <row r="13" spans="1:3" ht="13.5" customHeight="1" x14ac:dyDescent="0.3">
      <c r="A13" s="54" t="s">
        <v>210</v>
      </c>
      <c r="B13" s="55">
        <v>38.94</v>
      </c>
      <c r="C13" s="58">
        <v>35232069</v>
      </c>
    </row>
    <row r="14" spans="1:3" ht="13.5" customHeight="1" x14ac:dyDescent="0.3">
      <c r="A14" s="54" t="s">
        <v>211</v>
      </c>
      <c r="B14" s="55">
        <v>0</v>
      </c>
      <c r="C14" s="55"/>
    </row>
    <row r="15" spans="1:3" ht="13.5" customHeight="1" x14ac:dyDescent="0.3">
      <c r="A15" s="54" t="s">
        <v>212</v>
      </c>
      <c r="B15" s="55">
        <v>0.03</v>
      </c>
      <c r="C15" s="58">
        <v>25315</v>
      </c>
    </row>
    <row r="16" spans="1:3" ht="13.5" customHeight="1" x14ac:dyDescent="0.3">
      <c r="A16" s="54" t="s">
        <v>213</v>
      </c>
      <c r="B16" s="55">
        <v>3.58</v>
      </c>
      <c r="C16" s="58">
        <v>3238254</v>
      </c>
    </row>
    <row r="17" spans="1:3" ht="13.5" customHeight="1" x14ac:dyDescent="0.3">
      <c r="A17" s="54" t="s">
        <v>214</v>
      </c>
      <c r="B17" s="55">
        <v>1.37</v>
      </c>
      <c r="C17" s="58">
        <v>1243440</v>
      </c>
    </row>
    <row r="18" spans="1:3" ht="13.5" customHeight="1" x14ac:dyDescent="0.3">
      <c r="A18" s="54" t="s">
        <v>215</v>
      </c>
      <c r="B18" s="55">
        <v>73.150000000000006</v>
      </c>
      <c r="C18" s="58">
        <v>66191271</v>
      </c>
    </row>
    <row r="19" spans="1:3" ht="13.5" customHeight="1" x14ac:dyDescent="0.3">
      <c r="A19" s="56" t="s">
        <v>216</v>
      </c>
      <c r="B19" s="57">
        <v>0</v>
      </c>
      <c r="C19" s="57"/>
    </row>
    <row r="20" spans="1:3" ht="13.5" customHeight="1" x14ac:dyDescent="0.3">
      <c r="A20" s="54" t="s">
        <v>217</v>
      </c>
      <c r="B20" s="55">
        <v>0</v>
      </c>
      <c r="C20" s="55"/>
    </row>
    <row r="21" spans="1:3" ht="13.5" customHeight="1" x14ac:dyDescent="0.3">
      <c r="A21" s="54" t="s">
        <v>218</v>
      </c>
      <c r="B21" s="55">
        <v>73.150000000000006</v>
      </c>
      <c r="C21" s="58">
        <v>66191271</v>
      </c>
    </row>
    <row r="22" spans="1:3" ht="13.5" customHeight="1" x14ac:dyDescent="0.3">
      <c r="A22" s="54" t="s">
        <v>219</v>
      </c>
      <c r="B22" s="55">
        <v>0</v>
      </c>
      <c r="C22" s="55"/>
    </row>
    <row r="23" spans="1:3" ht="13.5" customHeight="1" x14ac:dyDescent="0.3">
      <c r="A23" s="56" t="s">
        <v>220</v>
      </c>
      <c r="B23" s="57">
        <v>0</v>
      </c>
      <c r="C23" s="57"/>
    </row>
    <row r="24" spans="1:3" ht="13.5" customHeight="1" x14ac:dyDescent="0.3">
      <c r="A24" s="54" t="s">
        <v>221</v>
      </c>
      <c r="B24" s="55">
        <v>11.96</v>
      </c>
      <c r="C24" s="58">
        <v>10825022</v>
      </c>
    </row>
    <row r="25" spans="1:3" ht="37.5" customHeight="1" x14ac:dyDescent="0.3">
      <c r="A25" s="54" t="s">
        <v>222</v>
      </c>
      <c r="B25" s="55">
        <v>1.17</v>
      </c>
      <c r="C25" s="58">
        <v>1056591</v>
      </c>
    </row>
    <row r="26" spans="1:3" ht="24.75" customHeight="1" x14ac:dyDescent="0.3">
      <c r="A26" s="54" t="s">
        <v>223</v>
      </c>
      <c r="B26" s="55">
        <v>3.03</v>
      </c>
      <c r="C26" s="58">
        <v>2740695</v>
      </c>
    </row>
    <row r="27" spans="1:3" ht="13.5" customHeight="1" x14ac:dyDescent="0.3">
      <c r="A27" s="54" t="s">
        <v>224</v>
      </c>
      <c r="B27" s="55">
        <v>3.4</v>
      </c>
      <c r="C27" s="58">
        <v>3072724</v>
      </c>
    </row>
    <row r="28" spans="1:3" ht="13.5" customHeight="1" x14ac:dyDescent="0.3">
      <c r="A28" s="54" t="s">
        <v>155</v>
      </c>
      <c r="B28" s="55">
        <v>0.19</v>
      </c>
      <c r="C28" s="58">
        <v>174150</v>
      </c>
    </row>
    <row r="29" spans="1:3" ht="13.5" customHeight="1" x14ac:dyDescent="0.3">
      <c r="A29" s="54" t="s">
        <v>156</v>
      </c>
      <c r="B29" s="55">
        <v>0.03</v>
      </c>
      <c r="C29" s="58">
        <v>23783</v>
      </c>
    </row>
    <row r="30" spans="1:3" ht="13.5" customHeight="1" x14ac:dyDescent="0.3">
      <c r="A30" s="54" t="s">
        <v>157</v>
      </c>
      <c r="B30" s="55">
        <v>0.47</v>
      </c>
      <c r="C30" s="58">
        <v>422077</v>
      </c>
    </row>
    <row r="31" spans="1:3" ht="13.5" customHeight="1" x14ac:dyDescent="0.3">
      <c r="A31" s="54" t="s">
        <v>158</v>
      </c>
      <c r="B31" s="55">
        <v>0.25</v>
      </c>
      <c r="C31" s="58">
        <v>228158</v>
      </c>
    </row>
    <row r="32" spans="1:3" ht="13.5" customHeight="1" x14ac:dyDescent="0.3">
      <c r="A32" s="54" t="s">
        <v>161</v>
      </c>
      <c r="B32" s="55">
        <v>0.01</v>
      </c>
      <c r="C32" s="58">
        <v>4624</v>
      </c>
    </row>
    <row r="33" spans="1:3" ht="13.5" customHeight="1" x14ac:dyDescent="0.3">
      <c r="A33" s="54" t="s">
        <v>190</v>
      </c>
      <c r="B33" s="55">
        <v>0</v>
      </c>
      <c r="C33" s="55">
        <v>100</v>
      </c>
    </row>
    <row r="34" spans="1:3" ht="13.5" customHeight="1" x14ac:dyDescent="0.3">
      <c r="A34" s="54" t="s">
        <v>225</v>
      </c>
      <c r="B34" s="55">
        <v>0</v>
      </c>
      <c r="C34" s="55">
        <v>609</v>
      </c>
    </row>
    <row r="35" spans="1:3" ht="13.5" customHeight="1" x14ac:dyDescent="0.3">
      <c r="A35" s="54" t="s">
        <v>226</v>
      </c>
      <c r="B35" s="55">
        <v>12.91</v>
      </c>
      <c r="C35" s="58">
        <v>11678523</v>
      </c>
    </row>
    <row r="36" spans="1:3" ht="13.5" customHeight="1" x14ac:dyDescent="0.3">
      <c r="A36" s="56" t="s">
        <v>227</v>
      </c>
      <c r="B36" s="57">
        <v>0</v>
      </c>
      <c r="C36" s="57"/>
    </row>
    <row r="37" spans="1:3" ht="13.5" customHeight="1" x14ac:dyDescent="0.3">
      <c r="A37" s="54" t="s">
        <v>168</v>
      </c>
      <c r="B37" s="55">
        <v>6.47</v>
      </c>
      <c r="C37" s="58">
        <v>5854699</v>
      </c>
    </row>
    <row r="38" spans="1:3" ht="13.5" customHeight="1" x14ac:dyDescent="0.3">
      <c r="A38" s="54" t="s">
        <v>169</v>
      </c>
      <c r="B38" s="55">
        <v>0.27</v>
      </c>
      <c r="C38" s="58">
        <v>242768</v>
      </c>
    </row>
    <row r="39" spans="1:3" ht="13.5" customHeight="1" x14ac:dyDescent="0.3">
      <c r="A39" s="54" t="s">
        <v>228</v>
      </c>
      <c r="B39" s="55">
        <v>6.74</v>
      </c>
      <c r="C39" s="58">
        <v>6097467</v>
      </c>
    </row>
    <row r="40" spans="1:3" ht="24.75" customHeight="1" x14ac:dyDescent="0.3">
      <c r="A40" s="56" t="s">
        <v>229</v>
      </c>
      <c r="B40" s="57">
        <v>0</v>
      </c>
      <c r="C40" s="57"/>
    </row>
    <row r="41" spans="1:3" ht="13.5" customHeight="1" x14ac:dyDescent="0.3">
      <c r="A41" s="54" t="s">
        <v>174</v>
      </c>
      <c r="B41" s="55">
        <v>0</v>
      </c>
      <c r="C41" s="55">
        <v>882</v>
      </c>
    </row>
    <row r="42" spans="1:3" ht="13.5" customHeight="1" x14ac:dyDescent="0.3">
      <c r="A42" s="54" t="s">
        <v>230</v>
      </c>
      <c r="B42" s="55">
        <v>0</v>
      </c>
      <c r="C42" s="55">
        <v>882</v>
      </c>
    </row>
    <row r="43" spans="1:3" ht="13.5" customHeight="1" x14ac:dyDescent="0.3">
      <c r="A43" s="56" t="s">
        <v>231</v>
      </c>
      <c r="B43" s="57">
        <v>0</v>
      </c>
      <c r="C43" s="57"/>
    </row>
    <row r="44" spans="1:3" ht="24.75" customHeight="1" x14ac:dyDescent="0.3">
      <c r="A44" s="54" t="s">
        <v>185</v>
      </c>
      <c r="B44" s="55">
        <v>4.99</v>
      </c>
      <c r="C44" s="58">
        <v>4512819</v>
      </c>
    </row>
    <row r="45" spans="1:3" ht="24.75" customHeight="1" x14ac:dyDescent="0.3">
      <c r="A45" s="54" t="s">
        <v>186</v>
      </c>
      <c r="B45" s="55">
        <v>0.35</v>
      </c>
      <c r="C45" s="58">
        <v>319188</v>
      </c>
    </row>
    <row r="46" spans="1:3" ht="13.5" customHeight="1" x14ac:dyDescent="0.3">
      <c r="A46" s="54" t="s">
        <v>187</v>
      </c>
      <c r="B46" s="55">
        <v>0.19</v>
      </c>
      <c r="C46" s="58">
        <v>175915</v>
      </c>
    </row>
    <row r="47" spans="1:3" ht="13.5" customHeight="1" x14ac:dyDescent="0.3">
      <c r="A47" s="54" t="s">
        <v>190</v>
      </c>
      <c r="B47" s="55">
        <v>1.33</v>
      </c>
      <c r="C47" s="58">
        <v>1200639</v>
      </c>
    </row>
    <row r="48" spans="1:3" ht="13.5" customHeight="1" x14ac:dyDescent="0.3">
      <c r="A48" s="54" t="s">
        <v>195</v>
      </c>
      <c r="B48" s="55">
        <v>0.01</v>
      </c>
      <c r="C48" s="58">
        <v>8940</v>
      </c>
    </row>
    <row r="49" spans="1:3" ht="13.5" customHeight="1" x14ac:dyDescent="0.3">
      <c r="A49" s="54" t="s">
        <v>194</v>
      </c>
      <c r="B49" s="55">
        <v>0.25</v>
      </c>
      <c r="C49" s="58">
        <v>224494</v>
      </c>
    </row>
    <row r="50" spans="1:3" ht="13.5" customHeight="1" x14ac:dyDescent="0.3">
      <c r="A50" s="54" t="s">
        <v>232</v>
      </c>
      <c r="B50" s="55">
        <v>0.05</v>
      </c>
      <c r="C50" s="58">
        <v>41865</v>
      </c>
    </row>
    <row r="51" spans="1:3" ht="13.5" customHeight="1" x14ac:dyDescent="0.3">
      <c r="A51" s="54" t="s">
        <v>233</v>
      </c>
      <c r="B51" s="55">
        <v>0.04</v>
      </c>
      <c r="C51" s="58">
        <v>38052</v>
      </c>
    </row>
    <row r="52" spans="1:3" ht="13.5" customHeight="1" x14ac:dyDescent="0.3">
      <c r="A52" s="54" t="s">
        <v>234</v>
      </c>
      <c r="B52" s="55">
        <v>7.21</v>
      </c>
      <c r="C52" s="58">
        <v>6521912</v>
      </c>
    </row>
    <row r="53" spans="1:3" ht="13.5" customHeight="1" x14ac:dyDescent="0.3">
      <c r="A53" s="54" t="s">
        <v>235</v>
      </c>
      <c r="B53" s="55">
        <v>26.86</v>
      </c>
      <c r="C53" s="58">
        <v>24298784</v>
      </c>
    </row>
    <row r="54" spans="1:3" ht="13.5" customHeight="1" x14ac:dyDescent="0.3">
      <c r="A54" s="56" t="s">
        <v>236</v>
      </c>
      <c r="B54" s="57">
        <v>0</v>
      </c>
      <c r="C54" s="57"/>
    </row>
    <row r="55" spans="1:3" ht="13.5" customHeight="1" x14ac:dyDescent="0.3">
      <c r="A55" s="54" t="s">
        <v>237</v>
      </c>
      <c r="B55" s="55">
        <v>0</v>
      </c>
      <c r="C55" s="55"/>
    </row>
    <row r="56" spans="1:3" ht="13.5" customHeight="1" x14ac:dyDescent="0.3">
      <c r="A56" s="54" t="s">
        <v>238</v>
      </c>
      <c r="B56" s="55">
        <v>0</v>
      </c>
      <c r="C56" s="55"/>
    </row>
    <row r="57" spans="1:3" ht="13.5" customHeight="1" x14ac:dyDescent="0.3">
      <c r="A57" s="54" t="s">
        <v>239</v>
      </c>
      <c r="B57" s="55">
        <v>0</v>
      </c>
      <c r="C57" s="55"/>
    </row>
    <row r="58" spans="1:3" ht="13.5" customHeight="1" x14ac:dyDescent="0.3">
      <c r="A58" s="54" t="s">
        <v>240</v>
      </c>
      <c r="B58" s="55">
        <v>0</v>
      </c>
      <c r="C58" s="55"/>
    </row>
    <row r="59" spans="1:3" ht="14.25" customHeight="1" x14ac:dyDescent="0.3">
      <c r="A59" s="54" t="s">
        <v>241</v>
      </c>
      <c r="B59" s="55">
        <v>0</v>
      </c>
      <c r="C59" s="55"/>
    </row>
    <row r="60" spans="1:3" ht="14.25" customHeight="1" x14ac:dyDescent="0.3">
      <c r="A60" s="59" t="s">
        <v>242</v>
      </c>
      <c r="B60" s="60">
        <v>100.01</v>
      </c>
      <c r="C60" s="61">
        <v>90490055</v>
      </c>
    </row>
  </sheetData>
  <mergeCells count="4">
    <mergeCell ref="B1:C1"/>
    <mergeCell ref="A2:C2"/>
    <mergeCell ref="A3:A5"/>
    <mergeCell ref="B3:B5"/>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5"/>
  <sheetViews>
    <sheetView showGridLines="0" zoomScale="75" zoomScaleNormal="75" workbookViewId="0">
      <selection activeCell="C1" sqref="C1:L1"/>
    </sheetView>
  </sheetViews>
  <sheetFormatPr defaultColWidth="8.6328125" defaultRowHeight="14" x14ac:dyDescent="0.3"/>
  <cols>
    <col min="1" max="1" width="2.26953125" style="1" customWidth="1"/>
    <col min="2" max="2" width="34.453125" style="2" customWidth="1"/>
    <col min="3" max="8" width="8.453125" style="2" customWidth="1"/>
    <col min="9" max="9" width="11" style="2" customWidth="1"/>
    <col min="10" max="10" width="8.6328125" style="2"/>
    <col min="11" max="11" width="12" style="2" customWidth="1"/>
    <col min="12" max="12" width="8.36328125" style="2" customWidth="1"/>
    <col min="13" max="16384" width="8.6328125" style="1"/>
  </cols>
  <sheetData>
    <row r="1" spans="1:13" ht="46.5" customHeight="1" x14ac:dyDescent="0.3">
      <c r="B1" s="62"/>
      <c r="C1" s="600" t="s">
        <v>243</v>
      </c>
      <c r="D1" s="600"/>
      <c r="E1" s="600"/>
      <c r="F1" s="600"/>
      <c r="G1" s="600"/>
      <c r="H1" s="600"/>
      <c r="I1" s="600"/>
      <c r="J1" s="600"/>
      <c r="K1" s="600"/>
      <c r="L1" s="600"/>
    </row>
    <row r="2" spans="1:13" s="65" customFormat="1" ht="18" customHeight="1" x14ac:dyDescent="0.35">
      <c r="A2" s="63"/>
      <c r="B2" s="64"/>
      <c r="C2" s="592" t="s">
        <v>244</v>
      </c>
      <c r="D2" s="592"/>
      <c r="E2" s="592" t="s">
        <v>245</v>
      </c>
      <c r="F2" s="592"/>
      <c r="G2" s="592" t="s">
        <v>246</v>
      </c>
      <c r="H2" s="592"/>
      <c r="I2" s="593"/>
      <c r="J2" s="592" t="s">
        <v>247</v>
      </c>
      <c r="K2" s="592"/>
      <c r="L2" s="592"/>
      <c r="M2" s="63"/>
    </row>
    <row r="3" spans="1:13" s="68" customFormat="1" ht="15" customHeight="1" x14ac:dyDescent="0.35">
      <c r="A3" s="66"/>
      <c r="B3" s="599" t="s">
        <v>248</v>
      </c>
      <c r="C3" s="594">
        <v>45992</v>
      </c>
      <c r="D3" s="594">
        <v>45901</v>
      </c>
      <c r="E3" s="594">
        <v>45992</v>
      </c>
      <c r="F3" s="594">
        <v>45627</v>
      </c>
      <c r="G3" s="594">
        <v>45717</v>
      </c>
      <c r="H3" s="595">
        <v>45352</v>
      </c>
      <c r="I3" s="596"/>
      <c r="J3" s="597" t="s">
        <v>249</v>
      </c>
      <c r="K3" s="598" t="s">
        <v>250</v>
      </c>
      <c r="L3" s="598" t="s">
        <v>251</v>
      </c>
      <c r="M3" s="67"/>
    </row>
    <row r="4" spans="1:13" ht="13.5" customHeight="1" x14ac:dyDescent="0.3">
      <c r="A4" s="69"/>
      <c r="B4" s="70" t="s">
        <v>252</v>
      </c>
      <c r="C4" s="71"/>
      <c r="D4" s="71"/>
      <c r="E4" s="71"/>
      <c r="F4" s="71"/>
      <c r="G4" s="71"/>
      <c r="H4" s="71"/>
      <c r="I4" s="72"/>
      <c r="J4" s="71"/>
      <c r="K4" s="71"/>
      <c r="L4" s="73"/>
    </row>
    <row r="5" spans="1:13" ht="13.5" customHeight="1" x14ac:dyDescent="0.3">
      <c r="A5" s="74"/>
      <c r="B5" s="75" t="s">
        <v>253</v>
      </c>
      <c r="C5" s="76">
        <v>2548</v>
      </c>
      <c r="D5" s="76">
        <v>2082</v>
      </c>
      <c r="E5" s="76">
        <v>4236</v>
      </c>
      <c r="F5" s="76">
        <v>3400</v>
      </c>
      <c r="G5" s="76">
        <v>7540</v>
      </c>
      <c r="H5" s="76">
        <v>6069</v>
      </c>
      <c r="I5" s="77"/>
      <c r="J5" s="78">
        <f>C5/D5-1</f>
        <v>0.22382324687800192</v>
      </c>
      <c r="K5" s="78">
        <f>E5/F5-1</f>
        <v>0.24588235294117644</v>
      </c>
      <c r="L5" s="79">
        <f>G5/H5-1</f>
        <v>0.24237930466304158</v>
      </c>
    </row>
    <row r="6" spans="1:13" ht="13.5" customHeight="1" x14ac:dyDescent="0.3">
      <c r="A6" s="80"/>
      <c r="B6" s="75" t="s">
        <v>254</v>
      </c>
      <c r="C6" s="81">
        <v>25</v>
      </c>
      <c r="D6" s="81">
        <v>29</v>
      </c>
      <c r="E6" s="81">
        <v>58</v>
      </c>
      <c r="F6" s="81">
        <v>54</v>
      </c>
      <c r="G6" s="81">
        <v>70</v>
      </c>
      <c r="H6" s="81">
        <v>44</v>
      </c>
      <c r="I6" s="72"/>
      <c r="J6" s="78">
        <f>C6/D6-1</f>
        <v>-0.13793103448275867</v>
      </c>
      <c r="K6" s="78">
        <f>E6/F6-1</f>
        <v>7.4074074074074181E-2</v>
      </c>
      <c r="L6" s="79">
        <f>G6/H6-1</f>
        <v>0.59090909090909083</v>
      </c>
    </row>
    <row r="7" spans="1:13" ht="13.5" customHeight="1" x14ac:dyDescent="0.3">
      <c r="A7" s="82"/>
      <c r="B7" s="83" t="s">
        <v>255</v>
      </c>
      <c r="C7" s="84">
        <v>2573</v>
      </c>
      <c r="D7" s="84">
        <v>2111</v>
      </c>
      <c r="E7" s="84">
        <v>4294</v>
      </c>
      <c r="F7" s="84">
        <v>3454</v>
      </c>
      <c r="G7" s="84">
        <v>7610</v>
      </c>
      <c r="H7" s="84">
        <v>6113</v>
      </c>
      <c r="I7" s="85"/>
      <c r="J7" s="86">
        <f>C7/D7-1</f>
        <v>0.21885362387494078</v>
      </c>
      <c r="K7" s="86">
        <f>E7/F7-1</f>
        <v>0.24319629415170807</v>
      </c>
      <c r="L7" s="87">
        <f>G7/H7-1</f>
        <v>0.24488794372648459</v>
      </c>
    </row>
    <row r="8" spans="1:13" ht="13.5" customHeight="1" x14ac:dyDescent="0.3">
      <c r="A8" s="82"/>
      <c r="B8" s="70" t="s">
        <v>256</v>
      </c>
      <c r="C8" s="71"/>
      <c r="D8" s="71"/>
      <c r="E8" s="71"/>
      <c r="F8" s="71"/>
      <c r="G8" s="71"/>
      <c r="H8" s="71"/>
      <c r="I8" s="72"/>
      <c r="J8" s="71"/>
      <c r="K8" s="71"/>
      <c r="L8" s="73"/>
    </row>
    <row r="9" spans="1:13" ht="13.5" customHeight="1" x14ac:dyDescent="0.3">
      <c r="A9" s="88"/>
      <c r="B9" s="75" t="s">
        <v>257</v>
      </c>
      <c r="C9" s="76">
        <v>1116</v>
      </c>
      <c r="D9" s="81">
        <v>908</v>
      </c>
      <c r="E9" s="76">
        <v>1902</v>
      </c>
      <c r="F9" s="76">
        <v>1454</v>
      </c>
      <c r="G9" s="76">
        <v>3375</v>
      </c>
      <c r="H9" s="76">
        <v>2709</v>
      </c>
      <c r="I9" s="77"/>
      <c r="J9" s="78">
        <f t="shared" ref="J9:J15" si="0">C9/D9-1</f>
        <v>0.22907488986784141</v>
      </c>
      <c r="K9" s="78">
        <f t="shared" ref="K9:K15" si="1">E9/F9-1</f>
        <v>0.30811554332874835</v>
      </c>
      <c r="L9" s="79">
        <f t="shared" ref="L9:L15" si="2">G9/H9-1</f>
        <v>0.24584717607973428</v>
      </c>
    </row>
    <row r="10" spans="1:13" ht="13.5" customHeight="1" x14ac:dyDescent="0.3">
      <c r="A10" s="80"/>
      <c r="B10" s="75" t="s">
        <v>258</v>
      </c>
      <c r="C10" s="81">
        <v>159</v>
      </c>
      <c r="D10" s="81">
        <v>122</v>
      </c>
      <c r="E10" s="81">
        <v>244</v>
      </c>
      <c r="F10" s="81">
        <v>349</v>
      </c>
      <c r="G10" s="81">
        <v>557</v>
      </c>
      <c r="H10" s="81">
        <v>402</v>
      </c>
      <c r="I10" s="72"/>
      <c r="J10" s="78">
        <f t="shared" si="0"/>
        <v>0.30327868852459017</v>
      </c>
      <c r="K10" s="78">
        <f t="shared" si="1"/>
        <v>-0.30085959885386815</v>
      </c>
      <c r="L10" s="79">
        <f t="shared" si="2"/>
        <v>0.38557213930348255</v>
      </c>
    </row>
    <row r="11" spans="1:13" ht="13.5" customHeight="1" x14ac:dyDescent="0.3">
      <c r="A11" s="82"/>
      <c r="B11" s="75" t="s">
        <v>259</v>
      </c>
      <c r="C11" s="81">
        <v>213</v>
      </c>
      <c r="D11" s="81">
        <v>194</v>
      </c>
      <c r="E11" s="81">
        <v>378</v>
      </c>
      <c r="F11" s="81">
        <v>275</v>
      </c>
      <c r="G11" s="81">
        <v>600</v>
      </c>
      <c r="H11" s="81">
        <v>433</v>
      </c>
      <c r="I11" s="72"/>
      <c r="J11" s="78">
        <f t="shared" si="0"/>
        <v>9.7938144329897003E-2</v>
      </c>
      <c r="K11" s="78">
        <f t="shared" si="1"/>
        <v>0.37454545454545451</v>
      </c>
      <c r="L11" s="79">
        <f t="shared" si="2"/>
        <v>0.38568129330254042</v>
      </c>
    </row>
    <row r="12" spans="1:13" ht="13.5" customHeight="1" x14ac:dyDescent="0.3">
      <c r="A12" s="82"/>
      <c r="B12" s="75" t="s">
        <v>260</v>
      </c>
      <c r="C12" s="81">
        <v>384</v>
      </c>
      <c r="D12" s="81">
        <v>346</v>
      </c>
      <c r="E12" s="81">
        <v>688</v>
      </c>
      <c r="F12" s="81">
        <v>517</v>
      </c>
      <c r="G12" s="76">
        <v>1072</v>
      </c>
      <c r="H12" s="76">
        <v>1070</v>
      </c>
      <c r="I12" s="77"/>
      <c r="J12" s="78">
        <f t="shared" si="0"/>
        <v>0.10982658959537561</v>
      </c>
      <c r="K12" s="78">
        <f t="shared" si="1"/>
        <v>0.33075435203094772</v>
      </c>
      <c r="L12" s="79">
        <f t="shared" si="2"/>
        <v>1.8691588785046953E-3</v>
      </c>
    </row>
    <row r="13" spans="1:13" ht="13.5" customHeight="1" x14ac:dyDescent="0.3">
      <c r="A13" s="82"/>
      <c r="B13" s="75" t="s">
        <v>261</v>
      </c>
      <c r="C13" s="81">
        <v>62</v>
      </c>
      <c r="D13" s="81">
        <v>60</v>
      </c>
      <c r="E13" s="81">
        <v>116</v>
      </c>
      <c r="F13" s="81">
        <v>83</v>
      </c>
      <c r="G13" s="81">
        <v>181</v>
      </c>
      <c r="H13" s="81">
        <v>143</v>
      </c>
      <c r="I13" s="72"/>
      <c r="J13" s="78">
        <f t="shared" si="0"/>
        <v>3.3333333333333437E-2</v>
      </c>
      <c r="K13" s="78">
        <f t="shared" si="1"/>
        <v>0.39759036144578319</v>
      </c>
      <c r="L13" s="79">
        <f t="shared" si="2"/>
        <v>0.26573426573426584</v>
      </c>
    </row>
    <row r="14" spans="1:13" ht="13.5" customHeight="1" x14ac:dyDescent="0.3">
      <c r="A14" s="82"/>
      <c r="B14" s="75" t="s">
        <v>262</v>
      </c>
      <c r="C14" s="81">
        <v>34</v>
      </c>
      <c r="D14" s="81">
        <v>30</v>
      </c>
      <c r="E14" s="81">
        <v>58</v>
      </c>
      <c r="F14" s="81">
        <v>57</v>
      </c>
      <c r="G14" s="81">
        <v>116</v>
      </c>
      <c r="H14" s="81">
        <v>109</v>
      </c>
      <c r="I14" s="72"/>
      <c r="J14" s="78">
        <f t="shared" si="0"/>
        <v>0.1333333333333333</v>
      </c>
      <c r="K14" s="78">
        <f t="shared" si="1"/>
        <v>1.7543859649122862E-2</v>
      </c>
      <c r="L14" s="79">
        <f t="shared" si="2"/>
        <v>6.4220183486238591E-2</v>
      </c>
    </row>
    <row r="15" spans="1:13" ht="13.5" customHeight="1" x14ac:dyDescent="0.3">
      <c r="A15" s="82"/>
      <c r="B15" s="89" t="s">
        <v>263</v>
      </c>
      <c r="C15" s="90">
        <v>1968</v>
      </c>
      <c r="D15" s="91">
        <v>1660</v>
      </c>
      <c r="E15" s="91">
        <v>3386</v>
      </c>
      <c r="F15" s="91">
        <v>2735</v>
      </c>
      <c r="G15" s="91">
        <v>5901</v>
      </c>
      <c r="H15" s="91">
        <v>4866</v>
      </c>
      <c r="I15" s="85"/>
      <c r="J15" s="92">
        <f t="shared" si="0"/>
        <v>0.18554216867469875</v>
      </c>
      <c r="K15" s="92">
        <f t="shared" si="1"/>
        <v>0.23802559414990854</v>
      </c>
      <c r="L15" s="93">
        <f t="shared" si="2"/>
        <v>0.2127003699136869</v>
      </c>
    </row>
    <row r="16" spans="1:13" ht="13.5" customHeight="1" x14ac:dyDescent="0.3">
      <c r="A16" s="82"/>
      <c r="B16" s="94" t="s">
        <v>264</v>
      </c>
      <c r="C16" s="95"/>
      <c r="D16" s="95"/>
      <c r="E16" s="95"/>
      <c r="F16" s="95"/>
      <c r="G16" s="95"/>
      <c r="H16" s="95"/>
      <c r="I16" s="72"/>
      <c r="J16" s="95"/>
      <c r="K16" s="95"/>
      <c r="L16" s="96"/>
    </row>
    <row r="17" spans="1:12" ht="13.5" customHeight="1" x14ac:dyDescent="0.3">
      <c r="A17" s="82"/>
      <c r="B17" s="75" t="s">
        <v>265</v>
      </c>
      <c r="C17" s="81">
        <v>645</v>
      </c>
      <c r="D17" s="81">
        <v>492</v>
      </c>
      <c r="E17" s="81">
        <v>971</v>
      </c>
      <c r="F17" s="81">
        <v>810</v>
      </c>
      <c r="G17" s="76">
        <v>1778</v>
      </c>
      <c r="H17" s="76">
        <v>1225</v>
      </c>
      <c r="I17" s="77"/>
      <c r="J17" s="78">
        <f>C17/D17-1</f>
        <v>0.31097560975609762</v>
      </c>
      <c r="K17" s="78">
        <f>E17/F17-1</f>
        <v>0.19876543209876552</v>
      </c>
      <c r="L17" s="79">
        <f>G17/H17-1</f>
        <v>0.45142857142857151</v>
      </c>
    </row>
    <row r="18" spans="1:12" ht="13.5" customHeight="1" x14ac:dyDescent="0.3">
      <c r="A18" s="88"/>
      <c r="B18" s="75" t="s">
        <v>266</v>
      </c>
      <c r="C18" s="78">
        <v>0.253</v>
      </c>
      <c r="D18" s="78">
        <v>0.23599999999999999</v>
      </c>
      <c r="E18" s="78">
        <v>0.22900000000000001</v>
      </c>
      <c r="F18" s="78">
        <v>0.23799999999999999</v>
      </c>
      <c r="G18" s="78">
        <v>0.23599999999999999</v>
      </c>
      <c r="H18" s="78">
        <v>0.20200000000000001</v>
      </c>
      <c r="I18" s="97"/>
      <c r="J18" s="78">
        <f>C18/D18-1</f>
        <v>7.2033898305084776E-2</v>
      </c>
      <c r="K18" s="78">
        <f>E18/F18-1</f>
        <v>-3.7815126050420034E-2</v>
      </c>
      <c r="L18" s="79">
        <f>G18/H18-1</f>
        <v>0.16831683168316824</v>
      </c>
    </row>
    <row r="19" spans="1:12" ht="13.5" customHeight="1" x14ac:dyDescent="0.3">
      <c r="A19" s="80"/>
      <c r="B19" s="75" t="s">
        <v>267</v>
      </c>
      <c r="C19" s="81">
        <v>583</v>
      </c>
      <c r="D19" s="81">
        <v>432</v>
      </c>
      <c r="E19" s="81">
        <v>855</v>
      </c>
      <c r="F19" s="81">
        <v>727</v>
      </c>
      <c r="G19" s="76">
        <v>1597</v>
      </c>
      <c r="H19" s="76">
        <v>1082</v>
      </c>
      <c r="I19" s="77"/>
      <c r="J19" s="78">
        <f>C19/D19-1</f>
        <v>0.34953703703703698</v>
      </c>
      <c r="K19" s="78">
        <f>E19/F19-1</f>
        <v>0.17606602475928468</v>
      </c>
      <c r="L19" s="79">
        <f>G19/H19-1</f>
        <v>0.47597042513863208</v>
      </c>
    </row>
    <row r="20" spans="1:12" ht="27.75" customHeight="1" x14ac:dyDescent="0.3">
      <c r="A20" s="88"/>
      <c r="B20" s="75" t="s">
        <v>268</v>
      </c>
      <c r="C20" s="81">
        <v>636</v>
      </c>
      <c r="D20" s="81">
        <v>490</v>
      </c>
      <c r="E20" s="81">
        <v>971</v>
      </c>
      <c r="F20" s="81">
        <v>808</v>
      </c>
      <c r="G20" s="76">
        <v>1733</v>
      </c>
      <c r="H20" s="76">
        <v>1160</v>
      </c>
      <c r="I20" s="77"/>
      <c r="J20" s="78">
        <f>C20/D20-1</f>
        <v>0.29795918367346941</v>
      </c>
      <c r="K20" s="78">
        <f>E20/F20-1</f>
        <v>0.2017326732673268</v>
      </c>
      <c r="L20" s="79">
        <f>G20/H20-1</f>
        <v>0.49396551724137927</v>
      </c>
    </row>
    <row r="21" spans="1:12" ht="13.5" customHeight="1" x14ac:dyDescent="0.3">
      <c r="A21" s="82"/>
      <c r="B21" s="75" t="s">
        <v>269</v>
      </c>
      <c r="C21" s="81">
        <v>0</v>
      </c>
      <c r="D21" s="81">
        <v>0</v>
      </c>
      <c r="E21" s="81">
        <v>0</v>
      </c>
      <c r="F21" s="81">
        <v>0</v>
      </c>
      <c r="G21" s="81">
        <v>0</v>
      </c>
      <c r="H21" s="81">
        <v>0</v>
      </c>
      <c r="I21" s="72"/>
      <c r="J21" s="78">
        <v>0</v>
      </c>
      <c r="K21" s="78">
        <v>0</v>
      </c>
      <c r="L21" s="79">
        <v>0</v>
      </c>
    </row>
    <row r="22" spans="1:12" ht="13.5" customHeight="1" x14ac:dyDescent="0.3">
      <c r="A22" s="88"/>
      <c r="B22" s="98" t="s">
        <v>270</v>
      </c>
      <c r="C22" s="99">
        <v>636</v>
      </c>
      <c r="D22" s="99">
        <v>490</v>
      </c>
      <c r="E22" s="99">
        <v>971</v>
      </c>
      <c r="F22" s="99">
        <v>808</v>
      </c>
      <c r="G22" s="100">
        <v>1733</v>
      </c>
      <c r="H22" s="100">
        <v>1160</v>
      </c>
      <c r="I22" s="85"/>
      <c r="J22" s="101">
        <f>C22/D22-1</f>
        <v>0.29795918367346941</v>
      </c>
      <c r="K22" s="101">
        <f>E22/F22-1</f>
        <v>0.2017326732673268</v>
      </c>
      <c r="L22" s="102">
        <f>G22/H22-1</f>
        <v>0.49396551724137927</v>
      </c>
    </row>
    <row r="23" spans="1:12" ht="13.5" customHeight="1" x14ac:dyDescent="0.3">
      <c r="A23" s="82"/>
      <c r="B23" s="75" t="s">
        <v>271</v>
      </c>
      <c r="C23" s="81">
        <v>169</v>
      </c>
      <c r="D23" s="81">
        <v>128</v>
      </c>
      <c r="E23" s="81">
        <v>256</v>
      </c>
      <c r="F23" s="81">
        <v>210</v>
      </c>
      <c r="G23" s="81">
        <v>450</v>
      </c>
      <c r="H23" s="81">
        <v>286</v>
      </c>
      <c r="I23" s="72"/>
      <c r="J23" s="78">
        <v>0.32</v>
      </c>
      <c r="K23" s="78">
        <v>0.219</v>
      </c>
      <c r="L23" s="79">
        <v>0.57299999999999995</v>
      </c>
    </row>
    <row r="24" spans="1:12" ht="13.5" customHeight="1" x14ac:dyDescent="0.3">
      <c r="A24" s="88"/>
      <c r="B24" s="98" t="s">
        <v>272</v>
      </c>
      <c r="C24" s="99">
        <v>466</v>
      </c>
      <c r="D24" s="99">
        <v>362</v>
      </c>
      <c r="E24" s="99">
        <v>714</v>
      </c>
      <c r="F24" s="99">
        <v>597</v>
      </c>
      <c r="G24" s="100">
        <v>1282</v>
      </c>
      <c r="H24" s="99">
        <v>874</v>
      </c>
      <c r="I24" s="103"/>
      <c r="J24" s="101">
        <f>C24/D24-1</f>
        <v>0.28729281767955794</v>
      </c>
      <c r="K24" s="101">
        <f>E24/F24-1</f>
        <v>0.19597989949748751</v>
      </c>
      <c r="L24" s="102">
        <f>G24/H24-1</f>
        <v>0.46681922196796344</v>
      </c>
    </row>
    <row r="25" spans="1:12" ht="13.5" customHeight="1" x14ac:dyDescent="0.3">
      <c r="A25" s="82"/>
      <c r="B25" s="75" t="s">
        <v>273</v>
      </c>
      <c r="C25" s="78">
        <v>0.183</v>
      </c>
      <c r="D25" s="78">
        <v>0.17399999999999999</v>
      </c>
      <c r="E25" s="78">
        <v>0.16900000000000001</v>
      </c>
      <c r="F25" s="78">
        <v>0.17599999999999999</v>
      </c>
      <c r="G25" s="78">
        <v>0.17</v>
      </c>
      <c r="H25" s="78">
        <v>0.14399999999999999</v>
      </c>
      <c r="I25" s="97"/>
      <c r="J25" s="78">
        <f>C25/D25-1</f>
        <v>5.1724137931034475E-2</v>
      </c>
      <c r="K25" s="78">
        <f>E25/F25-1</f>
        <v>-3.9772727272727182E-2</v>
      </c>
      <c r="L25" s="78">
        <f>G25/H25-1</f>
        <v>0.1805555555555558</v>
      </c>
    </row>
    <row r="26" spans="1:12" ht="13.5" customHeight="1" x14ac:dyDescent="0.3">
      <c r="A26" s="88"/>
      <c r="B26" s="83" t="s">
        <v>274</v>
      </c>
      <c r="C26" s="81"/>
      <c r="D26" s="81"/>
      <c r="E26" s="81"/>
      <c r="F26" s="81"/>
      <c r="G26" s="81"/>
      <c r="H26" s="81"/>
      <c r="I26" s="72"/>
      <c r="J26" s="81"/>
      <c r="K26" s="81"/>
      <c r="L26" s="104"/>
    </row>
    <row r="27" spans="1:12" ht="13.5" customHeight="1" x14ac:dyDescent="0.3">
      <c r="A27" s="82"/>
      <c r="B27" s="75" t="s">
        <v>275</v>
      </c>
      <c r="C27" s="81">
        <v>49.31</v>
      </c>
      <c r="D27" s="81">
        <v>38.119999999999997</v>
      </c>
      <c r="E27" s="81">
        <v>79</v>
      </c>
      <c r="F27" s="81">
        <v>63.25</v>
      </c>
      <c r="G27" s="81">
        <v>133.65</v>
      </c>
      <c r="H27" s="81">
        <v>92.38</v>
      </c>
      <c r="I27" s="72"/>
      <c r="J27" s="78">
        <f>C27/D27-1</f>
        <v>0.2935466946484786</v>
      </c>
      <c r="K27" s="78">
        <f>E27/F27-1</f>
        <v>0.24901185770750978</v>
      </c>
      <c r="L27" s="78">
        <f>G27/H27-1</f>
        <v>0.44674171898679371</v>
      </c>
    </row>
    <row r="28" spans="1:12" ht="13.5" customHeight="1" x14ac:dyDescent="0.3">
      <c r="A28" s="88"/>
      <c r="B28" s="75" t="s">
        <v>276</v>
      </c>
      <c r="C28" s="81">
        <v>49.31</v>
      </c>
      <c r="D28" s="81">
        <v>38.119999999999997</v>
      </c>
      <c r="E28" s="81">
        <v>79</v>
      </c>
      <c r="F28" s="81">
        <v>63.25</v>
      </c>
      <c r="G28" s="81">
        <v>133.65</v>
      </c>
      <c r="H28" s="81">
        <v>92.38</v>
      </c>
      <c r="I28" s="72"/>
      <c r="J28" s="78">
        <f>C28/D28-1</f>
        <v>0.2935466946484786</v>
      </c>
      <c r="K28" s="78">
        <f>E28/F28-1</f>
        <v>0.24901185770750978</v>
      </c>
      <c r="L28" s="79">
        <f>G28/H28-1</f>
        <v>0.44674171898679371</v>
      </c>
    </row>
    <row r="29" spans="1:12" ht="13.5" customHeight="1" x14ac:dyDescent="0.3">
      <c r="A29" s="80"/>
      <c r="B29" s="83" t="s">
        <v>277</v>
      </c>
      <c r="C29" s="81"/>
      <c r="D29" s="81"/>
      <c r="E29" s="81"/>
      <c r="F29" s="81"/>
      <c r="G29" s="81"/>
      <c r="H29" s="81"/>
      <c r="I29" s="72"/>
      <c r="J29" s="81"/>
      <c r="K29" s="81"/>
      <c r="L29" s="104"/>
    </row>
    <row r="30" spans="1:12" ht="13.5" customHeight="1" x14ac:dyDescent="0.3">
      <c r="A30" s="82"/>
      <c r="B30" s="75" t="s">
        <v>278</v>
      </c>
      <c r="C30" s="81">
        <v>18</v>
      </c>
      <c r="D30" s="81">
        <v>18</v>
      </c>
      <c r="E30" s="81">
        <v>18</v>
      </c>
      <c r="F30" s="81">
        <v>18</v>
      </c>
      <c r="G30" s="81">
        <v>18</v>
      </c>
      <c r="H30" s="81">
        <v>18</v>
      </c>
      <c r="I30" s="72"/>
      <c r="J30" s="78">
        <f>C30/D30-1</f>
        <v>0</v>
      </c>
      <c r="K30" s="78">
        <f>E30/F30-1</f>
        <v>0</v>
      </c>
      <c r="L30" s="79">
        <f>G30/H30-1</f>
        <v>0</v>
      </c>
    </row>
    <row r="31" spans="1:12" ht="13.5" customHeight="1" x14ac:dyDescent="0.3">
      <c r="A31" s="82"/>
      <c r="B31" s="105" t="s">
        <v>279</v>
      </c>
      <c r="C31" s="95">
        <v>0</v>
      </c>
      <c r="D31" s="95">
        <v>0</v>
      </c>
      <c r="E31" s="95">
        <v>0</v>
      </c>
      <c r="F31" s="95">
        <v>0</v>
      </c>
      <c r="G31" s="106">
        <v>4368</v>
      </c>
      <c r="H31" s="106">
        <v>3287</v>
      </c>
      <c r="I31" s="77"/>
      <c r="J31" s="107">
        <v>0</v>
      </c>
      <c r="K31" s="107">
        <v>0</v>
      </c>
      <c r="L31" s="108">
        <f>G31/H31-1</f>
        <v>0.32887131122604196</v>
      </c>
    </row>
    <row r="32" spans="1:12" ht="13.5" customHeight="1" x14ac:dyDescent="0.3">
      <c r="A32" s="80"/>
    </row>
    <row r="33" spans="1:7" ht="13.5" customHeight="1" x14ac:dyDescent="0.3">
      <c r="A33" s="82"/>
      <c r="B33" s="109"/>
      <c r="C33" s="109"/>
      <c r="D33" s="109"/>
      <c r="E33" s="109"/>
      <c r="F33" s="109"/>
      <c r="G33" s="109"/>
    </row>
    <row r="34" spans="1:7" ht="13.5" customHeight="1" x14ac:dyDescent="0.3">
      <c r="A34" s="82"/>
      <c r="B34" s="109"/>
      <c r="C34" s="109"/>
      <c r="D34" s="109"/>
      <c r="E34" s="109"/>
      <c r="F34" s="109"/>
      <c r="G34" s="109"/>
    </row>
    <row r="35" spans="1:7" ht="13.5" customHeight="1" x14ac:dyDescent="0.3">
      <c r="A35" s="82"/>
      <c r="B35" s="109"/>
      <c r="C35" s="109"/>
      <c r="D35" s="109"/>
      <c r="E35" s="110"/>
      <c r="F35" s="110"/>
      <c r="G35" s="110"/>
    </row>
  </sheetData>
  <mergeCells count="5">
    <mergeCell ref="C1:L1"/>
    <mergeCell ref="C2:D2"/>
    <mergeCell ref="E2:F2"/>
    <mergeCell ref="G2:H2"/>
    <mergeCell ref="J2:L2"/>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3"/>
  <sheetViews>
    <sheetView showGridLines="0" zoomScale="76" zoomScaleNormal="76" workbookViewId="0">
      <selection activeCell="Q8" sqref="Q8"/>
    </sheetView>
  </sheetViews>
  <sheetFormatPr defaultColWidth="8.6328125" defaultRowHeight="14" x14ac:dyDescent="0.3"/>
  <cols>
    <col min="1" max="1" width="2.1796875" style="1" customWidth="1"/>
    <col min="2" max="2" width="30.54296875" style="1" customWidth="1"/>
    <col min="3" max="4" width="8.1796875" style="1" customWidth="1"/>
    <col min="5" max="5" width="8.81640625" style="1" customWidth="1"/>
    <col min="6" max="6" width="9" style="1" customWidth="1"/>
    <col min="7" max="8" width="8" style="1" customWidth="1"/>
    <col min="9" max="9" width="6.90625" style="111" customWidth="1"/>
    <col min="10" max="10" width="8.453125" style="1" customWidth="1"/>
    <col min="11" max="11" width="13.26953125" style="1" customWidth="1"/>
    <col min="12" max="12" width="9.54296875" style="1" customWidth="1"/>
    <col min="13" max="16384" width="8.6328125" style="1"/>
  </cols>
  <sheetData>
    <row r="1" spans="1:13" ht="19.5" customHeight="1" x14ac:dyDescent="0.3">
      <c r="A1" s="112"/>
      <c r="B1" s="601" t="s">
        <v>280</v>
      </c>
      <c r="C1" s="601"/>
      <c r="D1" s="601"/>
      <c r="E1" s="601"/>
      <c r="F1" s="601"/>
      <c r="G1" s="601"/>
      <c r="H1" s="601"/>
      <c r="I1" s="601"/>
      <c r="J1" s="601"/>
      <c r="K1" s="601"/>
      <c r="L1" s="601"/>
      <c r="M1" s="112"/>
    </row>
    <row r="2" spans="1:13" ht="19.5" customHeight="1" x14ac:dyDescent="0.3">
      <c r="A2" s="113"/>
      <c r="B2" s="601"/>
      <c r="C2" s="601"/>
      <c r="D2" s="601"/>
      <c r="E2" s="601"/>
      <c r="F2" s="601"/>
      <c r="G2" s="601"/>
      <c r="H2" s="601"/>
      <c r="I2" s="601"/>
      <c r="J2" s="601"/>
      <c r="K2" s="601"/>
      <c r="L2" s="601"/>
      <c r="M2" s="113"/>
    </row>
    <row r="3" spans="1:13" s="65" customFormat="1" ht="17.25" customHeight="1" x14ac:dyDescent="0.35">
      <c r="A3" s="114"/>
      <c r="B3" s="593"/>
      <c r="C3" s="592" t="s">
        <v>244</v>
      </c>
      <c r="D3" s="592"/>
      <c r="E3" s="592" t="s">
        <v>245</v>
      </c>
      <c r="F3" s="592"/>
      <c r="G3" s="592" t="s">
        <v>246</v>
      </c>
      <c r="H3" s="592"/>
      <c r="I3" s="593"/>
      <c r="J3" s="592" t="s">
        <v>247</v>
      </c>
      <c r="K3" s="592"/>
      <c r="L3" s="592"/>
      <c r="M3" s="114"/>
    </row>
    <row r="4" spans="1:13" s="68" customFormat="1" ht="15" customHeight="1" x14ac:dyDescent="0.35">
      <c r="A4" s="115"/>
      <c r="B4" s="116" t="s">
        <v>248</v>
      </c>
      <c r="C4" s="117">
        <v>45992</v>
      </c>
      <c r="D4" s="117">
        <v>45901</v>
      </c>
      <c r="E4" s="118" t="s">
        <v>281</v>
      </c>
      <c r="F4" s="118" t="s">
        <v>282</v>
      </c>
      <c r="G4" s="117">
        <v>45717</v>
      </c>
      <c r="H4" s="117">
        <v>45352</v>
      </c>
      <c r="I4" s="117"/>
      <c r="J4" s="118" t="s">
        <v>249</v>
      </c>
      <c r="K4" s="118" t="s">
        <v>250</v>
      </c>
      <c r="L4" s="119" t="s">
        <v>251</v>
      </c>
      <c r="M4" s="120"/>
    </row>
    <row r="5" spans="1:13" ht="13.5" customHeight="1" x14ac:dyDescent="0.3">
      <c r="A5" s="74"/>
      <c r="B5" s="121" t="s">
        <v>252</v>
      </c>
      <c r="C5" s="122"/>
      <c r="D5" s="122"/>
      <c r="E5" s="122"/>
      <c r="F5" s="122"/>
      <c r="G5" s="122"/>
      <c r="H5" s="122"/>
      <c r="I5" s="123"/>
      <c r="J5" s="122"/>
      <c r="K5" s="122"/>
      <c r="L5" s="124"/>
      <c r="M5" s="2"/>
    </row>
    <row r="6" spans="1:13" ht="13.5" customHeight="1" x14ac:dyDescent="0.3">
      <c r="A6" s="80"/>
      <c r="B6" s="125" t="s">
        <v>253</v>
      </c>
      <c r="C6" s="76"/>
      <c r="D6" s="76"/>
      <c r="E6" s="76"/>
      <c r="F6" s="76"/>
      <c r="G6" s="76"/>
      <c r="H6" s="76"/>
      <c r="I6" s="77"/>
      <c r="J6" s="78"/>
      <c r="K6" s="78"/>
      <c r="L6" s="79"/>
      <c r="M6" s="2"/>
    </row>
    <row r="7" spans="1:13" ht="13.5" customHeight="1" x14ac:dyDescent="0.3">
      <c r="A7" s="82"/>
      <c r="B7" s="125" t="s">
        <v>254</v>
      </c>
      <c r="C7" s="81"/>
      <c r="D7" s="81"/>
      <c r="E7" s="81"/>
      <c r="F7" s="81"/>
      <c r="G7" s="81"/>
      <c r="H7" s="81"/>
      <c r="I7" s="72"/>
      <c r="J7" s="78"/>
      <c r="K7" s="78"/>
      <c r="L7" s="79"/>
      <c r="M7" s="2"/>
    </row>
    <row r="8" spans="1:13" ht="14.25" customHeight="1" x14ac:dyDescent="0.3">
      <c r="A8" s="82"/>
      <c r="B8" s="126" t="s">
        <v>255</v>
      </c>
      <c r="C8" s="127"/>
      <c r="D8" s="127"/>
      <c r="E8" s="127"/>
      <c r="F8" s="127"/>
      <c r="G8" s="127"/>
      <c r="H8" s="127"/>
      <c r="I8" s="128"/>
      <c r="J8" s="129"/>
      <c r="K8" s="129"/>
      <c r="L8" s="130"/>
      <c r="M8" s="2"/>
    </row>
    <row r="9" spans="1:13" ht="14.25" customHeight="1" x14ac:dyDescent="0.3">
      <c r="A9" s="88"/>
      <c r="B9" s="131" t="s">
        <v>256</v>
      </c>
      <c r="C9" s="132"/>
      <c r="D9" s="132"/>
      <c r="E9" s="132"/>
      <c r="F9" s="132"/>
      <c r="G9" s="132"/>
      <c r="H9" s="132"/>
      <c r="I9" s="133"/>
      <c r="J9" s="132"/>
      <c r="K9" s="132"/>
      <c r="L9" s="134"/>
      <c r="M9" s="2"/>
    </row>
    <row r="10" spans="1:13" ht="13.5" customHeight="1" x14ac:dyDescent="0.3">
      <c r="A10" s="80"/>
      <c r="B10" s="125" t="s">
        <v>257</v>
      </c>
      <c r="C10" s="76"/>
      <c r="D10" s="81"/>
      <c r="E10" s="76"/>
      <c r="F10" s="76"/>
      <c r="G10" s="76"/>
      <c r="H10" s="76"/>
      <c r="I10" s="77"/>
      <c r="J10" s="78"/>
      <c r="K10" s="78"/>
      <c r="L10" s="79"/>
      <c r="M10" s="2"/>
    </row>
    <row r="11" spans="1:13" ht="13.5" customHeight="1" x14ac:dyDescent="0.3">
      <c r="A11" s="82"/>
      <c r="B11" s="125" t="s">
        <v>258</v>
      </c>
      <c r="C11" s="81"/>
      <c r="D11" s="81"/>
      <c r="E11" s="81"/>
      <c r="F11" s="81"/>
      <c r="G11" s="81"/>
      <c r="H11" s="81"/>
      <c r="I11" s="72"/>
      <c r="J11" s="78"/>
      <c r="K11" s="78"/>
      <c r="L11" s="79"/>
      <c r="M11" s="2"/>
    </row>
    <row r="12" spans="1:13" ht="13.5" customHeight="1" x14ac:dyDescent="0.3">
      <c r="A12" s="82"/>
      <c r="B12" s="125" t="s">
        <v>283</v>
      </c>
      <c r="C12" s="81"/>
      <c r="D12" s="81"/>
      <c r="E12" s="81"/>
      <c r="F12" s="81"/>
      <c r="G12" s="81"/>
      <c r="H12" s="81"/>
      <c r="I12" s="72"/>
      <c r="J12" s="78"/>
      <c r="K12" s="78"/>
      <c r="L12" s="79"/>
      <c r="M12" s="2"/>
    </row>
    <row r="13" spans="1:13" ht="13.5" customHeight="1" x14ac:dyDescent="0.3">
      <c r="A13" s="82"/>
      <c r="B13" s="125" t="s">
        <v>259</v>
      </c>
      <c r="C13" s="81"/>
      <c r="D13" s="81"/>
      <c r="E13" s="81"/>
      <c r="F13" s="81"/>
      <c r="G13" s="81"/>
      <c r="H13" s="81"/>
      <c r="I13" s="72"/>
      <c r="J13" s="78"/>
      <c r="K13" s="78"/>
      <c r="L13" s="79"/>
      <c r="M13" s="2"/>
    </row>
    <row r="14" spans="1:13" ht="13.5" customHeight="1" x14ac:dyDescent="0.3">
      <c r="A14" s="82"/>
      <c r="B14" s="125" t="s">
        <v>260</v>
      </c>
      <c r="C14" s="81"/>
      <c r="D14" s="81"/>
      <c r="E14" s="81"/>
      <c r="F14" s="81"/>
      <c r="G14" s="76"/>
      <c r="H14" s="76"/>
      <c r="I14" s="77"/>
      <c r="J14" s="78"/>
      <c r="K14" s="78"/>
      <c r="L14" s="79"/>
      <c r="M14" s="2"/>
    </row>
    <row r="15" spans="1:13" ht="13.5" customHeight="1" x14ac:dyDescent="0.3">
      <c r="A15" s="82"/>
      <c r="B15" s="125" t="s">
        <v>261</v>
      </c>
      <c r="C15" s="81"/>
      <c r="D15" s="81"/>
      <c r="E15" s="81"/>
      <c r="F15" s="81"/>
      <c r="G15" s="81"/>
      <c r="H15" s="81"/>
      <c r="I15" s="72"/>
      <c r="J15" s="78"/>
      <c r="K15" s="78"/>
      <c r="L15" s="79"/>
      <c r="M15" s="2"/>
    </row>
    <row r="16" spans="1:13" ht="13.5" customHeight="1" x14ac:dyDescent="0.3">
      <c r="A16" s="82"/>
      <c r="B16" s="125" t="s">
        <v>262</v>
      </c>
      <c r="C16" s="81"/>
      <c r="D16" s="81"/>
      <c r="E16" s="81"/>
      <c r="F16" s="81"/>
      <c r="G16" s="81"/>
      <c r="H16" s="81"/>
      <c r="I16" s="72"/>
      <c r="J16" s="78"/>
      <c r="K16" s="78"/>
      <c r="L16" s="79"/>
      <c r="M16" s="2"/>
    </row>
    <row r="17" spans="1:13" ht="14.25" customHeight="1" x14ac:dyDescent="0.3">
      <c r="A17" s="82"/>
      <c r="B17" s="126" t="s">
        <v>263</v>
      </c>
      <c r="C17" s="127"/>
      <c r="D17" s="127"/>
      <c r="E17" s="127"/>
      <c r="F17" s="127"/>
      <c r="G17" s="127"/>
      <c r="H17" s="127"/>
      <c r="I17" s="128"/>
      <c r="J17" s="129"/>
      <c r="K17" s="129"/>
      <c r="L17" s="130"/>
      <c r="M17" s="2"/>
    </row>
    <row r="18" spans="1:13" ht="14.25" customHeight="1" x14ac:dyDescent="0.3">
      <c r="A18" s="88"/>
      <c r="B18" s="131" t="s">
        <v>264</v>
      </c>
      <c r="C18" s="132"/>
      <c r="D18" s="132"/>
      <c r="E18" s="132"/>
      <c r="F18" s="132"/>
      <c r="G18" s="132"/>
      <c r="H18" s="132"/>
      <c r="I18" s="133"/>
      <c r="J18" s="132"/>
      <c r="K18" s="132"/>
      <c r="L18" s="134"/>
      <c r="M18" s="2"/>
    </row>
    <row r="19" spans="1:13" ht="13.5" customHeight="1" x14ac:dyDescent="0.3">
      <c r="A19" s="80"/>
      <c r="B19" s="125" t="s">
        <v>265</v>
      </c>
      <c r="C19" s="81"/>
      <c r="D19" s="81"/>
      <c r="E19" s="81"/>
      <c r="F19" s="81"/>
      <c r="G19" s="76"/>
      <c r="H19" s="76"/>
      <c r="I19" s="77"/>
      <c r="J19" s="78"/>
      <c r="K19" s="78"/>
      <c r="L19" s="79"/>
      <c r="M19" s="2"/>
    </row>
    <row r="20" spans="1:13" ht="13.5" customHeight="1" x14ac:dyDescent="0.3">
      <c r="A20" s="88"/>
      <c r="B20" s="125" t="s">
        <v>266</v>
      </c>
      <c r="C20" s="78"/>
      <c r="D20" s="78"/>
      <c r="E20" s="78"/>
      <c r="F20" s="78"/>
      <c r="G20" s="78"/>
      <c r="H20" s="78"/>
      <c r="I20" s="97"/>
      <c r="J20" s="78"/>
      <c r="K20" s="78"/>
      <c r="L20" s="104"/>
      <c r="M20" s="2"/>
    </row>
    <row r="21" spans="1:13" ht="13.5" customHeight="1" x14ac:dyDescent="0.3">
      <c r="A21" s="88"/>
      <c r="B21" s="125" t="s">
        <v>267</v>
      </c>
      <c r="C21" s="81"/>
      <c r="D21" s="81"/>
      <c r="E21" s="81"/>
      <c r="F21" s="81"/>
      <c r="G21" s="76"/>
      <c r="H21" s="76"/>
      <c r="I21" s="77"/>
      <c r="J21" s="78"/>
      <c r="K21" s="78"/>
      <c r="L21" s="79"/>
      <c r="M21" s="2"/>
    </row>
    <row r="22" spans="1:13" ht="27.75" customHeight="1" x14ac:dyDescent="0.3">
      <c r="A22" s="88"/>
      <c r="B22" s="125" t="s">
        <v>268</v>
      </c>
      <c r="C22" s="81"/>
      <c r="D22" s="81"/>
      <c r="E22" s="81"/>
      <c r="F22" s="81"/>
      <c r="G22" s="76"/>
      <c r="H22" s="76"/>
      <c r="I22" s="77"/>
      <c r="J22" s="78"/>
      <c r="K22" s="78"/>
      <c r="L22" s="79"/>
      <c r="M22" s="2"/>
    </row>
    <row r="23" spans="1:13" ht="13.5" customHeight="1" x14ac:dyDescent="0.3">
      <c r="A23" s="82"/>
      <c r="B23" s="125" t="s">
        <v>269</v>
      </c>
      <c r="C23" s="81"/>
      <c r="D23" s="81"/>
      <c r="E23" s="81"/>
      <c r="F23" s="81"/>
      <c r="G23" s="81"/>
      <c r="H23" s="81"/>
      <c r="I23" s="72"/>
      <c r="J23" s="78"/>
      <c r="K23" s="78"/>
      <c r="L23" s="104"/>
      <c r="M23" s="2"/>
    </row>
    <row r="24" spans="1:13" ht="13.5" customHeight="1" x14ac:dyDescent="0.3">
      <c r="A24" s="88"/>
      <c r="B24" s="135" t="s">
        <v>270</v>
      </c>
      <c r="C24" s="136"/>
      <c r="D24" s="136"/>
      <c r="E24" s="136"/>
      <c r="F24" s="136"/>
      <c r="G24" s="137"/>
      <c r="H24" s="137"/>
      <c r="I24" s="138"/>
      <c r="J24" s="139"/>
      <c r="K24" s="139"/>
      <c r="L24" s="140"/>
      <c r="M24" s="2"/>
    </row>
    <row r="25" spans="1:13" ht="13.5" customHeight="1" x14ac:dyDescent="0.3">
      <c r="A25" s="82"/>
      <c r="B25" s="125" t="s">
        <v>271</v>
      </c>
      <c r="C25" s="81"/>
      <c r="D25" s="81"/>
      <c r="E25" s="81"/>
      <c r="F25" s="81"/>
      <c r="G25" s="81"/>
      <c r="H25" s="81"/>
      <c r="I25" s="72"/>
      <c r="J25" s="78"/>
      <c r="K25" s="78"/>
      <c r="L25" s="79"/>
      <c r="M25" s="2"/>
    </row>
    <row r="26" spans="1:13" ht="13.5" customHeight="1" x14ac:dyDescent="0.3">
      <c r="A26" s="88"/>
      <c r="B26" s="135" t="s">
        <v>272</v>
      </c>
      <c r="C26" s="136"/>
      <c r="D26" s="136"/>
      <c r="E26" s="136"/>
      <c r="F26" s="136"/>
      <c r="G26" s="137"/>
      <c r="H26" s="136"/>
      <c r="I26" s="141"/>
      <c r="J26" s="139"/>
      <c r="K26" s="139"/>
      <c r="L26" s="140"/>
      <c r="M26" s="2"/>
    </row>
    <row r="27" spans="1:13" ht="13.5" customHeight="1" x14ac:dyDescent="0.3">
      <c r="A27" s="82"/>
      <c r="B27" s="125" t="s">
        <v>273</v>
      </c>
      <c r="C27" s="78"/>
      <c r="D27" s="78"/>
      <c r="E27" s="78"/>
      <c r="F27" s="78"/>
      <c r="G27" s="78"/>
      <c r="H27" s="78"/>
      <c r="I27" s="97"/>
      <c r="J27" s="78"/>
      <c r="K27" s="81"/>
      <c r="L27" s="104"/>
      <c r="M27" s="2"/>
    </row>
    <row r="28" spans="1:13" ht="26.25" customHeight="1" x14ac:dyDescent="0.3">
      <c r="B28" s="142" t="s">
        <v>274</v>
      </c>
      <c r="C28" s="95"/>
      <c r="D28" s="95"/>
      <c r="E28" s="95"/>
      <c r="F28" s="95"/>
      <c r="G28" s="95"/>
      <c r="H28" s="95"/>
      <c r="I28" s="143"/>
      <c r="J28" s="95"/>
      <c r="K28" s="95"/>
      <c r="L28" s="96"/>
    </row>
    <row r="29" spans="1:13" ht="13.5" customHeight="1" x14ac:dyDescent="0.3">
      <c r="B29" s="125" t="s">
        <v>275</v>
      </c>
      <c r="C29" s="81"/>
      <c r="D29" s="81"/>
      <c r="E29" s="81"/>
      <c r="F29" s="81"/>
      <c r="G29" s="81"/>
      <c r="H29" s="81"/>
      <c r="I29" s="72"/>
      <c r="J29" s="78"/>
      <c r="K29" s="78"/>
      <c r="L29" s="79"/>
    </row>
    <row r="30" spans="1:13" ht="13.5" customHeight="1" x14ac:dyDescent="0.3">
      <c r="B30" s="125" t="s">
        <v>276</v>
      </c>
      <c r="C30" s="81"/>
      <c r="D30" s="81"/>
      <c r="E30" s="81"/>
      <c r="F30" s="81"/>
      <c r="G30" s="81"/>
      <c r="H30" s="81"/>
      <c r="I30" s="72"/>
      <c r="J30" s="78"/>
      <c r="K30" s="78"/>
      <c r="L30" s="79"/>
    </row>
    <row r="31" spans="1:13" ht="13.5" customHeight="1" x14ac:dyDescent="0.3">
      <c r="B31" s="142" t="s">
        <v>277</v>
      </c>
      <c r="C31" s="95"/>
      <c r="D31" s="95"/>
      <c r="E31" s="95"/>
      <c r="F31" s="95"/>
      <c r="G31" s="95"/>
      <c r="H31" s="95"/>
      <c r="I31" s="143"/>
      <c r="J31" s="95"/>
      <c r="K31" s="95"/>
      <c r="L31" s="96"/>
    </row>
    <row r="32" spans="1:13" ht="13.5" customHeight="1" x14ac:dyDescent="0.3">
      <c r="B32" s="125" t="s">
        <v>278</v>
      </c>
      <c r="C32" s="81"/>
      <c r="D32" s="81"/>
      <c r="E32" s="81"/>
      <c r="F32" s="81"/>
      <c r="G32" s="81"/>
      <c r="H32" s="81"/>
      <c r="I32" s="72"/>
      <c r="J32" s="78"/>
      <c r="K32" s="78"/>
      <c r="L32" s="79"/>
    </row>
    <row r="33" spans="2:12" ht="13.5" customHeight="1" x14ac:dyDescent="0.3">
      <c r="B33" s="144" t="s">
        <v>279</v>
      </c>
      <c r="C33" s="95"/>
      <c r="D33" s="95"/>
      <c r="E33" s="95"/>
      <c r="F33" s="95"/>
      <c r="G33" s="106"/>
      <c r="H33" s="106"/>
      <c r="I33" s="145"/>
      <c r="J33" s="95"/>
      <c r="K33" s="95"/>
      <c r="L33" s="108"/>
    </row>
  </sheetData>
  <mergeCells count="5">
    <mergeCell ref="B1:L2"/>
    <mergeCell ref="C3:D3"/>
    <mergeCell ref="E3:F3"/>
    <mergeCell ref="G3:H3"/>
    <mergeCell ref="J3:L3"/>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60"/>
  <sheetViews>
    <sheetView showGridLines="0" zoomScale="89" zoomScaleNormal="99" workbookViewId="0">
      <selection activeCell="I6" sqref="D6:I11"/>
    </sheetView>
  </sheetViews>
  <sheetFormatPr defaultColWidth="8.6328125" defaultRowHeight="14" x14ac:dyDescent="0.3"/>
  <cols>
    <col min="1" max="1" width="2.54296875" style="1" customWidth="1"/>
    <col min="2" max="2" width="61.6328125" style="2" customWidth="1"/>
    <col min="3" max="4" width="9.54296875" style="2" customWidth="1"/>
    <col min="5" max="5" width="7.90625" style="2" customWidth="1"/>
    <col min="6" max="6" width="14.453125" style="2" customWidth="1"/>
    <col min="7" max="8" width="7.08984375" style="1" customWidth="1"/>
    <col min="9" max="9" width="22.90625" style="1" customWidth="1"/>
    <col min="10" max="16384" width="8.6328125" style="1"/>
  </cols>
  <sheetData>
    <row r="1" spans="1:13" ht="19.5" customHeight="1" x14ac:dyDescent="0.3">
      <c r="B1" s="602" t="s">
        <v>284</v>
      </c>
      <c r="C1" s="602"/>
      <c r="D1" s="602"/>
      <c r="E1" s="602"/>
      <c r="F1" s="602"/>
      <c r="G1" s="146"/>
      <c r="H1" s="146"/>
      <c r="I1" s="146"/>
      <c r="J1" s="146"/>
      <c r="K1" s="146"/>
      <c r="L1" s="146"/>
      <c r="M1" s="146"/>
    </row>
    <row r="2" spans="1:13" ht="13.5" customHeight="1" x14ac:dyDescent="0.3">
      <c r="B2" s="602"/>
      <c r="C2" s="602"/>
      <c r="D2" s="602"/>
      <c r="E2" s="602"/>
      <c r="F2" s="602"/>
      <c r="G2" s="146"/>
      <c r="H2" s="146"/>
      <c r="I2" s="146"/>
      <c r="J2" s="146"/>
      <c r="K2" s="146"/>
      <c r="L2" s="146"/>
      <c r="M2" s="146"/>
    </row>
    <row r="3" spans="1:13" ht="21" customHeight="1" x14ac:dyDescent="0.3">
      <c r="A3" s="22"/>
      <c r="B3" s="603" t="s">
        <v>248</v>
      </c>
      <c r="C3" s="604">
        <v>45717</v>
      </c>
      <c r="D3" s="604">
        <v>45352</v>
      </c>
      <c r="E3" s="604"/>
      <c r="F3" s="605" t="s">
        <v>285</v>
      </c>
      <c r="G3" s="81"/>
      <c r="H3" s="81"/>
      <c r="I3" s="147"/>
      <c r="J3" s="2"/>
      <c r="K3" s="2"/>
      <c r="L3" s="2"/>
      <c r="M3" s="2"/>
    </row>
    <row r="4" spans="1:13" ht="13.5" customHeight="1" x14ac:dyDescent="0.3">
      <c r="A4" s="82"/>
      <c r="B4" s="135" t="s">
        <v>286</v>
      </c>
      <c r="C4" s="148"/>
      <c r="D4" s="148"/>
      <c r="E4" s="149"/>
      <c r="F4" s="150"/>
      <c r="G4" s="76"/>
      <c r="H4" s="76"/>
      <c r="I4" s="147"/>
      <c r="J4" s="2"/>
      <c r="K4" s="2"/>
      <c r="L4" s="2"/>
      <c r="M4" s="2"/>
    </row>
    <row r="5" spans="1:13" ht="13.5" customHeight="1" x14ac:dyDescent="0.3">
      <c r="A5" s="82"/>
      <c r="B5" s="135" t="s">
        <v>287</v>
      </c>
      <c r="C5" s="148"/>
      <c r="D5" s="148"/>
      <c r="E5" s="149"/>
      <c r="F5" s="150"/>
      <c r="G5" s="76"/>
      <c r="H5" s="81"/>
      <c r="I5" s="147"/>
      <c r="J5" s="2"/>
      <c r="K5" s="2"/>
      <c r="L5" s="2"/>
      <c r="M5" s="2"/>
    </row>
    <row r="6" spans="1:13" ht="13.5" customHeight="1" x14ac:dyDescent="0.3">
      <c r="A6" s="82"/>
      <c r="B6" s="125" t="s">
        <v>288</v>
      </c>
      <c r="C6" s="147"/>
      <c r="D6" s="147"/>
      <c r="E6" s="151"/>
      <c r="F6" s="152"/>
      <c r="G6" s="81"/>
      <c r="H6" s="81"/>
      <c r="I6" s="147"/>
      <c r="J6" s="2"/>
      <c r="K6" s="2"/>
      <c r="L6" s="2"/>
      <c r="M6" s="2"/>
    </row>
    <row r="7" spans="1:13" ht="13.5" customHeight="1" x14ac:dyDescent="0.3">
      <c r="A7" s="82"/>
      <c r="B7" s="125" t="s">
        <v>289</v>
      </c>
      <c r="C7" s="147"/>
      <c r="D7" s="147"/>
      <c r="E7" s="151"/>
      <c r="F7" s="152"/>
      <c r="G7" s="76"/>
      <c r="H7" s="76"/>
      <c r="I7" s="147"/>
      <c r="J7" s="2"/>
      <c r="K7" s="2"/>
      <c r="L7" s="2"/>
      <c r="M7" s="2"/>
    </row>
    <row r="8" spans="1:13" ht="13.5" customHeight="1" x14ac:dyDescent="0.3">
      <c r="A8" s="82"/>
      <c r="B8" s="125" t="s">
        <v>290</v>
      </c>
      <c r="C8" s="153"/>
      <c r="D8" s="153"/>
      <c r="E8" s="154"/>
      <c r="F8" s="152"/>
      <c r="G8" s="81"/>
      <c r="H8" s="81"/>
      <c r="I8" s="147"/>
      <c r="J8" s="2"/>
      <c r="K8" s="2"/>
      <c r="L8" s="2"/>
      <c r="M8" s="2"/>
    </row>
    <row r="9" spans="1:13" ht="13.5" customHeight="1" x14ac:dyDescent="0.3">
      <c r="A9" s="82"/>
      <c r="B9" s="125" t="s">
        <v>291</v>
      </c>
      <c r="C9" s="153"/>
      <c r="D9" s="153"/>
      <c r="E9" s="154"/>
      <c r="F9" s="152"/>
      <c r="G9" s="76"/>
      <c r="H9" s="76"/>
      <c r="I9" s="147"/>
      <c r="J9" s="2"/>
      <c r="K9" s="2"/>
      <c r="L9" s="2"/>
      <c r="M9" s="2"/>
    </row>
    <row r="10" spans="1:13" ht="13.5" customHeight="1" x14ac:dyDescent="0.3">
      <c r="A10" s="82"/>
      <c r="B10" s="125" t="s">
        <v>292</v>
      </c>
      <c r="C10" s="147"/>
      <c r="D10" s="147"/>
      <c r="E10" s="151"/>
      <c r="F10" s="152"/>
      <c r="G10" s="76"/>
      <c r="H10" s="76"/>
      <c r="I10" s="147"/>
      <c r="J10" s="2"/>
      <c r="K10" s="2"/>
      <c r="L10" s="2"/>
      <c r="M10" s="2"/>
    </row>
    <row r="11" spans="1:13" ht="13.5" customHeight="1" x14ac:dyDescent="0.3">
      <c r="A11" s="82"/>
      <c r="B11" s="125" t="s">
        <v>293</v>
      </c>
      <c r="C11" s="153"/>
      <c r="D11" s="153"/>
      <c r="E11" s="154"/>
      <c r="F11" s="152"/>
      <c r="G11" s="81"/>
      <c r="H11" s="81"/>
      <c r="I11" s="147"/>
      <c r="J11" s="2"/>
      <c r="K11" s="2"/>
      <c r="L11" s="2"/>
      <c r="M11" s="2"/>
    </row>
    <row r="12" spans="1:13" ht="13.5" customHeight="1" x14ac:dyDescent="0.3">
      <c r="A12" s="82"/>
      <c r="B12" s="125" t="s">
        <v>294</v>
      </c>
      <c r="C12" s="147"/>
      <c r="D12" s="147"/>
      <c r="E12" s="151"/>
      <c r="F12" s="152"/>
      <c r="G12" s="76"/>
      <c r="H12" s="76"/>
      <c r="I12" s="147"/>
      <c r="J12" s="2"/>
      <c r="K12" s="2"/>
      <c r="L12" s="2"/>
      <c r="M12" s="2"/>
    </row>
    <row r="13" spans="1:13" ht="13.5" customHeight="1" x14ac:dyDescent="0.3">
      <c r="A13" s="82"/>
      <c r="B13" s="142" t="s">
        <v>295</v>
      </c>
      <c r="C13" s="155"/>
      <c r="D13" s="155"/>
      <c r="E13" s="156"/>
      <c r="F13" s="157"/>
      <c r="G13" s="81"/>
      <c r="H13" s="81"/>
      <c r="I13" s="147"/>
      <c r="J13" s="2"/>
      <c r="K13" s="2"/>
      <c r="L13" s="2"/>
      <c r="M13" s="2"/>
    </row>
    <row r="14" spans="1:13" ht="13.5" customHeight="1" x14ac:dyDescent="0.3">
      <c r="A14" s="88"/>
      <c r="B14" s="125" t="s">
        <v>296</v>
      </c>
      <c r="C14" s="147"/>
      <c r="D14" s="147"/>
      <c r="E14" s="151"/>
      <c r="F14" s="152"/>
      <c r="G14" s="81"/>
      <c r="H14" s="81"/>
      <c r="I14" s="147"/>
      <c r="J14" s="2"/>
      <c r="K14" s="2"/>
      <c r="L14" s="2"/>
      <c r="M14" s="2"/>
    </row>
    <row r="15" spans="1:13" ht="13.5" customHeight="1" x14ac:dyDescent="0.3">
      <c r="A15" s="22"/>
      <c r="B15" s="125" t="s">
        <v>297</v>
      </c>
      <c r="C15" s="147"/>
      <c r="D15" s="147"/>
      <c r="E15" s="151"/>
      <c r="F15" s="152"/>
      <c r="G15" s="2"/>
      <c r="H15" s="2"/>
      <c r="I15" s="2"/>
      <c r="J15" s="2"/>
      <c r="K15" s="2"/>
      <c r="L15" s="2"/>
      <c r="M15" s="2"/>
    </row>
    <row r="16" spans="1:13" ht="13.5" customHeight="1" x14ac:dyDescent="0.3">
      <c r="A16" s="82"/>
      <c r="B16" s="125" t="s">
        <v>298</v>
      </c>
      <c r="C16" s="147"/>
      <c r="D16" s="147"/>
      <c r="E16" s="151"/>
      <c r="F16" s="152"/>
      <c r="G16" s="2"/>
      <c r="H16" s="2"/>
      <c r="I16" s="2"/>
      <c r="J16" s="2"/>
      <c r="K16" s="2"/>
      <c r="L16" s="2"/>
      <c r="M16" s="2"/>
    </row>
    <row r="17" spans="1:13" ht="13.5" customHeight="1" x14ac:dyDescent="0.3">
      <c r="A17" s="82"/>
      <c r="B17" s="142" t="s">
        <v>299</v>
      </c>
      <c r="C17" s="155"/>
      <c r="D17" s="155"/>
      <c r="E17" s="156"/>
      <c r="F17" s="157"/>
      <c r="G17" s="2"/>
      <c r="H17" s="2"/>
      <c r="I17" s="2"/>
      <c r="J17" s="2"/>
      <c r="K17" s="2"/>
      <c r="L17" s="2"/>
      <c r="M17" s="2"/>
    </row>
    <row r="18" spans="1:13" ht="13.5" customHeight="1" x14ac:dyDescent="0.3">
      <c r="A18" s="82"/>
      <c r="B18" s="125" t="s">
        <v>300</v>
      </c>
      <c r="C18" s="153"/>
      <c r="D18" s="147"/>
      <c r="E18" s="151"/>
      <c r="F18" s="152"/>
      <c r="G18" s="2"/>
      <c r="H18" s="2"/>
      <c r="I18" s="2"/>
      <c r="J18" s="2"/>
      <c r="K18" s="2"/>
      <c r="L18" s="2"/>
      <c r="M18" s="2"/>
    </row>
    <row r="19" spans="1:13" ht="13.5" customHeight="1" x14ac:dyDescent="0.3">
      <c r="A19" s="82"/>
      <c r="B19" s="125" t="s">
        <v>301</v>
      </c>
      <c r="C19" s="147"/>
      <c r="D19" s="147"/>
      <c r="E19" s="151"/>
      <c r="F19" s="152"/>
      <c r="G19" s="2"/>
      <c r="H19" s="2"/>
      <c r="I19" s="2"/>
      <c r="J19" s="2"/>
      <c r="K19" s="2"/>
      <c r="L19" s="2"/>
      <c r="M19" s="2"/>
    </row>
    <row r="20" spans="1:13" ht="13.5" customHeight="1" x14ac:dyDescent="0.3">
      <c r="A20" s="82"/>
      <c r="B20" s="125" t="s">
        <v>302</v>
      </c>
      <c r="C20" s="147"/>
      <c r="D20" s="147"/>
      <c r="E20" s="151"/>
      <c r="F20" s="152"/>
      <c r="G20" s="2"/>
      <c r="H20" s="2"/>
      <c r="I20" s="2"/>
      <c r="J20" s="2"/>
      <c r="K20" s="2"/>
      <c r="L20" s="2"/>
      <c r="M20" s="2"/>
    </row>
    <row r="21" spans="1:13" ht="13.5" customHeight="1" x14ac:dyDescent="0.3">
      <c r="A21" s="82"/>
      <c r="B21" s="125" t="s">
        <v>303</v>
      </c>
      <c r="C21" s="153"/>
      <c r="D21" s="153"/>
      <c r="E21" s="154"/>
      <c r="F21" s="152"/>
      <c r="G21" s="2"/>
      <c r="H21" s="2"/>
      <c r="I21" s="2"/>
      <c r="J21" s="2"/>
      <c r="K21" s="2"/>
      <c r="L21" s="2"/>
      <c r="M21" s="2"/>
    </row>
    <row r="22" spans="1:13" ht="14.25" customHeight="1" x14ac:dyDescent="0.3">
      <c r="A22" s="82"/>
      <c r="B22" s="126" t="s">
        <v>304</v>
      </c>
      <c r="C22" s="158"/>
      <c r="D22" s="158"/>
      <c r="E22" s="159"/>
      <c r="F22" s="160"/>
      <c r="G22" s="2"/>
      <c r="H22" s="2"/>
      <c r="I22" s="2"/>
      <c r="J22" s="2"/>
      <c r="K22" s="2"/>
      <c r="L22" s="2"/>
      <c r="M22" s="2"/>
    </row>
    <row r="23" spans="1:13" ht="14.25" customHeight="1" x14ac:dyDescent="0.3">
      <c r="A23" s="82"/>
      <c r="B23" s="142" t="s">
        <v>305</v>
      </c>
      <c r="C23" s="155"/>
      <c r="D23" s="155"/>
      <c r="E23" s="156"/>
      <c r="F23" s="157"/>
      <c r="G23" s="2"/>
      <c r="H23" s="2"/>
      <c r="I23" s="2"/>
      <c r="J23" s="2"/>
      <c r="K23" s="2"/>
      <c r="L23" s="2"/>
      <c r="M23" s="2"/>
    </row>
    <row r="24" spans="1:13" ht="13.5" customHeight="1" x14ac:dyDescent="0.3">
      <c r="A24" s="88"/>
      <c r="B24" s="135" t="s">
        <v>306</v>
      </c>
      <c r="C24" s="148"/>
      <c r="D24" s="148"/>
      <c r="E24" s="149"/>
      <c r="F24" s="150"/>
      <c r="G24" s="2"/>
      <c r="H24" s="2"/>
      <c r="I24" s="2"/>
      <c r="J24" s="2"/>
      <c r="K24" s="2"/>
      <c r="L24" s="2"/>
      <c r="M24" s="2"/>
    </row>
    <row r="25" spans="1:13" ht="13.5" customHeight="1" x14ac:dyDescent="0.3">
      <c r="A25" s="88"/>
      <c r="B25" s="125" t="s">
        <v>307</v>
      </c>
      <c r="C25" s="153"/>
      <c r="D25" s="153"/>
      <c r="E25" s="154"/>
      <c r="F25" s="152"/>
      <c r="G25" s="2"/>
      <c r="H25" s="2"/>
      <c r="I25" s="2"/>
      <c r="J25" s="2"/>
      <c r="K25" s="2"/>
      <c r="L25" s="2"/>
      <c r="M25" s="2"/>
    </row>
    <row r="26" spans="1:13" ht="13.5" customHeight="1" x14ac:dyDescent="0.3">
      <c r="A26" s="22"/>
      <c r="B26" s="125" t="s">
        <v>308</v>
      </c>
      <c r="C26" s="147"/>
      <c r="D26" s="147"/>
      <c r="E26" s="151"/>
      <c r="F26" s="152"/>
      <c r="G26" s="2"/>
      <c r="H26" s="2"/>
      <c r="I26" s="2"/>
      <c r="J26" s="2"/>
      <c r="K26" s="2"/>
      <c r="L26" s="2"/>
      <c r="M26" s="2"/>
    </row>
    <row r="27" spans="1:13" ht="13.5" customHeight="1" x14ac:dyDescent="0.3">
      <c r="A27" s="22"/>
      <c r="B27" s="125" t="s">
        <v>309</v>
      </c>
      <c r="C27" s="147"/>
      <c r="D27" s="147"/>
      <c r="E27" s="151"/>
      <c r="F27" s="152"/>
      <c r="G27" s="2"/>
      <c r="H27" s="2"/>
      <c r="I27" s="2"/>
      <c r="J27" s="2"/>
      <c r="K27" s="2"/>
      <c r="L27" s="2"/>
      <c r="M27" s="2"/>
    </row>
    <row r="28" spans="1:13" ht="13.5" customHeight="1" x14ac:dyDescent="0.3">
      <c r="A28" s="82"/>
      <c r="B28" s="125" t="s">
        <v>310</v>
      </c>
      <c r="C28" s="147"/>
      <c r="D28" s="147"/>
      <c r="E28" s="151"/>
      <c r="F28" s="152"/>
      <c r="G28" s="2"/>
      <c r="H28" s="2"/>
      <c r="I28" s="2"/>
      <c r="J28" s="2"/>
      <c r="K28" s="2"/>
      <c r="L28" s="2"/>
      <c r="M28" s="2"/>
    </row>
    <row r="29" spans="1:13" ht="13.5" customHeight="1" x14ac:dyDescent="0.3">
      <c r="A29" s="82"/>
      <c r="B29" s="125" t="s">
        <v>311</v>
      </c>
      <c r="C29" s="153"/>
      <c r="D29" s="153"/>
      <c r="E29" s="154"/>
      <c r="F29" s="152"/>
      <c r="G29" s="2"/>
      <c r="H29" s="2"/>
      <c r="I29" s="2"/>
      <c r="J29" s="2"/>
      <c r="K29" s="2"/>
      <c r="L29" s="2"/>
      <c r="M29" s="2"/>
    </row>
    <row r="30" spans="1:13" ht="13.5" customHeight="1" x14ac:dyDescent="0.3">
      <c r="A30" s="88"/>
      <c r="B30" s="125" t="s">
        <v>312</v>
      </c>
      <c r="C30" s="147"/>
      <c r="D30" s="147"/>
      <c r="E30" s="151"/>
      <c r="F30" s="152"/>
      <c r="G30" s="2"/>
      <c r="H30" s="2"/>
      <c r="I30" s="2"/>
      <c r="J30" s="2"/>
      <c r="K30" s="2"/>
      <c r="L30" s="2"/>
      <c r="M30" s="2"/>
    </row>
    <row r="31" spans="1:13" ht="13.5" customHeight="1" x14ac:dyDescent="0.3">
      <c r="A31" s="22"/>
      <c r="B31" s="125" t="s">
        <v>313</v>
      </c>
      <c r="C31" s="147"/>
      <c r="D31" s="147"/>
      <c r="E31" s="151"/>
      <c r="F31" s="152"/>
      <c r="G31" s="2"/>
      <c r="H31" s="2"/>
      <c r="I31" s="2"/>
      <c r="J31" s="2"/>
      <c r="K31" s="2"/>
      <c r="L31" s="2"/>
      <c r="M31" s="2"/>
    </row>
    <row r="32" spans="1:13" ht="13.5" customHeight="1" x14ac:dyDescent="0.3">
      <c r="A32" s="82"/>
      <c r="B32" s="125" t="s">
        <v>314</v>
      </c>
      <c r="C32" s="147"/>
      <c r="D32" s="147"/>
      <c r="E32" s="151"/>
      <c r="F32" s="152"/>
      <c r="G32" s="2"/>
      <c r="H32" s="2"/>
      <c r="I32" s="2"/>
      <c r="J32" s="2"/>
      <c r="K32" s="2"/>
      <c r="L32" s="2"/>
      <c r="M32" s="2"/>
    </row>
    <row r="33" spans="1:13" ht="13.5" customHeight="1" x14ac:dyDescent="0.3">
      <c r="A33" s="82"/>
      <c r="B33" s="125" t="s">
        <v>315</v>
      </c>
      <c r="C33" s="147"/>
      <c r="D33" s="147"/>
      <c r="E33" s="151"/>
      <c r="F33" s="152"/>
      <c r="G33" s="2"/>
      <c r="H33" s="2"/>
      <c r="I33" s="2"/>
      <c r="J33" s="2"/>
      <c r="K33" s="2"/>
      <c r="L33" s="2"/>
      <c r="M33" s="2"/>
    </row>
    <row r="34" spans="1:13" ht="13.5" customHeight="1" x14ac:dyDescent="0.3">
      <c r="A34" s="82"/>
      <c r="B34" s="125" t="s">
        <v>316</v>
      </c>
      <c r="C34" s="153"/>
      <c r="D34" s="153"/>
      <c r="E34" s="154"/>
      <c r="F34" s="152"/>
      <c r="G34" s="2"/>
      <c r="H34" s="2"/>
      <c r="I34" s="2"/>
      <c r="J34" s="2"/>
      <c r="K34" s="2"/>
      <c r="L34" s="2"/>
      <c r="M34" s="2"/>
    </row>
    <row r="35" spans="1:13" ht="13.5" customHeight="1" x14ac:dyDescent="0.3">
      <c r="A35" s="82"/>
      <c r="B35" s="135" t="s">
        <v>317</v>
      </c>
      <c r="C35" s="148"/>
      <c r="D35" s="148"/>
      <c r="E35" s="149"/>
      <c r="F35" s="150"/>
      <c r="G35" s="2"/>
      <c r="H35" s="2"/>
      <c r="I35" s="2"/>
      <c r="J35" s="2"/>
      <c r="K35" s="2"/>
      <c r="L35" s="2"/>
      <c r="M35" s="2"/>
    </row>
    <row r="36" spans="1:13" ht="13.5" customHeight="1" x14ac:dyDescent="0.3">
      <c r="A36" s="82"/>
      <c r="B36" s="125" t="s">
        <v>318</v>
      </c>
      <c r="C36" s="147"/>
      <c r="D36" s="147"/>
      <c r="E36" s="151"/>
      <c r="F36" s="152"/>
      <c r="G36" s="2"/>
      <c r="H36" s="2"/>
      <c r="I36" s="2"/>
      <c r="J36" s="2"/>
      <c r="K36" s="2"/>
      <c r="L36" s="2"/>
      <c r="M36" s="2"/>
    </row>
    <row r="37" spans="1:13" ht="13.5" customHeight="1" x14ac:dyDescent="0.3">
      <c r="A37" s="88"/>
      <c r="B37" s="125" t="s">
        <v>319</v>
      </c>
      <c r="C37" s="153"/>
      <c r="D37" s="147"/>
      <c r="E37" s="151"/>
      <c r="F37" s="152"/>
      <c r="G37" s="2"/>
      <c r="H37" s="2"/>
      <c r="I37" s="2"/>
      <c r="J37" s="2"/>
      <c r="K37" s="2"/>
      <c r="L37" s="2"/>
      <c r="M37" s="2"/>
    </row>
    <row r="38" spans="1:13" ht="13.5" customHeight="1" x14ac:dyDescent="0.3">
      <c r="A38" s="22"/>
      <c r="B38" s="125" t="s">
        <v>320</v>
      </c>
      <c r="C38" s="153"/>
      <c r="D38" s="147"/>
      <c r="E38" s="151"/>
      <c r="F38" s="152"/>
      <c r="G38" s="2"/>
      <c r="H38" s="2"/>
      <c r="I38" s="2"/>
      <c r="J38" s="2"/>
      <c r="K38" s="2"/>
      <c r="L38" s="2"/>
      <c r="M38" s="2"/>
    </row>
    <row r="39" spans="1:13" ht="13.5" customHeight="1" x14ac:dyDescent="0.3">
      <c r="A39" s="82"/>
      <c r="B39" s="125" t="s">
        <v>321</v>
      </c>
      <c r="C39" s="147"/>
      <c r="D39" s="147"/>
      <c r="E39" s="151"/>
      <c r="F39" s="152"/>
      <c r="G39" s="2"/>
      <c r="H39" s="2"/>
      <c r="I39" s="2"/>
      <c r="J39" s="2"/>
      <c r="K39" s="2"/>
      <c r="L39" s="2"/>
      <c r="M39" s="2"/>
    </row>
    <row r="40" spans="1:13" ht="13.5" customHeight="1" x14ac:dyDescent="0.3">
      <c r="A40" s="82"/>
      <c r="B40" s="125" t="s">
        <v>322</v>
      </c>
      <c r="C40" s="147"/>
      <c r="D40" s="147"/>
      <c r="E40" s="151"/>
      <c r="F40" s="152"/>
      <c r="G40" s="2"/>
      <c r="H40" s="2"/>
      <c r="I40" s="2"/>
      <c r="J40" s="2"/>
      <c r="K40" s="2"/>
      <c r="L40" s="2"/>
      <c r="M40" s="2"/>
    </row>
    <row r="41" spans="1:13" ht="13.5" customHeight="1" x14ac:dyDescent="0.3">
      <c r="A41" s="82"/>
      <c r="B41" s="125" t="s">
        <v>323</v>
      </c>
      <c r="C41" s="147"/>
      <c r="D41" s="147"/>
      <c r="E41" s="151"/>
      <c r="F41" s="152"/>
      <c r="G41" s="2"/>
      <c r="H41" s="2"/>
      <c r="I41" s="2"/>
      <c r="J41" s="2"/>
      <c r="K41" s="2"/>
      <c r="L41" s="2"/>
      <c r="M41" s="2"/>
    </row>
    <row r="42" spans="1:13" ht="13.5" customHeight="1" x14ac:dyDescent="0.3">
      <c r="A42" s="82"/>
      <c r="B42" s="125" t="s">
        <v>324</v>
      </c>
      <c r="C42" s="153"/>
      <c r="D42" s="153"/>
      <c r="E42" s="154"/>
      <c r="F42" s="152"/>
      <c r="G42" s="2"/>
      <c r="H42" s="2"/>
      <c r="I42" s="2"/>
      <c r="J42" s="2"/>
      <c r="K42" s="2"/>
      <c r="L42" s="2"/>
      <c r="M42" s="2"/>
    </row>
    <row r="43" spans="1:13" ht="14.25" customHeight="1" x14ac:dyDescent="0.3">
      <c r="A43" s="82"/>
      <c r="B43" s="161" t="s">
        <v>325</v>
      </c>
      <c r="C43" s="162"/>
      <c r="D43" s="162"/>
      <c r="E43" s="163"/>
      <c r="F43" s="164"/>
      <c r="G43" s="2"/>
      <c r="H43" s="2"/>
      <c r="I43" s="2"/>
      <c r="J43" s="2"/>
      <c r="K43" s="2"/>
      <c r="L43" s="2"/>
      <c r="M43" s="2"/>
    </row>
    <row r="44" spans="1:13" ht="14.25" customHeight="1" x14ac:dyDescent="0.3">
      <c r="A44" s="82"/>
      <c r="B44" s="1"/>
      <c r="C44" s="1"/>
      <c r="D44" s="1"/>
      <c r="F44" s="1"/>
      <c r="G44" s="2"/>
      <c r="H44" s="2"/>
      <c r="I44" s="2"/>
      <c r="J44" s="2"/>
      <c r="K44" s="2"/>
      <c r="L44" s="2"/>
      <c r="M44" s="2"/>
    </row>
    <row r="45" spans="1:13" ht="13.5" customHeight="1" x14ac:dyDescent="0.3">
      <c r="A45" s="82"/>
      <c r="B45" s="1"/>
      <c r="C45" s="1"/>
      <c r="D45" s="1"/>
      <c r="F45" s="1"/>
      <c r="G45" s="2"/>
      <c r="H45" s="2"/>
      <c r="I45" s="2"/>
      <c r="J45" s="2"/>
      <c r="K45" s="2"/>
      <c r="L45" s="2"/>
      <c r="M45" s="2"/>
    </row>
    <row r="46" spans="1:13" ht="19.5" customHeight="1" x14ac:dyDescent="0.3">
      <c r="A46" s="82"/>
      <c r="B46" s="165"/>
      <c r="G46" s="2"/>
      <c r="H46" s="2"/>
      <c r="I46" s="2"/>
      <c r="J46" s="2"/>
      <c r="K46" s="2"/>
      <c r="L46" s="2"/>
      <c r="M46" s="2"/>
    </row>
    <row r="47" spans="1:13" ht="13.5" customHeight="1" x14ac:dyDescent="0.3">
      <c r="A47" s="82"/>
      <c r="G47" s="2"/>
      <c r="H47" s="2"/>
      <c r="I47" s="2"/>
      <c r="J47" s="2"/>
      <c r="K47" s="2"/>
      <c r="L47" s="2"/>
      <c r="M47" s="2"/>
    </row>
    <row r="48" spans="1:13" ht="13.5" customHeight="1" x14ac:dyDescent="0.3">
      <c r="A48" s="88"/>
      <c r="B48" s="166"/>
      <c r="C48" s="167"/>
      <c r="D48" s="167"/>
      <c r="E48" s="167"/>
      <c r="F48" s="168"/>
      <c r="G48" s="2"/>
      <c r="H48" s="2"/>
      <c r="I48" s="2"/>
      <c r="J48" s="2"/>
      <c r="K48" s="2"/>
      <c r="L48" s="2"/>
      <c r="M48" s="2"/>
    </row>
    <row r="49" spans="1:13" ht="13.5" customHeight="1" x14ac:dyDescent="0.3">
      <c r="A49" s="88"/>
      <c r="B49" s="166"/>
      <c r="C49" s="169"/>
      <c r="D49" s="169"/>
      <c r="E49" s="169"/>
      <c r="F49" s="169"/>
      <c r="G49" s="2"/>
      <c r="H49" s="2"/>
      <c r="I49" s="2"/>
      <c r="J49" s="2"/>
      <c r="K49" s="2"/>
      <c r="L49" s="2"/>
      <c r="M49" s="2"/>
    </row>
    <row r="50" spans="1:13" ht="13.5" customHeight="1" x14ac:dyDescent="0.3">
      <c r="B50" s="170"/>
      <c r="C50" s="169"/>
      <c r="D50" s="169"/>
      <c r="E50" s="169"/>
      <c r="F50" s="171"/>
    </row>
    <row r="51" spans="1:13" ht="13.5" customHeight="1" x14ac:dyDescent="0.3">
      <c r="B51" s="166"/>
      <c r="C51" s="169"/>
      <c r="D51" s="169"/>
      <c r="E51" s="169"/>
      <c r="F51" s="171"/>
    </row>
    <row r="52" spans="1:13" ht="13.5" customHeight="1" x14ac:dyDescent="0.3">
      <c r="B52" s="170"/>
      <c r="C52" s="172"/>
      <c r="D52" s="169"/>
      <c r="E52" s="169"/>
      <c r="F52" s="171"/>
    </row>
    <row r="53" spans="1:13" ht="13.5" customHeight="1" x14ac:dyDescent="0.3">
      <c r="B53" s="166"/>
      <c r="C53" s="169"/>
      <c r="D53" s="169"/>
      <c r="E53" s="169"/>
      <c r="F53" s="171"/>
    </row>
    <row r="54" spans="1:13" ht="13.5" customHeight="1" x14ac:dyDescent="0.3">
      <c r="B54" s="170"/>
      <c r="C54" s="172"/>
      <c r="D54" s="172"/>
      <c r="E54" s="172"/>
      <c r="F54" s="171"/>
    </row>
    <row r="55" spans="1:13" ht="13.5" customHeight="1" x14ac:dyDescent="0.3">
      <c r="B55" s="166"/>
      <c r="C55" s="169"/>
      <c r="D55" s="169"/>
      <c r="E55" s="169"/>
      <c r="F55" s="171"/>
    </row>
    <row r="56" spans="1:13" ht="13.5" customHeight="1" x14ac:dyDescent="0.3">
      <c r="B56" s="170"/>
      <c r="C56" s="169"/>
      <c r="D56" s="169"/>
      <c r="E56" s="169"/>
      <c r="F56" s="171"/>
    </row>
    <row r="57" spans="1:13" ht="13.5" customHeight="1" x14ac:dyDescent="0.3">
      <c r="B57" s="170"/>
      <c r="C57" s="169"/>
      <c r="D57" s="169"/>
      <c r="E57" s="169"/>
      <c r="F57" s="171"/>
    </row>
    <row r="58" spans="1:13" ht="13.5" customHeight="1" x14ac:dyDescent="0.3">
      <c r="B58" s="166"/>
      <c r="C58" s="169"/>
      <c r="D58" s="169"/>
      <c r="E58" s="169"/>
      <c r="F58" s="171"/>
    </row>
    <row r="59" spans="1:13" ht="13.5" customHeight="1" x14ac:dyDescent="0.3">
      <c r="B59" s="170"/>
      <c r="C59" s="169"/>
      <c r="D59" s="169"/>
      <c r="E59" s="169"/>
      <c r="F59" s="171"/>
    </row>
    <row r="60" spans="1:13" ht="13.5" customHeight="1" x14ac:dyDescent="0.3">
      <c r="B60" s="170"/>
      <c r="C60" s="169"/>
      <c r="D60" s="169"/>
      <c r="E60" s="169"/>
      <c r="F60" s="171"/>
    </row>
  </sheetData>
  <mergeCells count="1">
    <mergeCell ref="B1:F2"/>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52"/>
  <sheetViews>
    <sheetView showGridLines="0" zoomScale="86" zoomScaleNormal="88" workbookViewId="0">
      <selection activeCell="L7" sqref="L7"/>
    </sheetView>
  </sheetViews>
  <sheetFormatPr defaultColWidth="8.6328125" defaultRowHeight="14" x14ac:dyDescent="0.3"/>
  <cols>
    <col min="1" max="1" width="2.90625" style="2" customWidth="1"/>
    <col min="2" max="2" width="55.453125" style="2" customWidth="1"/>
    <col min="3" max="4" width="7.6328125" style="2" customWidth="1"/>
    <col min="5" max="5" width="11.6328125" style="2" customWidth="1"/>
    <col min="6" max="6" width="11.81640625" style="2" customWidth="1"/>
    <col min="7" max="8" width="7.36328125" style="2" customWidth="1"/>
    <col min="9" max="16384" width="8.6328125" style="2"/>
  </cols>
  <sheetData>
    <row r="1" spans="1:13" ht="31.5" customHeight="1" x14ac:dyDescent="0.3">
      <c r="A1" s="112"/>
      <c r="B1" s="606" t="s">
        <v>326</v>
      </c>
      <c r="C1" s="606"/>
      <c r="D1" s="606"/>
      <c r="E1" s="606"/>
      <c r="F1" s="606"/>
      <c r="G1" s="112"/>
      <c r="H1" s="112"/>
      <c r="I1" s="112"/>
      <c r="J1" s="112"/>
      <c r="K1" s="112"/>
      <c r="L1" s="112"/>
      <c r="M1" s="112"/>
    </row>
    <row r="2" spans="1:13" ht="19.5" customHeight="1" x14ac:dyDescent="0.3">
      <c r="A2" s="173"/>
      <c r="B2" s="599" t="s">
        <v>327</v>
      </c>
      <c r="C2" s="607">
        <v>45717</v>
      </c>
      <c r="D2" s="608">
        <v>45352</v>
      </c>
      <c r="E2" s="609"/>
      <c r="F2" s="610" t="s">
        <v>285</v>
      </c>
      <c r="G2" s="174"/>
      <c r="H2" s="175"/>
    </row>
    <row r="3" spans="1:13" ht="13.5" customHeight="1" x14ac:dyDescent="0.3">
      <c r="A3" s="22"/>
      <c r="B3" s="135" t="s">
        <v>328</v>
      </c>
      <c r="C3" s="71"/>
      <c r="D3" s="71"/>
      <c r="E3" s="143"/>
      <c r="F3" s="73"/>
      <c r="G3" s="176"/>
      <c r="H3" s="175"/>
    </row>
    <row r="4" spans="1:13" ht="13.5" customHeight="1" x14ac:dyDescent="0.3">
      <c r="A4" s="82"/>
      <c r="B4" s="125" t="s">
        <v>329</v>
      </c>
      <c r="C4" s="76">
        <v>4456</v>
      </c>
      <c r="D4" s="76">
        <v>3717</v>
      </c>
      <c r="E4" s="77"/>
      <c r="F4" s="79">
        <f>C4/D4-1</f>
        <v>0.19881624966370737</v>
      </c>
      <c r="G4" s="109"/>
      <c r="H4" s="175"/>
    </row>
    <row r="5" spans="1:13" ht="13.5" customHeight="1" x14ac:dyDescent="0.3">
      <c r="A5" s="82"/>
      <c r="B5" s="125" t="s">
        <v>330</v>
      </c>
      <c r="C5" s="76">
        <v>4456</v>
      </c>
      <c r="D5" s="76">
        <v>3717</v>
      </c>
      <c r="E5" s="77"/>
      <c r="F5" s="79">
        <f>C5/D5-1</f>
        <v>0.19881624966370737</v>
      </c>
      <c r="G5" s="109"/>
      <c r="H5" s="175"/>
    </row>
    <row r="6" spans="1:13" ht="13.5" customHeight="1" x14ac:dyDescent="0.3">
      <c r="A6" s="88"/>
      <c r="B6" s="125" t="s">
        <v>331</v>
      </c>
      <c r="C6" s="76">
        <v>4456</v>
      </c>
      <c r="D6" s="76">
        <v>3717</v>
      </c>
      <c r="E6" s="77"/>
      <c r="F6" s="79">
        <f>C6/D6-1</f>
        <v>0.19881624966370737</v>
      </c>
      <c r="G6" s="109"/>
      <c r="H6" s="175"/>
    </row>
    <row r="7" spans="1:13" ht="13.5" customHeight="1" x14ac:dyDescent="0.3">
      <c r="A7" s="22"/>
      <c r="B7" s="125" t="s">
        <v>254</v>
      </c>
      <c r="C7" s="81">
        <v>83</v>
      </c>
      <c r="D7" s="81">
        <v>58</v>
      </c>
      <c r="E7" s="72"/>
      <c r="F7" s="79">
        <f>C7/D7-1</f>
        <v>0.43103448275862077</v>
      </c>
      <c r="G7" s="176"/>
      <c r="H7" s="175"/>
    </row>
    <row r="8" spans="1:13" ht="14.25" customHeight="1" x14ac:dyDescent="0.3">
      <c r="A8" s="82"/>
      <c r="B8" s="161" t="s">
        <v>332</v>
      </c>
      <c r="C8" s="177">
        <v>4540</v>
      </c>
      <c r="D8" s="177">
        <v>3775</v>
      </c>
      <c r="E8" s="178"/>
      <c r="F8" s="179">
        <f>C8/D8-1</f>
        <v>0.20264900662251661</v>
      </c>
      <c r="G8" s="109"/>
      <c r="H8" s="175"/>
    </row>
    <row r="9" spans="1:13" ht="14.25" customHeight="1" x14ac:dyDescent="0.3">
      <c r="A9" s="82"/>
      <c r="B9" s="142" t="s">
        <v>333</v>
      </c>
      <c r="C9" s="95"/>
      <c r="D9" s="95"/>
      <c r="E9" s="143"/>
      <c r="F9" s="96"/>
      <c r="G9" s="109"/>
      <c r="H9" s="175"/>
    </row>
    <row r="10" spans="1:13" ht="13.5" customHeight="1" x14ac:dyDescent="0.3">
      <c r="A10" s="82"/>
      <c r="B10" s="125" t="s">
        <v>334</v>
      </c>
      <c r="C10" s="76">
        <v>2506</v>
      </c>
      <c r="D10" s="76">
        <v>2117</v>
      </c>
      <c r="E10" s="77"/>
      <c r="F10" s="79">
        <f t="shared" ref="F10:F15" si="0">C10/D10-1</f>
        <v>0.18375059045819553</v>
      </c>
      <c r="G10" s="109"/>
      <c r="H10" s="175"/>
    </row>
    <row r="11" spans="1:13" ht="13.5" customHeight="1" x14ac:dyDescent="0.3">
      <c r="A11" s="82"/>
      <c r="B11" s="125" t="s">
        <v>335</v>
      </c>
      <c r="C11" s="81">
        <v>402</v>
      </c>
      <c r="D11" s="81">
        <v>318</v>
      </c>
      <c r="E11" s="72"/>
      <c r="F11" s="79">
        <f t="shared" si="0"/>
        <v>0.26415094339622636</v>
      </c>
      <c r="G11" s="109"/>
      <c r="H11" s="175"/>
    </row>
    <row r="12" spans="1:13" ht="13.5" customHeight="1" x14ac:dyDescent="0.3">
      <c r="A12" s="82"/>
      <c r="B12" s="125" t="s">
        <v>262</v>
      </c>
      <c r="C12" s="81">
        <v>28</v>
      </c>
      <c r="D12" s="81">
        <v>29</v>
      </c>
      <c r="E12" s="72"/>
      <c r="F12" s="79">
        <f t="shared" si="0"/>
        <v>-3.4482758620689613E-2</v>
      </c>
      <c r="G12" s="109"/>
      <c r="H12" s="175"/>
    </row>
    <row r="13" spans="1:13" ht="13.5" customHeight="1" x14ac:dyDescent="0.3">
      <c r="A13" s="82"/>
      <c r="B13" s="125" t="s">
        <v>336</v>
      </c>
      <c r="C13" s="81">
        <v>92</v>
      </c>
      <c r="D13" s="81">
        <v>76</v>
      </c>
      <c r="E13" s="72"/>
      <c r="F13" s="79">
        <f t="shared" si="0"/>
        <v>0.21052631578947367</v>
      </c>
      <c r="G13" s="109"/>
      <c r="H13" s="175"/>
    </row>
    <row r="14" spans="1:13" ht="13.5" customHeight="1" x14ac:dyDescent="0.3">
      <c r="A14" s="82"/>
      <c r="B14" s="125" t="s">
        <v>260</v>
      </c>
      <c r="C14" s="81">
        <v>406</v>
      </c>
      <c r="D14" s="81">
        <v>406</v>
      </c>
      <c r="E14" s="72"/>
      <c r="F14" s="79">
        <f t="shared" si="0"/>
        <v>0</v>
      </c>
      <c r="G14" s="109"/>
      <c r="H14" s="175"/>
    </row>
    <row r="15" spans="1:13" ht="14.25" customHeight="1" x14ac:dyDescent="0.3">
      <c r="A15" s="88"/>
      <c r="B15" s="161" t="s">
        <v>263</v>
      </c>
      <c r="C15" s="177">
        <v>3434</v>
      </c>
      <c r="D15" s="177">
        <v>2946</v>
      </c>
      <c r="E15" s="178"/>
      <c r="F15" s="179">
        <f t="shared" si="0"/>
        <v>0.16564833672776635</v>
      </c>
      <c r="G15" s="109"/>
      <c r="H15" s="175"/>
    </row>
    <row r="16" spans="1:13" ht="14.25" customHeight="1" x14ac:dyDescent="0.3">
      <c r="A16" s="88"/>
      <c r="B16" s="180"/>
      <c r="C16" s="181"/>
      <c r="D16" s="181"/>
      <c r="E16" s="182"/>
      <c r="F16" s="183"/>
      <c r="G16" s="109"/>
      <c r="H16" s="175"/>
    </row>
    <row r="17" spans="1:8" ht="13.5" customHeight="1" x14ac:dyDescent="0.3">
      <c r="A17" s="88"/>
      <c r="B17" s="184"/>
      <c r="C17" s="185">
        <v>45717</v>
      </c>
      <c r="D17" s="186">
        <v>45352</v>
      </c>
      <c r="E17" s="187"/>
      <c r="F17" s="188" t="s">
        <v>285</v>
      </c>
      <c r="G17" s="109"/>
      <c r="H17" s="175"/>
    </row>
    <row r="18" spans="1:8" ht="26.25" customHeight="1" x14ac:dyDescent="0.3">
      <c r="A18" s="88"/>
      <c r="B18" s="125" t="s">
        <v>337</v>
      </c>
      <c r="C18" s="76">
        <v>1106</v>
      </c>
      <c r="D18" s="81">
        <v>829</v>
      </c>
      <c r="E18" s="72"/>
      <c r="F18" s="79">
        <f>C18/D18-1</f>
        <v>0.33413751507840761</v>
      </c>
      <c r="G18" s="109"/>
      <c r="H18" s="175"/>
    </row>
    <row r="19" spans="1:8" ht="13.5" customHeight="1" x14ac:dyDescent="0.3">
      <c r="A19" s="82"/>
      <c r="B19" s="125" t="s">
        <v>338</v>
      </c>
      <c r="C19" s="76">
        <v>1106</v>
      </c>
      <c r="D19" s="81">
        <v>829</v>
      </c>
      <c r="E19" s="72"/>
      <c r="F19" s="79">
        <f>C19/D19-1</f>
        <v>0.33413751507840761</v>
      </c>
      <c r="G19" s="109"/>
      <c r="H19" s="175"/>
    </row>
    <row r="20" spans="1:8" ht="12.75" customHeight="1" x14ac:dyDescent="0.3">
      <c r="A20" s="82"/>
      <c r="B20" s="135" t="s">
        <v>339</v>
      </c>
      <c r="C20" s="71"/>
      <c r="D20" s="71"/>
      <c r="E20" s="189"/>
      <c r="F20" s="73"/>
      <c r="G20" s="109"/>
      <c r="H20" s="175"/>
    </row>
    <row r="21" spans="1:8" ht="13.5" customHeight="1" x14ac:dyDescent="0.3">
      <c r="A21" s="82"/>
      <c r="B21" s="125" t="s">
        <v>340</v>
      </c>
      <c r="C21" s="81">
        <v>274</v>
      </c>
      <c r="D21" s="81">
        <v>203</v>
      </c>
      <c r="E21" s="72"/>
      <c r="F21" s="79">
        <f t="shared" ref="F21:F26" si="1">C21/D21-1</f>
        <v>0.34975369458128069</v>
      </c>
      <c r="G21" s="109"/>
      <c r="H21" s="175"/>
    </row>
    <row r="22" spans="1:8" ht="13.5" customHeight="1" x14ac:dyDescent="0.3">
      <c r="A22" s="88"/>
      <c r="B22" s="125" t="s">
        <v>341</v>
      </c>
      <c r="C22" s="81">
        <v>29</v>
      </c>
      <c r="D22" s="81">
        <v>30</v>
      </c>
      <c r="E22" s="72"/>
      <c r="F22" s="79">
        <f t="shared" si="1"/>
        <v>-3.3333333333333326E-2</v>
      </c>
      <c r="G22" s="109"/>
      <c r="H22" s="175"/>
    </row>
    <row r="23" spans="1:8" ht="14.25" customHeight="1" x14ac:dyDescent="0.3">
      <c r="A23" s="88"/>
      <c r="B23" s="126" t="s">
        <v>342</v>
      </c>
      <c r="C23" s="190">
        <v>303</v>
      </c>
      <c r="D23" s="190">
        <v>233</v>
      </c>
      <c r="E23" s="191"/>
      <c r="F23" s="130">
        <f t="shared" si="1"/>
        <v>0.3004291845493563</v>
      </c>
      <c r="G23" s="109"/>
      <c r="H23" s="175"/>
    </row>
    <row r="24" spans="1:8" ht="14.25" customHeight="1" x14ac:dyDescent="0.3">
      <c r="A24" s="82"/>
      <c r="B24" s="125" t="s">
        <v>343</v>
      </c>
      <c r="C24" s="81">
        <v>803</v>
      </c>
      <c r="D24" s="81">
        <v>596</v>
      </c>
      <c r="E24" s="72"/>
      <c r="F24" s="79">
        <f t="shared" si="1"/>
        <v>0.34731543624161065</v>
      </c>
      <c r="G24" s="109"/>
      <c r="H24" s="175"/>
    </row>
    <row r="25" spans="1:8" ht="13.5" customHeight="1" x14ac:dyDescent="0.3">
      <c r="A25" s="88"/>
      <c r="B25" s="125" t="s">
        <v>344</v>
      </c>
      <c r="C25" s="81">
        <v>803</v>
      </c>
      <c r="D25" s="81">
        <v>596</v>
      </c>
      <c r="E25" s="72"/>
      <c r="F25" s="79">
        <f t="shared" si="1"/>
        <v>0.34731543624161065</v>
      </c>
      <c r="G25" s="109"/>
      <c r="H25" s="175"/>
    </row>
    <row r="26" spans="1:8" ht="14.25" customHeight="1" x14ac:dyDescent="0.3">
      <c r="A26" s="82"/>
      <c r="B26" s="126" t="s">
        <v>345</v>
      </c>
      <c r="C26" s="190">
        <v>803</v>
      </c>
      <c r="D26" s="190">
        <v>596</v>
      </c>
      <c r="E26" s="191"/>
      <c r="F26" s="130">
        <f t="shared" si="1"/>
        <v>0.34731543624161065</v>
      </c>
      <c r="G26" s="110"/>
      <c r="H26" s="175"/>
    </row>
    <row r="27" spans="1:8" ht="14.25" customHeight="1" x14ac:dyDescent="0.3">
      <c r="A27" s="82"/>
      <c r="B27" s="192"/>
      <c r="C27" s="193"/>
      <c r="D27" s="193"/>
      <c r="E27" s="194"/>
      <c r="F27" s="86"/>
      <c r="G27" s="110"/>
      <c r="H27" s="175"/>
    </row>
    <row r="28" spans="1:8" ht="13.5" customHeight="1" x14ac:dyDescent="0.3">
      <c r="A28" s="82"/>
      <c r="B28" s="195"/>
      <c r="C28" s="196"/>
      <c r="D28" s="196"/>
      <c r="E28" s="196"/>
      <c r="F28" s="196"/>
      <c r="G28" s="110"/>
      <c r="H28" s="175"/>
    </row>
    <row r="29" spans="1:8" ht="13.5" customHeight="1" x14ac:dyDescent="0.3">
      <c r="A29" s="82"/>
      <c r="B29" s="197" t="s">
        <v>346</v>
      </c>
      <c r="C29" s="198">
        <v>45717</v>
      </c>
      <c r="D29" s="198">
        <v>45352</v>
      </c>
      <c r="E29" s="199" t="s">
        <v>285</v>
      </c>
      <c r="F29" s="200"/>
      <c r="G29" s="110"/>
      <c r="H29" s="175"/>
    </row>
    <row r="30" spans="1:8" ht="13.5" customHeight="1" x14ac:dyDescent="0.3">
      <c r="A30" s="82"/>
      <c r="B30" s="560" t="s">
        <v>347</v>
      </c>
      <c r="C30" s="560"/>
      <c r="D30" s="560"/>
      <c r="E30" s="560"/>
      <c r="F30" s="201"/>
      <c r="G30" s="110"/>
      <c r="H30" s="175"/>
    </row>
    <row r="31" spans="1:8" ht="13.5" customHeight="1" x14ac:dyDescent="0.3">
      <c r="A31" s="82"/>
      <c r="B31" s="202" t="s">
        <v>348</v>
      </c>
      <c r="C31" s="203">
        <v>89.2</v>
      </c>
      <c r="D31" s="203">
        <v>66.2</v>
      </c>
      <c r="E31" s="204">
        <f>C31/D31-1</f>
        <v>0.34743202416918417</v>
      </c>
      <c r="G31" s="110"/>
      <c r="H31" s="175"/>
    </row>
    <row r="32" spans="1:8" ht="13.5" customHeight="1" x14ac:dyDescent="0.3">
      <c r="B32" s="202" t="s">
        <v>349</v>
      </c>
      <c r="C32" s="203">
        <v>89</v>
      </c>
      <c r="D32" s="203">
        <v>66</v>
      </c>
      <c r="E32" s="204">
        <f>C32/D32-1</f>
        <v>0.3484848484848484</v>
      </c>
      <c r="G32" s="175"/>
      <c r="H32" s="175"/>
    </row>
    <row r="33" spans="2:8" ht="13.5" customHeight="1" x14ac:dyDescent="0.3">
      <c r="B33" s="561" t="s">
        <v>350</v>
      </c>
      <c r="C33" s="561"/>
      <c r="D33" s="561"/>
      <c r="E33" s="561"/>
      <c r="F33" s="205"/>
      <c r="G33" s="175"/>
      <c r="H33" s="175"/>
    </row>
    <row r="34" spans="2:8" ht="13.5" customHeight="1" x14ac:dyDescent="0.3">
      <c r="B34" s="202" t="s">
        <v>351</v>
      </c>
      <c r="C34" s="203">
        <v>90</v>
      </c>
      <c r="D34" s="203">
        <v>80</v>
      </c>
      <c r="E34" s="204">
        <f>C34/D34-1</f>
        <v>0.125</v>
      </c>
      <c r="G34" s="175"/>
      <c r="H34" s="175"/>
    </row>
    <row r="35" spans="2:8" ht="13.5" customHeight="1" x14ac:dyDescent="0.3">
      <c r="B35" s="202" t="s">
        <v>352</v>
      </c>
      <c r="C35" s="206">
        <v>5</v>
      </c>
      <c r="D35" s="206">
        <v>4.5</v>
      </c>
      <c r="E35" s="204">
        <f>C35/D35-1</f>
        <v>0.11111111111111116</v>
      </c>
      <c r="G35" s="175"/>
      <c r="H35" s="175"/>
    </row>
    <row r="36" spans="2:8" ht="13.5" customHeight="1" x14ac:dyDescent="0.3">
      <c r="B36" s="207"/>
      <c r="C36" s="175"/>
      <c r="D36" s="175"/>
      <c r="E36" s="175"/>
      <c r="F36" s="175"/>
      <c r="G36" s="175"/>
      <c r="H36" s="175"/>
    </row>
    <row r="37" spans="2:8" ht="13.5" customHeight="1" x14ac:dyDescent="0.3">
      <c r="B37" s="208" t="s">
        <v>353</v>
      </c>
      <c r="C37" s="198">
        <v>45717</v>
      </c>
      <c r="D37" s="198">
        <v>45352</v>
      </c>
      <c r="E37" s="198">
        <v>44986</v>
      </c>
      <c r="F37" s="198">
        <v>44621</v>
      </c>
      <c r="G37" s="198">
        <v>44256</v>
      </c>
    </row>
    <row r="38" spans="2:8" ht="13.5" customHeight="1" x14ac:dyDescent="0.3">
      <c r="B38" s="209" t="s">
        <v>354</v>
      </c>
      <c r="C38" s="210">
        <v>4456</v>
      </c>
      <c r="D38" s="210">
        <v>3717</v>
      </c>
      <c r="E38" s="210">
        <v>4162</v>
      </c>
      <c r="F38" s="210">
        <v>2528</v>
      </c>
      <c r="G38" s="210">
        <v>1584</v>
      </c>
    </row>
    <row r="39" spans="2:8" ht="13.5" customHeight="1" x14ac:dyDescent="0.3">
      <c r="B39" s="209" t="s">
        <v>254</v>
      </c>
      <c r="C39" s="211">
        <v>83</v>
      </c>
      <c r="D39" s="211">
        <v>58</v>
      </c>
      <c r="E39" s="211">
        <v>55</v>
      </c>
      <c r="F39" s="211">
        <v>36</v>
      </c>
      <c r="G39" s="211">
        <v>25</v>
      </c>
    </row>
    <row r="40" spans="2:8" ht="13.5" customHeight="1" x14ac:dyDescent="0.3">
      <c r="B40" s="209" t="s">
        <v>255</v>
      </c>
      <c r="C40" s="210">
        <v>4540</v>
      </c>
      <c r="D40" s="210">
        <v>3775</v>
      </c>
      <c r="E40" s="210">
        <v>4218</v>
      </c>
      <c r="F40" s="210">
        <v>2564</v>
      </c>
      <c r="G40" s="210">
        <v>1610</v>
      </c>
    </row>
    <row r="41" spans="2:8" ht="13.5" customHeight="1" x14ac:dyDescent="0.3">
      <c r="B41" s="209" t="s">
        <v>355</v>
      </c>
      <c r="C41" s="210">
        <v>3434</v>
      </c>
      <c r="D41" s="210">
        <v>2946</v>
      </c>
      <c r="E41" s="210">
        <v>3590</v>
      </c>
      <c r="F41" s="210">
        <v>2202</v>
      </c>
      <c r="G41" s="210">
        <v>1350</v>
      </c>
    </row>
    <row r="42" spans="2:8" ht="13.5" customHeight="1" x14ac:dyDescent="0.3">
      <c r="B42" s="209" t="s">
        <v>267</v>
      </c>
      <c r="C42" s="210">
        <v>1106</v>
      </c>
      <c r="D42" s="211">
        <v>829</v>
      </c>
      <c r="E42" s="211">
        <v>627</v>
      </c>
      <c r="F42" s="211">
        <v>361</v>
      </c>
      <c r="G42" s="211">
        <v>259</v>
      </c>
    </row>
    <row r="43" spans="2:8" ht="13.5" customHeight="1" x14ac:dyDescent="0.3">
      <c r="B43" s="209" t="s">
        <v>356</v>
      </c>
      <c r="C43" s="211">
        <v>28</v>
      </c>
      <c r="D43" s="211">
        <v>29</v>
      </c>
      <c r="E43" s="211">
        <v>27</v>
      </c>
      <c r="F43" s="211">
        <v>8</v>
      </c>
      <c r="G43" s="211">
        <v>6</v>
      </c>
    </row>
    <row r="44" spans="2:8" ht="13.5" customHeight="1" x14ac:dyDescent="0.3">
      <c r="B44" s="209" t="s">
        <v>357</v>
      </c>
      <c r="C44" s="211">
        <v>274</v>
      </c>
      <c r="D44" s="211">
        <v>203</v>
      </c>
      <c r="E44" s="211">
        <v>154</v>
      </c>
      <c r="F44" s="211">
        <v>91</v>
      </c>
      <c r="G44" s="211">
        <v>64</v>
      </c>
    </row>
    <row r="45" spans="2:8" ht="13.5" customHeight="1" x14ac:dyDescent="0.3">
      <c r="B45" s="209" t="s">
        <v>358</v>
      </c>
      <c r="C45" s="211">
        <v>803</v>
      </c>
      <c r="D45" s="211">
        <v>596</v>
      </c>
      <c r="E45" s="211">
        <v>445</v>
      </c>
      <c r="F45" s="211">
        <v>261</v>
      </c>
      <c r="G45" s="211">
        <v>189</v>
      </c>
    </row>
    <row r="46" spans="2:8" ht="13.5" customHeight="1" x14ac:dyDescent="0.3">
      <c r="B46" s="207"/>
      <c r="C46" s="175"/>
      <c r="D46" s="175"/>
      <c r="E46" s="175"/>
      <c r="F46" s="175"/>
      <c r="G46" s="175"/>
      <c r="H46" s="175"/>
    </row>
    <row r="47" spans="2:8" ht="13.5" customHeight="1" x14ac:dyDescent="0.3">
      <c r="B47" s="53" t="s">
        <v>359</v>
      </c>
      <c r="C47" s="199" t="s">
        <v>360</v>
      </c>
      <c r="D47" s="199" t="s">
        <v>361</v>
      </c>
      <c r="E47" s="199" t="s">
        <v>362</v>
      </c>
      <c r="G47" s="175"/>
      <c r="H47" s="175"/>
    </row>
    <row r="48" spans="2:8" ht="13.5" customHeight="1" x14ac:dyDescent="0.3">
      <c r="B48" s="209" t="s">
        <v>363</v>
      </c>
      <c r="C48" s="212">
        <v>0.20799999999999999</v>
      </c>
      <c r="D48" s="212">
        <v>0.2414</v>
      </c>
      <c r="E48" s="212">
        <v>0.1595</v>
      </c>
      <c r="G48" s="175"/>
      <c r="H48" s="175"/>
    </row>
    <row r="49" spans="2:8" ht="13.5" customHeight="1" x14ac:dyDescent="0.3">
      <c r="B49" s="209" t="s">
        <v>364</v>
      </c>
      <c r="C49" s="212">
        <v>0.42130000000000001</v>
      </c>
      <c r="D49" s="212">
        <v>0.3165</v>
      </c>
      <c r="E49" s="212">
        <v>0.2102</v>
      </c>
      <c r="G49" s="175"/>
      <c r="H49" s="175"/>
    </row>
    <row r="50" spans="2:8" ht="13.5" customHeight="1" x14ac:dyDescent="0.3">
      <c r="B50" s="209" t="s">
        <v>358</v>
      </c>
      <c r="C50" s="212">
        <v>0.45350000000000001</v>
      </c>
      <c r="D50" s="212">
        <v>0.30349999999999999</v>
      </c>
      <c r="E50" s="212">
        <v>0.2223</v>
      </c>
      <c r="G50" s="175"/>
      <c r="H50" s="175"/>
    </row>
    <row r="51" spans="2:8" ht="13.5" customHeight="1" x14ac:dyDescent="0.3">
      <c r="C51" s="175"/>
      <c r="D51" s="175"/>
      <c r="E51" s="175"/>
      <c r="F51" s="175"/>
      <c r="G51" s="175"/>
      <c r="H51" s="175"/>
    </row>
    <row r="52" spans="2:8" ht="13.5" customHeight="1" x14ac:dyDescent="0.3">
      <c r="C52" s="175"/>
      <c r="D52" s="175"/>
      <c r="E52" s="175"/>
      <c r="F52" s="175"/>
      <c r="G52" s="175"/>
      <c r="H52" s="175"/>
    </row>
  </sheetData>
  <mergeCells count="3">
    <mergeCell ref="B1:F1"/>
    <mergeCell ref="B30:E30"/>
    <mergeCell ref="B33:E33"/>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0"/>
  <sheetViews>
    <sheetView zoomScale="62" zoomScaleNormal="62" workbookViewId="0">
      <selection activeCell="O16" sqref="O16"/>
    </sheetView>
  </sheetViews>
  <sheetFormatPr defaultColWidth="8.6328125" defaultRowHeight="14" x14ac:dyDescent="0.3"/>
  <cols>
    <col min="1" max="1" width="2.6328125" style="2" customWidth="1"/>
    <col min="2" max="2" width="24.6328125" style="2" customWidth="1"/>
    <col min="3" max="3" width="11.7265625" style="2" customWidth="1"/>
    <col min="4" max="4" width="12.7265625" style="2" customWidth="1"/>
    <col min="5" max="5" width="9.7265625" style="2" customWidth="1"/>
    <col min="6" max="6" width="10.54296875" style="2" customWidth="1"/>
    <col min="7" max="7" width="8.6328125" style="2"/>
    <col min="8" max="8" width="28" style="2" customWidth="1"/>
    <col min="9" max="9" width="11.7265625" style="2" customWidth="1"/>
    <col min="10" max="10" width="12.7265625" style="2" customWidth="1"/>
    <col min="11" max="11" width="7.453125" style="2" customWidth="1"/>
    <col min="12" max="12" width="6.453125" style="2" customWidth="1"/>
    <col min="13" max="16384" width="8.6328125" style="2"/>
  </cols>
  <sheetData>
    <row r="1" spans="1:13" ht="37.5" customHeight="1" x14ac:dyDescent="0.3">
      <c r="C1" s="611" t="s">
        <v>365</v>
      </c>
      <c r="D1" s="611"/>
      <c r="E1" s="611"/>
      <c r="F1" s="611"/>
      <c r="G1" s="611"/>
      <c r="H1" s="611"/>
      <c r="I1" s="611"/>
      <c r="J1" s="611"/>
      <c r="K1" s="611"/>
    </row>
    <row r="2" spans="1:13" ht="13.5" customHeight="1" x14ac:dyDescent="0.5">
      <c r="B2" s="213"/>
      <c r="C2" s="611"/>
      <c r="D2" s="611"/>
      <c r="E2" s="611"/>
      <c r="F2" s="611"/>
      <c r="G2" s="611"/>
      <c r="H2" s="611"/>
      <c r="I2" s="611"/>
      <c r="J2" s="611"/>
      <c r="K2" s="611"/>
    </row>
    <row r="3" spans="1:13" ht="23.5" customHeight="1" x14ac:dyDescent="0.3">
      <c r="A3" s="214"/>
      <c r="B3" s="612" t="s">
        <v>366</v>
      </c>
      <c r="C3" s="613" t="s">
        <v>367</v>
      </c>
      <c r="D3" s="613"/>
      <c r="E3" s="613"/>
      <c r="F3" s="613"/>
      <c r="G3" s="613"/>
      <c r="H3" s="613"/>
      <c r="I3" s="613"/>
      <c r="J3" s="613"/>
      <c r="K3" s="613"/>
      <c r="M3" s="215" t="s">
        <v>368</v>
      </c>
    </row>
    <row r="4" spans="1:13" ht="48" customHeight="1" x14ac:dyDescent="0.3">
      <c r="A4" s="216"/>
      <c r="B4" s="614" t="s">
        <v>369</v>
      </c>
      <c r="C4" s="615" t="s">
        <v>370</v>
      </c>
      <c r="D4" s="615"/>
      <c r="E4" s="615"/>
      <c r="F4" s="615"/>
      <c r="G4" s="615"/>
      <c r="H4" s="615"/>
      <c r="I4" s="615"/>
      <c r="J4" s="615"/>
      <c r="K4" s="615"/>
    </row>
    <row r="5" spans="1:13" ht="39.75" customHeight="1" x14ac:dyDescent="0.3">
      <c r="A5" s="216"/>
      <c r="B5" s="217" t="s">
        <v>371</v>
      </c>
      <c r="C5" s="562" t="s">
        <v>372</v>
      </c>
      <c r="D5" s="562"/>
      <c r="E5" s="562"/>
      <c r="F5" s="562"/>
      <c r="G5" s="562"/>
      <c r="H5" s="562"/>
      <c r="I5" s="562"/>
      <c r="J5" s="562"/>
      <c r="K5" s="562"/>
    </row>
    <row r="6" spans="1:13" ht="37.5" customHeight="1" x14ac:dyDescent="0.3">
      <c r="A6" s="216"/>
      <c r="B6" s="217" t="s">
        <v>373</v>
      </c>
      <c r="C6" s="562" t="s">
        <v>374</v>
      </c>
      <c r="D6" s="562"/>
      <c r="E6" s="562"/>
      <c r="F6" s="562"/>
      <c r="G6" s="562"/>
      <c r="H6" s="562"/>
      <c r="I6" s="562"/>
      <c r="J6" s="562"/>
      <c r="K6" s="562"/>
    </row>
    <row r="7" spans="1:13" ht="44.25" customHeight="1" x14ac:dyDescent="0.3">
      <c r="A7" s="218"/>
      <c r="B7" s="217" t="s">
        <v>375</v>
      </c>
      <c r="C7" s="562" t="s">
        <v>376</v>
      </c>
      <c r="D7" s="562"/>
      <c r="E7" s="562"/>
      <c r="F7" s="562"/>
      <c r="G7" s="562"/>
      <c r="H7" s="562"/>
      <c r="I7" s="562"/>
      <c r="J7" s="562"/>
      <c r="K7" s="562"/>
    </row>
    <row r="8" spans="1:13" ht="13.5" customHeight="1" x14ac:dyDescent="0.3">
      <c r="A8" s="82"/>
      <c r="B8" s="219"/>
      <c r="C8" s="220"/>
      <c r="D8" s="221"/>
      <c r="E8" s="221"/>
      <c r="F8" s="221"/>
      <c r="G8" s="221"/>
      <c r="H8" s="221"/>
      <c r="I8" s="221"/>
      <c r="J8" s="221"/>
      <c r="K8" s="222"/>
    </row>
    <row r="9" spans="1:13" s="120" customFormat="1" ht="30.75" customHeight="1" x14ac:dyDescent="0.35">
      <c r="A9" s="223"/>
      <c r="B9" s="616" t="s">
        <v>377</v>
      </c>
      <c r="C9" s="617" t="s">
        <v>378</v>
      </c>
      <c r="D9" s="617" t="s">
        <v>379</v>
      </c>
      <c r="E9" s="617" t="s">
        <v>380</v>
      </c>
      <c r="F9" s="617" t="s">
        <v>381</v>
      </c>
      <c r="H9" s="616" t="s">
        <v>382</v>
      </c>
      <c r="I9" s="616" t="s">
        <v>378</v>
      </c>
      <c r="J9" s="616" t="s">
        <v>379</v>
      </c>
      <c r="K9" s="616" t="s">
        <v>380</v>
      </c>
    </row>
    <row r="10" spans="1:13" ht="13.5" customHeight="1" x14ac:dyDescent="0.3">
      <c r="A10" s="82"/>
      <c r="B10" s="209" t="s">
        <v>383</v>
      </c>
      <c r="C10" s="210">
        <v>15830</v>
      </c>
      <c r="D10" s="211">
        <v>512</v>
      </c>
      <c r="E10" s="211">
        <v>300</v>
      </c>
      <c r="F10" s="210">
        <v>4698</v>
      </c>
      <c r="H10" s="209" t="s">
        <v>384</v>
      </c>
      <c r="I10" s="224">
        <v>42</v>
      </c>
      <c r="J10" s="224">
        <v>33</v>
      </c>
      <c r="K10" s="224">
        <v>26</v>
      </c>
    </row>
    <row r="11" spans="1:13" ht="13.5" customHeight="1" x14ac:dyDescent="0.3">
      <c r="A11" s="82"/>
      <c r="B11" s="209" t="s">
        <v>385</v>
      </c>
      <c r="C11" s="225">
        <v>8951.5400000000009</v>
      </c>
      <c r="D11" s="211">
        <v>373.22</v>
      </c>
      <c r="E11" s="211">
        <v>10.41</v>
      </c>
      <c r="F11" s="211">
        <v>528.85</v>
      </c>
      <c r="H11" s="209" t="s">
        <v>386</v>
      </c>
      <c r="I11" s="224">
        <v>49</v>
      </c>
      <c r="J11" s="224">
        <v>235</v>
      </c>
      <c r="K11" s="224">
        <v>27</v>
      </c>
    </row>
    <row r="12" spans="1:13" ht="13.5" customHeight="1" x14ac:dyDescent="0.3">
      <c r="A12" s="82"/>
      <c r="B12" s="209" t="s">
        <v>387</v>
      </c>
      <c r="C12" s="225">
        <v>1526.72</v>
      </c>
      <c r="D12" s="211">
        <v>42.93</v>
      </c>
      <c r="E12" s="225">
        <v>1469.97</v>
      </c>
      <c r="F12" s="211">
        <v>27.1</v>
      </c>
      <c r="H12" s="209" t="s">
        <v>388</v>
      </c>
      <c r="I12" s="224">
        <v>105</v>
      </c>
      <c r="J12" s="224">
        <v>178</v>
      </c>
      <c r="K12" s="224">
        <v>66</v>
      </c>
    </row>
    <row r="13" spans="1:13" ht="28.5" customHeight="1" x14ac:dyDescent="0.3">
      <c r="A13" s="82"/>
      <c r="B13" s="209" t="s">
        <v>389</v>
      </c>
      <c r="C13" s="211">
        <v>875.59</v>
      </c>
      <c r="D13" s="211">
        <v>32.1</v>
      </c>
      <c r="E13" s="211">
        <v>166.49</v>
      </c>
      <c r="F13" s="211">
        <v>45.05</v>
      </c>
      <c r="H13" s="209" t="s">
        <v>390</v>
      </c>
      <c r="I13" s="224">
        <v>-14</v>
      </c>
      <c r="J13" s="224">
        <v>90</v>
      </c>
      <c r="K13" s="224">
        <v>-13</v>
      </c>
    </row>
    <row r="14" spans="1:13" ht="13.5" customHeight="1" x14ac:dyDescent="0.3">
      <c r="A14" s="82"/>
      <c r="B14" s="209" t="s">
        <v>391</v>
      </c>
      <c r="C14" s="211">
        <v>725.48</v>
      </c>
      <c r="D14" s="211">
        <v>101.25</v>
      </c>
      <c r="E14" s="211">
        <v>49.34</v>
      </c>
      <c r="F14" s="211">
        <v>25.74</v>
      </c>
      <c r="H14" s="209" t="s">
        <v>392</v>
      </c>
      <c r="I14" s="224">
        <v>-11</v>
      </c>
      <c r="J14" s="224">
        <v>-31</v>
      </c>
      <c r="K14" s="224">
        <v>969</v>
      </c>
    </row>
    <row r="15" spans="1:13" ht="13.5" customHeight="1" x14ac:dyDescent="0.3">
      <c r="A15" s="82"/>
      <c r="B15" s="209" t="s">
        <v>393</v>
      </c>
      <c r="C15" s="212">
        <v>0.26050000000000001</v>
      </c>
      <c r="D15" s="212">
        <v>0.1305</v>
      </c>
      <c r="E15" s="212">
        <v>-2.7195</v>
      </c>
      <c r="F15" s="212">
        <v>7.6100000000000001E-2</v>
      </c>
      <c r="H15" s="209" t="s">
        <v>394</v>
      </c>
      <c r="I15" s="226">
        <v>0.26</v>
      </c>
      <c r="J15" s="226">
        <v>0.17</v>
      </c>
      <c r="K15" s="226">
        <v>7.0000000000000007E-2</v>
      </c>
    </row>
    <row r="16" spans="1:13" ht="25.5" customHeight="1" x14ac:dyDescent="0.3">
      <c r="A16" s="82"/>
      <c r="B16" s="209" t="s">
        <v>395</v>
      </c>
      <c r="C16" s="211" t="s">
        <v>396</v>
      </c>
      <c r="D16" s="211">
        <v>58.6</v>
      </c>
      <c r="E16" s="211">
        <v>6.02</v>
      </c>
      <c r="F16" s="211">
        <v>17.3</v>
      </c>
    </row>
    <row r="17" spans="1:6" ht="13.5" customHeight="1" x14ac:dyDescent="0.3">
      <c r="A17" s="82"/>
      <c r="B17" s="209" t="s">
        <v>397</v>
      </c>
      <c r="C17" s="227">
        <v>0.26</v>
      </c>
      <c r="D17" s="212">
        <v>0.16900000000000001</v>
      </c>
      <c r="E17" s="212">
        <v>7.0199999999999999E-2</v>
      </c>
      <c r="F17" s="212">
        <v>0.25800000000000001</v>
      </c>
    </row>
    <row r="18" spans="1:6" ht="13.5" customHeight="1" x14ac:dyDescent="0.3">
      <c r="A18" s="82"/>
      <c r="B18" s="209" t="s">
        <v>398</v>
      </c>
      <c r="C18" s="211" t="s">
        <v>399</v>
      </c>
      <c r="D18" s="212">
        <v>0.122</v>
      </c>
      <c r="E18" s="212">
        <v>7.4499999999999997E-2</v>
      </c>
      <c r="F18" s="212">
        <v>0.222</v>
      </c>
    </row>
    <row r="19" spans="1:6" ht="13.5" customHeight="1" x14ac:dyDescent="0.3">
      <c r="B19" s="209" t="s">
        <v>400</v>
      </c>
      <c r="C19" s="211" t="s">
        <v>401</v>
      </c>
      <c r="D19" s="211">
        <v>35.299999999999997</v>
      </c>
      <c r="E19" s="211">
        <v>4.38</v>
      </c>
      <c r="F19" s="211">
        <v>10.3</v>
      </c>
    </row>
    <row r="20" spans="1:6" ht="13.5" customHeight="1" x14ac:dyDescent="0.3">
      <c r="B20" s="209" t="s">
        <v>402</v>
      </c>
      <c r="C20" s="211" t="s">
        <v>399</v>
      </c>
      <c r="D20" s="211">
        <v>7.99</v>
      </c>
      <c r="E20" s="211">
        <v>297</v>
      </c>
      <c r="F20" s="211">
        <v>271</v>
      </c>
    </row>
    <row r="21" spans="1:6" ht="13.5" customHeight="1" x14ac:dyDescent="0.3">
      <c r="A21" s="80"/>
    </row>
    <row r="22" spans="1:6" ht="13.5" customHeight="1" x14ac:dyDescent="0.3">
      <c r="A22" s="173"/>
      <c r="B22" s="173"/>
      <c r="C22" s="173"/>
    </row>
    <row r="23" spans="1:6" ht="13.5" customHeight="1" x14ac:dyDescent="0.3">
      <c r="A23" s="82"/>
      <c r="B23" s="110"/>
      <c r="C23" s="110"/>
    </row>
    <row r="24" spans="1:6" ht="13.5" customHeight="1" x14ac:dyDescent="0.3">
      <c r="A24" s="82"/>
      <c r="B24" s="110"/>
      <c r="C24" s="110"/>
    </row>
    <row r="25" spans="1:6" ht="13.5" customHeight="1" x14ac:dyDescent="0.3">
      <c r="A25" s="82"/>
      <c r="B25" s="110"/>
      <c r="C25" s="110"/>
    </row>
    <row r="26" spans="1:6" ht="13.5" customHeight="1" x14ac:dyDescent="0.3">
      <c r="A26" s="82"/>
      <c r="B26" s="110"/>
      <c r="C26" s="110"/>
    </row>
    <row r="27" spans="1:6" ht="13.5" customHeight="1" x14ac:dyDescent="0.3">
      <c r="A27" s="82"/>
      <c r="B27" s="110"/>
      <c r="C27" s="110"/>
    </row>
    <row r="28" spans="1:6" ht="13.5" customHeight="1" x14ac:dyDescent="0.3">
      <c r="A28" s="82"/>
      <c r="B28" s="110"/>
      <c r="C28" s="110"/>
    </row>
    <row r="29" spans="1:6" ht="13.5" customHeight="1" x14ac:dyDescent="0.3">
      <c r="A29" s="82"/>
      <c r="B29" s="110"/>
      <c r="C29" s="110"/>
    </row>
    <row r="30" spans="1:6" ht="13.5" customHeight="1" x14ac:dyDescent="0.3">
      <c r="A30" s="82"/>
      <c r="B30" s="110"/>
      <c r="C30" s="110"/>
    </row>
  </sheetData>
  <mergeCells count="6">
    <mergeCell ref="C7:K7"/>
    <mergeCell ref="C1:K2"/>
    <mergeCell ref="C3:K3"/>
    <mergeCell ref="C4:K4"/>
    <mergeCell ref="C5:K5"/>
    <mergeCell ref="C6:K6"/>
  </mergeCells>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6"/>
  <sheetViews>
    <sheetView zoomScale="84" zoomScaleNormal="84" workbookViewId="0">
      <selection activeCell="K24" sqref="K24"/>
    </sheetView>
  </sheetViews>
  <sheetFormatPr defaultColWidth="8.6328125" defaultRowHeight="14.5" x14ac:dyDescent="0.35"/>
  <cols>
    <col min="1" max="1" width="2.81640625" style="228" customWidth="1"/>
    <col min="2" max="7" width="16" style="228" customWidth="1"/>
    <col min="8" max="8" width="8.08984375" style="228" customWidth="1"/>
    <col min="9" max="9" width="12.81640625" style="228" customWidth="1"/>
    <col min="10" max="10" width="13.90625" style="228" customWidth="1"/>
    <col min="11" max="11" width="9.36328125" style="228" customWidth="1"/>
    <col min="12" max="12" width="18.6328125" style="228" customWidth="1"/>
    <col min="13" max="13" width="14.36328125" style="228" customWidth="1"/>
    <col min="14" max="14" width="17.90625" style="228" customWidth="1"/>
    <col min="15" max="16384" width="8.6328125" style="228"/>
  </cols>
  <sheetData>
    <row r="1" spans="1:12" ht="34.5" customHeight="1" x14ac:dyDescent="0.35"/>
    <row r="2" spans="1:12" ht="13.5" customHeight="1" x14ac:dyDescent="0.35">
      <c r="A2" s="566"/>
      <c r="B2" s="566"/>
      <c r="C2" s="566"/>
      <c r="D2" s="566"/>
      <c r="E2" s="566"/>
      <c r="F2" s="566"/>
      <c r="G2" s="566"/>
      <c r="H2" s="566"/>
      <c r="I2" s="566"/>
      <c r="J2" s="566"/>
      <c r="K2" s="566"/>
      <c r="L2" s="566"/>
    </row>
    <row r="3" spans="1:12" ht="15.75" customHeight="1" x14ac:dyDescent="0.35">
      <c r="A3" s="229"/>
    </row>
    <row r="4" spans="1:12" ht="19.5" customHeight="1" x14ac:dyDescent="0.35">
      <c r="A4" s="230"/>
      <c r="B4" s="230"/>
    </row>
    <row r="5" spans="1:12" ht="15" customHeight="1" x14ac:dyDescent="0.35">
      <c r="A5" s="231"/>
      <c r="B5" s="232"/>
    </row>
    <row r="6" spans="1:12" ht="15" customHeight="1" x14ac:dyDescent="0.35">
      <c r="A6" s="231"/>
      <c r="B6" s="232"/>
    </row>
    <row r="7" spans="1:12" ht="15" customHeight="1" x14ac:dyDescent="0.35">
      <c r="A7" s="231"/>
      <c r="B7" s="232"/>
    </row>
    <row r="8" spans="1:12" ht="15" customHeight="1" x14ac:dyDescent="0.35">
      <c r="A8" s="231"/>
      <c r="B8" s="232"/>
    </row>
    <row r="9" spans="1:12" ht="15" customHeight="1" x14ac:dyDescent="0.35">
      <c r="A9" s="231"/>
      <c r="B9" s="232"/>
    </row>
    <row r="10" spans="1:12" ht="15" customHeight="1" x14ac:dyDescent="0.35">
      <c r="A10" s="231"/>
      <c r="B10" s="232"/>
    </row>
    <row r="11" spans="1:12" ht="15" customHeight="1" x14ac:dyDescent="0.35">
      <c r="A11" s="231"/>
      <c r="B11" s="232"/>
    </row>
    <row r="12" spans="1:12" ht="15" customHeight="1" x14ac:dyDescent="0.35">
      <c r="A12" s="231"/>
      <c r="B12" s="232"/>
    </row>
    <row r="13" spans="1:12" ht="15" customHeight="1" x14ac:dyDescent="0.35">
      <c r="A13" s="231"/>
      <c r="B13" s="232"/>
    </row>
    <row r="14" spans="1:12" ht="15" customHeight="1" x14ac:dyDescent="0.35">
      <c r="A14" s="231"/>
      <c r="B14" s="232"/>
    </row>
    <row r="15" spans="1:12" ht="15" customHeight="1" x14ac:dyDescent="0.35">
      <c r="A15" s="231"/>
      <c r="B15" s="232"/>
    </row>
    <row r="16" spans="1:12" ht="15" customHeight="1" x14ac:dyDescent="0.35">
      <c r="A16" s="231"/>
      <c r="B16" s="232"/>
    </row>
    <row r="17" spans="1:14" ht="15" customHeight="1" x14ac:dyDescent="0.35">
      <c r="A17" s="231"/>
      <c r="B17" s="232"/>
    </row>
    <row r="18" spans="1:14" ht="18" customHeight="1" x14ac:dyDescent="0.45">
      <c r="B18" s="618" t="s">
        <v>403</v>
      </c>
      <c r="C18" s="619"/>
      <c r="D18" s="619"/>
      <c r="E18" s="620"/>
      <c r="F18" s="620"/>
      <c r="G18" s="621"/>
      <c r="I18" s="622" t="s">
        <v>404</v>
      </c>
      <c r="J18" s="623" t="s">
        <v>405</v>
      </c>
      <c r="K18" s="623" t="s">
        <v>406</v>
      </c>
      <c r="L18" s="623" t="s">
        <v>407</v>
      </c>
      <c r="M18" s="624" t="s">
        <v>408</v>
      </c>
      <c r="N18" s="233"/>
    </row>
    <row r="19" spans="1:14" ht="14.25" customHeight="1" x14ac:dyDescent="0.35">
      <c r="A19" s="230"/>
      <c r="B19" s="567" t="s">
        <v>409</v>
      </c>
      <c r="C19" s="567"/>
      <c r="D19" s="567"/>
      <c r="E19" s="567"/>
      <c r="F19" s="567"/>
      <c r="G19" s="567"/>
      <c r="I19" s="234" t="s">
        <v>410</v>
      </c>
      <c r="J19" s="235">
        <v>4456</v>
      </c>
      <c r="K19" s="236">
        <v>803</v>
      </c>
      <c r="L19" s="237">
        <f t="shared" ref="L19:M22" si="0">(J19-J20)/J20</f>
        <v>0.19881624966370728</v>
      </c>
      <c r="M19" s="238">
        <f t="shared" si="0"/>
        <v>0.34731543624161076</v>
      </c>
      <c r="N19" s="239"/>
    </row>
    <row r="20" spans="1:14" ht="14.25" customHeight="1" x14ac:dyDescent="0.35">
      <c r="A20" s="240"/>
      <c r="B20" s="567"/>
      <c r="C20" s="567"/>
      <c r="D20" s="567"/>
      <c r="E20" s="567"/>
      <c r="F20" s="567"/>
      <c r="G20" s="567"/>
      <c r="I20" s="234" t="s">
        <v>411</v>
      </c>
      <c r="J20" s="235">
        <v>3717</v>
      </c>
      <c r="K20" s="236">
        <v>596</v>
      </c>
      <c r="L20" s="237">
        <f t="shared" si="0"/>
        <v>-0.10691975012013455</v>
      </c>
      <c r="M20" s="238">
        <f t="shared" si="0"/>
        <v>0.33932584269662919</v>
      </c>
      <c r="N20" s="239"/>
    </row>
    <row r="21" spans="1:14" ht="14.25" customHeight="1" x14ac:dyDescent="0.35">
      <c r="A21" s="240"/>
      <c r="B21" s="567"/>
      <c r="C21" s="567"/>
      <c r="D21" s="567"/>
      <c r="E21" s="567"/>
      <c r="F21" s="567"/>
      <c r="G21" s="567"/>
      <c r="I21" s="234" t="s">
        <v>412</v>
      </c>
      <c r="J21" s="235">
        <v>4162</v>
      </c>
      <c r="K21" s="236">
        <v>445</v>
      </c>
      <c r="L21" s="237">
        <f t="shared" si="0"/>
        <v>0.64636075949367089</v>
      </c>
      <c r="M21" s="238">
        <f t="shared" si="0"/>
        <v>0.70498084291187735</v>
      </c>
      <c r="N21" s="239"/>
    </row>
    <row r="22" spans="1:14" ht="14.25" customHeight="1" x14ac:dyDescent="0.35">
      <c r="A22" s="240"/>
      <c r="B22" s="567"/>
      <c r="C22" s="567"/>
      <c r="D22" s="567"/>
      <c r="E22" s="567"/>
      <c r="F22" s="567"/>
      <c r="G22" s="567"/>
      <c r="I22" s="234" t="s">
        <v>413</v>
      </c>
      <c r="J22" s="235">
        <v>2528</v>
      </c>
      <c r="K22" s="236">
        <v>261</v>
      </c>
      <c r="L22" s="237">
        <f t="shared" si="0"/>
        <v>0.59595959595959591</v>
      </c>
      <c r="M22" s="238">
        <f t="shared" si="0"/>
        <v>0.38095238095238093</v>
      </c>
      <c r="N22" s="239"/>
    </row>
    <row r="23" spans="1:14" ht="14.25" customHeight="1" x14ac:dyDescent="0.35">
      <c r="A23" s="240"/>
      <c r="B23" s="567"/>
      <c r="C23" s="567"/>
      <c r="D23" s="567"/>
      <c r="E23" s="567"/>
      <c r="F23" s="567"/>
      <c r="G23" s="567"/>
      <c r="I23" s="234" t="s">
        <v>414</v>
      </c>
      <c r="J23" s="235">
        <v>1584</v>
      </c>
      <c r="K23" s="236">
        <v>189</v>
      </c>
      <c r="L23" s="237">
        <f>IFERROR(J23/J24,0)</f>
        <v>0</v>
      </c>
      <c r="M23" s="238">
        <f>IFERROR(K23/K24,0)</f>
        <v>0</v>
      </c>
      <c r="N23" s="241"/>
    </row>
    <row r="24" spans="1:14" ht="133.5" customHeight="1" x14ac:dyDescent="0.35">
      <c r="A24" s="240"/>
      <c r="B24" s="567"/>
      <c r="C24" s="567"/>
      <c r="D24" s="567"/>
      <c r="E24" s="567"/>
      <c r="F24" s="567"/>
      <c r="G24" s="567"/>
      <c r="I24" s="242"/>
      <c r="J24"/>
      <c r="K24" s="242"/>
      <c r="L24" s="242"/>
      <c r="M24" s="242"/>
    </row>
    <row r="25" spans="1:14" ht="16.5" customHeight="1" x14ac:dyDescent="0.35">
      <c r="A25" s="240"/>
      <c r="B25" s="232"/>
      <c r="C25" s="232"/>
      <c r="D25" s="232"/>
      <c r="E25" s="232"/>
      <c r="F25" s="232"/>
      <c r="G25" s="232"/>
    </row>
    <row r="28" spans="1:14" ht="15.75" customHeight="1" x14ac:dyDescent="0.35">
      <c r="A28" s="229"/>
    </row>
    <row r="29" spans="1:14" ht="15.75" customHeight="1" x14ac:dyDescent="0.35">
      <c r="A29" s="565"/>
      <c r="B29" s="565"/>
      <c r="C29" s="565"/>
      <c r="D29" s="565"/>
      <c r="E29" s="565"/>
      <c r="F29" s="565"/>
      <c r="G29" s="565"/>
      <c r="H29" s="565"/>
    </row>
    <row r="30" spans="1:14" ht="30" customHeight="1" x14ac:dyDescent="0.35">
      <c r="A30" s="564"/>
      <c r="B30" s="564"/>
      <c r="C30" s="564"/>
      <c r="D30" s="564"/>
      <c r="E30" s="564"/>
      <c r="F30" s="564"/>
      <c r="G30" s="564"/>
      <c r="H30" s="564"/>
    </row>
    <row r="31" spans="1:14" ht="30" customHeight="1" x14ac:dyDescent="0.35">
      <c r="A31" s="564"/>
      <c r="B31" s="564"/>
      <c r="C31" s="564"/>
      <c r="D31" s="564"/>
      <c r="E31" s="564"/>
      <c r="F31" s="564"/>
      <c r="G31" s="564"/>
      <c r="H31" s="564"/>
    </row>
    <row r="32" spans="1:14" ht="30" customHeight="1" x14ac:dyDescent="0.35">
      <c r="A32" s="564"/>
      <c r="B32" s="564"/>
      <c r="C32" s="564"/>
      <c r="D32" s="564"/>
      <c r="E32" s="564"/>
      <c r="F32" s="564"/>
      <c r="G32" s="564"/>
      <c r="H32" s="564"/>
    </row>
    <row r="33" spans="1:8" ht="30" customHeight="1" x14ac:dyDescent="0.35">
      <c r="A33" s="564"/>
      <c r="B33" s="564"/>
      <c r="C33" s="564"/>
      <c r="D33" s="564"/>
      <c r="E33" s="564"/>
      <c r="F33" s="564"/>
      <c r="G33" s="564"/>
      <c r="H33" s="564"/>
    </row>
    <row r="34" spans="1:8" ht="30" customHeight="1" x14ac:dyDescent="0.35">
      <c r="A34" s="564"/>
      <c r="B34" s="564"/>
      <c r="C34" s="564"/>
      <c r="D34" s="564"/>
      <c r="E34" s="564"/>
      <c r="F34" s="564"/>
      <c r="G34" s="564"/>
      <c r="H34" s="564"/>
    </row>
    <row r="35" spans="1:8" ht="30" customHeight="1" x14ac:dyDescent="0.35">
      <c r="A35" s="564"/>
      <c r="B35" s="564"/>
      <c r="C35" s="564"/>
      <c r="D35" s="564"/>
      <c r="E35" s="564"/>
      <c r="F35" s="564"/>
      <c r="G35" s="564"/>
      <c r="H35" s="564"/>
    </row>
    <row r="37" spans="1:8" ht="15.75" customHeight="1" x14ac:dyDescent="0.35">
      <c r="A37" s="565"/>
      <c r="B37" s="565"/>
      <c r="C37" s="565"/>
      <c r="D37" s="565"/>
      <c r="E37" s="565"/>
      <c r="F37" s="565"/>
      <c r="G37" s="565"/>
      <c r="H37" s="565"/>
    </row>
    <row r="38" spans="1:8" ht="30" customHeight="1" x14ac:dyDescent="0.35">
      <c r="A38" s="564"/>
      <c r="B38" s="564"/>
      <c r="C38" s="564"/>
      <c r="D38" s="564"/>
      <c r="E38" s="564"/>
      <c r="F38" s="564"/>
      <c r="G38" s="564"/>
      <c r="H38" s="564"/>
    </row>
    <row r="39" spans="1:8" ht="30" customHeight="1" x14ac:dyDescent="0.35">
      <c r="A39" s="564"/>
      <c r="B39" s="564"/>
      <c r="C39" s="564"/>
      <c r="D39" s="564"/>
      <c r="E39" s="564"/>
      <c r="F39" s="564"/>
      <c r="G39" s="564"/>
      <c r="H39" s="564"/>
    </row>
    <row r="40" spans="1:8" ht="30" customHeight="1" x14ac:dyDescent="0.35">
      <c r="A40" s="564"/>
      <c r="B40" s="564"/>
      <c r="C40" s="564"/>
      <c r="D40" s="564"/>
      <c r="E40" s="564"/>
      <c r="F40" s="564"/>
      <c r="G40" s="564"/>
      <c r="H40" s="564"/>
    </row>
    <row r="41" spans="1:8" ht="30" customHeight="1" x14ac:dyDescent="0.35">
      <c r="A41" s="564"/>
      <c r="B41" s="564"/>
      <c r="C41" s="564"/>
      <c r="D41" s="564"/>
      <c r="E41" s="564"/>
      <c r="F41" s="564"/>
      <c r="G41" s="564"/>
      <c r="H41" s="564"/>
    </row>
    <row r="42" spans="1:8" ht="30" customHeight="1" x14ac:dyDescent="0.35">
      <c r="A42" s="564"/>
      <c r="B42" s="564"/>
      <c r="C42" s="564"/>
      <c r="D42" s="564"/>
      <c r="E42" s="564"/>
      <c r="F42" s="564"/>
      <c r="G42" s="564"/>
      <c r="H42" s="564"/>
    </row>
    <row r="45" spans="1:8" ht="15.75" customHeight="1" x14ac:dyDescent="0.35">
      <c r="A45" s="229"/>
    </row>
    <row r="46" spans="1:8" ht="19.5" customHeight="1" x14ac:dyDescent="0.35">
      <c r="A46" s="230"/>
      <c r="B46" s="230"/>
      <c r="C46" s="230"/>
      <c r="D46" s="230"/>
    </row>
    <row r="47" spans="1:8" ht="15" customHeight="1" x14ac:dyDescent="0.35">
      <c r="A47" s="240"/>
      <c r="B47" s="232"/>
      <c r="C47" s="232"/>
      <c r="D47" s="240"/>
    </row>
    <row r="48" spans="1:8" ht="15" customHeight="1" x14ac:dyDescent="0.35">
      <c r="A48" s="240"/>
      <c r="B48" s="232"/>
      <c r="C48" s="232"/>
      <c r="D48" s="240"/>
    </row>
    <row r="49" spans="1:8" ht="15" customHeight="1" x14ac:dyDescent="0.35">
      <c r="A49" s="240"/>
      <c r="B49" s="232"/>
      <c r="C49" s="232"/>
      <c r="D49" s="240"/>
    </row>
    <row r="50" spans="1:8" ht="15" customHeight="1" x14ac:dyDescent="0.35">
      <c r="A50" s="240"/>
      <c r="B50" s="232"/>
      <c r="C50" s="232"/>
      <c r="D50" s="240"/>
    </row>
    <row r="53" spans="1:8" ht="24.75" customHeight="1" x14ac:dyDescent="0.35">
      <c r="A53" s="563"/>
      <c r="B53" s="563"/>
      <c r="C53" s="563"/>
      <c r="D53" s="563"/>
      <c r="E53" s="563"/>
      <c r="F53" s="563"/>
      <c r="G53" s="563"/>
      <c r="H53" s="563"/>
    </row>
    <row r="54" spans="1:8" ht="24.75" customHeight="1" x14ac:dyDescent="0.35">
      <c r="A54" s="563"/>
      <c r="B54" s="563"/>
      <c r="C54" s="563"/>
      <c r="D54" s="563"/>
      <c r="E54" s="563"/>
      <c r="F54" s="563"/>
      <c r="G54" s="563"/>
      <c r="H54" s="563"/>
    </row>
    <row r="55" spans="1:8" ht="24.75" customHeight="1" x14ac:dyDescent="0.35">
      <c r="A55" s="563"/>
      <c r="B55" s="563"/>
      <c r="C55" s="563"/>
      <c r="D55" s="563"/>
      <c r="E55" s="563"/>
      <c r="F55" s="563"/>
      <c r="G55" s="563"/>
      <c r="H55" s="563"/>
    </row>
    <row r="56" spans="1:8" ht="24.75" customHeight="1" x14ac:dyDescent="0.35">
      <c r="A56" s="563"/>
      <c r="B56" s="563"/>
      <c r="C56" s="563"/>
      <c r="D56" s="563"/>
      <c r="E56" s="563"/>
      <c r="F56" s="563"/>
      <c r="G56" s="563"/>
      <c r="H56" s="563"/>
    </row>
  </sheetData>
  <mergeCells count="16">
    <mergeCell ref="A2:L2"/>
    <mergeCell ref="B19:G24"/>
    <mergeCell ref="A29:H29"/>
    <mergeCell ref="A30:H30"/>
    <mergeCell ref="A31:H31"/>
    <mergeCell ref="A32:H32"/>
    <mergeCell ref="A33:H33"/>
    <mergeCell ref="A34:H34"/>
    <mergeCell ref="A35:H35"/>
    <mergeCell ref="A37:H37"/>
    <mergeCell ref="A53:H56"/>
    <mergeCell ref="A38:H38"/>
    <mergeCell ref="A39:H39"/>
    <mergeCell ref="A40:H40"/>
    <mergeCell ref="A41:H41"/>
    <mergeCell ref="A42:H42"/>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L46"/>
  <sheetViews>
    <sheetView showGridLines="0" zoomScale="73" zoomScaleNormal="73" workbookViewId="0">
      <pane xSplit="2" ySplit="3" topLeftCell="C4" activePane="bottomRight" state="frozen"/>
      <selection pane="topRight" activeCell="C1" sqref="C1"/>
      <selection pane="bottomLeft" activeCell="A5" sqref="A5"/>
      <selection pane="bottomRight" activeCell="N33" sqref="N33"/>
    </sheetView>
  </sheetViews>
  <sheetFormatPr defaultColWidth="8.6328125" defaultRowHeight="14" x14ac:dyDescent="0.3"/>
  <cols>
    <col min="1" max="1" width="2" style="1" customWidth="1"/>
    <col min="2" max="2" width="53" style="1" customWidth="1"/>
    <col min="3" max="7" width="8.90625" style="1" customWidth="1"/>
    <col min="8" max="8" width="2" style="1" customWidth="1"/>
    <col min="9" max="9" width="8.90625" style="1" customWidth="1"/>
    <col min="10" max="10" width="9" style="1" customWidth="1"/>
    <col min="11" max="11" width="10.453125" style="1" customWidth="1"/>
    <col min="12" max="12" width="8.90625" style="1" bestFit="1" customWidth="1"/>
    <col min="13" max="16384" width="8.6328125" style="1"/>
  </cols>
  <sheetData>
    <row r="1" spans="2:12" ht="27" customHeight="1" x14ac:dyDescent="0.3">
      <c r="B1" s="625" t="s">
        <v>415</v>
      </c>
      <c r="C1" s="625"/>
      <c r="D1" s="625"/>
      <c r="E1" s="625"/>
      <c r="F1" s="625"/>
      <c r="G1" s="625"/>
      <c r="H1" s="625"/>
      <c r="I1" s="625"/>
      <c r="J1" s="625"/>
      <c r="K1" s="625"/>
      <c r="L1" s="625"/>
    </row>
    <row r="2" spans="2:12" s="243" customFormat="1" ht="14.25" customHeight="1" x14ac:dyDescent="0.35">
      <c r="B2" s="243" t="s">
        <v>416</v>
      </c>
    </row>
    <row r="3" spans="2:12" ht="29.25" customHeight="1" x14ac:dyDescent="0.3">
      <c r="B3" s="626" t="s">
        <v>248</v>
      </c>
      <c r="C3" s="627">
        <v>44256</v>
      </c>
      <c r="D3" s="627">
        <v>44621</v>
      </c>
      <c r="E3" s="627">
        <v>44986</v>
      </c>
      <c r="F3" s="627">
        <v>45352</v>
      </c>
      <c r="G3" s="627">
        <v>45717</v>
      </c>
      <c r="H3" s="628"/>
      <c r="I3" s="629" t="s">
        <v>417</v>
      </c>
      <c r="J3" s="629" t="s">
        <v>418</v>
      </c>
      <c r="K3" s="629" t="s">
        <v>419</v>
      </c>
      <c r="L3" s="629" t="s">
        <v>420</v>
      </c>
    </row>
    <row r="4" spans="2:12" ht="15" customHeight="1" x14ac:dyDescent="0.3">
      <c r="B4" s="631" t="s">
        <v>328</v>
      </c>
      <c r="C4" s="632"/>
      <c r="D4" s="632"/>
      <c r="E4" s="632"/>
      <c r="F4" s="632"/>
      <c r="G4" s="632"/>
      <c r="H4" s="630"/>
      <c r="I4" s="632"/>
      <c r="J4" s="632"/>
      <c r="K4" s="632"/>
      <c r="L4" s="632"/>
    </row>
    <row r="5" spans="2:12" ht="15" customHeight="1" x14ac:dyDescent="0.3">
      <c r="B5" s="636" t="s">
        <v>329</v>
      </c>
      <c r="C5" s="637">
        <v>2441.92</v>
      </c>
      <c r="D5" s="637">
        <v>3828.51</v>
      </c>
      <c r="E5" s="637">
        <v>6804.35</v>
      </c>
      <c r="F5" s="637">
        <v>5909.02</v>
      </c>
      <c r="G5" s="637">
        <v>7360.06</v>
      </c>
      <c r="H5" s="638"/>
      <c r="I5" s="639">
        <f t="shared" ref="I5:L10" si="0">(D5/C5)-1</f>
        <v>0.56782777486567948</v>
      </c>
      <c r="J5" s="639">
        <f t="shared" si="0"/>
        <v>0.77728411314062118</v>
      </c>
      <c r="K5" s="639">
        <f t="shared" si="0"/>
        <v>-0.13158200268945597</v>
      </c>
      <c r="L5" s="639">
        <f t="shared" si="0"/>
        <v>0.24556356214736108</v>
      </c>
    </row>
    <row r="6" spans="2:12" ht="15" customHeight="1" x14ac:dyDescent="0.3">
      <c r="B6" s="640" t="s">
        <v>330</v>
      </c>
      <c r="C6" s="641">
        <v>2441.92</v>
      </c>
      <c r="D6" s="641">
        <v>3828.51</v>
      </c>
      <c r="E6" s="641">
        <v>6804.35</v>
      </c>
      <c r="F6" s="641">
        <v>5909.02</v>
      </c>
      <c r="G6" s="641">
        <v>7360.06</v>
      </c>
      <c r="H6" s="638"/>
      <c r="I6" s="642">
        <f t="shared" si="0"/>
        <v>0.56782777486567948</v>
      </c>
      <c r="J6" s="642">
        <f t="shared" si="0"/>
        <v>0.77728411314062118</v>
      </c>
      <c r="K6" s="642">
        <f t="shared" si="0"/>
        <v>-0.13158200268945597</v>
      </c>
      <c r="L6" s="642">
        <f t="shared" si="0"/>
        <v>0.24556356214736108</v>
      </c>
    </row>
    <row r="7" spans="2:12" ht="15" customHeight="1" x14ac:dyDescent="0.3">
      <c r="B7" s="640" t="s">
        <v>421</v>
      </c>
      <c r="C7" s="641">
        <v>73.709999999999994</v>
      </c>
      <c r="D7" s="641">
        <v>119.1</v>
      </c>
      <c r="E7" s="641">
        <v>118.18</v>
      </c>
      <c r="F7" s="641">
        <v>160.5</v>
      </c>
      <c r="G7" s="641">
        <v>180.2</v>
      </c>
      <c r="H7" s="638"/>
      <c r="I7" s="642">
        <f t="shared" si="0"/>
        <v>0.6157916157916159</v>
      </c>
      <c r="J7" s="642">
        <f t="shared" si="0"/>
        <v>-7.7246011754826815E-3</v>
      </c>
      <c r="K7" s="642">
        <f t="shared" si="0"/>
        <v>0.35809781688949061</v>
      </c>
      <c r="L7" s="642">
        <f t="shared" si="0"/>
        <v>0.12274143302180685</v>
      </c>
    </row>
    <row r="8" spans="2:12" ht="15" customHeight="1" x14ac:dyDescent="0.3">
      <c r="B8" s="636" t="s">
        <v>331</v>
      </c>
      <c r="C8" s="637">
        <v>2515.63</v>
      </c>
      <c r="D8" s="637">
        <v>3947.61</v>
      </c>
      <c r="E8" s="637">
        <v>6922.53</v>
      </c>
      <c r="F8" s="637">
        <v>6069.52</v>
      </c>
      <c r="G8" s="637">
        <v>7540.26</v>
      </c>
      <c r="H8" s="638"/>
      <c r="I8" s="639">
        <f t="shared" si="0"/>
        <v>0.56923315431919641</v>
      </c>
      <c r="J8" s="639">
        <f t="shared" si="0"/>
        <v>0.75360027966288445</v>
      </c>
      <c r="K8" s="639">
        <f t="shared" si="0"/>
        <v>-0.12322229011647468</v>
      </c>
      <c r="L8" s="639">
        <f t="shared" si="0"/>
        <v>0.24231570206540209</v>
      </c>
    </row>
    <row r="9" spans="2:12" ht="15" customHeight="1" x14ac:dyDescent="0.3">
      <c r="B9" s="640" t="s">
        <v>254</v>
      </c>
      <c r="C9" s="641">
        <v>21.42</v>
      </c>
      <c r="D9" s="641">
        <v>19.66</v>
      </c>
      <c r="E9" s="641">
        <v>31.52</v>
      </c>
      <c r="F9" s="641">
        <v>44.47</v>
      </c>
      <c r="G9" s="641">
        <v>70.83</v>
      </c>
      <c r="H9" s="638"/>
      <c r="I9" s="642">
        <f t="shared" si="0"/>
        <v>-8.2166199813258678E-2</v>
      </c>
      <c r="J9" s="642">
        <f t="shared" si="0"/>
        <v>0.6032553407934893</v>
      </c>
      <c r="K9" s="642">
        <f t="shared" si="0"/>
        <v>0.4108502538071066</v>
      </c>
      <c r="L9" s="642">
        <f t="shared" si="0"/>
        <v>0.59275916348099833</v>
      </c>
    </row>
    <row r="10" spans="2:12" ht="15" customHeight="1" x14ac:dyDescent="0.3">
      <c r="B10" s="633" t="s">
        <v>332</v>
      </c>
      <c r="C10" s="634">
        <v>2537.0500000000002</v>
      </c>
      <c r="D10" s="634">
        <v>3967.27</v>
      </c>
      <c r="E10" s="634">
        <v>6954.05</v>
      </c>
      <c r="F10" s="634">
        <v>6113.99</v>
      </c>
      <c r="G10" s="634">
        <v>7611.09</v>
      </c>
      <c r="H10" s="630"/>
      <c r="I10" s="635">
        <f t="shared" si="0"/>
        <v>0.56373346997497076</v>
      </c>
      <c r="J10" s="635">
        <f t="shared" si="0"/>
        <v>0.7528552379848108</v>
      </c>
      <c r="K10" s="635">
        <f t="shared" si="0"/>
        <v>-0.12080154729977499</v>
      </c>
      <c r="L10" s="635">
        <f t="shared" si="0"/>
        <v>0.24486464649108042</v>
      </c>
    </row>
    <row r="11" spans="2:12" ht="15" customHeight="1" x14ac:dyDescent="0.3">
      <c r="B11" s="631" t="s">
        <v>333</v>
      </c>
      <c r="C11" s="632"/>
      <c r="D11" s="632"/>
      <c r="E11" s="632"/>
      <c r="F11" s="632"/>
      <c r="G11" s="632"/>
      <c r="H11" s="630"/>
      <c r="I11" s="632"/>
      <c r="J11" s="632"/>
      <c r="K11" s="632"/>
      <c r="L11" s="632"/>
    </row>
    <row r="12" spans="2:12" ht="15" customHeight="1" x14ac:dyDescent="0.3">
      <c r="B12" s="640" t="s">
        <v>422</v>
      </c>
      <c r="C12" s="641">
        <v>1185.08</v>
      </c>
      <c r="D12" s="641">
        <v>2065.5300000000002</v>
      </c>
      <c r="E12" s="641">
        <v>3819.54</v>
      </c>
      <c r="F12" s="641">
        <v>2709.97</v>
      </c>
      <c r="G12" s="641">
        <v>3375.36</v>
      </c>
      <c r="H12" s="638"/>
      <c r="I12" s="642">
        <f t="shared" ref="I12:L19" si="1">(D12/C12)-1</f>
        <v>0.74294562392412344</v>
      </c>
      <c r="J12" s="642">
        <f t="shared" si="1"/>
        <v>0.84918156599032679</v>
      </c>
      <c r="K12" s="642">
        <f t="shared" si="1"/>
        <v>-0.29049833225990573</v>
      </c>
      <c r="L12" s="642">
        <f t="shared" si="1"/>
        <v>0.24553408340313743</v>
      </c>
    </row>
    <row r="13" spans="2:12" ht="15" customHeight="1" x14ac:dyDescent="0.3">
      <c r="B13" s="640" t="s">
        <v>423</v>
      </c>
      <c r="C13" s="641">
        <v>199.37</v>
      </c>
      <c r="D13" s="641">
        <v>301.85000000000002</v>
      </c>
      <c r="E13" s="641">
        <v>560.22</v>
      </c>
      <c r="F13" s="641">
        <v>402.58</v>
      </c>
      <c r="G13" s="641">
        <v>557.44000000000005</v>
      </c>
      <c r="H13" s="638"/>
      <c r="I13" s="642">
        <f t="shared" si="1"/>
        <v>0.51401916035511874</v>
      </c>
      <c r="J13" s="642">
        <f t="shared" si="1"/>
        <v>0.85595494450886189</v>
      </c>
      <c r="K13" s="642">
        <f t="shared" si="1"/>
        <v>-0.28138945414301531</v>
      </c>
      <c r="L13" s="642">
        <f t="shared" si="1"/>
        <v>0.38466888568731705</v>
      </c>
    </row>
    <row r="14" spans="2:12" ht="15" customHeight="1" x14ac:dyDescent="0.3">
      <c r="B14" s="640" t="s">
        <v>424</v>
      </c>
      <c r="C14" s="641">
        <v>-37.68</v>
      </c>
      <c r="D14" s="641">
        <v>-40.049999999999997</v>
      </c>
      <c r="E14" s="641">
        <v>-37.39</v>
      </c>
      <c r="F14" s="641">
        <v>83.62</v>
      </c>
      <c r="G14" s="641">
        <v>-25.51</v>
      </c>
      <c r="H14" s="638"/>
      <c r="I14" s="642">
        <f t="shared" si="1"/>
        <v>6.289808917197437E-2</v>
      </c>
      <c r="J14" s="642">
        <f t="shared" si="1"/>
        <v>-6.6416978776529301E-2</v>
      </c>
      <c r="K14" s="642">
        <f t="shared" si="1"/>
        <v>-3.2364268520994921</v>
      </c>
      <c r="L14" s="642">
        <f t="shared" si="1"/>
        <v>-1.3050705572829466</v>
      </c>
    </row>
    <row r="15" spans="2:12" ht="15" customHeight="1" x14ac:dyDescent="0.3">
      <c r="B15" s="640" t="s">
        <v>335</v>
      </c>
      <c r="C15" s="641">
        <v>230.64</v>
      </c>
      <c r="D15" s="641">
        <v>289.63</v>
      </c>
      <c r="E15" s="641">
        <v>352.72</v>
      </c>
      <c r="F15" s="641">
        <v>433.46</v>
      </c>
      <c r="G15" s="641">
        <v>600.07000000000005</v>
      </c>
      <c r="H15" s="638"/>
      <c r="I15" s="642">
        <f t="shared" si="1"/>
        <v>0.25576656260839403</v>
      </c>
      <c r="J15" s="642">
        <f t="shared" si="1"/>
        <v>0.21782964471912458</v>
      </c>
      <c r="K15" s="642">
        <f t="shared" si="1"/>
        <v>0.22890678158312516</v>
      </c>
      <c r="L15" s="642">
        <f t="shared" si="1"/>
        <v>0.38437226041618633</v>
      </c>
    </row>
    <row r="16" spans="2:12" ht="15" customHeight="1" x14ac:dyDescent="0.3">
      <c r="B16" s="640" t="s">
        <v>262</v>
      </c>
      <c r="C16" s="641">
        <v>45.39</v>
      </c>
      <c r="D16" s="641">
        <v>109.25</v>
      </c>
      <c r="E16" s="641">
        <v>90.38</v>
      </c>
      <c r="F16" s="641">
        <v>109.37</v>
      </c>
      <c r="G16" s="641">
        <v>116.5</v>
      </c>
      <c r="H16" s="638"/>
      <c r="I16" s="642">
        <f t="shared" si="1"/>
        <v>1.4069178233090991</v>
      </c>
      <c r="J16" s="642">
        <f t="shared" si="1"/>
        <v>-0.17272311212814651</v>
      </c>
      <c r="K16" s="642">
        <f t="shared" si="1"/>
        <v>0.21011285682673164</v>
      </c>
      <c r="L16" s="642">
        <f t="shared" si="1"/>
        <v>6.5191551613787979E-2</v>
      </c>
    </row>
    <row r="17" spans="2:12" ht="15" customHeight="1" x14ac:dyDescent="0.3">
      <c r="B17" s="640" t="s">
        <v>336</v>
      </c>
      <c r="C17" s="641">
        <v>93.53</v>
      </c>
      <c r="D17" s="641">
        <v>583.39</v>
      </c>
      <c r="E17" s="641">
        <v>128.21</v>
      </c>
      <c r="F17" s="641">
        <v>143.38</v>
      </c>
      <c r="G17" s="641">
        <v>181.5</v>
      </c>
      <c r="H17" s="638"/>
      <c r="I17" s="642">
        <f t="shared" si="1"/>
        <v>5.2374639153212872</v>
      </c>
      <c r="J17" s="642">
        <f t="shared" si="1"/>
        <v>-0.78023277738733954</v>
      </c>
      <c r="K17" s="642">
        <f t="shared" si="1"/>
        <v>0.11832150378285622</v>
      </c>
      <c r="L17" s="642">
        <f t="shared" si="1"/>
        <v>0.26586692704700798</v>
      </c>
    </row>
    <row r="18" spans="2:12" ht="15" customHeight="1" x14ac:dyDescent="0.3">
      <c r="B18" s="640" t="s">
        <v>260</v>
      </c>
      <c r="C18" s="641">
        <v>423.62</v>
      </c>
      <c r="D18" s="641">
        <v>50.25</v>
      </c>
      <c r="E18" s="641">
        <v>938.52</v>
      </c>
      <c r="F18" s="641">
        <v>1070.68</v>
      </c>
      <c r="G18" s="641">
        <v>1072.54</v>
      </c>
      <c r="H18" s="638"/>
      <c r="I18" s="642">
        <f t="shared" si="1"/>
        <v>-0.88137953826542659</v>
      </c>
      <c r="J18" s="642">
        <f t="shared" si="1"/>
        <v>17.677014925373133</v>
      </c>
      <c r="K18" s="642">
        <f t="shared" si="1"/>
        <v>0.14081745727315353</v>
      </c>
      <c r="L18" s="642">
        <f t="shared" si="1"/>
        <v>1.7372137333282467E-3</v>
      </c>
    </row>
    <row r="19" spans="2:12" ht="15" customHeight="1" x14ac:dyDescent="0.3">
      <c r="B19" s="633" t="s">
        <v>263</v>
      </c>
      <c r="C19" s="634">
        <v>2139.9499999999998</v>
      </c>
      <c r="D19" s="634">
        <v>3359.85</v>
      </c>
      <c r="E19" s="634">
        <v>5852.2</v>
      </c>
      <c r="F19" s="634">
        <v>4953.0600000000004</v>
      </c>
      <c r="G19" s="634">
        <v>5877.9</v>
      </c>
      <c r="H19" s="630"/>
      <c r="I19" s="635">
        <f t="shared" si="1"/>
        <v>0.57006004813196576</v>
      </c>
      <c r="J19" s="635">
        <f t="shared" si="1"/>
        <v>0.74180394958108242</v>
      </c>
      <c r="K19" s="635">
        <f t="shared" si="1"/>
        <v>-0.15364136564027198</v>
      </c>
      <c r="L19" s="635">
        <f t="shared" si="1"/>
        <v>0.18672093614856244</v>
      </c>
    </row>
    <row r="20" spans="2:12" ht="15" customHeight="1" x14ac:dyDescent="0.3">
      <c r="B20" s="631" t="s">
        <v>425</v>
      </c>
      <c r="C20" s="632"/>
      <c r="D20" s="632"/>
      <c r="E20" s="632"/>
      <c r="F20" s="632"/>
      <c r="G20" s="632"/>
      <c r="H20" s="630"/>
      <c r="I20" s="632"/>
      <c r="J20" s="632"/>
      <c r="K20" s="632"/>
      <c r="L20" s="632"/>
    </row>
    <row r="21" spans="2:12" ht="15" customHeight="1" x14ac:dyDescent="0.3">
      <c r="B21" s="636" t="s">
        <v>426</v>
      </c>
      <c r="C21" s="637">
        <v>397.1</v>
      </c>
      <c r="D21" s="637">
        <v>607.41999999999996</v>
      </c>
      <c r="E21" s="637">
        <v>1101.8499999999999</v>
      </c>
      <c r="F21" s="637">
        <v>1160.93</v>
      </c>
      <c r="G21" s="637">
        <v>1733.19</v>
      </c>
      <c r="H21" s="638"/>
      <c r="I21" s="639">
        <f t="shared" ref="I21:L22" si="2">(D21/C21)-1</f>
        <v>0.52963988919667582</v>
      </c>
      <c r="J21" s="639">
        <f t="shared" si="2"/>
        <v>0.81398373448355343</v>
      </c>
      <c r="K21" s="639">
        <f t="shared" si="2"/>
        <v>5.361891364523319E-2</v>
      </c>
      <c r="L21" s="639">
        <f t="shared" si="2"/>
        <v>0.49293239041113579</v>
      </c>
    </row>
    <row r="22" spans="2:12" ht="15" customHeight="1" x14ac:dyDescent="0.3">
      <c r="B22" s="636" t="s">
        <v>338</v>
      </c>
      <c r="C22" s="637">
        <v>397.1</v>
      </c>
      <c r="D22" s="637">
        <v>607.41999999999996</v>
      </c>
      <c r="E22" s="637">
        <v>1101.8499999999999</v>
      </c>
      <c r="F22" s="637">
        <v>1160.93</v>
      </c>
      <c r="G22" s="637">
        <v>1733.19</v>
      </c>
      <c r="H22" s="638"/>
      <c r="I22" s="639">
        <f t="shared" si="2"/>
        <v>0.52963988919667582</v>
      </c>
      <c r="J22" s="639">
        <f t="shared" si="2"/>
        <v>0.81398373448355343</v>
      </c>
      <c r="K22" s="639">
        <f t="shared" si="2"/>
        <v>5.361891364523319E-2</v>
      </c>
      <c r="L22" s="639">
        <f t="shared" si="2"/>
        <v>0.49293239041113579</v>
      </c>
    </row>
    <row r="23" spans="2:12" ht="15" customHeight="1" x14ac:dyDescent="0.3">
      <c r="B23" s="636" t="s">
        <v>427</v>
      </c>
      <c r="C23" s="638"/>
      <c r="D23" s="638"/>
      <c r="E23" s="638"/>
      <c r="F23" s="638"/>
      <c r="G23" s="638"/>
      <c r="H23" s="638"/>
      <c r="I23" s="638"/>
      <c r="J23" s="638"/>
      <c r="K23" s="638"/>
      <c r="L23" s="638"/>
    </row>
    <row r="24" spans="2:12" ht="15" customHeight="1" x14ac:dyDescent="0.3">
      <c r="B24" s="640" t="s">
        <v>340</v>
      </c>
      <c r="C24" s="641">
        <v>127.5</v>
      </c>
      <c r="D24" s="641">
        <v>163.30000000000001</v>
      </c>
      <c r="E24" s="641">
        <v>312.83</v>
      </c>
      <c r="F24" s="641">
        <v>307.24</v>
      </c>
      <c r="G24" s="641">
        <v>428.05</v>
      </c>
      <c r="H24" s="638"/>
      <c r="I24" s="642">
        <f t="shared" ref="I24:L31" si="3">(D24/C24)-1</f>
        <v>0.28078431372549018</v>
      </c>
      <c r="J24" s="642">
        <f t="shared" si="3"/>
        <v>0.91567666870789943</v>
      </c>
      <c r="K24" s="642">
        <f t="shared" si="3"/>
        <v>-1.786913019851033E-2</v>
      </c>
      <c r="L24" s="642">
        <f t="shared" si="3"/>
        <v>0.39321051946361152</v>
      </c>
    </row>
    <row r="25" spans="2:12" ht="15" customHeight="1" x14ac:dyDescent="0.3">
      <c r="B25" s="640" t="s">
        <v>341</v>
      </c>
      <c r="C25" s="641">
        <v>-17.29</v>
      </c>
      <c r="D25" s="641">
        <v>-11.7</v>
      </c>
      <c r="E25" s="641">
        <v>-23.62</v>
      </c>
      <c r="F25" s="641">
        <v>-19.59</v>
      </c>
      <c r="G25" s="641">
        <v>24.05</v>
      </c>
      <c r="H25" s="638"/>
      <c r="I25" s="642">
        <f t="shared" si="3"/>
        <v>-0.32330827067669177</v>
      </c>
      <c r="J25" s="642">
        <f t="shared" si="3"/>
        <v>1.0188034188034192</v>
      </c>
      <c r="K25" s="642">
        <f t="shared" si="3"/>
        <v>-0.17061812023708722</v>
      </c>
      <c r="L25" s="642">
        <f t="shared" si="3"/>
        <v>-2.2276671771311891</v>
      </c>
    </row>
    <row r="26" spans="2:12" ht="15" customHeight="1" x14ac:dyDescent="0.3">
      <c r="B26" s="640" t="s">
        <v>428</v>
      </c>
      <c r="C26" s="641">
        <v>-1.18</v>
      </c>
      <c r="D26" s="641">
        <v>0.35</v>
      </c>
      <c r="E26" s="641">
        <v>1.2</v>
      </c>
      <c r="F26" s="641">
        <v>-1.6</v>
      </c>
      <c r="G26" s="641">
        <v>-1.29</v>
      </c>
      <c r="H26" s="638"/>
      <c r="I26" s="642">
        <f t="shared" si="3"/>
        <v>-1.2966101694915255</v>
      </c>
      <c r="J26" s="642">
        <f t="shared" si="3"/>
        <v>2.4285714285714288</v>
      </c>
      <c r="K26" s="642">
        <f t="shared" si="3"/>
        <v>-2.3333333333333335</v>
      </c>
      <c r="L26" s="642">
        <f t="shared" si="3"/>
        <v>-0.19374999999999998</v>
      </c>
    </row>
    <row r="27" spans="2:12" ht="15" customHeight="1" x14ac:dyDescent="0.3">
      <c r="B27" s="636" t="s">
        <v>342</v>
      </c>
      <c r="C27" s="637">
        <v>109.03</v>
      </c>
      <c r="D27" s="637">
        <v>151.94999999999999</v>
      </c>
      <c r="E27" s="637">
        <v>290.41000000000003</v>
      </c>
      <c r="F27" s="637">
        <v>286.05</v>
      </c>
      <c r="G27" s="637">
        <v>450.81</v>
      </c>
      <c r="H27" s="638"/>
      <c r="I27" s="639">
        <f t="shared" si="3"/>
        <v>0.39365312299367128</v>
      </c>
      <c r="J27" s="639">
        <f t="shared" si="3"/>
        <v>0.91122079631457753</v>
      </c>
      <c r="K27" s="639">
        <f t="shared" si="3"/>
        <v>-1.5013257119245282E-2</v>
      </c>
      <c r="L27" s="639">
        <f t="shared" si="3"/>
        <v>0.57598321971683264</v>
      </c>
    </row>
    <row r="28" spans="2:12" ht="15" customHeight="1" x14ac:dyDescent="0.3">
      <c r="B28" s="636" t="s">
        <v>343</v>
      </c>
      <c r="C28" s="637">
        <v>288.07</v>
      </c>
      <c r="D28" s="637">
        <v>455.47</v>
      </c>
      <c r="E28" s="637">
        <v>811.44</v>
      </c>
      <c r="F28" s="637">
        <v>874.88</v>
      </c>
      <c r="G28" s="637">
        <v>1282.3800000000001</v>
      </c>
      <c r="H28" s="638"/>
      <c r="I28" s="639">
        <f t="shared" si="3"/>
        <v>0.58110875828791619</v>
      </c>
      <c r="J28" s="639">
        <f t="shared" si="3"/>
        <v>0.78154433881485064</v>
      </c>
      <c r="K28" s="639">
        <f t="shared" si="3"/>
        <v>7.818199743665577E-2</v>
      </c>
      <c r="L28" s="639">
        <f t="shared" si="3"/>
        <v>0.46577816386247273</v>
      </c>
    </row>
    <row r="29" spans="2:12" ht="15" customHeight="1" x14ac:dyDescent="0.3">
      <c r="B29" s="640" t="s">
        <v>344</v>
      </c>
      <c r="C29" s="641">
        <v>288.07</v>
      </c>
      <c r="D29" s="641">
        <v>455.47</v>
      </c>
      <c r="E29" s="641">
        <v>811.44</v>
      </c>
      <c r="F29" s="641">
        <v>874.88</v>
      </c>
      <c r="G29" s="641">
        <v>1282.3800000000001</v>
      </c>
      <c r="H29" s="638"/>
      <c r="I29" s="642">
        <f t="shared" si="3"/>
        <v>0.58110875828791619</v>
      </c>
      <c r="J29" s="642">
        <f t="shared" si="3"/>
        <v>0.78154433881485064</v>
      </c>
      <c r="K29" s="642">
        <f t="shared" si="3"/>
        <v>7.818199743665577E-2</v>
      </c>
      <c r="L29" s="642">
        <f t="shared" si="3"/>
        <v>0.46577816386247273</v>
      </c>
    </row>
    <row r="30" spans="2:12" ht="15" customHeight="1" x14ac:dyDescent="0.3">
      <c r="B30" s="636" t="s">
        <v>345</v>
      </c>
      <c r="C30" s="637">
        <v>288.07</v>
      </c>
      <c r="D30" s="637">
        <v>455.47</v>
      </c>
      <c r="E30" s="637">
        <v>811.44</v>
      </c>
      <c r="F30" s="637">
        <v>874.88</v>
      </c>
      <c r="G30" s="637">
        <v>1282.3800000000001</v>
      </c>
      <c r="H30" s="638"/>
      <c r="I30" s="639">
        <f t="shared" si="3"/>
        <v>0.58110875828791619</v>
      </c>
      <c r="J30" s="639">
        <f t="shared" si="3"/>
        <v>0.78154433881485064</v>
      </c>
      <c r="K30" s="639">
        <f t="shared" si="3"/>
        <v>7.818199743665577E-2</v>
      </c>
      <c r="L30" s="639">
        <f t="shared" si="3"/>
        <v>0.46577816386247273</v>
      </c>
    </row>
    <row r="31" spans="2:12" ht="15" customHeight="1" x14ac:dyDescent="0.3">
      <c r="B31" s="640" t="s">
        <v>429</v>
      </c>
      <c r="C31" s="641">
        <v>-11.72</v>
      </c>
      <c r="D31" s="641">
        <v>-14.19</v>
      </c>
      <c r="E31" s="641">
        <v>-53.98</v>
      </c>
      <c r="F31" s="641">
        <v>-39.299999999999997</v>
      </c>
      <c r="G31" s="641">
        <v>-78.489999999999995</v>
      </c>
      <c r="H31" s="638"/>
      <c r="I31" s="642">
        <f t="shared" si="3"/>
        <v>0.21075085324232079</v>
      </c>
      <c r="J31" s="642">
        <f t="shared" si="3"/>
        <v>2.8040873854827342</v>
      </c>
      <c r="K31" s="642">
        <f t="shared" si="3"/>
        <v>-0.27195257502778813</v>
      </c>
      <c r="L31" s="642">
        <f t="shared" si="3"/>
        <v>0.99720101781170478</v>
      </c>
    </row>
    <row r="32" spans="2:12" ht="15" customHeight="1" x14ac:dyDescent="0.3">
      <c r="B32" s="640" t="s">
        <v>430</v>
      </c>
      <c r="C32" s="641">
        <v>0</v>
      </c>
      <c r="D32" s="641">
        <v>0</v>
      </c>
      <c r="E32" s="641">
        <v>-0.27</v>
      </c>
      <c r="F32" s="641">
        <v>0.35</v>
      </c>
      <c r="G32" s="641">
        <v>5.55</v>
      </c>
      <c r="H32" s="638"/>
      <c r="I32" s="642" t="s">
        <v>431</v>
      </c>
      <c r="J32" s="642" t="s">
        <v>431</v>
      </c>
      <c r="K32" s="642">
        <f>(F32/E32)-1</f>
        <v>-2.2962962962962958</v>
      </c>
      <c r="L32" s="642">
        <f>(G32/F32)-1</f>
        <v>14.857142857142858</v>
      </c>
    </row>
    <row r="33" spans="2:12" ht="15" customHeight="1" x14ac:dyDescent="0.3">
      <c r="B33" s="633" t="s">
        <v>432</v>
      </c>
      <c r="C33" s="634">
        <v>276.35000000000002</v>
      </c>
      <c r="D33" s="634">
        <v>441.28</v>
      </c>
      <c r="E33" s="634">
        <v>757.19</v>
      </c>
      <c r="F33" s="634">
        <v>835.93</v>
      </c>
      <c r="G33" s="634">
        <v>1209.44</v>
      </c>
      <c r="H33" s="630"/>
      <c r="I33" s="635">
        <f>(D33/C33)-1</f>
        <v>0.59681563235028023</v>
      </c>
      <c r="J33" s="635">
        <f>(E33/D33)-1</f>
        <v>0.71589467005076157</v>
      </c>
      <c r="K33" s="635">
        <f>(F33/E33)-1</f>
        <v>0.10398975158150514</v>
      </c>
      <c r="L33" s="635">
        <f>(G33/F33)-1</f>
        <v>0.44681970978431229</v>
      </c>
    </row>
    <row r="34" spans="2:12" x14ac:dyDescent="0.3">
      <c r="B34" s="630"/>
      <c r="C34" s="630"/>
      <c r="D34" s="630"/>
      <c r="E34" s="630"/>
      <c r="F34" s="630"/>
      <c r="G34" s="630"/>
      <c r="H34" s="630"/>
      <c r="I34" s="630"/>
      <c r="J34" s="630"/>
      <c r="K34" s="630"/>
      <c r="L34" s="630"/>
    </row>
    <row r="35" spans="2:12" ht="15" customHeight="1" x14ac:dyDescent="0.3">
      <c r="B35" s="631" t="s">
        <v>433</v>
      </c>
      <c r="C35" s="632"/>
      <c r="D35" s="632"/>
      <c r="E35" s="632"/>
      <c r="F35" s="632"/>
      <c r="G35" s="632"/>
      <c r="H35" s="630"/>
      <c r="I35" s="632"/>
      <c r="J35" s="632"/>
      <c r="K35" s="632"/>
      <c r="L35" s="632"/>
    </row>
    <row r="36" spans="2:12" ht="15" customHeight="1" x14ac:dyDescent="0.3">
      <c r="B36" s="640" t="s">
        <v>434</v>
      </c>
      <c r="C36" s="641">
        <v>31</v>
      </c>
      <c r="D36" s="641">
        <v>49</v>
      </c>
      <c r="E36" s="641">
        <v>84</v>
      </c>
      <c r="F36" s="641">
        <v>92</v>
      </c>
      <c r="G36" s="641">
        <v>134</v>
      </c>
      <c r="H36" s="638"/>
      <c r="I36" s="642">
        <f t="shared" ref="I36:L38" si="4">(D36/C36)-1</f>
        <v>0.58064516129032251</v>
      </c>
      <c r="J36" s="642">
        <f t="shared" si="4"/>
        <v>0.71428571428571419</v>
      </c>
      <c r="K36" s="642">
        <f t="shared" si="4"/>
        <v>9.5238095238095344E-2</v>
      </c>
      <c r="L36" s="642">
        <f t="shared" si="4"/>
        <v>0.45652173913043481</v>
      </c>
    </row>
    <row r="37" spans="2:12" ht="15" customHeight="1" x14ac:dyDescent="0.3">
      <c r="B37" s="640" t="s">
        <v>435</v>
      </c>
      <c r="C37" s="641">
        <v>31</v>
      </c>
      <c r="D37" s="641">
        <v>49</v>
      </c>
      <c r="E37" s="641">
        <v>84</v>
      </c>
      <c r="F37" s="641">
        <v>92</v>
      </c>
      <c r="G37" s="641">
        <v>134</v>
      </c>
      <c r="H37" s="638"/>
      <c r="I37" s="642">
        <f t="shared" si="4"/>
        <v>0.58064516129032251</v>
      </c>
      <c r="J37" s="642">
        <f t="shared" si="4"/>
        <v>0.71428571428571419</v>
      </c>
      <c r="K37" s="642">
        <f t="shared" si="4"/>
        <v>9.5238095238095344E-2</v>
      </c>
      <c r="L37" s="642">
        <f t="shared" si="4"/>
        <v>0.45652173913043481</v>
      </c>
    </row>
    <row r="38" spans="2:12" ht="15" customHeight="1" x14ac:dyDescent="0.3">
      <c r="B38" s="640" t="s">
        <v>436</v>
      </c>
      <c r="C38" s="641">
        <v>54.29</v>
      </c>
      <c r="D38" s="641">
        <v>54.29</v>
      </c>
      <c r="E38" s="641">
        <v>67.87</v>
      </c>
      <c r="F38" s="641">
        <v>72.39</v>
      </c>
      <c r="G38" s="641">
        <v>76.92</v>
      </c>
      <c r="H38" s="638"/>
      <c r="I38" s="642">
        <f t="shared" si="4"/>
        <v>0</v>
      </c>
      <c r="J38" s="642">
        <f t="shared" si="4"/>
        <v>0.25013814698839565</v>
      </c>
      <c r="K38" s="642">
        <f t="shared" si="4"/>
        <v>6.6597907764844422E-2</v>
      </c>
      <c r="L38" s="642">
        <f t="shared" si="4"/>
        <v>6.2577704102776632E-2</v>
      </c>
    </row>
    <row r="39" spans="2:12" ht="13.5" customHeight="1" x14ac:dyDescent="0.3">
      <c r="B39" s="638" t="s">
        <v>437</v>
      </c>
      <c r="C39" s="638">
        <v>9.0500000000000007</v>
      </c>
      <c r="D39" s="638">
        <v>9.0500000000000007</v>
      </c>
      <c r="E39" s="638">
        <v>9.0500000000000007</v>
      </c>
      <c r="F39" s="638">
        <v>9.0500000000000007</v>
      </c>
      <c r="G39" s="638">
        <v>9.0500000000000007</v>
      </c>
      <c r="H39" s="638"/>
      <c r="I39" s="638"/>
      <c r="J39" s="638"/>
      <c r="K39" s="638"/>
      <c r="L39" s="638"/>
    </row>
    <row r="40" spans="2:12" ht="13.5" customHeight="1" x14ac:dyDescent="0.3">
      <c r="B40" s="638" t="s">
        <v>438</v>
      </c>
      <c r="C40" s="643">
        <f>C38/C39</f>
        <v>5.9988950276243092</v>
      </c>
      <c r="D40" s="643">
        <f>D38/D39</f>
        <v>5.9988950276243092</v>
      </c>
      <c r="E40" s="643">
        <f>E38/E39</f>
        <v>7.4994475138121546</v>
      </c>
      <c r="F40" s="643">
        <f>F38/F39</f>
        <v>7.9988950276243092</v>
      </c>
      <c r="G40" s="643">
        <f>G38/G39</f>
        <v>8.4994475138121537</v>
      </c>
      <c r="H40" s="638"/>
      <c r="I40" s="638"/>
      <c r="J40" s="638"/>
      <c r="K40" s="638"/>
      <c r="L40" s="638"/>
    </row>
    <row r="41" spans="2:12" x14ac:dyDescent="0.3">
      <c r="B41" s="630"/>
      <c r="C41" s="630"/>
      <c r="D41" s="630"/>
      <c r="E41" s="630"/>
      <c r="F41" s="630"/>
      <c r="G41" s="630"/>
      <c r="H41" s="630"/>
      <c r="I41" s="630"/>
      <c r="J41" s="630"/>
      <c r="K41" s="630"/>
      <c r="L41" s="630"/>
    </row>
    <row r="42" spans="2:12" x14ac:dyDescent="0.3">
      <c r="B42" s="630"/>
      <c r="C42" s="630"/>
      <c r="D42" s="630"/>
      <c r="E42" s="630"/>
      <c r="F42" s="630"/>
      <c r="G42" s="630"/>
      <c r="H42" s="630"/>
      <c r="I42" s="630"/>
      <c r="J42" s="630"/>
      <c r="K42" s="630"/>
      <c r="L42" s="630"/>
    </row>
    <row r="43" spans="2:12" x14ac:dyDescent="0.3">
      <c r="B43" s="630"/>
      <c r="C43" s="630"/>
      <c r="D43" s="630"/>
      <c r="E43" s="630"/>
      <c r="F43" s="630"/>
      <c r="G43" s="630"/>
      <c r="H43" s="630"/>
      <c r="I43" s="630"/>
      <c r="J43" s="630"/>
      <c r="K43" s="630"/>
      <c r="L43" s="630"/>
    </row>
    <row r="44" spans="2:12" x14ac:dyDescent="0.3">
      <c r="B44" s="630"/>
      <c r="C44" s="630"/>
      <c r="D44" s="630"/>
      <c r="E44" s="630"/>
      <c r="F44" s="630"/>
      <c r="G44" s="630"/>
      <c r="H44" s="630"/>
      <c r="I44" s="630"/>
      <c r="J44" s="630"/>
      <c r="K44" s="630"/>
      <c r="L44" s="630"/>
    </row>
    <row r="45" spans="2:12" x14ac:dyDescent="0.3">
      <c r="B45" s="630"/>
      <c r="C45" s="630"/>
      <c r="D45" s="630"/>
      <c r="E45" s="630"/>
      <c r="F45" s="630"/>
      <c r="G45" s="630"/>
      <c r="H45" s="630"/>
      <c r="I45" s="630"/>
      <c r="J45" s="630"/>
      <c r="K45" s="630"/>
      <c r="L45" s="630"/>
    </row>
    <row r="46" spans="2:12" x14ac:dyDescent="0.3">
      <c r="B46" s="630"/>
      <c r="C46" s="630"/>
      <c r="D46" s="630"/>
      <c r="E46" s="630"/>
      <c r="F46" s="630"/>
      <c r="G46" s="630"/>
      <c r="H46" s="630"/>
      <c r="I46" s="630"/>
      <c r="J46" s="630"/>
      <c r="K46" s="630"/>
      <c r="L46" s="630"/>
    </row>
  </sheetData>
  <mergeCells count="1">
    <mergeCell ref="B1:L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52"/>
  <sheetViews>
    <sheetView showGridLines="0" zoomScale="67" zoomScaleNormal="106" workbookViewId="0">
      <pane xSplit="2" ySplit="3" topLeftCell="C4" activePane="bottomRight" state="frozen"/>
      <selection pane="topRight" activeCell="C1" sqref="C1"/>
      <selection pane="bottomLeft" activeCell="A6" sqref="A6"/>
      <selection pane="bottomRight" activeCell="I36" sqref="I36"/>
    </sheetView>
  </sheetViews>
  <sheetFormatPr defaultColWidth="8.6328125" defaultRowHeight="14" x14ac:dyDescent="0.3"/>
  <cols>
    <col min="1" max="1" width="2" style="1" customWidth="1"/>
    <col min="2" max="2" width="46" style="1" customWidth="1"/>
    <col min="3" max="7" width="11" style="1" customWidth="1"/>
    <col min="8" max="8" width="2" style="1" customWidth="1"/>
    <col min="9" max="9" width="8.90625" style="1" customWidth="1"/>
    <col min="10" max="16384" width="8.6328125" style="1"/>
  </cols>
  <sheetData>
    <row r="1" spans="2:9" ht="29.25" customHeight="1" x14ac:dyDescent="0.3">
      <c r="B1" s="644" t="s">
        <v>439</v>
      </c>
      <c r="C1" s="644"/>
      <c r="D1" s="644"/>
      <c r="E1" s="644"/>
      <c r="F1" s="644"/>
      <c r="G1" s="644"/>
      <c r="H1" s="644"/>
      <c r="I1" s="644"/>
    </row>
    <row r="2" spans="2:9" ht="13.5" customHeight="1" x14ac:dyDescent="0.3">
      <c r="B2" s="245" t="s">
        <v>416</v>
      </c>
    </row>
    <row r="3" spans="2:9" s="68" customFormat="1" ht="30" customHeight="1" x14ac:dyDescent="0.35">
      <c r="B3" s="645" t="s">
        <v>248</v>
      </c>
      <c r="C3" s="646">
        <v>44256</v>
      </c>
      <c r="D3" s="646">
        <v>44621</v>
      </c>
      <c r="E3" s="646">
        <v>44986</v>
      </c>
      <c r="F3" s="646">
        <v>45352</v>
      </c>
      <c r="G3" s="646">
        <v>45717</v>
      </c>
      <c r="H3" s="647"/>
      <c r="I3" s="648" t="s">
        <v>420</v>
      </c>
    </row>
    <row r="4" spans="2:9" ht="15" customHeight="1" x14ac:dyDescent="0.3">
      <c r="B4" s="649" t="s">
        <v>286</v>
      </c>
      <c r="C4" s="650"/>
      <c r="D4" s="650"/>
      <c r="E4" s="650"/>
      <c r="F4" s="650"/>
      <c r="G4" s="650"/>
      <c r="H4" s="650"/>
      <c r="I4" s="650"/>
    </row>
    <row r="5" spans="2:9" ht="15" customHeight="1" x14ac:dyDescent="0.3">
      <c r="B5" s="651" t="s">
        <v>287</v>
      </c>
      <c r="C5" s="638"/>
      <c r="D5" s="638"/>
      <c r="E5" s="638"/>
      <c r="F5" s="638"/>
      <c r="G5" s="638"/>
      <c r="H5" s="638"/>
      <c r="I5" s="638"/>
    </row>
    <row r="6" spans="2:9" ht="15" customHeight="1" x14ac:dyDescent="0.3">
      <c r="B6" s="652" t="s">
        <v>288</v>
      </c>
      <c r="C6" s="653">
        <v>18.100000000000001</v>
      </c>
      <c r="D6" s="653">
        <v>18.100000000000001</v>
      </c>
      <c r="E6" s="653">
        <v>18.100000000000001</v>
      </c>
      <c r="F6" s="653">
        <v>18.100000000000001</v>
      </c>
      <c r="G6" s="653">
        <v>18.100000000000001</v>
      </c>
      <c r="H6" s="638"/>
      <c r="I6" s="654">
        <f t="shared" ref="I6:I11" si="0">(G6/F6)-1</f>
        <v>0</v>
      </c>
    </row>
    <row r="7" spans="2:9" ht="15" customHeight="1" x14ac:dyDescent="0.3">
      <c r="B7" s="651" t="s">
        <v>289</v>
      </c>
      <c r="C7" s="655">
        <v>18.100000000000001</v>
      </c>
      <c r="D7" s="655">
        <v>18.100000000000001</v>
      </c>
      <c r="E7" s="655">
        <v>18.100000000000001</v>
      </c>
      <c r="F7" s="655">
        <v>18.100000000000001</v>
      </c>
      <c r="G7" s="655">
        <v>18.100000000000001</v>
      </c>
      <c r="H7" s="638"/>
      <c r="I7" s="656">
        <f t="shared" si="0"/>
        <v>0</v>
      </c>
    </row>
    <row r="8" spans="2:9" ht="15" customHeight="1" x14ac:dyDescent="0.3">
      <c r="B8" s="652" t="s">
        <v>290</v>
      </c>
      <c r="C8" s="653">
        <v>1561.31</v>
      </c>
      <c r="D8" s="653">
        <v>1896.18</v>
      </c>
      <c r="E8" s="653">
        <v>2592.2399999999998</v>
      </c>
      <c r="F8" s="653">
        <v>3287.5</v>
      </c>
      <c r="G8" s="653">
        <v>4368.24</v>
      </c>
      <c r="H8" s="638"/>
      <c r="I8" s="654">
        <f t="shared" si="0"/>
        <v>0.32874220532319387</v>
      </c>
    </row>
    <row r="9" spans="2:9" ht="15" customHeight="1" x14ac:dyDescent="0.3">
      <c r="B9" s="651" t="s">
        <v>291</v>
      </c>
      <c r="C9" s="655">
        <v>1561.31</v>
      </c>
      <c r="D9" s="655">
        <v>1896.18</v>
      </c>
      <c r="E9" s="655">
        <v>2592.2399999999998</v>
      </c>
      <c r="F9" s="655">
        <v>3287.5</v>
      </c>
      <c r="G9" s="655">
        <v>4368.24</v>
      </c>
      <c r="H9" s="638"/>
      <c r="I9" s="656">
        <f t="shared" si="0"/>
        <v>0.32874220532319387</v>
      </c>
    </row>
    <row r="10" spans="2:9" ht="15" customHeight="1" x14ac:dyDescent="0.3">
      <c r="B10" s="651" t="s">
        <v>293</v>
      </c>
      <c r="C10" s="655">
        <v>1579.41</v>
      </c>
      <c r="D10" s="655">
        <v>1914.28</v>
      </c>
      <c r="E10" s="655">
        <v>2610.34</v>
      </c>
      <c r="F10" s="655">
        <v>3305.6</v>
      </c>
      <c r="G10" s="655">
        <v>4386.34</v>
      </c>
      <c r="H10" s="638"/>
      <c r="I10" s="656">
        <f t="shared" si="0"/>
        <v>0.32694215876089072</v>
      </c>
    </row>
    <row r="11" spans="2:9" ht="15" customHeight="1" x14ac:dyDescent="0.3">
      <c r="B11" s="652" t="s">
        <v>429</v>
      </c>
      <c r="C11" s="653">
        <v>62.69</v>
      </c>
      <c r="D11" s="653">
        <v>100.63</v>
      </c>
      <c r="E11" s="653">
        <v>140.36000000000001</v>
      </c>
      <c r="F11" s="653">
        <v>121.65</v>
      </c>
      <c r="G11" s="653">
        <v>150.28</v>
      </c>
      <c r="H11" s="638"/>
      <c r="I11" s="654">
        <f t="shared" si="0"/>
        <v>0.23534730785039049</v>
      </c>
    </row>
    <row r="12" spans="2:9" ht="15" customHeight="1" x14ac:dyDescent="0.3">
      <c r="B12" s="651" t="s">
        <v>295</v>
      </c>
      <c r="C12" s="638"/>
      <c r="D12" s="638"/>
      <c r="E12" s="638"/>
      <c r="F12" s="638"/>
      <c r="G12" s="638"/>
      <c r="H12" s="638"/>
      <c r="I12" s="638"/>
    </row>
    <row r="13" spans="2:9" ht="15" customHeight="1" x14ac:dyDescent="0.3">
      <c r="B13" s="652" t="s">
        <v>440</v>
      </c>
      <c r="C13" s="653">
        <v>433.21</v>
      </c>
      <c r="D13" s="653">
        <v>435.86</v>
      </c>
      <c r="E13" s="653">
        <v>472.71</v>
      </c>
      <c r="F13" s="653">
        <v>583.54999999999995</v>
      </c>
      <c r="G13" s="653">
        <v>393.88</v>
      </c>
      <c r="H13" s="638"/>
      <c r="I13" s="654">
        <f>(G13/F13)-1</f>
        <v>-0.32502784679976005</v>
      </c>
    </row>
    <row r="14" spans="2:9" ht="15" customHeight="1" x14ac:dyDescent="0.3">
      <c r="B14" s="652" t="s">
        <v>441</v>
      </c>
      <c r="C14" s="653">
        <v>116.42</v>
      </c>
      <c r="D14" s="653">
        <v>137.13999999999999</v>
      </c>
      <c r="E14" s="653">
        <v>158.93</v>
      </c>
      <c r="F14" s="653">
        <v>197.78</v>
      </c>
      <c r="G14" s="653">
        <v>218.99</v>
      </c>
      <c r="H14" s="638"/>
      <c r="I14" s="654">
        <f>(G14/F14)-1</f>
        <v>0.10724036808575188</v>
      </c>
    </row>
    <row r="15" spans="2:9" ht="15" customHeight="1" x14ac:dyDescent="0.3">
      <c r="B15" s="652" t="s">
        <v>296</v>
      </c>
      <c r="C15" s="653">
        <v>17.64</v>
      </c>
      <c r="D15" s="653">
        <v>17.510000000000002</v>
      </c>
      <c r="E15" s="653">
        <v>18.95</v>
      </c>
      <c r="F15" s="653">
        <v>23.76</v>
      </c>
      <c r="G15" s="653">
        <v>992.63</v>
      </c>
      <c r="H15" s="638"/>
      <c r="I15" s="654">
        <f>(G15/F15)-1</f>
        <v>40.7773569023569</v>
      </c>
    </row>
    <row r="16" spans="2:9" ht="15" customHeight="1" x14ac:dyDescent="0.3">
      <c r="B16" s="652" t="s">
        <v>297</v>
      </c>
      <c r="C16" s="653">
        <v>0.91</v>
      </c>
      <c r="D16" s="653">
        <v>1</v>
      </c>
      <c r="E16" s="653">
        <v>2.64</v>
      </c>
      <c r="F16" s="653">
        <v>3.44</v>
      </c>
      <c r="G16" s="653">
        <v>5.32</v>
      </c>
      <c r="H16" s="638"/>
      <c r="I16" s="654">
        <f>(G16/F16)-1</f>
        <v>0.54651162790697683</v>
      </c>
    </row>
    <row r="17" spans="2:9" ht="15" customHeight="1" x14ac:dyDescent="0.3">
      <c r="B17" s="651" t="s">
        <v>298</v>
      </c>
      <c r="C17" s="655">
        <v>568.17999999999995</v>
      </c>
      <c r="D17" s="655">
        <v>591.51</v>
      </c>
      <c r="E17" s="655">
        <v>653.23</v>
      </c>
      <c r="F17" s="655">
        <v>808.53</v>
      </c>
      <c r="G17" s="655">
        <v>1610.82</v>
      </c>
      <c r="H17" s="638"/>
      <c r="I17" s="656">
        <f>(G17/F17)-1</f>
        <v>0.99228229008200075</v>
      </c>
    </row>
    <row r="18" spans="2:9" ht="15" customHeight="1" x14ac:dyDescent="0.3">
      <c r="B18" s="651" t="s">
        <v>299</v>
      </c>
      <c r="C18" s="638"/>
      <c r="D18" s="638"/>
      <c r="E18" s="638"/>
      <c r="F18" s="638"/>
      <c r="G18" s="638"/>
      <c r="H18" s="638"/>
      <c r="I18" s="638"/>
    </row>
    <row r="19" spans="2:9" ht="15" customHeight="1" x14ac:dyDescent="0.3">
      <c r="B19" s="652" t="s">
        <v>442</v>
      </c>
      <c r="C19" s="653">
        <v>194.02</v>
      </c>
      <c r="D19" s="653">
        <v>430.25</v>
      </c>
      <c r="E19" s="653">
        <v>696.52</v>
      </c>
      <c r="F19" s="653">
        <v>521.41999999999996</v>
      </c>
      <c r="G19" s="653">
        <v>545.71</v>
      </c>
      <c r="H19" s="638"/>
      <c r="I19" s="654">
        <f t="shared" ref="I19:I24" si="1">(G19/F19)-1</f>
        <v>4.6584327413601523E-2</v>
      </c>
    </row>
    <row r="20" spans="2:9" ht="15" customHeight="1" x14ac:dyDescent="0.3">
      <c r="B20" s="652" t="s">
        <v>300</v>
      </c>
      <c r="C20" s="653">
        <v>286.08</v>
      </c>
      <c r="D20" s="653">
        <v>464.94</v>
      </c>
      <c r="E20" s="653">
        <v>488.48</v>
      </c>
      <c r="F20" s="653">
        <v>552.65</v>
      </c>
      <c r="G20" s="653">
        <v>887.13</v>
      </c>
      <c r="H20" s="638"/>
      <c r="I20" s="654">
        <f t="shared" si="1"/>
        <v>0.60522934949787399</v>
      </c>
    </row>
    <row r="21" spans="2:9" ht="15" customHeight="1" x14ac:dyDescent="0.3">
      <c r="B21" s="652" t="s">
        <v>301</v>
      </c>
      <c r="C21" s="653">
        <v>328.52</v>
      </c>
      <c r="D21" s="653">
        <v>211.23</v>
      </c>
      <c r="E21" s="653">
        <v>433.16</v>
      </c>
      <c r="F21" s="653">
        <v>411.87</v>
      </c>
      <c r="G21" s="653">
        <v>657.18</v>
      </c>
      <c r="H21" s="638"/>
      <c r="I21" s="654">
        <f t="shared" si="1"/>
        <v>0.59560055357272912</v>
      </c>
    </row>
    <row r="22" spans="2:9" ht="15" customHeight="1" x14ac:dyDescent="0.3">
      <c r="B22" s="652" t="s">
        <v>302</v>
      </c>
      <c r="C22" s="653">
        <v>10.81</v>
      </c>
      <c r="D22" s="653">
        <v>11.46</v>
      </c>
      <c r="E22" s="653">
        <v>14.16</v>
      </c>
      <c r="F22" s="653">
        <v>15.48</v>
      </c>
      <c r="G22" s="653">
        <v>23.86</v>
      </c>
      <c r="H22" s="638"/>
      <c r="I22" s="654">
        <f t="shared" si="1"/>
        <v>0.54134366925064592</v>
      </c>
    </row>
    <row r="23" spans="2:9" ht="15" customHeight="1" x14ac:dyDescent="0.3">
      <c r="B23" s="651" t="s">
        <v>303</v>
      </c>
      <c r="C23" s="655">
        <v>819.43</v>
      </c>
      <c r="D23" s="655">
        <v>1117.8800000000001</v>
      </c>
      <c r="E23" s="655">
        <v>1632.32</v>
      </c>
      <c r="F23" s="655">
        <v>1501.42</v>
      </c>
      <c r="G23" s="655">
        <v>2113.88</v>
      </c>
      <c r="H23" s="638"/>
      <c r="I23" s="656">
        <f t="shared" si="1"/>
        <v>0.40792050192484441</v>
      </c>
    </row>
    <row r="24" spans="2:9" ht="15" customHeight="1" x14ac:dyDescent="0.3">
      <c r="B24" s="657" t="s">
        <v>304</v>
      </c>
      <c r="C24" s="658">
        <v>3029.71</v>
      </c>
      <c r="D24" s="658">
        <v>3724.3</v>
      </c>
      <c r="E24" s="658">
        <v>5036.25</v>
      </c>
      <c r="F24" s="658">
        <v>5737.2</v>
      </c>
      <c r="G24" s="658">
        <v>8261.32</v>
      </c>
      <c r="H24" s="638"/>
      <c r="I24" s="659">
        <f t="shared" si="1"/>
        <v>0.43995677333891092</v>
      </c>
    </row>
    <row r="25" spans="2:9" x14ac:dyDescent="0.3">
      <c r="B25" s="630"/>
      <c r="C25" s="630"/>
      <c r="D25" s="630"/>
      <c r="E25" s="630"/>
      <c r="F25" s="630"/>
      <c r="G25" s="630"/>
      <c r="H25" s="630"/>
      <c r="I25" s="630"/>
    </row>
    <row r="26" spans="2:9" ht="15" customHeight="1" x14ac:dyDescent="0.3">
      <c r="B26" s="651" t="s">
        <v>305</v>
      </c>
      <c r="C26" s="638"/>
      <c r="D26" s="638"/>
      <c r="E26" s="638"/>
      <c r="F26" s="638"/>
      <c r="G26" s="638"/>
      <c r="H26" s="638"/>
      <c r="I26" s="638"/>
    </row>
    <row r="27" spans="2:9" ht="15" customHeight="1" x14ac:dyDescent="0.3">
      <c r="B27" s="651" t="s">
        <v>306</v>
      </c>
      <c r="C27" s="638"/>
      <c r="D27" s="638"/>
      <c r="E27" s="638"/>
      <c r="F27" s="638"/>
      <c r="G27" s="638"/>
      <c r="H27" s="638"/>
      <c r="I27" s="638"/>
    </row>
    <row r="28" spans="2:9" ht="15" customHeight="1" x14ac:dyDescent="0.3">
      <c r="B28" s="652" t="s">
        <v>307</v>
      </c>
      <c r="C28" s="653">
        <v>1241.48</v>
      </c>
      <c r="D28" s="653">
        <v>1441.88</v>
      </c>
      <c r="E28" s="653">
        <v>1643.05</v>
      </c>
      <c r="F28" s="653">
        <v>1956.31</v>
      </c>
      <c r="G28" s="653">
        <v>2511.96</v>
      </c>
      <c r="H28" s="638"/>
      <c r="I28" s="654">
        <f t="shared" ref="I28:I36" si="2">(G28/F28)-1</f>
        <v>0.28402962720632208</v>
      </c>
    </row>
    <row r="29" spans="2:9" ht="15" customHeight="1" x14ac:dyDescent="0.3">
      <c r="B29" s="652" t="s">
        <v>308</v>
      </c>
      <c r="C29" s="653">
        <v>36.49</v>
      </c>
      <c r="D29" s="653">
        <v>40.96</v>
      </c>
      <c r="E29" s="653">
        <v>48.12</v>
      </c>
      <c r="F29" s="653">
        <v>41.6</v>
      </c>
      <c r="G29" s="653">
        <v>69.489999999999995</v>
      </c>
      <c r="H29" s="638"/>
      <c r="I29" s="654">
        <f t="shared" si="2"/>
        <v>0.6704326923076922</v>
      </c>
    </row>
    <row r="30" spans="2:9" ht="15" customHeight="1" x14ac:dyDescent="0.3">
      <c r="B30" s="652" t="s">
        <v>309</v>
      </c>
      <c r="C30" s="653">
        <v>282.37</v>
      </c>
      <c r="D30" s="653">
        <v>221.13</v>
      </c>
      <c r="E30" s="653">
        <v>279.39999999999998</v>
      </c>
      <c r="F30" s="653">
        <v>487.36</v>
      </c>
      <c r="G30" s="653">
        <v>703.38</v>
      </c>
      <c r="H30" s="638"/>
      <c r="I30" s="654">
        <f t="shared" si="2"/>
        <v>0.44324523965856866</v>
      </c>
    </row>
    <row r="31" spans="2:9" ht="15" customHeight="1" x14ac:dyDescent="0.3">
      <c r="B31" s="651" t="s">
        <v>311</v>
      </c>
      <c r="C31" s="655">
        <v>1570.85</v>
      </c>
      <c r="D31" s="655">
        <v>1713.21</v>
      </c>
      <c r="E31" s="655">
        <v>1973.2</v>
      </c>
      <c r="F31" s="655">
        <v>2487.6999999999998</v>
      </c>
      <c r="G31" s="655">
        <v>3288.43</v>
      </c>
      <c r="H31" s="638"/>
      <c r="I31" s="656">
        <f t="shared" si="2"/>
        <v>0.32187562809020376</v>
      </c>
    </row>
    <row r="32" spans="2:9" ht="15" customHeight="1" x14ac:dyDescent="0.3">
      <c r="B32" s="652" t="s">
        <v>312</v>
      </c>
      <c r="C32" s="653">
        <v>0.97</v>
      </c>
      <c r="D32" s="653">
        <v>18.22</v>
      </c>
      <c r="E32" s="653">
        <v>78.510000000000005</v>
      </c>
      <c r="F32" s="653">
        <v>156.47</v>
      </c>
      <c r="G32" s="653">
        <v>147.30000000000001</v>
      </c>
      <c r="H32" s="638"/>
      <c r="I32" s="654">
        <f t="shared" si="2"/>
        <v>-5.8605483479261089E-2</v>
      </c>
    </row>
    <row r="33" spans="2:9" ht="15" customHeight="1" x14ac:dyDescent="0.3">
      <c r="B33" s="652" t="s">
        <v>313</v>
      </c>
      <c r="C33" s="653">
        <v>70.290000000000006</v>
      </c>
      <c r="D33" s="653">
        <v>94.88</v>
      </c>
      <c r="E33" s="653">
        <v>127.51</v>
      </c>
      <c r="F33" s="653">
        <v>160.16</v>
      </c>
      <c r="G33" s="653">
        <v>155.78</v>
      </c>
      <c r="H33" s="638"/>
      <c r="I33" s="654">
        <f t="shared" si="2"/>
        <v>-2.7347652347652351E-2</v>
      </c>
    </row>
    <row r="34" spans="2:9" ht="15" customHeight="1" x14ac:dyDescent="0.3">
      <c r="B34" s="652" t="s">
        <v>314</v>
      </c>
      <c r="C34" s="653">
        <v>20.7</v>
      </c>
      <c r="D34" s="653">
        <v>15.8</v>
      </c>
      <c r="E34" s="653">
        <v>17.14</v>
      </c>
      <c r="F34" s="653">
        <v>32.58</v>
      </c>
      <c r="G34" s="653">
        <v>32.549999999999997</v>
      </c>
      <c r="H34" s="638"/>
      <c r="I34" s="654">
        <f t="shared" si="2"/>
        <v>-9.2081031307555961E-4</v>
      </c>
    </row>
    <row r="35" spans="2:9" ht="15" customHeight="1" x14ac:dyDescent="0.3">
      <c r="B35" s="652" t="s">
        <v>315</v>
      </c>
      <c r="C35" s="653">
        <v>131.68</v>
      </c>
      <c r="D35" s="653">
        <v>208.44</v>
      </c>
      <c r="E35" s="653">
        <v>327.88</v>
      </c>
      <c r="F35" s="653">
        <v>222.1</v>
      </c>
      <c r="G35" s="653">
        <v>400.19</v>
      </c>
      <c r="H35" s="638"/>
      <c r="I35" s="654">
        <f t="shared" si="2"/>
        <v>0.8018460153084197</v>
      </c>
    </row>
    <row r="36" spans="2:9" ht="15" customHeight="1" x14ac:dyDescent="0.3">
      <c r="B36" s="651" t="s">
        <v>316</v>
      </c>
      <c r="C36" s="655">
        <v>1804.05</v>
      </c>
      <c r="D36" s="655">
        <v>2060.44</v>
      </c>
      <c r="E36" s="655">
        <v>2534.9</v>
      </c>
      <c r="F36" s="655">
        <v>3088.82</v>
      </c>
      <c r="G36" s="655">
        <v>4134.8100000000004</v>
      </c>
      <c r="H36" s="638"/>
      <c r="I36" s="656">
        <f t="shared" si="2"/>
        <v>0.33863740846018864</v>
      </c>
    </row>
    <row r="37" spans="2:9" ht="15" customHeight="1" x14ac:dyDescent="0.3">
      <c r="B37" s="651" t="s">
        <v>317</v>
      </c>
      <c r="C37" s="638"/>
      <c r="D37" s="638"/>
      <c r="E37" s="638"/>
      <c r="F37" s="638"/>
      <c r="G37" s="638"/>
      <c r="H37" s="638"/>
      <c r="I37" s="638"/>
    </row>
    <row r="38" spans="2:9" ht="15" customHeight="1" x14ac:dyDescent="0.3">
      <c r="B38" s="652" t="s">
        <v>318</v>
      </c>
      <c r="C38" s="653">
        <v>0</v>
      </c>
      <c r="D38" s="653">
        <v>0</v>
      </c>
      <c r="E38" s="653">
        <v>20</v>
      </c>
      <c r="F38" s="653">
        <v>213.44</v>
      </c>
      <c r="G38" s="653">
        <v>528.97</v>
      </c>
      <c r="H38" s="638"/>
      <c r="I38" s="654">
        <f t="shared" ref="I38:I45" si="3">(G38/F38)-1</f>
        <v>1.4783077211394304</v>
      </c>
    </row>
    <row r="39" spans="2:9" ht="15" customHeight="1" x14ac:dyDescent="0.3">
      <c r="B39" s="652" t="s">
        <v>319</v>
      </c>
      <c r="C39" s="653">
        <v>440.49</v>
      </c>
      <c r="D39" s="653">
        <v>718.87</v>
      </c>
      <c r="E39" s="653">
        <v>1097.99</v>
      </c>
      <c r="F39" s="653">
        <v>846.82</v>
      </c>
      <c r="G39" s="653">
        <v>1039.98</v>
      </c>
      <c r="H39" s="638"/>
      <c r="I39" s="654">
        <f t="shared" si="3"/>
        <v>0.22810042275808318</v>
      </c>
    </row>
    <row r="40" spans="2:9" ht="15" customHeight="1" x14ac:dyDescent="0.3">
      <c r="B40" s="652" t="s">
        <v>320</v>
      </c>
      <c r="C40" s="653">
        <v>455.48</v>
      </c>
      <c r="D40" s="653">
        <v>541.1</v>
      </c>
      <c r="E40" s="653">
        <v>825.28</v>
      </c>
      <c r="F40" s="653">
        <v>844.85</v>
      </c>
      <c r="G40" s="653">
        <v>1238.58</v>
      </c>
      <c r="H40" s="638"/>
      <c r="I40" s="654">
        <f t="shared" si="3"/>
        <v>0.46603539089779233</v>
      </c>
    </row>
    <row r="41" spans="2:9" ht="15" customHeight="1" x14ac:dyDescent="0.3">
      <c r="B41" s="652" t="s">
        <v>321</v>
      </c>
      <c r="C41" s="653">
        <v>181.2</v>
      </c>
      <c r="D41" s="653">
        <v>98.75</v>
      </c>
      <c r="E41" s="653">
        <v>260.08999999999997</v>
      </c>
      <c r="F41" s="653">
        <v>287.26</v>
      </c>
      <c r="G41" s="653">
        <v>725.48</v>
      </c>
      <c r="H41" s="638"/>
      <c r="I41" s="654">
        <f t="shared" si="3"/>
        <v>1.5255169532827404</v>
      </c>
    </row>
    <row r="42" spans="2:9" ht="15" customHeight="1" x14ac:dyDescent="0.3">
      <c r="B42" s="652" t="s">
        <v>322</v>
      </c>
      <c r="C42" s="653">
        <v>4.17</v>
      </c>
      <c r="D42" s="653">
        <v>8.23</v>
      </c>
      <c r="E42" s="653">
        <v>11.76</v>
      </c>
      <c r="F42" s="653">
        <v>3.22</v>
      </c>
      <c r="G42" s="653">
        <v>2.09</v>
      </c>
      <c r="H42" s="638"/>
      <c r="I42" s="654">
        <f t="shared" si="3"/>
        <v>-0.35093167701863359</v>
      </c>
    </row>
    <row r="43" spans="2:9" ht="15" customHeight="1" x14ac:dyDescent="0.3">
      <c r="B43" s="652" t="s">
        <v>323</v>
      </c>
      <c r="C43" s="653">
        <v>144.32</v>
      </c>
      <c r="D43" s="653">
        <v>296.91000000000003</v>
      </c>
      <c r="E43" s="653">
        <v>286.23</v>
      </c>
      <c r="F43" s="653">
        <v>452.79</v>
      </c>
      <c r="G43" s="653">
        <v>591.41</v>
      </c>
      <c r="H43" s="638"/>
      <c r="I43" s="654">
        <f t="shared" si="3"/>
        <v>0.3061463371540889</v>
      </c>
    </row>
    <row r="44" spans="2:9" ht="15" customHeight="1" x14ac:dyDescent="0.3">
      <c r="B44" s="651" t="s">
        <v>324</v>
      </c>
      <c r="C44" s="655">
        <v>1225.6600000000001</v>
      </c>
      <c r="D44" s="655">
        <v>1663.86</v>
      </c>
      <c r="E44" s="655">
        <v>2501.35</v>
      </c>
      <c r="F44" s="655">
        <v>2648.38</v>
      </c>
      <c r="G44" s="655">
        <v>4126.51</v>
      </c>
      <c r="H44" s="638"/>
      <c r="I44" s="656">
        <f t="shared" si="3"/>
        <v>0.55812609972889082</v>
      </c>
    </row>
    <row r="45" spans="2:9" ht="15" customHeight="1" x14ac:dyDescent="0.3">
      <c r="B45" s="657" t="s">
        <v>325</v>
      </c>
      <c r="C45" s="658">
        <v>3029.71</v>
      </c>
      <c r="D45" s="658">
        <v>3724.3</v>
      </c>
      <c r="E45" s="658">
        <v>5036.25</v>
      </c>
      <c r="F45" s="658">
        <v>5737.2</v>
      </c>
      <c r="G45" s="658">
        <v>8261.32</v>
      </c>
      <c r="H45" s="638"/>
      <c r="I45" s="659">
        <f t="shared" si="3"/>
        <v>0.43995677333891092</v>
      </c>
    </row>
    <row r="46" spans="2:9" x14ac:dyDescent="0.3">
      <c r="B46" s="630"/>
      <c r="C46" s="630"/>
      <c r="D46" s="630"/>
      <c r="E46" s="630"/>
      <c r="F46" s="630"/>
      <c r="G46" s="630"/>
      <c r="H46" s="630"/>
      <c r="I46" s="630"/>
    </row>
    <row r="47" spans="2:9" ht="15" customHeight="1" x14ac:dyDescent="0.3">
      <c r="B47" s="651" t="s">
        <v>443</v>
      </c>
      <c r="C47" s="638"/>
      <c r="D47" s="638"/>
      <c r="E47" s="638"/>
      <c r="F47" s="638"/>
      <c r="G47" s="638"/>
      <c r="H47" s="638"/>
      <c r="I47" s="638"/>
    </row>
    <row r="48" spans="2:9" ht="15" customHeight="1" x14ac:dyDescent="0.3">
      <c r="B48" s="652" t="s">
        <v>444</v>
      </c>
      <c r="C48" s="653">
        <v>55.36</v>
      </c>
      <c r="D48" s="653">
        <v>53.19</v>
      </c>
      <c r="E48" s="653">
        <v>218.85</v>
      </c>
      <c r="F48" s="653">
        <v>190.78</v>
      </c>
      <c r="G48" s="653">
        <v>449.5</v>
      </c>
      <c r="H48" s="638"/>
      <c r="I48" s="654">
        <f>(G48/F48)-1</f>
        <v>1.3561169933955339</v>
      </c>
    </row>
    <row r="49" spans="2:9" x14ac:dyDescent="0.3">
      <c r="B49" s="630"/>
      <c r="C49" s="630"/>
      <c r="D49" s="630"/>
      <c r="E49" s="630"/>
      <c r="F49" s="630"/>
      <c r="G49" s="630"/>
      <c r="H49" s="630"/>
      <c r="I49" s="630"/>
    </row>
    <row r="50" spans="2:9" x14ac:dyDescent="0.3">
      <c r="B50" s="630"/>
      <c r="C50" s="630"/>
      <c r="D50" s="630"/>
      <c r="E50" s="630"/>
      <c r="F50" s="630"/>
      <c r="G50" s="630"/>
      <c r="H50" s="630"/>
      <c r="I50" s="630"/>
    </row>
    <row r="51" spans="2:9" x14ac:dyDescent="0.3">
      <c r="B51" s="630"/>
      <c r="C51" s="630"/>
      <c r="D51" s="630"/>
      <c r="E51" s="630"/>
      <c r="F51" s="630"/>
      <c r="G51" s="630"/>
      <c r="H51" s="630"/>
      <c r="I51" s="630"/>
    </row>
    <row r="52" spans="2:9" x14ac:dyDescent="0.3">
      <c r="B52" s="630"/>
      <c r="C52" s="630"/>
      <c r="D52" s="630"/>
      <c r="E52" s="630"/>
      <c r="F52" s="630"/>
      <c r="G52" s="630"/>
      <c r="H52" s="630"/>
      <c r="I52" s="630"/>
    </row>
  </sheetData>
  <mergeCells count="1">
    <mergeCell ref="B1:I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I33"/>
  <sheetViews>
    <sheetView zoomScale="74" zoomScaleNormal="96" workbookViewId="0">
      <pane xSplit="2" ySplit="3" topLeftCell="C4" activePane="bottomRight" state="frozen"/>
      <selection pane="topRight" activeCell="C1" sqref="C1"/>
      <selection pane="bottomLeft" activeCell="A9" sqref="A9"/>
      <selection pane="bottomRight" activeCell="K9" sqref="K9"/>
    </sheetView>
  </sheetViews>
  <sheetFormatPr defaultColWidth="8.6328125" defaultRowHeight="14" x14ac:dyDescent="0.3"/>
  <cols>
    <col min="1" max="1" width="2" style="1" customWidth="1"/>
    <col min="2" max="2" width="50" style="1" customWidth="1"/>
    <col min="3" max="7" width="11" style="1" customWidth="1"/>
    <col min="8" max="8" width="2" style="1" customWidth="1"/>
    <col min="9" max="9" width="10.54296875" style="1" customWidth="1"/>
    <col min="10" max="16384" width="8.6328125" style="1"/>
  </cols>
  <sheetData>
    <row r="1" spans="2:9" ht="21.75" customHeight="1" x14ac:dyDescent="0.3">
      <c r="B1" s="664" t="s">
        <v>445</v>
      </c>
      <c r="C1" s="664"/>
      <c r="D1" s="664"/>
      <c r="E1" s="664"/>
      <c r="F1" s="664"/>
      <c r="G1" s="664"/>
      <c r="H1" s="664"/>
      <c r="I1" s="664"/>
    </row>
    <row r="2" spans="2:9" ht="13.5" customHeight="1" x14ac:dyDescent="0.3">
      <c r="B2" s="247" t="s">
        <v>416</v>
      </c>
    </row>
    <row r="3" spans="2:9" ht="26.25" customHeight="1" x14ac:dyDescent="0.3">
      <c r="B3" s="660" t="s">
        <v>248</v>
      </c>
      <c r="C3" s="661">
        <v>44256</v>
      </c>
      <c r="D3" s="661">
        <v>44621</v>
      </c>
      <c r="E3" s="661">
        <v>44986</v>
      </c>
      <c r="F3" s="661">
        <v>45352</v>
      </c>
      <c r="G3" s="661">
        <v>45717</v>
      </c>
      <c r="H3" s="662"/>
      <c r="I3" s="663" t="s">
        <v>420</v>
      </c>
    </row>
    <row r="4" spans="2:9" ht="15" customHeight="1" x14ac:dyDescent="0.3">
      <c r="B4" s="668" t="s">
        <v>446</v>
      </c>
      <c r="C4" s="632"/>
      <c r="D4" s="632"/>
      <c r="E4" s="632"/>
      <c r="F4" s="632"/>
      <c r="G4" s="632"/>
      <c r="H4" s="632"/>
      <c r="I4" s="632"/>
    </row>
    <row r="5" spans="2:9" ht="15" customHeight="1" x14ac:dyDescent="0.3">
      <c r="B5" s="651" t="s">
        <v>447</v>
      </c>
      <c r="C5" s="655">
        <v>397.1</v>
      </c>
      <c r="D5" s="655">
        <v>607.41999999999996</v>
      </c>
      <c r="E5" s="655">
        <v>1101.8499999999999</v>
      </c>
      <c r="F5" s="655">
        <v>1160.93</v>
      </c>
      <c r="G5" s="655">
        <v>1733.19</v>
      </c>
      <c r="H5" s="638"/>
      <c r="I5" s="656">
        <f t="shared" ref="I5:I11" si="0">(G5/F5)-1</f>
        <v>0.49293239041113579</v>
      </c>
    </row>
    <row r="6" spans="2:9" ht="15" customHeight="1" x14ac:dyDescent="0.3">
      <c r="B6" s="652" t="s">
        <v>261</v>
      </c>
      <c r="C6" s="653">
        <v>93.53</v>
      </c>
      <c r="D6" s="653">
        <v>583.39</v>
      </c>
      <c r="E6" s="653">
        <v>128.21</v>
      </c>
      <c r="F6" s="653">
        <v>143.38</v>
      </c>
      <c r="G6" s="653">
        <v>181.5</v>
      </c>
      <c r="H6" s="638"/>
      <c r="I6" s="654">
        <f t="shared" si="0"/>
        <v>0.26586692704700798</v>
      </c>
    </row>
    <row r="7" spans="2:9" ht="15" customHeight="1" x14ac:dyDescent="0.3">
      <c r="B7" s="652" t="s">
        <v>262</v>
      </c>
      <c r="C7" s="653">
        <v>45.39</v>
      </c>
      <c r="D7" s="653">
        <v>109.25</v>
      </c>
      <c r="E7" s="653">
        <v>90.38</v>
      </c>
      <c r="F7" s="653">
        <v>109.37</v>
      </c>
      <c r="G7" s="653">
        <v>116.5</v>
      </c>
      <c r="H7" s="638"/>
      <c r="I7" s="654">
        <f t="shared" si="0"/>
        <v>6.5191551613787979E-2</v>
      </c>
    </row>
    <row r="8" spans="2:9" ht="15" customHeight="1" x14ac:dyDescent="0.3">
      <c r="B8" s="652" t="s">
        <v>448</v>
      </c>
      <c r="C8" s="653">
        <v>-21.42</v>
      </c>
      <c r="D8" s="653">
        <v>-19.66</v>
      </c>
      <c r="E8" s="653">
        <v>-31.52</v>
      </c>
      <c r="F8" s="653">
        <v>-44.47</v>
      </c>
      <c r="G8" s="653">
        <v>-70.83</v>
      </c>
      <c r="H8" s="638"/>
      <c r="I8" s="654">
        <f t="shared" si="0"/>
        <v>0.59275916348099833</v>
      </c>
    </row>
    <row r="9" spans="2:9" ht="15" customHeight="1" x14ac:dyDescent="0.3">
      <c r="B9" s="652" t="s">
        <v>449</v>
      </c>
      <c r="C9" s="653">
        <v>-152.68</v>
      </c>
      <c r="D9" s="653">
        <v>-289.27999999999997</v>
      </c>
      <c r="E9" s="653">
        <v>-412.33</v>
      </c>
      <c r="F9" s="653">
        <v>298.12</v>
      </c>
      <c r="G9" s="653">
        <v>-521.54999999999995</v>
      </c>
      <c r="H9" s="638"/>
      <c r="I9" s="654">
        <f t="shared" si="0"/>
        <v>-2.7494633033677713</v>
      </c>
    </row>
    <row r="10" spans="2:9" ht="15" customHeight="1" x14ac:dyDescent="0.3">
      <c r="B10" s="652" t="s">
        <v>450</v>
      </c>
      <c r="C10" s="653">
        <v>-109.03</v>
      </c>
      <c r="D10" s="653">
        <v>-151.94999999999999</v>
      </c>
      <c r="E10" s="653">
        <v>-290.41000000000003</v>
      </c>
      <c r="F10" s="653">
        <v>-286.05</v>
      </c>
      <c r="G10" s="653">
        <v>-450.81</v>
      </c>
      <c r="H10" s="638"/>
      <c r="I10" s="654">
        <f t="shared" si="0"/>
        <v>0.57598321971683264</v>
      </c>
    </row>
    <row r="11" spans="2:9" ht="15" customHeight="1" x14ac:dyDescent="0.3">
      <c r="B11" s="665" t="s">
        <v>451</v>
      </c>
      <c r="C11" s="666">
        <v>252.89</v>
      </c>
      <c r="D11" s="666">
        <v>839.17</v>
      </c>
      <c r="E11" s="666">
        <v>586.17999999999995</v>
      </c>
      <c r="F11" s="666">
        <v>1381.28</v>
      </c>
      <c r="G11" s="666">
        <v>988</v>
      </c>
      <c r="H11" s="630"/>
      <c r="I11" s="667">
        <f t="shared" si="0"/>
        <v>-0.28472141781535965</v>
      </c>
    </row>
    <row r="12" spans="2:9" x14ac:dyDescent="0.3">
      <c r="B12" s="630"/>
      <c r="C12" s="630"/>
      <c r="D12" s="630"/>
      <c r="E12" s="630"/>
      <c r="F12" s="630"/>
      <c r="G12" s="630"/>
      <c r="H12" s="630"/>
      <c r="I12" s="630"/>
    </row>
    <row r="13" spans="2:9" ht="15" customHeight="1" x14ac:dyDescent="0.3">
      <c r="B13" s="668" t="s">
        <v>452</v>
      </c>
      <c r="C13" s="632"/>
      <c r="D13" s="632"/>
      <c r="E13" s="632"/>
      <c r="F13" s="632"/>
      <c r="G13" s="632"/>
      <c r="H13" s="632"/>
      <c r="I13" s="632"/>
    </row>
    <row r="14" spans="2:9" ht="15" customHeight="1" x14ac:dyDescent="0.3">
      <c r="B14" s="652" t="s">
        <v>453</v>
      </c>
      <c r="C14" s="653">
        <v>-300.52</v>
      </c>
      <c r="D14" s="653">
        <v>-546.75</v>
      </c>
      <c r="E14" s="653">
        <v>-388.17</v>
      </c>
      <c r="F14" s="653">
        <v>-659.88</v>
      </c>
      <c r="G14" s="653">
        <v>-975.31</v>
      </c>
      <c r="H14" s="638"/>
      <c r="I14" s="654">
        <f t="shared" ref="I14:I19" si="1">(G14/F14)-1</f>
        <v>0.47801115354306845</v>
      </c>
    </row>
    <row r="15" spans="2:9" ht="15" customHeight="1" x14ac:dyDescent="0.3">
      <c r="B15" s="652" t="s">
        <v>454</v>
      </c>
      <c r="C15" s="653">
        <v>12.3</v>
      </c>
      <c r="D15" s="653">
        <v>8.4499999999999993</v>
      </c>
      <c r="E15" s="653">
        <v>15.22</v>
      </c>
      <c r="F15" s="653">
        <v>18.600000000000001</v>
      </c>
      <c r="G15" s="653">
        <v>22.15</v>
      </c>
      <c r="H15" s="638"/>
      <c r="I15" s="654">
        <f t="shared" si="1"/>
        <v>0.19086021505376327</v>
      </c>
    </row>
    <row r="16" spans="2:9" ht="15" customHeight="1" x14ac:dyDescent="0.3">
      <c r="B16" s="652" t="s">
        <v>455</v>
      </c>
      <c r="C16" s="653">
        <v>-0.97</v>
      </c>
      <c r="D16" s="653">
        <v>-17.25</v>
      </c>
      <c r="E16" s="653">
        <v>-60.29</v>
      </c>
      <c r="F16" s="653">
        <v>-78.88</v>
      </c>
      <c r="G16" s="653">
        <v>66.64</v>
      </c>
      <c r="H16" s="638"/>
      <c r="I16" s="654">
        <f t="shared" si="1"/>
        <v>-1.8448275862068966</v>
      </c>
    </row>
    <row r="17" spans="2:9" ht="15" customHeight="1" x14ac:dyDescent="0.3">
      <c r="B17" s="652" t="s">
        <v>456</v>
      </c>
      <c r="C17" s="653">
        <v>21.42</v>
      </c>
      <c r="D17" s="653">
        <v>19.66</v>
      </c>
      <c r="E17" s="653">
        <v>31.52</v>
      </c>
      <c r="F17" s="653">
        <v>44.47</v>
      </c>
      <c r="G17" s="653">
        <v>70.83</v>
      </c>
      <c r="H17" s="638"/>
      <c r="I17" s="654">
        <f t="shared" si="1"/>
        <v>0.59275916348099833</v>
      </c>
    </row>
    <row r="18" spans="2:9" ht="15" customHeight="1" x14ac:dyDescent="0.3">
      <c r="B18" s="652" t="s">
        <v>457</v>
      </c>
      <c r="C18" s="653">
        <v>-15.4</v>
      </c>
      <c r="D18" s="653">
        <v>-22.8</v>
      </c>
      <c r="E18" s="653">
        <v>-35.6</v>
      </c>
      <c r="F18" s="653">
        <v>-28.9</v>
      </c>
      <c r="G18" s="653">
        <v>-45.2</v>
      </c>
      <c r="H18" s="638"/>
      <c r="I18" s="654">
        <f t="shared" si="1"/>
        <v>0.56401384083045003</v>
      </c>
    </row>
    <row r="19" spans="2:9" ht="15" customHeight="1" x14ac:dyDescent="0.3">
      <c r="B19" s="665" t="s">
        <v>458</v>
      </c>
      <c r="C19" s="666">
        <v>-283.17</v>
      </c>
      <c r="D19" s="666">
        <v>-558.69000000000005</v>
      </c>
      <c r="E19" s="666">
        <v>-437.32</v>
      </c>
      <c r="F19" s="666">
        <v>-704.59</v>
      </c>
      <c r="G19" s="666">
        <v>-861.09</v>
      </c>
      <c r="H19" s="630"/>
      <c r="I19" s="667">
        <f t="shared" si="1"/>
        <v>0.22211498885876901</v>
      </c>
    </row>
    <row r="20" spans="2:9" x14ac:dyDescent="0.3">
      <c r="B20" s="630"/>
      <c r="C20" s="630"/>
      <c r="D20" s="630"/>
      <c r="E20" s="630"/>
      <c r="F20" s="630"/>
      <c r="G20" s="630"/>
      <c r="H20" s="630"/>
      <c r="I20" s="630"/>
    </row>
    <row r="21" spans="2:9" ht="15" customHeight="1" x14ac:dyDescent="0.3">
      <c r="B21" s="668" t="s">
        <v>459</v>
      </c>
      <c r="C21" s="632"/>
      <c r="D21" s="632"/>
      <c r="E21" s="632"/>
      <c r="F21" s="632"/>
      <c r="G21" s="632"/>
      <c r="H21" s="632"/>
      <c r="I21" s="632"/>
    </row>
    <row r="22" spans="2:9" ht="15" customHeight="1" x14ac:dyDescent="0.3">
      <c r="B22" s="652" t="s">
        <v>460</v>
      </c>
      <c r="C22" s="653">
        <v>215.3</v>
      </c>
      <c r="D22" s="653">
        <v>450.5</v>
      </c>
      <c r="E22" s="653">
        <v>345.8</v>
      </c>
      <c r="F22" s="653">
        <v>236.7</v>
      </c>
      <c r="G22" s="653">
        <v>180.4</v>
      </c>
      <c r="H22" s="638"/>
      <c r="I22" s="654">
        <f>(G22/F22)-1</f>
        <v>-0.23785382340515415</v>
      </c>
    </row>
    <row r="23" spans="2:9" ht="15" customHeight="1" x14ac:dyDescent="0.3">
      <c r="B23" s="652" t="s">
        <v>461</v>
      </c>
      <c r="C23" s="653">
        <v>-178.6</v>
      </c>
      <c r="D23" s="653">
        <v>-212.8</v>
      </c>
      <c r="E23" s="653">
        <v>-283.39999999999998</v>
      </c>
      <c r="F23" s="653">
        <v>-350.6</v>
      </c>
      <c r="G23" s="653">
        <v>-346.04</v>
      </c>
      <c r="H23" s="638"/>
      <c r="I23" s="654">
        <f>(G23/F23)-1</f>
        <v>-1.300627495721618E-2</v>
      </c>
    </row>
    <row r="24" spans="2:9" ht="15" customHeight="1" x14ac:dyDescent="0.3">
      <c r="B24" s="652" t="s">
        <v>462</v>
      </c>
      <c r="C24" s="653">
        <v>-45.39</v>
      </c>
      <c r="D24" s="653">
        <v>-109.25</v>
      </c>
      <c r="E24" s="653">
        <v>-90.38</v>
      </c>
      <c r="F24" s="653">
        <v>-109.37</v>
      </c>
      <c r="G24" s="653">
        <v>-116.5</v>
      </c>
      <c r="H24" s="638"/>
      <c r="I24" s="654">
        <f>(G24/F24)-1</f>
        <v>6.5191551613787979E-2</v>
      </c>
    </row>
    <row r="25" spans="2:9" ht="15" customHeight="1" x14ac:dyDescent="0.3">
      <c r="B25" s="652" t="s">
        <v>463</v>
      </c>
      <c r="C25" s="653">
        <v>-54.29</v>
      </c>
      <c r="D25" s="653">
        <v>-54.29</v>
      </c>
      <c r="E25" s="653">
        <v>-67.87</v>
      </c>
      <c r="F25" s="653">
        <v>-72.39</v>
      </c>
      <c r="G25" s="653">
        <v>-76.92</v>
      </c>
      <c r="H25" s="638"/>
      <c r="I25" s="654">
        <f>(G25/F25)-1</f>
        <v>6.2577704102776632E-2</v>
      </c>
    </row>
    <row r="26" spans="2:9" ht="15" customHeight="1" x14ac:dyDescent="0.3">
      <c r="B26" s="665" t="s">
        <v>464</v>
      </c>
      <c r="C26" s="666">
        <v>-62.98</v>
      </c>
      <c r="D26" s="666">
        <v>74.16</v>
      </c>
      <c r="E26" s="666">
        <v>-95.85</v>
      </c>
      <c r="F26" s="666">
        <v>-295.66000000000003</v>
      </c>
      <c r="G26" s="666">
        <v>-358.66</v>
      </c>
      <c r="H26" s="630"/>
      <c r="I26" s="667">
        <f>(G26/F26)-1</f>
        <v>0.2130825948724886</v>
      </c>
    </row>
    <row r="27" spans="2:9" x14ac:dyDescent="0.3">
      <c r="B27" s="630"/>
      <c r="C27" s="630"/>
      <c r="D27" s="630"/>
      <c r="E27" s="630"/>
      <c r="F27" s="630"/>
      <c r="G27" s="630"/>
      <c r="H27" s="630"/>
      <c r="I27" s="630"/>
    </row>
    <row r="28" spans="2:9" ht="15" customHeight="1" x14ac:dyDescent="0.3">
      <c r="B28" s="651" t="s">
        <v>465</v>
      </c>
      <c r="C28" s="655">
        <v>-93.26</v>
      </c>
      <c r="D28" s="655">
        <v>354.64</v>
      </c>
      <c r="E28" s="655">
        <v>53.01</v>
      </c>
      <c r="F28" s="655">
        <v>381.03</v>
      </c>
      <c r="G28" s="655">
        <v>-231.75</v>
      </c>
      <c r="H28" s="638"/>
      <c r="I28" s="656">
        <f>(G28/F28)-1</f>
        <v>-1.6082198252106132</v>
      </c>
    </row>
    <row r="29" spans="2:9" ht="15" customHeight="1" x14ac:dyDescent="0.3">
      <c r="B29" s="651" t="s">
        <v>466</v>
      </c>
      <c r="C29" s="655">
        <v>274.45999999999998</v>
      </c>
      <c r="D29" s="655">
        <v>181.2</v>
      </c>
      <c r="E29" s="655">
        <v>98.75</v>
      </c>
      <c r="F29" s="655">
        <v>260.08999999999997</v>
      </c>
      <c r="G29" s="655">
        <v>287.26</v>
      </c>
      <c r="H29" s="638"/>
      <c r="I29" s="656">
        <f>(G29/F29)-1</f>
        <v>0.10446383944019377</v>
      </c>
    </row>
    <row r="30" spans="2:9" ht="15" customHeight="1" x14ac:dyDescent="0.3">
      <c r="B30" s="665" t="s">
        <v>467</v>
      </c>
      <c r="C30" s="666">
        <v>181.2</v>
      </c>
      <c r="D30" s="666">
        <v>98.75</v>
      </c>
      <c r="E30" s="666">
        <v>260.08999999999997</v>
      </c>
      <c r="F30" s="666">
        <v>287.26</v>
      </c>
      <c r="G30" s="666">
        <v>725.48</v>
      </c>
      <c r="H30" s="630"/>
      <c r="I30" s="667">
        <f>(G30/F30)-1</f>
        <v>1.5255169532827404</v>
      </c>
    </row>
    <row r="31" spans="2:9" x14ac:dyDescent="0.3">
      <c r="B31" s="630"/>
      <c r="C31" s="630"/>
      <c r="D31" s="630"/>
      <c r="E31" s="630"/>
      <c r="F31" s="630"/>
      <c r="G31" s="630"/>
      <c r="H31" s="630"/>
      <c r="I31" s="630"/>
    </row>
    <row r="32" spans="2:9" x14ac:dyDescent="0.3">
      <c r="B32" s="630"/>
      <c r="C32" s="630"/>
      <c r="D32" s="630"/>
      <c r="E32" s="630"/>
      <c r="F32" s="630"/>
      <c r="G32" s="630"/>
      <c r="H32" s="630"/>
      <c r="I32" s="630"/>
    </row>
    <row r="33" spans="2:9" x14ac:dyDescent="0.3">
      <c r="B33" s="630"/>
      <c r="C33" s="630"/>
      <c r="D33" s="630"/>
      <c r="E33" s="630"/>
      <c r="F33" s="630"/>
      <c r="G33" s="630"/>
      <c r="H33" s="630"/>
      <c r="I33" s="630"/>
    </row>
  </sheetData>
  <mergeCells count="1">
    <mergeCell ref="B1:I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G108"/>
  <sheetViews>
    <sheetView showGridLines="0" zoomScale="64" zoomScaleNormal="64" workbookViewId="0">
      <selection activeCell="L11" sqref="L11"/>
    </sheetView>
  </sheetViews>
  <sheetFormatPr defaultColWidth="8.6328125" defaultRowHeight="14.5" x14ac:dyDescent="0.35"/>
  <cols>
    <col min="1" max="1" width="2.1796875" customWidth="1"/>
    <col min="2" max="2" width="27.54296875" customWidth="1"/>
    <col min="3" max="7" width="16.7265625" customWidth="1"/>
  </cols>
  <sheetData>
    <row r="1" spans="2:7" ht="14.25" customHeight="1" x14ac:dyDescent="0.35">
      <c r="B1" s="669" t="s">
        <v>468</v>
      </c>
      <c r="C1" s="669"/>
      <c r="D1" s="669"/>
      <c r="E1" s="669"/>
      <c r="F1" s="669"/>
      <c r="G1" s="669"/>
    </row>
    <row r="2" spans="2:7" ht="18" customHeight="1" x14ac:dyDescent="0.35">
      <c r="B2" s="669"/>
      <c r="C2" s="669"/>
      <c r="D2" s="669"/>
      <c r="E2" s="669"/>
      <c r="F2" s="669"/>
      <c r="G2" s="669"/>
    </row>
    <row r="4" spans="2:7" s="248" customFormat="1" ht="21" customHeight="1" x14ac:dyDescent="0.35">
      <c r="B4" s="670" t="s">
        <v>246</v>
      </c>
      <c r="C4" s="670">
        <v>2021</v>
      </c>
      <c r="D4" s="670">
        <v>2022</v>
      </c>
      <c r="E4" s="670">
        <v>2023</v>
      </c>
      <c r="F4" s="670">
        <v>2024</v>
      </c>
      <c r="G4" s="670">
        <v>2025</v>
      </c>
    </row>
    <row r="5" spans="2:7" ht="14.25" customHeight="1" x14ac:dyDescent="0.35">
      <c r="B5" s="249" t="s">
        <v>469</v>
      </c>
      <c r="C5" s="250"/>
      <c r="D5" s="250"/>
      <c r="E5" s="250"/>
      <c r="F5" s="250"/>
      <c r="G5" s="250"/>
    </row>
    <row r="6" spans="2:7" ht="14.25" customHeight="1" x14ac:dyDescent="0.35">
      <c r="B6" s="251" t="s">
        <v>354</v>
      </c>
      <c r="C6" s="252">
        <f>'Consolidated Profit &amp; Loss'!C6</f>
        <v>2441.92</v>
      </c>
      <c r="D6" s="252">
        <f>'Consolidated Profit &amp; Loss'!D6</f>
        <v>3828.51</v>
      </c>
      <c r="E6" s="252">
        <f>'Consolidated Profit &amp; Loss'!E6</f>
        <v>6804.35</v>
      </c>
      <c r="F6" s="252">
        <f>'Consolidated Profit &amp; Loss'!F6</f>
        <v>5909.02</v>
      </c>
      <c r="G6" s="252">
        <f>'Consolidated Profit &amp; Loss'!G6</f>
        <v>7360.06</v>
      </c>
    </row>
    <row r="7" spans="2:7" ht="14.25" customHeight="1" x14ac:dyDescent="0.35">
      <c r="B7" s="253" t="s">
        <v>470</v>
      </c>
      <c r="C7" s="254"/>
      <c r="D7" s="254">
        <f>D6/C6-1</f>
        <v>0.56782777486567948</v>
      </c>
      <c r="E7" s="254">
        <f>E6/D6-1</f>
        <v>0.77728411314062118</v>
      </c>
      <c r="F7" s="254">
        <f>F6/E6-1</f>
        <v>-0.13158200268945597</v>
      </c>
      <c r="G7" s="254">
        <f>G6/F6-1</f>
        <v>0.24556356214736108</v>
      </c>
    </row>
    <row r="8" spans="2:7" ht="14.25" customHeight="1" x14ac:dyDescent="0.35">
      <c r="B8" s="251"/>
      <c r="C8" s="251"/>
      <c r="D8" s="251"/>
      <c r="E8" s="251"/>
      <c r="F8" s="251"/>
      <c r="G8" s="251"/>
    </row>
    <row r="9" spans="2:7" ht="14.25" customHeight="1" x14ac:dyDescent="0.35">
      <c r="B9" s="251" t="s">
        <v>471</v>
      </c>
      <c r="C9" s="252">
        <f>'Consolidated Profit &amp; Loss'!C12</f>
        <v>1185.08</v>
      </c>
      <c r="D9" s="252">
        <f>'Consolidated Profit &amp; Loss'!D12</f>
        <v>2065.5300000000002</v>
      </c>
      <c r="E9" s="252">
        <f>'Consolidated Profit &amp; Loss'!E12</f>
        <v>3819.54</v>
      </c>
      <c r="F9" s="252">
        <f>'Consolidated Profit &amp; Loss'!F12</f>
        <v>2709.97</v>
      </c>
      <c r="G9" s="252">
        <f>'Consolidated Profit &amp; Loss'!G12</f>
        <v>3375.36</v>
      </c>
    </row>
    <row r="10" spans="2:7" ht="14.25" customHeight="1" x14ac:dyDescent="0.35">
      <c r="B10" s="253" t="s">
        <v>472</v>
      </c>
      <c r="C10" s="254">
        <f>C9/C6</f>
        <v>0.48530664395229978</v>
      </c>
      <c r="D10" s="254">
        <f>D9/D6</f>
        <v>0.53951276083907318</v>
      </c>
      <c r="E10" s="254">
        <f>E9/E6</f>
        <v>0.56133796762365251</v>
      </c>
      <c r="F10" s="254">
        <f>F9/F6</f>
        <v>0.45861581108204064</v>
      </c>
      <c r="G10" s="254">
        <f>G9/G6</f>
        <v>0.45860495702480686</v>
      </c>
    </row>
    <row r="11" spans="2:7" ht="14.25" customHeight="1" x14ac:dyDescent="0.35">
      <c r="B11" s="251"/>
      <c r="C11" s="251"/>
      <c r="D11" s="251"/>
      <c r="E11" s="251"/>
      <c r="F11" s="251"/>
      <c r="G11" s="251"/>
    </row>
    <row r="12" spans="2:7" ht="14.25" customHeight="1" x14ac:dyDescent="0.35">
      <c r="B12" s="255" t="s">
        <v>473</v>
      </c>
      <c r="C12" s="256">
        <f>C6-C9</f>
        <v>1256.8400000000001</v>
      </c>
      <c r="D12" s="256">
        <f>D6-D9</f>
        <v>1762.98</v>
      </c>
      <c r="E12" s="256">
        <f>E6-E9</f>
        <v>2984.8100000000004</v>
      </c>
      <c r="F12" s="256">
        <f>F6-F9</f>
        <v>3199.0500000000006</v>
      </c>
      <c r="G12" s="256">
        <f>G6-G9</f>
        <v>3984.7000000000003</v>
      </c>
    </row>
    <row r="13" spans="2:7" ht="14.25" customHeight="1" x14ac:dyDescent="0.35">
      <c r="B13" s="253" t="s">
        <v>474</v>
      </c>
      <c r="C13" s="254">
        <f>C12/C6</f>
        <v>0.51469335604770017</v>
      </c>
      <c r="D13" s="254">
        <f>D12/D6</f>
        <v>0.46048723916092682</v>
      </c>
      <c r="E13" s="254">
        <f>E12/E6</f>
        <v>0.43866203237634754</v>
      </c>
      <c r="F13" s="254">
        <f>F12/F6</f>
        <v>0.54138418891795936</v>
      </c>
      <c r="G13" s="254">
        <f>G12/G6</f>
        <v>0.54139504297519314</v>
      </c>
    </row>
    <row r="14" spans="2:7" ht="14.25" customHeight="1" x14ac:dyDescent="0.35">
      <c r="B14" s="251"/>
      <c r="C14" s="251"/>
      <c r="D14" s="251"/>
      <c r="E14" s="251"/>
      <c r="F14" s="251"/>
      <c r="G14" s="257"/>
    </row>
    <row r="15" spans="2:7" ht="14.25" customHeight="1" x14ac:dyDescent="0.35">
      <c r="B15" s="251" t="s">
        <v>475</v>
      </c>
      <c r="C15" s="257">
        <f>'Consolidated Profit &amp; Loss'!C18</f>
        <v>423.62</v>
      </c>
      <c r="D15" s="257">
        <f>'Consolidated Profit &amp; Loss'!D18</f>
        <v>50.25</v>
      </c>
      <c r="E15" s="257">
        <f>'Consolidated Profit &amp; Loss'!E18</f>
        <v>938.52</v>
      </c>
      <c r="F15" s="257">
        <f>'Consolidated Profit &amp; Loss'!F18</f>
        <v>1070.68</v>
      </c>
      <c r="G15" s="257">
        <f>'Consolidated Profit &amp; Loss'!G18</f>
        <v>1072.54</v>
      </c>
    </row>
    <row r="16" spans="2:7" ht="14.25" customHeight="1" x14ac:dyDescent="0.35">
      <c r="B16" s="253" t="s">
        <v>476</v>
      </c>
      <c r="C16" s="254">
        <f>C15/C6</f>
        <v>0.17347824662560607</v>
      </c>
      <c r="D16" s="254">
        <f>D15/D6</f>
        <v>1.3125210591065454E-2</v>
      </c>
      <c r="E16" s="254">
        <f>E15/E6</f>
        <v>0.13792941280210452</v>
      </c>
      <c r="F16" s="254">
        <f>F15/F6</f>
        <v>0.18119417433009197</v>
      </c>
      <c r="G16" s="254">
        <f>G15/G6</f>
        <v>0.14572435550797139</v>
      </c>
    </row>
    <row r="17" spans="2:7" ht="14.25" customHeight="1" x14ac:dyDescent="0.35">
      <c r="B17" s="251"/>
      <c r="C17" s="251"/>
      <c r="D17" s="251"/>
      <c r="E17" s="251"/>
      <c r="F17" s="251"/>
      <c r="G17" s="251"/>
    </row>
    <row r="18" spans="2:7" ht="14.25" customHeight="1" x14ac:dyDescent="0.35">
      <c r="B18" s="255" t="s">
        <v>265</v>
      </c>
      <c r="C18" s="258">
        <f>Assumption!C11</f>
        <v>440.89000000000055</v>
      </c>
      <c r="D18" s="258">
        <f>Assumption!D11</f>
        <v>1161.3000000000002</v>
      </c>
      <c r="E18" s="258">
        <f>Assumption!E11</f>
        <v>1170.7400000000007</v>
      </c>
      <c r="F18" s="258">
        <f>Assumption!F11</f>
        <v>1208.7100000000009</v>
      </c>
      <c r="G18" s="258">
        <f>Assumption!G11</f>
        <v>1780.1599999999999</v>
      </c>
    </row>
    <row r="19" spans="2:7" ht="14.25" customHeight="1" x14ac:dyDescent="0.35">
      <c r="B19" s="253" t="s">
        <v>477</v>
      </c>
      <c r="C19" s="254">
        <f>C18/C6</f>
        <v>0.18055055038658127</v>
      </c>
      <c r="D19" s="254">
        <f>D18/D6</f>
        <v>0.30332949371948881</v>
      </c>
      <c r="E19" s="254">
        <f>E18/E6</f>
        <v>0.1720575808122746</v>
      </c>
      <c r="F19" s="254">
        <f>F18/F6</f>
        <v>0.20455337771745583</v>
      </c>
      <c r="G19" s="254">
        <f>G18/G6</f>
        <v>0.24186759347070536</v>
      </c>
    </row>
    <row r="20" spans="2:7" ht="14.25" customHeight="1" x14ac:dyDescent="0.35">
      <c r="B20" s="251"/>
      <c r="C20" s="251"/>
      <c r="D20" s="251"/>
      <c r="E20" s="251"/>
      <c r="F20" s="251"/>
      <c r="G20" s="251"/>
    </row>
    <row r="21" spans="2:7" ht="14.25" customHeight="1" x14ac:dyDescent="0.35">
      <c r="B21" s="251" t="s">
        <v>478</v>
      </c>
      <c r="C21" s="257">
        <f>'Consolidated Profit &amp; Loss'!C17</f>
        <v>93.53</v>
      </c>
      <c r="D21" s="257">
        <f>'Consolidated Profit &amp; Loss'!D17</f>
        <v>583.39</v>
      </c>
      <c r="E21" s="257">
        <f>'Consolidated Profit &amp; Loss'!E17</f>
        <v>128.21</v>
      </c>
      <c r="F21" s="257">
        <f>'Consolidated Profit &amp; Loss'!F17</f>
        <v>143.38</v>
      </c>
      <c r="G21" s="257">
        <f>'Consolidated Profit &amp; Loss'!G17</f>
        <v>181.5</v>
      </c>
    </row>
    <row r="22" spans="2:7" ht="14.25" customHeight="1" x14ac:dyDescent="0.35">
      <c r="B22" s="253" t="s">
        <v>479</v>
      </c>
      <c r="C22" s="254">
        <f>C21/C6</f>
        <v>3.8301828069715632E-2</v>
      </c>
      <c r="D22" s="254">
        <f>D21/D6</f>
        <v>0.15238042998451093</v>
      </c>
      <c r="E22" s="254">
        <f>E21/E6</f>
        <v>1.8842358197329649E-2</v>
      </c>
      <c r="F22" s="254">
        <f>F21/F6</f>
        <v>2.4264598867494099E-2</v>
      </c>
      <c r="G22" s="254">
        <f>G21/G6</f>
        <v>2.4660125053328368E-2</v>
      </c>
    </row>
    <row r="23" spans="2:7" ht="14.25" customHeight="1" x14ac:dyDescent="0.35">
      <c r="B23" s="253"/>
      <c r="C23" s="254"/>
      <c r="D23" s="254"/>
      <c r="E23" s="254"/>
      <c r="F23" s="254"/>
      <c r="G23" s="254"/>
    </row>
    <row r="24" spans="2:7" ht="14.25" customHeight="1" x14ac:dyDescent="0.35">
      <c r="B24" s="255" t="s">
        <v>267</v>
      </c>
      <c r="C24" s="258">
        <f>Assumption!C13</f>
        <v>347.36000000000058</v>
      </c>
      <c r="D24" s="258">
        <f>Assumption!D13</f>
        <v>577.9100000000002</v>
      </c>
      <c r="E24" s="258">
        <f>Assumption!E13</f>
        <v>1042.5300000000007</v>
      </c>
      <c r="F24" s="258">
        <f>Assumption!F13</f>
        <v>1065.3300000000008</v>
      </c>
      <c r="G24" s="258">
        <f>Assumption!G13</f>
        <v>1598.6599999999999</v>
      </c>
    </row>
    <row r="25" spans="2:7" ht="14.25" customHeight="1" x14ac:dyDescent="0.35">
      <c r="B25" s="253" t="s">
        <v>480</v>
      </c>
      <c r="C25" s="254">
        <f>C24/C6</f>
        <v>0.14224872231686564</v>
      </c>
      <c r="D25" s="254">
        <f>D24/D6</f>
        <v>0.15094906373497788</v>
      </c>
      <c r="E25" s="254">
        <f>E24/E6</f>
        <v>0.15321522261494494</v>
      </c>
      <c r="F25" s="254">
        <f>F24/F6</f>
        <v>0.18028877884996172</v>
      </c>
      <c r="G25" s="254">
        <f>G24/G6</f>
        <v>0.21720746841737701</v>
      </c>
    </row>
    <row r="26" spans="2:7" ht="14.25" customHeight="1" x14ac:dyDescent="0.35">
      <c r="B26" s="251"/>
      <c r="C26" s="251"/>
      <c r="D26" s="251"/>
      <c r="E26" s="251"/>
      <c r="F26" s="251"/>
      <c r="G26" s="251"/>
    </row>
    <row r="27" spans="2:7" ht="14.25" customHeight="1" x14ac:dyDescent="0.35">
      <c r="B27" s="251" t="s">
        <v>356</v>
      </c>
      <c r="C27" s="257">
        <f>'Consolidated Profit &amp; Loss'!C16</f>
        <v>45.39</v>
      </c>
      <c r="D27" s="257">
        <f>'Consolidated Profit &amp; Loss'!D16</f>
        <v>109.25</v>
      </c>
      <c r="E27" s="257">
        <f>'Consolidated Profit &amp; Loss'!E16</f>
        <v>90.38</v>
      </c>
      <c r="F27" s="257">
        <f>'Consolidated Profit &amp; Loss'!F16</f>
        <v>109.37</v>
      </c>
      <c r="G27" s="257">
        <f>'Consolidated Profit &amp; Loss'!G16</f>
        <v>116.5</v>
      </c>
    </row>
    <row r="28" spans="2:7" ht="14.25" customHeight="1" x14ac:dyDescent="0.35">
      <c r="B28" s="253" t="s">
        <v>481</v>
      </c>
      <c r="C28" s="254">
        <f>C27/C6</f>
        <v>1.8587832525226052E-2</v>
      </c>
      <c r="D28" s="254">
        <f>D27/D6</f>
        <v>2.8535905613410961E-2</v>
      </c>
      <c r="E28" s="254">
        <f>E27/E6</f>
        <v>1.3282679462402726E-2</v>
      </c>
      <c r="F28" s="254">
        <f>F27/F6</f>
        <v>1.8508991338665293E-2</v>
      </c>
      <c r="G28" s="254">
        <f>G27/G6</f>
        <v>1.5828675309712149E-2</v>
      </c>
    </row>
    <row r="29" spans="2:7" ht="14.25" customHeight="1" x14ac:dyDescent="0.35">
      <c r="B29" s="253"/>
      <c r="C29" s="254"/>
      <c r="D29" s="254"/>
      <c r="E29" s="254"/>
      <c r="F29" s="254"/>
      <c r="G29" s="254"/>
    </row>
    <row r="30" spans="2:7" ht="14.25" customHeight="1" x14ac:dyDescent="0.35">
      <c r="B30" s="251" t="s">
        <v>254</v>
      </c>
      <c r="C30" s="257">
        <f>'Consolidated Profit &amp; Loss'!C9</f>
        <v>21.42</v>
      </c>
      <c r="D30" s="257">
        <f>'Consolidated Profit &amp; Loss'!D9</f>
        <v>19.66</v>
      </c>
      <c r="E30" s="257">
        <f>'Consolidated Profit &amp; Loss'!E9</f>
        <v>31.52</v>
      </c>
      <c r="F30" s="257">
        <f>'Consolidated Profit &amp; Loss'!F9</f>
        <v>44.47</v>
      </c>
      <c r="G30" s="257">
        <f>'Consolidated Profit &amp; Loss'!G9</f>
        <v>70.83</v>
      </c>
    </row>
    <row r="31" spans="2:7" ht="14.25" customHeight="1" x14ac:dyDescent="0.35">
      <c r="B31" s="251"/>
      <c r="C31" s="251"/>
      <c r="D31" s="251"/>
      <c r="E31" s="251"/>
      <c r="F31" s="251"/>
      <c r="G31" s="251"/>
    </row>
    <row r="32" spans="2:7" ht="14.25" customHeight="1" x14ac:dyDescent="0.35">
      <c r="B32" s="255" t="s">
        <v>482</v>
      </c>
      <c r="C32" s="258">
        <f>IFERROR(C24-C27+C30,0)</f>
        <v>323.39000000000061</v>
      </c>
      <c r="D32" s="258">
        <f>IFERROR(D24-D27+D30,0)</f>
        <v>488.32000000000022</v>
      </c>
      <c r="E32" s="258">
        <f>IFERROR(E24-E27+E30,0)</f>
        <v>983.67000000000064</v>
      </c>
      <c r="F32" s="258">
        <f>IFERROR(F24-F27+F30,0)</f>
        <v>1000.4300000000009</v>
      </c>
      <c r="G32" s="258">
        <f>IFERROR(G24-G27+G30,0)</f>
        <v>1552.9899999999998</v>
      </c>
    </row>
    <row r="33" spans="2:7" ht="14.25" customHeight="1" x14ac:dyDescent="0.35">
      <c r="B33" s="253" t="s">
        <v>483</v>
      </c>
      <c r="C33" s="254">
        <f>C32/C6</f>
        <v>0.13243267592713956</v>
      </c>
      <c r="D33" s="254">
        <f>D32/D6</f>
        <v>0.12754831514087731</v>
      </c>
      <c r="E33" s="254">
        <f>E32/E6</f>
        <v>0.14456487394093492</v>
      </c>
      <c r="F33" s="254">
        <f>F32/F6</f>
        <v>0.16930557012838013</v>
      </c>
      <c r="G33" s="254">
        <f>G32/G6</f>
        <v>0.21100235595905464</v>
      </c>
    </row>
    <row r="34" spans="2:7" ht="14.25" customHeight="1" x14ac:dyDescent="0.35">
      <c r="B34" s="251"/>
      <c r="C34" s="251"/>
      <c r="D34" s="251"/>
      <c r="E34" s="251"/>
      <c r="F34" s="251"/>
      <c r="G34" s="251"/>
    </row>
    <row r="35" spans="2:7" ht="14.25" customHeight="1" x14ac:dyDescent="0.35">
      <c r="B35" s="259" t="s">
        <v>357</v>
      </c>
      <c r="C35" s="259">
        <f>'Consolidated Profit &amp; Loss'!C27</f>
        <v>109.03</v>
      </c>
      <c r="D35" s="259">
        <f>'Consolidated Profit &amp; Loss'!D27</f>
        <v>151.94999999999999</v>
      </c>
      <c r="E35" s="259">
        <f>'Consolidated Profit &amp; Loss'!E27</f>
        <v>290.41000000000003</v>
      </c>
      <c r="F35" s="259">
        <f>'Consolidated Profit &amp; Loss'!F27</f>
        <v>286.05</v>
      </c>
      <c r="G35" s="259">
        <f>'Consolidated Profit &amp; Loss'!G27</f>
        <v>450.81</v>
      </c>
    </row>
    <row r="36" spans="2:7" ht="14.25" customHeight="1" x14ac:dyDescent="0.35">
      <c r="B36" s="253" t="s">
        <v>484</v>
      </c>
      <c r="C36" s="254">
        <f>C35/C32</f>
        <v>0.33714709793128977</v>
      </c>
      <c r="D36" s="254">
        <f>D35/D32</f>
        <v>0.31116890563564858</v>
      </c>
      <c r="E36" s="254">
        <f>E35/E32</f>
        <v>0.29523112425915177</v>
      </c>
      <c r="F36" s="254">
        <f>F35/F32</f>
        <v>0.28592705136791158</v>
      </c>
      <c r="G36" s="254">
        <f>G35/G32</f>
        <v>0.29028519179131873</v>
      </c>
    </row>
    <row r="37" spans="2:7" ht="14.25" customHeight="1" x14ac:dyDescent="0.35">
      <c r="B37" s="251"/>
      <c r="C37" s="251"/>
      <c r="D37" s="251"/>
      <c r="E37" s="251"/>
      <c r="F37" s="251"/>
      <c r="G37" s="251"/>
    </row>
    <row r="38" spans="2:7" ht="14.25" customHeight="1" x14ac:dyDescent="0.35">
      <c r="B38" s="255" t="s">
        <v>358</v>
      </c>
      <c r="C38" s="258">
        <f>Assumption!C20</f>
        <v>202.64000000000061</v>
      </c>
      <c r="D38" s="258">
        <f>Assumption!D20</f>
        <v>322.18000000000018</v>
      </c>
      <c r="E38" s="258">
        <f>Assumption!E20</f>
        <v>639.28000000000065</v>
      </c>
      <c r="F38" s="258">
        <f>Assumption!F20</f>
        <v>675.08000000000084</v>
      </c>
      <c r="G38" s="258">
        <f>Assumption!G20</f>
        <v>1023.6899999999998</v>
      </c>
    </row>
    <row r="39" spans="2:7" ht="14.25" customHeight="1" x14ac:dyDescent="0.35">
      <c r="B39" s="253" t="s">
        <v>485</v>
      </c>
      <c r="C39" s="254">
        <f>C38/C6</f>
        <v>8.2983881535840895E-2</v>
      </c>
      <c r="D39" s="254">
        <f>D38/D6</f>
        <v>8.4152842750835219E-2</v>
      </c>
      <c r="E39" s="254">
        <f>E38/E6</f>
        <v>9.3951663274229075E-2</v>
      </c>
      <c r="F39" s="254">
        <f>F38/F6</f>
        <v>0.11424567864045151</v>
      </c>
      <c r="G39" s="254">
        <f>G38/G6</f>
        <v>0.13908718135449979</v>
      </c>
    </row>
    <row r="40" spans="2:7" ht="14.25" customHeight="1" x14ac:dyDescent="0.35">
      <c r="B40" s="251"/>
      <c r="C40" s="251"/>
      <c r="D40" s="251"/>
      <c r="E40" s="251"/>
      <c r="F40" s="251"/>
      <c r="G40" s="251"/>
    </row>
    <row r="41" spans="2:7" ht="14.25" customHeight="1" x14ac:dyDescent="0.35">
      <c r="B41" s="251" t="s">
        <v>486</v>
      </c>
      <c r="C41" s="259">
        <f>'Consolidated Profit &amp; Loss'!C39</f>
        <v>9.0500000000000007</v>
      </c>
      <c r="D41" s="259">
        <f>'Consolidated Profit &amp; Loss'!D39</f>
        <v>9.0500000000000007</v>
      </c>
      <c r="E41" s="259">
        <f>'Consolidated Profit &amp; Loss'!E39</f>
        <v>9.0500000000000007</v>
      </c>
      <c r="F41" s="259">
        <f>'Consolidated Profit &amp; Loss'!F39</f>
        <v>9.0500000000000007</v>
      </c>
      <c r="G41" s="259">
        <f>'Consolidated Profit &amp; Loss'!G39</f>
        <v>9.0500000000000007</v>
      </c>
    </row>
    <row r="42" spans="2:7" ht="14.25" customHeight="1" x14ac:dyDescent="0.35">
      <c r="B42" s="251"/>
      <c r="C42" s="259"/>
      <c r="D42" s="259"/>
      <c r="E42" s="259"/>
      <c r="F42" s="259"/>
      <c r="G42" s="259"/>
    </row>
    <row r="43" spans="2:7" ht="14.25" customHeight="1" x14ac:dyDescent="0.35">
      <c r="B43" s="251" t="s">
        <v>487</v>
      </c>
      <c r="C43" s="259">
        <f>'Consolidated Profit &amp; Loss'!C37</f>
        <v>31</v>
      </c>
      <c r="D43" s="259">
        <f>'Consolidated Profit &amp; Loss'!D37</f>
        <v>49</v>
      </c>
      <c r="E43" s="259">
        <f>'Consolidated Profit &amp; Loss'!E37</f>
        <v>84</v>
      </c>
      <c r="F43" s="259">
        <f>'Consolidated Profit &amp; Loss'!F37</f>
        <v>92</v>
      </c>
      <c r="G43" s="259">
        <f>'Consolidated Profit &amp; Loss'!G37</f>
        <v>134</v>
      </c>
    </row>
    <row r="44" spans="2:7" ht="14.25" customHeight="1" x14ac:dyDescent="0.35">
      <c r="B44" s="253" t="s">
        <v>488</v>
      </c>
      <c r="C44" s="254"/>
      <c r="D44" s="254">
        <f>IFERROR(D43/C43-1,0)</f>
        <v>0.58064516129032251</v>
      </c>
      <c r="E44" s="254">
        <f>IFERROR(E43/D43-1,0)</f>
        <v>0.71428571428571419</v>
      </c>
      <c r="F44" s="254">
        <f>IFERROR(F43/E43-1,0)</f>
        <v>9.5238095238095344E-2</v>
      </c>
      <c r="G44" s="254">
        <f>IFERROR(G43/F43-1,0)</f>
        <v>0.45652173913043481</v>
      </c>
    </row>
    <row r="45" spans="2:7" ht="14.25" customHeight="1" x14ac:dyDescent="0.35">
      <c r="B45" s="251"/>
      <c r="C45" s="251"/>
      <c r="D45" s="251"/>
      <c r="E45" s="251"/>
      <c r="F45" s="251"/>
      <c r="G45" s="251"/>
    </row>
    <row r="46" spans="2:7" ht="14.25" customHeight="1" x14ac:dyDescent="0.35">
      <c r="B46" s="251" t="s">
        <v>489</v>
      </c>
      <c r="C46" s="259">
        <f>'Consolidated Profit &amp; Loss'!C40</f>
        <v>5.9988950276243092</v>
      </c>
      <c r="D46" s="259">
        <f>'Consolidated Profit &amp; Loss'!D40</f>
        <v>5.9988950276243092</v>
      </c>
      <c r="E46" s="259">
        <f>'Consolidated Profit &amp; Loss'!E40</f>
        <v>7.4994475138121546</v>
      </c>
      <c r="F46" s="259">
        <f>'Consolidated Profit &amp; Loss'!F40</f>
        <v>7.9988950276243092</v>
      </c>
      <c r="G46" s="259">
        <f>'Consolidated Profit &amp; Loss'!G40</f>
        <v>8.4994475138121537</v>
      </c>
    </row>
    <row r="47" spans="2:7" ht="14.25" customHeight="1" x14ac:dyDescent="0.35">
      <c r="B47" s="253" t="s">
        <v>490</v>
      </c>
      <c r="C47" s="254">
        <f>IFERROR(C46/C43,0)</f>
        <v>0.19351274282659062</v>
      </c>
      <c r="D47" s="254">
        <f>IFERROR(D46/D43,0)</f>
        <v>0.12242642913518999</v>
      </c>
      <c r="E47" s="254">
        <f>IFERROR(E46/E43,0)</f>
        <v>8.9279137069192313E-2</v>
      </c>
      <c r="F47" s="254">
        <f>IFERROR(F46/F43,0)</f>
        <v>8.6944511169829444E-2</v>
      </c>
      <c r="G47" s="254">
        <f>IFERROR(G46/G43,0)</f>
        <v>6.3428712789642933E-2</v>
      </c>
    </row>
    <row r="48" spans="2:7" ht="14.25" customHeight="1" x14ac:dyDescent="0.35">
      <c r="B48" s="251"/>
      <c r="C48" s="251"/>
      <c r="D48" s="251"/>
      <c r="E48" s="251"/>
      <c r="F48" s="251"/>
      <c r="G48" s="251"/>
    </row>
    <row r="49" spans="2:7" ht="14.25" customHeight="1" x14ac:dyDescent="0.35">
      <c r="B49" s="253" t="s">
        <v>491</v>
      </c>
      <c r="C49" s="254">
        <f>IFERROR(IF(C43&gt;C46,1-C47,0),0)</f>
        <v>0.80648725717340941</v>
      </c>
      <c r="D49" s="254">
        <f>IFERROR(IF(D43&gt;D46,1-D47,0),0)</f>
        <v>0.87757357086481003</v>
      </c>
      <c r="E49" s="254">
        <f>IFERROR(IF(E43&gt;E46,1-E47,0),0)</f>
        <v>0.91072086293080767</v>
      </c>
      <c r="F49" s="254">
        <f>IFERROR(IF(F43&gt;F46,1-F47,0),0)</f>
        <v>0.91305548883017051</v>
      </c>
      <c r="G49" s="254">
        <f>IFERROR(IF(G43&gt;G46,1-G47,0),0)</f>
        <v>0.9365712872103571</v>
      </c>
    </row>
    <row r="50" spans="2:7" ht="14.25" customHeight="1" x14ac:dyDescent="0.35">
      <c r="B50" s="251"/>
      <c r="C50" s="251"/>
      <c r="D50" s="251"/>
      <c r="E50" s="251"/>
      <c r="F50" s="251"/>
      <c r="G50" s="251"/>
    </row>
    <row r="51" spans="2:7" ht="14.25" customHeight="1" x14ac:dyDescent="0.35">
      <c r="B51" s="260" t="s">
        <v>492</v>
      </c>
      <c r="C51" s="260">
        <f>C4</f>
        <v>2021</v>
      </c>
      <c r="D51" s="260">
        <f>D4</f>
        <v>2022</v>
      </c>
      <c r="E51" s="260">
        <f>E4</f>
        <v>2023</v>
      </c>
      <c r="F51" s="260">
        <f>F4</f>
        <v>2024</v>
      </c>
      <c r="G51" s="260">
        <f>G4</f>
        <v>2025</v>
      </c>
    </row>
    <row r="52" spans="2:7" ht="14.25" customHeight="1" x14ac:dyDescent="0.35">
      <c r="B52" s="261" t="s">
        <v>288</v>
      </c>
      <c r="C52" s="259">
        <f>'Consolidated Balance Sheet'!C7</f>
        <v>18.100000000000001</v>
      </c>
      <c r="D52" s="259">
        <f>'Consolidated Balance Sheet'!D7</f>
        <v>18.100000000000001</v>
      </c>
      <c r="E52" s="259">
        <f>'Consolidated Balance Sheet'!E7</f>
        <v>18.100000000000001</v>
      </c>
      <c r="F52" s="259">
        <f>'Consolidated Balance Sheet'!F7</f>
        <v>18.100000000000001</v>
      </c>
      <c r="G52" s="259">
        <f>'Consolidated Balance Sheet'!G7</f>
        <v>18.100000000000001</v>
      </c>
    </row>
    <row r="53" spans="2:7" ht="14.25" customHeight="1" x14ac:dyDescent="0.35">
      <c r="B53" s="261" t="s">
        <v>493</v>
      </c>
      <c r="C53" s="259">
        <f>'Consolidated Balance Sheet'!C9</f>
        <v>1561.31</v>
      </c>
      <c r="D53" s="259">
        <f>'Consolidated Balance Sheet'!D9</f>
        <v>1896.18</v>
      </c>
      <c r="E53" s="259">
        <f>'Consolidated Balance Sheet'!E9</f>
        <v>2592.2399999999998</v>
      </c>
      <c r="F53" s="259">
        <f>'Consolidated Balance Sheet'!F9</f>
        <v>3287.5</v>
      </c>
      <c r="G53" s="259">
        <f>'Consolidated Balance Sheet'!G9</f>
        <v>4368.24</v>
      </c>
    </row>
    <row r="54" spans="2:7" ht="14.25" customHeight="1" x14ac:dyDescent="0.35">
      <c r="B54" s="261" t="s">
        <v>494</v>
      </c>
      <c r="C54" s="259">
        <f>'Consolidated Balance Sheet'!C13+'Consolidated Balance Sheet'!C19</f>
        <v>627.23</v>
      </c>
      <c r="D54" s="259">
        <f>'Consolidated Balance Sheet'!D13+'Consolidated Balance Sheet'!D19</f>
        <v>866.11</v>
      </c>
      <c r="E54" s="259">
        <f>'Consolidated Balance Sheet'!E13+'Consolidated Balance Sheet'!E19</f>
        <v>1169.23</v>
      </c>
      <c r="F54" s="259">
        <f>'Consolidated Balance Sheet'!F13+'Consolidated Balance Sheet'!F19</f>
        <v>1104.9699999999998</v>
      </c>
      <c r="G54" s="259">
        <f>'Consolidated Balance Sheet'!G13+'Consolidated Balance Sheet'!G19</f>
        <v>939.59</v>
      </c>
    </row>
    <row r="55" spans="2:7" ht="14.25" customHeight="1" x14ac:dyDescent="0.35">
      <c r="B55" s="261" t="s">
        <v>495</v>
      </c>
      <c r="C55" s="259">
        <f>'Consolidated Balance Sheet'!C14+'Consolidated Balance Sheet'!C15+'Consolidated Balance Sheet'!C16+'Consolidated Balance Sheet'!C20+'Consolidated Balance Sheet'!C21+'Consolidated Balance Sheet'!C22</f>
        <v>760.37999999999988</v>
      </c>
      <c r="D55" s="259">
        <f>'Consolidated Balance Sheet'!D14+'Consolidated Balance Sheet'!D15+'Consolidated Balance Sheet'!D16+'Consolidated Balance Sheet'!D20+'Consolidated Balance Sheet'!D21+'Consolidated Balance Sheet'!D22</f>
        <v>843.28</v>
      </c>
      <c r="E55" s="259">
        <f>'Consolidated Balance Sheet'!E14+'Consolidated Balance Sheet'!E15+'Consolidated Balance Sheet'!E16+'Consolidated Balance Sheet'!E20+'Consolidated Balance Sheet'!E21+'Consolidated Balance Sheet'!E22</f>
        <v>1116.3200000000002</v>
      </c>
      <c r="F55" s="259">
        <f>'Consolidated Balance Sheet'!F14+'Consolidated Balance Sheet'!F15+'Consolidated Balance Sheet'!F16+'Consolidated Balance Sheet'!F20+'Consolidated Balance Sheet'!F21+'Consolidated Balance Sheet'!F22</f>
        <v>1204.98</v>
      </c>
      <c r="G55" s="259">
        <f>'Consolidated Balance Sheet'!G14+'Consolidated Balance Sheet'!G15+'Consolidated Balance Sheet'!G16+'Consolidated Balance Sheet'!G20+'Consolidated Balance Sheet'!G21+'Consolidated Balance Sheet'!G22</f>
        <v>2785.1099999999997</v>
      </c>
    </row>
    <row r="56" spans="2:7" ht="14.25" customHeight="1" x14ac:dyDescent="0.35">
      <c r="B56" s="255" t="s">
        <v>496</v>
      </c>
      <c r="C56" s="262">
        <f>'Consolidated Balance Sheet'!C17+'Consolidated Balance Sheet'!C23</f>
        <v>1387.61</v>
      </c>
      <c r="D56" s="262">
        <f>'Consolidated Balance Sheet'!D17+'Consolidated Balance Sheet'!D23</f>
        <v>1709.39</v>
      </c>
      <c r="E56" s="262">
        <f>'Consolidated Balance Sheet'!E17+'Consolidated Balance Sheet'!E23</f>
        <v>2285.5500000000002</v>
      </c>
      <c r="F56" s="262">
        <f>'Consolidated Balance Sheet'!F17+'Consolidated Balance Sheet'!F23</f>
        <v>2309.9499999999998</v>
      </c>
      <c r="G56" s="262">
        <f>'Consolidated Balance Sheet'!G17+'Consolidated Balance Sheet'!G23</f>
        <v>3724.7</v>
      </c>
    </row>
    <row r="57" spans="2:7" ht="14.25" customHeight="1" x14ac:dyDescent="0.35">
      <c r="B57" s="263"/>
      <c r="C57" s="251"/>
      <c r="D57" s="251"/>
      <c r="E57" s="251"/>
      <c r="F57" s="251"/>
      <c r="G57" s="251"/>
    </row>
    <row r="58" spans="2:7" ht="14.25" customHeight="1" x14ac:dyDescent="0.35">
      <c r="B58" s="261" t="s">
        <v>497</v>
      </c>
      <c r="C58" s="259">
        <v>0</v>
      </c>
      <c r="D58" s="259">
        <v>0</v>
      </c>
      <c r="E58" s="259">
        <v>0</v>
      </c>
      <c r="F58" s="259">
        <v>0</v>
      </c>
      <c r="G58" s="259">
        <v>0</v>
      </c>
    </row>
    <row r="59" spans="2:7" ht="14.25" customHeight="1" x14ac:dyDescent="0.35">
      <c r="B59" s="261" t="s">
        <v>498</v>
      </c>
      <c r="C59" s="259">
        <v>0</v>
      </c>
      <c r="D59" s="259">
        <v>0</v>
      </c>
      <c r="E59" s="259">
        <v>0</v>
      </c>
      <c r="F59" s="259">
        <v>0</v>
      </c>
      <c r="G59" s="259">
        <v>0</v>
      </c>
    </row>
    <row r="60" spans="2:7" ht="14.25" customHeight="1" x14ac:dyDescent="0.35">
      <c r="B60" s="261" t="s">
        <v>499</v>
      </c>
      <c r="C60" s="259">
        <v>0</v>
      </c>
      <c r="D60" s="259">
        <v>0</v>
      </c>
      <c r="E60" s="259">
        <v>0</v>
      </c>
      <c r="F60" s="259">
        <v>0</v>
      </c>
      <c r="G60" s="259">
        <v>0</v>
      </c>
    </row>
    <row r="61" spans="2:7" ht="14.25" customHeight="1" x14ac:dyDescent="0.35">
      <c r="B61" s="261" t="s">
        <v>500</v>
      </c>
      <c r="C61" s="259">
        <v>0</v>
      </c>
      <c r="D61" s="259">
        <v>0</v>
      </c>
      <c r="E61" s="259">
        <v>0</v>
      </c>
      <c r="F61" s="259">
        <v>0</v>
      </c>
      <c r="G61" s="259">
        <v>0</v>
      </c>
    </row>
    <row r="62" spans="2:7" ht="14.25" customHeight="1" x14ac:dyDescent="0.35">
      <c r="B62" s="251" t="s">
        <v>501</v>
      </c>
      <c r="C62" s="257">
        <f>SUM(C58:C61)</f>
        <v>0</v>
      </c>
      <c r="D62" s="257">
        <f>SUM(D58:D61)</f>
        <v>0</v>
      </c>
      <c r="E62" s="257">
        <f>SUM(E58:E61)</f>
        <v>0</v>
      </c>
      <c r="F62" s="257">
        <f>SUM(F58:F61)</f>
        <v>0</v>
      </c>
      <c r="G62" s="257">
        <f>SUM(G58:G61)</f>
        <v>0</v>
      </c>
    </row>
    <row r="63" spans="2:7" ht="14.25" customHeight="1" x14ac:dyDescent="0.35">
      <c r="B63" s="263"/>
      <c r="C63" s="251"/>
      <c r="D63" s="251"/>
      <c r="E63" s="251"/>
      <c r="F63" s="251"/>
      <c r="G63" s="251"/>
    </row>
    <row r="64" spans="2:7" ht="14.25" customHeight="1" x14ac:dyDescent="0.35">
      <c r="B64" s="261" t="s">
        <v>502</v>
      </c>
      <c r="C64" s="259">
        <v>0</v>
      </c>
      <c r="D64" s="259">
        <v>0</v>
      </c>
      <c r="E64" s="259">
        <v>0</v>
      </c>
      <c r="F64" s="259">
        <v>0</v>
      </c>
      <c r="G64" s="259">
        <v>0</v>
      </c>
    </row>
    <row r="65" spans="2:7" ht="14.25" customHeight="1" x14ac:dyDescent="0.35">
      <c r="B65" s="261" t="s">
        <v>503</v>
      </c>
      <c r="C65" s="259">
        <v>0</v>
      </c>
      <c r="D65" s="259">
        <v>0</v>
      </c>
      <c r="E65" s="259">
        <v>0</v>
      </c>
      <c r="F65" s="259">
        <v>0</v>
      </c>
      <c r="G65" s="259">
        <v>0</v>
      </c>
    </row>
    <row r="66" spans="2:7" ht="14.25" customHeight="1" x14ac:dyDescent="0.35">
      <c r="B66" s="261" t="s">
        <v>504</v>
      </c>
      <c r="C66" s="259">
        <v>0</v>
      </c>
      <c r="D66" s="259">
        <v>0</v>
      </c>
      <c r="E66" s="259">
        <v>0</v>
      </c>
      <c r="F66" s="259">
        <v>0</v>
      </c>
      <c r="G66" s="259">
        <v>0</v>
      </c>
    </row>
    <row r="67" spans="2:7" ht="14.25" customHeight="1" x14ac:dyDescent="0.35">
      <c r="B67" s="251" t="s">
        <v>505</v>
      </c>
      <c r="C67" s="257">
        <f>IFERROR(SUM(C64:C66),0)</f>
        <v>0</v>
      </c>
      <c r="D67" s="257">
        <f>IFERROR(SUM(D64:D66),0)</f>
        <v>0</v>
      </c>
      <c r="E67" s="257">
        <f>IFERROR(SUM(E64:E66),0)</f>
        <v>0</v>
      </c>
      <c r="F67" s="257">
        <f>IFERROR(SUM(F64:F66),0)</f>
        <v>0</v>
      </c>
      <c r="G67" s="257">
        <f>IFERROR(SUM(G64:G66),0)</f>
        <v>0</v>
      </c>
    </row>
    <row r="68" spans="2:7" ht="14.25" customHeight="1" x14ac:dyDescent="0.35">
      <c r="B68" s="251"/>
      <c r="C68" s="251"/>
      <c r="D68" s="251"/>
      <c r="E68" s="251"/>
      <c r="F68" s="251"/>
      <c r="G68" s="251"/>
    </row>
    <row r="69" spans="2:7" ht="14.25" customHeight="1" x14ac:dyDescent="0.35">
      <c r="B69" s="255" t="s">
        <v>506</v>
      </c>
      <c r="C69" s="258">
        <f>IFERROR(SUM(C62+C67),0)</f>
        <v>0</v>
      </c>
      <c r="D69" s="258">
        <f>IFERROR(SUM(D62+D67),0)</f>
        <v>0</v>
      </c>
      <c r="E69" s="258">
        <f>IFERROR(SUM(E62+E67),0)</f>
        <v>0</v>
      </c>
      <c r="F69" s="258">
        <f>IFERROR(SUM(F62+F67),0)</f>
        <v>0</v>
      </c>
      <c r="G69" s="258">
        <f>IFERROR(SUM(G62+G67),0)</f>
        <v>0</v>
      </c>
    </row>
    <row r="71" spans="2:7" ht="14.25" customHeight="1" x14ac:dyDescent="0.35">
      <c r="B71" s="264"/>
      <c r="C71" s="264"/>
      <c r="D71" s="264"/>
      <c r="E71" s="264"/>
      <c r="F71" s="264"/>
      <c r="G71" s="264"/>
    </row>
    <row r="73" spans="2:7" ht="14.25" customHeight="1" x14ac:dyDescent="0.35">
      <c r="B73" s="265"/>
      <c r="C73" s="266"/>
      <c r="D73" s="266"/>
      <c r="E73" s="266"/>
      <c r="F73" s="266"/>
      <c r="G73" s="266"/>
    </row>
    <row r="74" spans="2:7" ht="14.25" customHeight="1" x14ac:dyDescent="0.35">
      <c r="B74" s="267"/>
    </row>
    <row r="75" spans="2:7" ht="14.25" customHeight="1" x14ac:dyDescent="0.35">
      <c r="B75" s="268"/>
      <c r="C75" s="269"/>
      <c r="D75" s="269"/>
      <c r="E75" s="269"/>
      <c r="F75" s="269"/>
      <c r="G75" s="269"/>
    </row>
    <row r="76" spans="2:7" ht="14.25" customHeight="1" x14ac:dyDescent="0.35">
      <c r="B76" s="268"/>
      <c r="C76" s="269"/>
      <c r="D76" s="269"/>
      <c r="E76" s="269"/>
      <c r="F76" s="269"/>
      <c r="G76" s="269"/>
    </row>
    <row r="77" spans="2:7" ht="14.25" customHeight="1" x14ac:dyDescent="0.35">
      <c r="B77" s="268"/>
      <c r="C77" s="269"/>
      <c r="D77" s="269"/>
      <c r="E77" s="269"/>
      <c r="F77" s="269"/>
      <c r="G77" s="269"/>
    </row>
    <row r="78" spans="2:7" ht="14.25" customHeight="1" x14ac:dyDescent="0.35">
      <c r="B78" s="268"/>
      <c r="C78" s="269"/>
      <c r="D78" s="269"/>
      <c r="E78" s="269"/>
      <c r="F78" s="269"/>
      <c r="G78" s="269"/>
    </row>
    <row r="79" spans="2:7" ht="14.25" customHeight="1" x14ac:dyDescent="0.35">
      <c r="B79" s="268"/>
      <c r="C79" s="269"/>
      <c r="D79" s="269"/>
      <c r="E79" s="269"/>
      <c r="F79" s="269"/>
      <c r="G79" s="269"/>
    </row>
    <row r="80" spans="2:7" ht="14.25" customHeight="1" x14ac:dyDescent="0.35">
      <c r="B80" s="268"/>
      <c r="C80" s="269"/>
      <c r="D80" s="269"/>
      <c r="E80" s="269"/>
      <c r="F80" s="269"/>
      <c r="G80" s="269"/>
    </row>
    <row r="81" spans="2:7" ht="14.25" customHeight="1" x14ac:dyDescent="0.35">
      <c r="B81" s="268"/>
      <c r="C81" s="269"/>
      <c r="D81" s="269"/>
      <c r="E81" s="269"/>
      <c r="F81" s="269"/>
      <c r="G81" s="269"/>
    </row>
    <row r="82" spans="2:7" ht="14.25" customHeight="1" x14ac:dyDescent="0.35">
      <c r="B82" s="268"/>
      <c r="C82" s="269"/>
      <c r="D82" s="269"/>
      <c r="E82" s="269"/>
      <c r="F82" s="269"/>
      <c r="G82" s="269"/>
    </row>
    <row r="83" spans="2:7" ht="14.25" customHeight="1" x14ac:dyDescent="0.35">
      <c r="B83" s="267"/>
      <c r="C83" s="270"/>
      <c r="D83" s="270"/>
      <c r="E83" s="270"/>
      <c r="F83" s="270"/>
      <c r="G83" s="270"/>
    </row>
    <row r="85" spans="2:7" ht="14.25" customHeight="1" x14ac:dyDescent="0.35">
      <c r="B85" s="271"/>
    </row>
    <row r="86" spans="2:7" ht="14.25" customHeight="1" x14ac:dyDescent="0.35">
      <c r="B86" s="268"/>
      <c r="C86" s="269"/>
      <c r="D86" s="269"/>
      <c r="E86" s="269"/>
      <c r="F86" s="269"/>
      <c r="G86" s="269"/>
    </row>
    <row r="87" spans="2:7" ht="14.25" customHeight="1" x14ac:dyDescent="0.35">
      <c r="B87" s="268"/>
      <c r="C87" s="269"/>
      <c r="D87" s="269"/>
      <c r="E87" s="269"/>
      <c r="F87" s="269"/>
      <c r="G87" s="269"/>
    </row>
    <row r="88" spans="2:7" ht="14.25" customHeight="1" x14ac:dyDescent="0.35">
      <c r="B88" s="268"/>
      <c r="C88" s="269"/>
      <c r="D88" s="269"/>
      <c r="E88" s="269"/>
      <c r="F88" s="269"/>
      <c r="G88" s="269"/>
    </row>
    <row r="89" spans="2:7" ht="14.25" customHeight="1" x14ac:dyDescent="0.35">
      <c r="B89" s="268"/>
      <c r="C89" s="269"/>
      <c r="D89" s="269"/>
      <c r="E89" s="269"/>
      <c r="F89" s="269"/>
      <c r="G89" s="269"/>
    </row>
    <row r="90" spans="2:7" ht="14.25" customHeight="1" x14ac:dyDescent="0.35">
      <c r="B90" s="268"/>
      <c r="C90" s="269"/>
      <c r="D90" s="269"/>
      <c r="E90" s="269"/>
      <c r="F90" s="269"/>
      <c r="G90" s="269"/>
    </row>
    <row r="91" spans="2:7" ht="14.25" customHeight="1" x14ac:dyDescent="0.35">
      <c r="B91" s="268"/>
      <c r="C91" s="269"/>
      <c r="D91" s="269"/>
      <c r="E91" s="269"/>
      <c r="F91" s="269"/>
      <c r="G91" s="269"/>
    </row>
    <row r="92" spans="2:7" ht="14.25" customHeight="1" x14ac:dyDescent="0.35">
      <c r="B92" s="268"/>
      <c r="C92" s="269"/>
      <c r="D92" s="269"/>
      <c r="E92" s="269"/>
      <c r="F92" s="269"/>
      <c r="G92" s="269"/>
    </row>
    <row r="93" spans="2:7" ht="14.25" customHeight="1" x14ac:dyDescent="0.35">
      <c r="B93" s="268"/>
      <c r="C93" s="269"/>
      <c r="D93" s="269"/>
      <c r="E93" s="269"/>
      <c r="F93" s="269"/>
      <c r="G93" s="269"/>
    </row>
    <row r="94" spans="2:7" ht="14.25" customHeight="1" x14ac:dyDescent="0.35">
      <c r="B94" s="268"/>
    </row>
    <row r="95" spans="2:7" ht="14.25" customHeight="1" x14ac:dyDescent="0.35">
      <c r="B95" s="267"/>
      <c r="C95" s="270"/>
      <c r="D95" s="270"/>
      <c r="E95" s="270"/>
      <c r="F95" s="270"/>
      <c r="G95" s="270"/>
    </row>
    <row r="96" spans="2:7" ht="14.25" customHeight="1" x14ac:dyDescent="0.35">
      <c r="B96" s="268"/>
    </row>
    <row r="97" spans="2:7" ht="14.25" customHeight="1" x14ac:dyDescent="0.35">
      <c r="B97" s="267"/>
    </row>
    <row r="98" spans="2:7" ht="14.25" customHeight="1" x14ac:dyDescent="0.35">
      <c r="B98" s="268"/>
      <c r="C98" s="269"/>
      <c r="D98" s="269"/>
      <c r="E98" s="269"/>
      <c r="F98" s="269"/>
      <c r="G98" s="269"/>
    </row>
    <row r="99" spans="2:7" ht="14.25" customHeight="1" x14ac:dyDescent="0.35">
      <c r="B99" s="268"/>
      <c r="C99" s="269"/>
      <c r="D99" s="269"/>
      <c r="E99" s="269"/>
      <c r="F99" s="269"/>
      <c r="G99" s="269"/>
    </row>
    <row r="100" spans="2:7" ht="14.25" customHeight="1" x14ac:dyDescent="0.35">
      <c r="B100" s="268"/>
      <c r="C100" s="269"/>
      <c r="D100" s="269"/>
      <c r="E100" s="269"/>
      <c r="F100" s="269"/>
      <c r="G100" s="269"/>
    </row>
    <row r="101" spans="2:7" ht="14.25" customHeight="1" x14ac:dyDescent="0.35">
      <c r="B101" s="268"/>
      <c r="C101" s="269"/>
      <c r="D101" s="269"/>
      <c r="E101" s="269"/>
      <c r="F101" s="269"/>
      <c r="G101" s="269"/>
    </row>
    <row r="102" spans="2:7" ht="14.25" customHeight="1" x14ac:dyDescent="0.35">
      <c r="B102" s="268"/>
      <c r="C102" s="269"/>
      <c r="D102" s="269"/>
      <c r="E102" s="269"/>
      <c r="F102" s="269"/>
      <c r="G102" s="269"/>
    </row>
    <row r="103" spans="2:7" ht="14.25" customHeight="1" x14ac:dyDescent="0.35">
      <c r="B103" s="268"/>
      <c r="C103" s="269"/>
      <c r="D103" s="269"/>
      <c r="E103" s="269"/>
      <c r="F103" s="269"/>
      <c r="G103" s="269"/>
    </row>
    <row r="104" spans="2:7" ht="14.25" customHeight="1" x14ac:dyDescent="0.35">
      <c r="B104" s="268"/>
      <c r="C104" s="269"/>
      <c r="D104" s="269"/>
      <c r="E104" s="269"/>
      <c r="F104" s="269"/>
      <c r="G104" s="269"/>
    </row>
    <row r="105" spans="2:7" ht="14.25" customHeight="1" x14ac:dyDescent="0.35">
      <c r="B105" s="267"/>
      <c r="C105" s="270"/>
      <c r="D105" s="270"/>
      <c r="E105" s="270"/>
      <c r="F105" s="270"/>
      <c r="G105" s="270"/>
    </row>
    <row r="106" spans="2:7" ht="14.25" customHeight="1" x14ac:dyDescent="0.35">
      <c r="B106" s="267"/>
      <c r="C106" s="269"/>
      <c r="D106" s="269"/>
      <c r="E106" s="269"/>
      <c r="F106" s="269"/>
      <c r="G106" s="269"/>
    </row>
    <row r="107" spans="2:7" ht="15" customHeight="1" x14ac:dyDescent="0.35">
      <c r="B107" s="272"/>
      <c r="C107" s="273"/>
      <c r="D107" s="273"/>
      <c r="E107" s="273"/>
      <c r="F107" s="273"/>
      <c r="G107" s="273"/>
    </row>
    <row r="108" spans="2:7" ht="15" customHeight="1" x14ac:dyDescent="0.35"/>
  </sheetData>
  <mergeCells count="1">
    <mergeCell ref="B1:G2"/>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G14"/>
  <sheetViews>
    <sheetView showGridLines="0" zoomScale="117" zoomScaleNormal="128" workbookViewId="0">
      <selection activeCell="H3" sqref="H3"/>
    </sheetView>
  </sheetViews>
  <sheetFormatPr defaultColWidth="8.6328125" defaultRowHeight="14.5" x14ac:dyDescent="0.35"/>
  <cols>
    <col min="1" max="1" width="2.1796875" customWidth="1"/>
    <col min="2" max="2" width="26.26953125" customWidth="1"/>
    <col min="4" max="7" width="12.36328125" customWidth="1"/>
  </cols>
  <sheetData>
    <row r="1" spans="2:7" ht="14.25" customHeight="1" x14ac:dyDescent="0.35">
      <c r="B1" s="677" t="s">
        <v>507</v>
      </c>
      <c r="C1" s="677"/>
      <c r="D1" s="677"/>
      <c r="E1" s="677"/>
      <c r="F1" s="677"/>
      <c r="G1" s="677"/>
    </row>
    <row r="2" spans="2:7" ht="17.25" customHeight="1" x14ac:dyDescent="0.35">
      <c r="B2" s="677"/>
      <c r="C2" s="677"/>
      <c r="D2" s="677"/>
      <c r="E2" s="677"/>
      <c r="F2" s="677"/>
      <c r="G2" s="677"/>
    </row>
    <row r="3" spans="2:7" ht="14.25" customHeight="1" x14ac:dyDescent="0.35">
      <c r="B3" s="674" t="s">
        <v>508</v>
      </c>
      <c r="C3" s="675">
        <v>44256</v>
      </c>
      <c r="D3" s="675">
        <v>44621</v>
      </c>
      <c r="E3" s="675">
        <v>44986</v>
      </c>
      <c r="F3" s="676">
        <v>45352</v>
      </c>
      <c r="G3" s="675">
        <v>45717</v>
      </c>
    </row>
    <row r="4" spans="2:7" ht="14.25" customHeight="1" x14ac:dyDescent="0.35">
      <c r="B4" s="274" t="s">
        <v>509</v>
      </c>
      <c r="C4" s="275"/>
      <c r="D4" s="275">
        <f>C8</f>
        <v>1570.85</v>
      </c>
      <c r="E4" s="275">
        <f>D8</f>
        <v>1534.21</v>
      </c>
      <c r="F4" s="275">
        <f>E8</f>
        <v>1794.17</v>
      </c>
      <c r="G4" s="275">
        <f>F8</f>
        <v>2310.67</v>
      </c>
    </row>
    <row r="5" spans="2:7" ht="14.25" customHeight="1" x14ac:dyDescent="0.35">
      <c r="B5" s="276" t="s">
        <v>510</v>
      </c>
      <c r="C5" s="277">
        <f>-'Consolidated Cash Flow'!C14</f>
        <v>300.52</v>
      </c>
      <c r="D5" s="277">
        <f>-'Consolidated Cash Flow'!D14</f>
        <v>546.75</v>
      </c>
      <c r="E5" s="277">
        <f>-'Consolidated Cash Flow'!E14</f>
        <v>388.17</v>
      </c>
      <c r="F5" s="277">
        <f>-'Consolidated Cash Flow'!F14</f>
        <v>659.88</v>
      </c>
      <c r="G5" s="277">
        <f>-'Consolidated Cash Flow'!G14</f>
        <v>975.31</v>
      </c>
    </row>
    <row r="6" spans="2:7" ht="14.25" customHeight="1" x14ac:dyDescent="0.35">
      <c r="B6" s="276" t="s">
        <v>511</v>
      </c>
      <c r="C6" s="277">
        <f>C7+C8</f>
        <v>1664.3799999999999</v>
      </c>
      <c r="D6" s="277">
        <f>D4+D5</f>
        <v>2117.6</v>
      </c>
      <c r="E6" s="277">
        <f>E4+E5</f>
        <v>1922.38</v>
      </c>
      <c r="F6" s="277">
        <f>F4+F5</f>
        <v>2454.0500000000002</v>
      </c>
      <c r="G6" s="277">
        <f>G4+G5</f>
        <v>3285.98</v>
      </c>
    </row>
    <row r="7" spans="2:7" ht="14.25" customHeight="1" x14ac:dyDescent="0.35">
      <c r="B7" s="276" t="s">
        <v>512</v>
      </c>
      <c r="C7" s="277">
        <f>'Consolidated Profit &amp; Loss'!C17</f>
        <v>93.53</v>
      </c>
      <c r="D7" s="277">
        <f>'Consolidated Profit &amp; Loss'!D17</f>
        <v>583.39</v>
      </c>
      <c r="E7" s="277">
        <f>'Consolidated Profit &amp; Loss'!E17</f>
        <v>128.21</v>
      </c>
      <c r="F7" s="277">
        <f>'Consolidated Profit &amp; Loss'!F17</f>
        <v>143.38</v>
      </c>
      <c r="G7" s="277">
        <f>'Consolidated Profit &amp; Loss'!G17</f>
        <v>181.5</v>
      </c>
    </row>
    <row r="8" spans="2:7" ht="14.25" customHeight="1" x14ac:dyDescent="0.35">
      <c r="B8" s="274" t="s">
        <v>513</v>
      </c>
      <c r="C8" s="275">
        <f>'Consolidated Balance Sheet'!C31</f>
        <v>1570.85</v>
      </c>
      <c r="D8" s="275">
        <f>D4+D5-D7</f>
        <v>1534.21</v>
      </c>
      <c r="E8" s="275">
        <f>E6-E7</f>
        <v>1794.17</v>
      </c>
      <c r="F8" s="275">
        <f>F6-F7</f>
        <v>2310.67</v>
      </c>
      <c r="G8" s="275">
        <f>G6-G7</f>
        <v>3104.48</v>
      </c>
    </row>
    <row r="9" spans="2:7" ht="14.25" customHeight="1" x14ac:dyDescent="0.35">
      <c r="B9" s="278"/>
      <c r="C9" s="278"/>
      <c r="D9" s="278"/>
      <c r="E9" s="278"/>
      <c r="F9" s="278"/>
    </row>
    <row r="10" spans="2:7" ht="14.25" customHeight="1" x14ac:dyDescent="0.35">
      <c r="B10" s="276" t="s">
        <v>514</v>
      </c>
      <c r="C10" s="277"/>
      <c r="D10" s="277">
        <f>D5-D7</f>
        <v>-36.639999999999986</v>
      </c>
      <c r="E10" s="277">
        <f>E5-E7</f>
        <v>259.96000000000004</v>
      </c>
      <c r="F10" s="277">
        <f>F5-F7</f>
        <v>516.5</v>
      </c>
      <c r="G10" s="277">
        <f>G5-G7</f>
        <v>793.81</v>
      </c>
    </row>
    <row r="11" spans="2:7" ht="14.25" customHeight="1" x14ac:dyDescent="0.35">
      <c r="B11" s="274" t="s">
        <v>515</v>
      </c>
      <c r="C11" s="279"/>
      <c r="D11" s="280">
        <f>D10/'Consolidated Profit &amp; Loss'!D8</f>
        <v>-9.2815653015368756E-3</v>
      </c>
      <c r="E11" s="280">
        <f>E10/'Consolidated Profit &amp; Loss'!E8</f>
        <v>3.7552744444588906E-2</v>
      </c>
      <c r="F11" s="280">
        <f>F10/'Consolidated Profit &amp; Loss'!F8</f>
        <v>8.5097338834042885E-2</v>
      </c>
      <c r="G11" s="280">
        <f>G10/'Consolidated Profit &amp; Loss'!G8</f>
        <v>0.10527621063464654</v>
      </c>
    </row>
    <row r="12" spans="2:7" ht="14.25" customHeight="1" x14ac:dyDescent="0.35">
      <c r="B12" s="278"/>
      <c r="C12" s="278"/>
      <c r="D12" s="278"/>
      <c r="E12" s="278"/>
      <c r="F12" s="278"/>
    </row>
    <row r="13" spans="2:7" ht="14.25" customHeight="1" x14ac:dyDescent="0.35">
      <c r="B13" s="274" t="s">
        <v>516</v>
      </c>
      <c r="C13" s="278"/>
      <c r="D13" s="279">
        <f>MEDIAN(D11:G11)</f>
        <v>6.1325041639315896E-2</v>
      </c>
      <c r="E13" s="278"/>
      <c r="F13" s="278"/>
    </row>
    <row r="14" spans="2:7" ht="14.25" customHeight="1" x14ac:dyDescent="0.35">
      <c r="B14" s="274" t="s">
        <v>517</v>
      </c>
      <c r="C14" s="278"/>
      <c r="D14" s="279">
        <f>AVERAGE(D11:G11)</f>
        <v>5.4661182152935361E-2</v>
      </c>
      <c r="E14" s="278"/>
      <c r="F14" s="278"/>
    </row>
  </sheetData>
  <mergeCells count="1">
    <mergeCell ref="B1:G2"/>
  </mergeCells>
  <pageMargins left="0.7" right="0.7" top="0.75" bottom="0.75"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G14"/>
  <sheetViews>
    <sheetView showGridLines="0" zoomScale="122" zoomScaleNormal="122" workbookViewId="0">
      <selection activeCell="E16" sqref="E16"/>
    </sheetView>
  </sheetViews>
  <sheetFormatPr defaultColWidth="8.6328125" defaultRowHeight="14.5" x14ac:dyDescent="0.35"/>
  <cols>
    <col min="1" max="1" width="2.453125" customWidth="1"/>
    <col min="2" max="2" width="24.90625" customWidth="1"/>
    <col min="3" max="3" width="8.08984375" customWidth="1"/>
    <col min="4" max="4" width="8.81640625" customWidth="1"/>
    <col min="5" max="6" width="9.6328125" customWidth="1"/>
    <col min="7" max="7" width="10.36328125" customWidth="1"/>
  </cols>
  <sheetData>
    <row r="1" spans="2:7" ht="14.25" customHeight="1" x14ac:dyDescent="0.35">
      <c r="B1" s="678" t="s">
        <v>518</v>
      </c>
      <c r="C1" s="678"/>
      <c r="D1" s="678"/>
      <c r="E1" s="678"/>
      <c r="F1" s="678"/>
      <c r="G1" s="678"/>
    </row>
    <row r="2" spans="2:7" ht="15" customHeight="1" x14ac:dyDescent="0.35">
      <c r="B2" s="678"/>
      <c r="C2" s="678"/>
      <c r="D2" s="678"/>
      <c r="E2" s="678"/>
      <c r="F2" s="678"/>
      <c r="G2" s="678"/>
    </row>
    <row r="3" spans="2:7" ht="14.25" customHeight="1" x14ac:dyDescent="0.35">
      <c r="B3" s="679" t="s">
        <v>248</v>
      </c>
      <c r="C3" s="680">
        <v>44256</v>
      </c>
      <c r="D3" s="680">
        <v>44621</v>
      </c>
      <c r="E3" s="680">
        <v>44986</v>
      </c>
      <c r="F3" s="680">
        <v>45352</v>
      </c>
      <c r="G3" s="680">
        <v>45717</v>
      </c>
    </row>
    <row r="4" spans="2:7" ht="14.25" customHeight="1" x14ac:dyDescent="0.35">
      <c r="B4" s="251" t="s">
        <v>267</v>
      </c>
      <c r="C4" s="259">
        <f>Assumption!C13</f>
        <v>347.36000000000058</v>
      </c>
      <c r="D4" s="259">
        <f>Assumption!D13</f>
        <v>577.9100000000002</v>
      </c>
      <c r="E4" s="259">
        <f>Assumption!E13</f>
        <v>1042.5300000000007</v>
      </c>
      <c r="F4" s="259">
        <f>Assumption!F13</f>
        <v>1065.3300000000008</v>
      </c>
      <c r="G4" s="259">
        <f>Assumption!G13</f>
        <v>1598.6599999999999</v>
      </c>
    </row>
    <row r="5" spans="2:7" ht="14.25" customHeight="1" x14ac:dyDescent="0.35">
      <c r="B5" s="251" t="s">
        <v>519</v>
      </c>
      <c r="C5" s="281">
        <f>C4*25%</f>
        <v>86.840000000000146</v>
      </c>
      <c r="D5" s="281">
        <f>D4*25%</f>
        <v>144.47750000000005</v>
      </c>
      <c r="E5" s="281">
        <f>E4*25%</f>
        <v>260.63250000000016</v>
      </c>
      <c r="F5" s="281">
        <f>F4*25%</f>
        <v>266.33250000000021</v>
      </c>
      <c r="G5" s="281">
        <f>G4*25%</f>
        <v>399.66499999999996</v>
      </c>
    </row>
    <row r="6" spans="2:7" ht="14.25" customHeight="1" x14ac:dyDescent="0.35">
      <c r="B6" s="251" t="s">
        <v>520</v>
      </c>
      <c r="C6" s="259">
        <f>C4*(1-0.25)</f>
        <v>260.52000000000044</v>
      </c>
      <c r="D6" s="259">
        <f>D4*(1-0.25)</f>
        <v>433.43250000000012</v>
      </c>
      <c r="E6" s="259">
        <f>E4*(1-0.25)</f>
        <v>781.89750000000049</v>
      </c>
      <c r="F6" s="259">
        <f>F4*(1-0.25)</f>
        <v>798.99750000000063</v>
      </c>
      <c r="G6" s="259">
        <f>G4*(1-0.25)</f>
        <v>1198.9949999999999</v>
      </c>
    </row>
    <row r="7" spans="2:7" ht="14.25" customHeight="1" x14ac:dyDescent="0.35">
      <c r="B7" s="251" t="s">
        <v>521</v>
      </c>
      <c r="C7" s="259">
        <f>'Fixed assets scheduled'!C10</f>
        <v>0</v>
      </c>
      <c r="D7" s="259">
        <f>'Fixed assets scheduled'!D10</f>
        <v>-36.639999999999986</v>
      </c>
      <c r="E7" s="259">
        <f>'Fixed assets scheduled'!E10</f>
        <v>259.96000000000004</v>
      </c>
      <c r="F7" s="259">
        <f>'Fixed assets scheduled'!F10</f>
        <v>516.5</v>
      </c>
      <c r="G7" s="259">
        <f>'Fixed assets scheduled'!G10</f>
        <v>793.81</v>
      </c>
    </row>
    <row r="8" spans="2:7" ht="14.25" customHeight="1" x14ac:dyDescent="0.35">
      <c r="B8" s="251" t="s">
        <v>522</v>
      </c>
      <c r="C8" s="259">
        <f>'Change In Working Capital'!C8</f>
        <v>0</v>
      </c>
      <c r="D8" s="259">
        <f>'Change In Working Capital'!D8</f>
        <v>185.13999999999987</v>
      </c>
      <c r="E8" s="259">
        <f>'Change In Working Capital'!E8</f>
        <v>639.76</v>
      </c>
      <c r="F8" s="259">
        <f>'Change In Working Capital'!F8</f>
        <v>-295.77</v>
      </c>
      <c r="G8" s="259">
        <f>'Change In Working Capital'!G8</f>
        <v>252.40999999999985</v>
      </c>
    </row>
    <row r="9" spans="2:7" ht="14.25" customHeight="1" x14ac:dyDescent="0.35">
      <c r="B9" s="251" t="s">
        <v>523</v>
      </c>
      <c r="C9" s="259">
        <f>IFERROR(SUM(C7+C8),0)</f>
        <v>0</v>
      </c>
      <c r="D9" s="259">
        <f>SUM(D7:D8)</f>
        <v>148.49999999999989</v>
      </c>
      <c r="E9" s="259">
        <f>SUM(E7:E8)</f>
        <v>899.72</v>
      </c>
      <c r="F9" s="259">
        <f>SUM(F7:F8)</f>
        <v>220.73000000000002</v>
      </c>
      <c r="G9" s="259">
        <f>SUM(G7:G8)</f>
        <v>1046.2199999999998</v>
      </c>
    </row>
    <row r="10" spans="2:7" ht="15" customHeight="1" x14ac:dyDescent="0.35">
      <c r="B10" s="282" t="s">
        <v>524</v>
      </c>
      <c r="C10" s="283">
        <f>C6-C9</f>
        <v>260.52000000000044</v>
      </c>
      <c r="D10" s="283">
        <f>D6-D9</f>
        <v>284.93250000000023</v>
      </c>
      <c r="E10" s="283">
        <f>E6-E9</f>
        <v>-117.82249999999954</v>
      </c>
      <c r="F10" s="283">
        <f>F6-F9</f>
        <v>578.26750000000061</v>
      </c>
      <c r="G10" s="283">
        <f>G6-G9</f>
        <v>152.77500000000009</v>
      </c>
    </row>
    <row r="11" spans="2:7" ht="15" customHeight="1" x14ac:dyDescent="0.35"/>
    <row r="12" spans="2:7" ht="14.25" customHeight="1" x14ac:dyDescent="0.35">
      <c r="B12" s="284" t="s">
        <v>525</v>
      </c>
      <c r="C12" s="285"/>
      <c r="D12" s="286">
        <f>D9/D6</f>
        <v>0.34261390181862195</v>
      </c>
      <c r="E12" s="286">
        <f>E9/E6</f>
        <v>1.1506879098603071</v>
      </c>
      <c r="F12" s="286">
        <f>F9/F6</f>
        <v>0.27625868666672904</v>
      </c>
      <c r="G12" s="286">
        <f>G9/G6</f>
        <v>0.87258078640861714</v>
      </c>
    </row>
    <row r="13" spans="2:7" ht="14.25" customHeight="1" x14ac:dyDescent="0.35">
      <c r="B13" s="251" t="s">
        <v>526</v>
      </c>
      <c r="C13" s="287">
        <f>IFERROR(MEDIAN(C12:G12),0)</f>
        <v>0.60759734411361954</v>
      </c>
      <c r="D13" s="288"/>
    </row>
    <row r="14" spans="2:7" ht="14.25" customHeight="1" x14ac:dyDescent="0.35">
      <c r="B14" s="251" t="s">
        <v>527</v>
      </c>
      <c r="C14" s="287">
        <f>IFERROR(AVERAGE(C12:G12),0)</f>
        <v>0.66053532118856884</v>
      </c>
      <c r="D14" s="288"/>
      <c r="E14" s="228"/>
    </row>
  </sheetData>
  <mergeCells count="1">
    <mergeCell ref="B1:G2"/>
  </mergeCells>
  <pageMargins left="0.7" right="0.7" top="0.75" bottom="0.75"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12"/>
  <sheetViews>
    <sheetView showGridLines="0" zoomScale="92" zoomScaleNormal="100" workbookViewId="0">
      <selection activeCell="J9" sqref="J9"/>
    </sheetView>
  </sheetViews>
  <sheetFormatPr defaultColWidth="8.6328125" defaultRowHeight="14.5" x14ac:dyDescent="0.35"/>
  <cols>
    <col min="1" max="1" width="2.1796875" customWidth="1"/>
    <col min="2" max="2" width="46.54296875" customWidth="1"/>
  </cols>
  <sheetData>
    <row r="1" spans="2:7" ht="18" customHeight="1" x14ac:dyDescent="0.35">
      <c r="B1" s="681" t="s">
        <v>528</v>
      </c>
      <c r="C1" s="681"/>
      <c r="D1" s="681"/>
      <c r="E1" s="681"/>
      <c r="F1" s="681"/>
      <c r="G1" s="681"/>
    </row>
    <row r="2" spans="2:7" ht="14.25" customHeight="1" x14ac:dyDescent="0.35">
      <c r="B2" s="681"/>
      <c r="C2" s="681"/>
      <c r="D2" s="681"/>
      <c r="E2" s="681"/>
      <c r="F2" s="681"/>
      <c r="G2" s="681"/>
    </row>
    <row r="3" spans="2:7" ht="14.25" customHeight="1" x14ac:dyDescent="0.35">
      <c r="B3" s="671" t="s">
        <v>508</v>
      </c>
      <c r="C3" s="672">
        <v>44256</v>
      </c>
      <c r="D3" s="672">
        <v>44621</v>
      </c>
      <c r="E3" s="672">
        <v>44986</v>
      </c>
      <c r="F3" s="673">
        <v>45352</v>
      </c>
      <c r="G3" s="672">
        <v>45717</v>
      </c>
    </row>
    <row r="4" spans="2:7" ht="14.25" customHeight="1" x14ac:dyDescent="0.35">
      <c r="B4" s="274" t="s">
        <v>529</v>
      </c>
      <c r="C4" s="275">
        <f>'Consolidated Balance Sheet'!C39</f>
        <v>440.49</v>
      </c>
      <c r="D4" s="275">
        <f>'Consolidated Balance Sheet'!D39</f>
        <v>718.87</v>
      </c>
      <c r="E4" s="275">
        <f>'Consolidated Balance Sheet'!E39</f>
        <v>1097.99</v>
      </c>
      <c r="F4" s="275">
        <f>'Consolidated Balance Sheet'!F39</f>
        <v>846.82</v>
      </c>
      <c r="G4" s="275">
        <f>'Consolidated Balance Sheet'!G39</f>
        <v>1039.98</v>
      </c>
    </row>
    <row r="5" spans="2:7" ht="14.25" customHeight="1" x14ac:dyDescent="0.35">
      <c r="B5" s="274" t="s">
        <v>530</v>
      </c>
      <c r="C5" s="275">
        <f>'Consolidated Balance Sheet'!C40</f>
        <v>455.48</v>
      </c>
      <c r="D5" s="275">
        <f>'Consolidated Balance Sheet'!D40</f>
        <v>541.1</v>
      </c>
      <c r="E5" s="275">
        <f>'Consolidated Balance Sheet'!E40</f>
        <v>825.28</v>
      </c>
      <c r="F5" s="275">
        <f>'Consolidated Balance Sheet'!F40</f>
        <v>844.85</v>
      </c>
      <c r="G5" s="275">
        <f>'Consolidated Balance Sheet'!G40</f>
        <v>1238.58</v>
      </c>
    </row>
    <row r="6" spans="2:7" ht="14.25" customHeight="1" x14ac:dyDescent="0.35">
      <c r="B6" s="274" t="s">
        <v>531</v>
      </c>
      <c r="C6" s="275">
        <f>'Consolidated Balance Sheet'!C20</f>
        <v>286.08</v>
      </c>
      <c r="D6" s="275">
        <f>'Consolidated Balance Sheet'!D20</f>
        <v>464.94</v>
      </c>
      <c r="E6" s="275">
        <f>'Consolidated Balance Sheet'!E20</f>
        <v>488.48</v>
      </c>
      <c r="F6" s="275">
        <f>'Consolidated Balance Sheet'!F20</f>
        <v>552.65</v>
      </c>
      <c r="G6" s="275">
        <f>'Consolidated Balance Sheet'!G20</f>
        <v>887.13</v>
      </c>
    </row>
    <row r="7" spans="2:7" ht="14.25" customHeight="1" x14ac:dyDescent="0.35">
      <c r="B7" s="274" t="s">
        <v>532</v>
      </c>
      <c r="C7" s="275">
        <f>C4+C5-C6</f>
        <v>609.8900000000001</v>
      </c>
      <c r="D7" s="275">
        <f>D4+D5-D6</f>
        <v>795.03</v>
      </c>
      <c r="E7" s="275">
        <f>E4+E5-E6</f>
        <v>1434.79</v>
      </c>
      <c r="F7" s="275">
        <f>F4+F5-F6</f>
        <v>1139.02</v>
      </c>
      <c r="G7" s="275">
        <f>G4+G5-G6</f>
        <v>1391.4299999999998</v>
      </c>
    </row>
    <row r="8" spans="2:7" ht="14.25" customHeight="1" x14ac:dyDescent="0.35">
      <c r="B8" s="276" t="s">
        <v>533</v>
      </c>
      <c r="C8" s="275"/>
      <c r="D8" s="275">
        <f>D7-C7</f>
        <v>185.13999999999987</v>
      </c>
      <c r="E8" s="275">
        <f>E7-D7</f>
        <v>639.76</v>
      </c>
      <c r="F8" s="275">
        <f>F7-E7</f>
        <v>-295.77</v>
      </c>
      <c r="G8" s="275">
        <f>G7-F7</f>
        <v>252.40999999999985</v>
      </c>
    </row>
    <row r="9" spans="2:7" ht="14.25" customHeight="1" x14ac:dyDescent="0.35">
      <c r="B9" s="274" t="s">
        <v>534</v>
      </c>
      <c r="C9" s="279"/>
      <c r="D9" s="279">
        <f>D8/'Consolidated Profit &amp; Loss'!C6</f>
        <v>7.5817389595072671E-2</v>
      </c>
      <c r="E9" s="279">
        <f>E8/'Consolidated Profit &amp; Loss'!D6</f>
        <v>0.16710417368636885</v>
      </c>
      <c r="F9" s="279">
        <f>F8/'Consolidated Profit &amp; Loss'!E6</f>
        <v>-4.346778163968637E-2</v>
      </c>
      <c r="G9" s="279">
        <f>G8/'Consolidated Profit &amp; Loss'!F6</f>
        <v>4.2716051054151084E-2</v>
      </c>
    </row>
    <row r="10" spans="2:7" ht="14.25" customHeight="1" x14ac:dyDescent="0.35">
      <c r="B10" s="278"/>
      <c r="C10" s="278"/>
      <c r="D10" s="278"/>
      <c r="E10" s="278"/>
      <c r="F10" s="278"/>
    </row>
    <row r="11" spans="2:7" ht="14.25" customHeight="1" x14ac:dyDescent="0.35">
      <c r="B11" s="274" t="s">
        <v>535</v>
      </c>
      <c r="C11" s="278"/>
      <c r="D11" s="279">
        <f>MEDIAN(D9:G9)</f>
        <v>5.9266720324611874E-2</v>
      </c>
      <c r="E11" s="278"/>
      <c r="F11" s="278"/>
    </row>
    <row r="12" spans="2:7" ht="14.25" customHeight="1" x14ac:dyDescent="0.35">
      <c r="B12" s="274" t="s">
        <v>536</v>
      </c>
      <c r="C12" s="278"/>
      <c r="D12" s="279">
        <f>AVERAGE(D9:G9)</f>
        <v>6.0542458173976556E-2</v>
      </c>
      <c r="E12" s="278"/>
      <c r="F12" s="278"/>
    </row>
  </sheetData>
  <mergeCells count="1">
    <mergeCell ref="B1:G2"/>
  </mergeCells>
  <pageMargins left="0.7" right="0.7" top="0.75" bottom="0.75"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O29"/>
  <sheetViews>
    <sheetView showGridLines="0" zoomScale="95" zoomScaleNormal="95" workbookViewId="0">
      <selection activeCell="K6" sqref="K6"/>
    </sheetView>
  </sheetViews>
  <sheetFormatPr defaultColWidth="8.7265625" defaultRowHeight="14" x14ac:dyDescent="0.3"/>
  <cols>
    <col min="1" max="1" width="2.1796875" style="1" customWidth="1"/>
    <col min="2" max="2" width="7.36328125" style="1" customWidth="1"/>
    <col min="3" max="3" width="13.54296875" style="1" customWidth="1"/>
    <col min="4" max="4" width="8.7265625" style="1"/>
    <col min="5" max="5" width="19.54296875" style="1" customWidth="1"/>
    <col min="6" max="16384" width="8.7265625" style="1"/>
  </cols>
  <sheetData>
    <row r="1" spans="2:7" ht="13.5" customHeight="1" x14ac:dyDescent="0.3">
      <c r="B1" s="682" t="s">
        <v>537</v>
      </c>
      <c r="C1" s="682"/>
    </row>
    <row r="2" spans="2:7" ht="13.5" customHeight="1" x14ac:dyDescent="0.3">
      <c r="B2" s="682"/>
      <c r="C2" s="682"/>
    </row>
    <row r="3" spans="2:7" ht="13.5" customHeight="1" x14ac:dyDescent="0.3">
      <c r="B3" s="683" t="s">
        <v>538</v>
      </c>
      <c r="C3" s="684" t="s">
        <v>539</v>
      </c>
    </row>
    <row r="4" spans="2:7" ht="14.25" customHeight="1" x14ac:dyDescent="0.35">
      <c r="B4" s="289">
        <v>2025</v>
      </c>
      <c r="C4" s="290">
        <v>0.1051</v>
      </c>
      <c r="E4" s="291" t="s">
        <v>540</v>
      </c>
      <c r="F4" s="292">
        <f>AVERAGE(C4:C29)</f>
        <v>0.15149230769230765</v>
      </c>
      <c r="G4" s="293" t="s">
        <v>539</v>
      </c>
    </row>
    <row r="5" spans="2:7" ht="14.25" customHeight="1" x14ac:dyDescent="0.35">
      <c r="B5" s="289">
        <v>2024</v>
      </c>
      <c r="C5" s="290">
        <v>8.7499999999999994E-2</v>
      </c>
      <c r="E5" s="294" t="s">
        <v>541</v>
      </c>
      <c r="F5" s="295">
        <v>1.2999999999999999E-2</v>
      </c>
      <c r="G5" s="293" t="s">
        <v>542</v>
      </c>
    </row>
    <row r="6" spans="2:7" ht="13.5" customHeight="1" x14ac:dyDescent="0.3">
      <c r="B6" s="289">
        <v>2023</v>
      </c>
      <c r="C6" s="290">
        <v>0.19420000000000001</v>
      </c>
      <c r="E6" s="296" t="s">
        <v>543</v>
      </c>
      <c r="F6" s="297">
        <f>SUM(F4:F5)</f>
        <v>0.16449230769230766</v>
      </c>
    </row>
    <row r="7" spans="2:7" ht="13.5" customHeight="1" x14ac:dyDescent="0.3">
      <c r="B7" s="289">
        <v>2022</v>
      </c>
      <c r="C7" s="290">
        <v>4.3200000000000002E-2</v>
      </c>
      <c r="E7" s="298"/>
    </row>
    <row r="8" spans="2:7" ht="13.5" customHeight="1" x14ac:dyDescent="0.3">
      <c r="B8" s="289">
        <v>2021</v>
      </c>
      <c r="C8" s="290">
        <v>0.2412</v>
      </c>
    </row>
    <row r="9" spans="2:7" ht="13.5" customHeight="1" x14ac:dyDescent="0.3">
      <c r="B9" s="289">
        <v>2020</v>
      </c>
      <c r="C9" s="290">
        <v>0.14899999999999999</v>
      </c>
    </row>
    <row r="10" spans="2:7" ht="13.5" customHeight="1" x14ac:dyDescent="0.3">
      <c r="B10" s="289">
        <v>2019</v>
      </c>
      <c r="C10" s="290">
        <v>0.1202</v>
      </c>
    </row>
    <row r="11" spans="2:7" ht="13.5" customHeight="1" x14ac:dyDescent="0.3">
      <c r="B11" s="289">
        <v>2018</v>
      </c>
      <c r="C11" s="290">
        <v>3.15E-2</v>
      </c>
    </row>
    <row r="12" spans="2:7" ht="13.5" customHeight="1" x14ac:dyDescent="0.3">
      <c r="B12" s="289">
        <v>2017</v>
      </c>
      <c r="C12" s="290">
        <v>0.28649999999999998</v>
      </c>
    </row>
    <row r="13" spans="2:7" ht="13.5" customHeight="1" x14ac:dyDescent="0.3">
      <c r="B13" s="289">
        <v>2016</v>
      </c>
      <c r="C13" s="290">
        <v>3.0099999999999998E-2</v>
      </c>
    </row>
    <row r="14" spans="2:7" ht="13.5" customHeight="1" x14ac:dyDescent="0.3">
      <c r="B14" s="289">
        <v>2015</v>
      </c>
      <c r="C14" s="290">
        <v>-4.0599999999999997E-2</v>
      </c>
    </row>
    <row r="15" spans="2:7" ht="13.5" customHeight="1" x14ac:dyDescent="0.3">
      <c r="B15" s="289">
        <v>2014</v>
      </c>
      <c r="C15" s="290">
        <v>0.31390000000000001</v>
      </c>
    </row>
    <row r="16" spans="2:7" ht="13.5" customHeight="1" x14ac:dyDescent="0.3">
      <c r="B16" s="289">
        <v>2013</v>
      </c>
      <c r="C16" s="290">
        <v>6.7599999999999993E-2</v>
      </c>
    </row>
    <row r="17" spans="2:15" ht="13.5" customHeight="1" x14ac:dyDescent="0.3">
      <c r="B17" s="289">
        <v>2012</v>
      </c>
      <c r="C17" s="290">
        <v>0.27700000000000002</v>
      </c>
    </row>
    <row r="18" spans="2:15" ht="13.5" customHeight="1" x14ac:dyDescent="0.3">
      <c r="B18" s="289">
        <v>2011</v>
      </c>
      <c r="C18" s="290">
        <v>-0.2462</v>
      </c>
    </row>
    <row r="19" spans="2:15" ht="13.5" customHeight="1" x14ac:dyDescent="0.3">
      <c r="B19" s="289">
        <v>2010</v>
      </c>
      <c r="C19" s="290">
        <v>0.17949999999999999</v>
      </c>
    </row>
    <row r="20" spans="2:15" ht="13.5" customHeight="1" x14ac:dyDescent="0.3">
      <c r="B20" s="289">
        <v>2009</v>
      </c>
      <c r="C20" s="290">
        <v>0.75760000000000005</v>
      </c>
    </row>
    <row r="21" spans="2:15" ht="13.5" customHeight="1" x14ac:dyDescent="0.3">
      <c r="B21" s="289">
        <v>2008</v>
      </c>
      <c r="C21" s="290">
        <v>-0.51790000000000003</v>
      </c>
    </row>
    <row r="22" spans="2:15" ht="13.5" customHeight="1" x14ac:dyDescent="0.3">
      <c r="B22" s="289">
        <v>2007</v>
      </c>
      <c r="C22" s="290">
        <v>0.54769999999999996</v>
      </c>
    </row>
    <row r="23" spans="2:15" ht="13.5" customHeight="1" x14ac:dyDescent="0.3">
      <c r="B23" s="289">
        <v>2006</v>
      </c>
      <c r="C23" s="290">
        <v>0.39829999999999999</v>
      </c>
    </row>
    <row r="24" spans="2:15" ht="13.5" customHeight="1" x14ac:dyDescent="0.3">
      <c r="B24" s="289">
        <v>2005</v>
      </c>
      <c r="C24" s="290">
        <v>0.3634</v>
      </c>
    </row>
    <row r="25" spans="2:15" ht="13.5" customHeight="1" x14ac:dyDescent="0.3">
      <c r="B25" s="289">
        <v>2004</v>
      </c>
      <c r="C25" s="290">
        <v>0.10680000000000001</v>
      </c>
    </row>
    <row r="26" spans="2:15" ht="13.5" customHeight="1" x14ac:dyDescent="0.3">
      <c r="B26" s="289">
        <v>2003</v>
      </c>
      <c r="C26" s="290">
        <v>0.71899999999999997</v>
      </c>
    </row>
    <row r="27" spans="2:15" ht="13.5" customHeight="1" x14ac:dyDescent="0.3">
      <c r="B27" s="289">
        <v>2002</v>
      </c>
      <c r="C27" s="290">
        <v>3.2500000000000001E-2</v>
      </c>
    </row>
    <row r="28" spans="2:15" ht="13.5" customHeight="1" x14ac:dyDescent="0.3">
      <c r="B28" s="289">
        <v>2001</v>
      </c>
      <c r="C28" s="290">
        <v>-0.1618</v>
      </c>
      <c r="D28" s="299"/>
      <c r="E28" s="300"/>
      <c r="F28" s="299"/>
      <c r="G28" s="301"/>
      <c r="H28" s="299"/>
      <c r="I28" s="299"/>
      <c r="J28" s="299"/>
      <c r="K28" s="300"/>
      <c r="L28" s="301"/>
      <c r="M28" s="301"/>
      <c r="N28" s="299"/>
      <c r="O28" s="299"/>
    </row>
    <row r="29" spans="2:15" ht="13.5" customHeight="1" x14ac:dyDescent="0.3">
      <c r="B29" s="289">
        <v>2000</v>
      </c>
      <c r="C29" s="290">
        <v>-0.14649999999999999</v>
      </c>
      <c r="D29" s="301"/>
      <c r="E29" s="299"/>
      <c r="F29" s="299"/>
      <c r="G29" s="299"/>
      <c r="H29" s="301"/>
      <c r="I29" s="299"/>
      <c r="J29" s="301"/>
      <c r="K29" s="299"/>
      <c r="L29" s="299"/>
      <c r="M29" s="301"/>
      <c r="N29" s="299"/>
      <c r="O29" s="299"/>
    </row>
  </sheetData>
  <mergeCells count="1">
    <mergeCell ref="B1:C2"/>
  </mergeCells>
  <hyperlinks>
    <hyperlink ref="G4" r:id="rId1" xr:uid="{00000000-0004-0000-1000-000000000000}"/>
    <hyperlink ref="G5" r:id="rId2" xr:uid="{00000000-0004-0000-1000-000001000000}"/>
  </hyperlink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H38"/>
  <sheetViews>
    <sheetView showGridLines="0" zoomScale="85" zoomScaleNormal="85" workbookViewId="0">
      <selection activeCell="D16" sqref="D16"/>
    </sheetView>
  </sheetViews>
  <sheetFormatPr defaultColWidth="8.7265625" defaultRowHeight="14" x14ac:dyDescent="0.3"/>
  <cols>
    <col min="1" max="1" width="3.453125" style="1" customWidth="1"/>
    <col min="2" max="2" width="28.81640625" style="1" customWidth="1"/>
    <col min="3" max="3" width="12.08984375" style="1" customWidth="1"/>
    <col min="4" max="4" width="41.1796875" style="1" customWidth="1"/>
    <col min="5" max="5" width="18.81640625" style="1" customWidth="1"/>
    <col min="6" max="6" width="8.7265625" style="1"/>
    <col min="7" max="7" width="24.26953125" style="1" customWidth="1"/>
    <col min="8" max="8" width="20" style="1" customWidth="1"/>
    <col min="9" max="16384" width="8.7265625" style="1"/>
  </cols>
  <sheetData>
    <row r="1" spans="2:5" ht="27.75" customHeight="1" x14ac:dyDescent="0.3">
      <c r="B1" s="685" t="s">
        <v>544</v>
      </c>
      <c r="C1" s="685"/>
    </row>
    <row r="3" spans="2:5" ht="15" customHeight="1" x14ac:dyDescent="0.35">
      <c r="B3" s="686" t="s">
        <v>545</v>
      </c>
      <c r="C3" s="686"/>
    </row>
    <row r="4" spans="2:5" s="243" customFormat="1" ht="14.25" customHeight="1" x14ac:dyDescent="0.35">
      <c r="B4" s="302" t="s">
        <v>546</v>
      </c>
      <c r="C4" s="303">
        <v>46157</v>
      </c>
    </row>
    <row r="5" spans="2:5" ht="13.5" customHeight="1" x14ac:dyDescent="0.3">
      <c r="B5" s="304"/>
      <c r="C5" s="305"/>
    </row>
    <row r="6" spans="2:5" ht="15" customHeight="1" x14ac:dyDescent="0.35">
      <c r="B6" s="687" t="s">
        <v>547</v>
      </c>
      <c r="C6" s="688"/>
    </row>
    <row r="7" spans="2:5" ht="13.5" customHeight="1" x14ac:dyDescent="0.3">
      <c r="B7" s="304" t="s">
        <v>548</v>
      </c>
      <c r="C7" s="306">
        <v>7.0900000000000005E-2</v>
      </c>
      <c r="D7" s="307" t="s">
        <v>549</v>
      </c>
      <c r="E7" s="308"/>
    </row>
    <row r="8" spans="2:5" ht="13.5" customHeight="1" x14ac:dyDescent="0.3">
      <c r="B8" s="304" t="s">
        <v>550</v>
      </c>
      <c r="C8" s="306">
        <v>1.8700000000000001E-2</v>
      </c>
      <c r="D8" s="309" t="s">
        <v>551</v>
      </c>
      <c r="E8" s="308"/>
    </row>
    <row r="9" spans="2:5" ht="13.5" customHeight="1" x14ac:dyDescent="0.3">
      <c r="B9" s="304" t="s">
        <v>552</v>
      </c>
      <c r="C9" s="310">
        <f>Beta!K9</f>
        <v>0.66451766622924502</v>
      </c>
      <c r="E9" s="244"/>
    </row>
    <row r="10" spans="2:5" ht="13.5" customHeight="1" x14ac:dyDescent="0.3">
      <c r="B10" s="304" t="s">
        <v>539</v>
      </c>
      <c r="C10" s="306">
        <f>Rm!F6</f>
        <v>0.16449230769230766</v>
      </c>
    </row>
    <row r="11" spans="2:5" ht="13.5" customHeight="1" x14ac:dyDescent="0.3">
      <c r="B11" s="304" t="s">
        <v>553</v>
      </c>
      <c r="C11" s="306">
        <f>C10-C7</f>
        <v>9.3592307692307655E-2</v>
      </c>
      <c r="E11" s="308"/>
    </row>
    <row r="12" spans="2:5" ht="13.5" customHeight="1" x14ac:dyDescent="0.3">
      <c r="B12" s="311" t="s">
        <v>554</v>
      </c>
      <c r="C12" s="312">
        <f>C7+(C9*C11)+C8</f>
        <v>0.15179374188470168</v>
      </c>
      <c r="E12" s="313"/>
    </row>
    <row r="13" spans="2:5" ht="13.5" customHeight="1" x14ac:dyDescent="0.3">
      <c r="B13" s="314"/>
      <c r="C13" s="305"/>
    </row>
    <row r="14" spans="2:5" ht="13.5" customHeight="1" x14ac:dyDescent="0.3">
      <c r="B14" s="314"/>
      <c r="C14" s="305"/>
    </row>
    <row r="15" spans="2:5" ht="15" customHeight="1" x14ac:dyDescent="0.3">
      <c r="B15" s="689" t="s">
        <v>555</v>
      </c>
      <c r="C15" s="688"/>
    </row>
    <row r="16" spans="2:5" ht="13.5" customHeight="1" x14ac:dyDescent="0.3">
      <c r="B16" s="304" t="s">
        <v>556</v>
      </c>
      <c r="C16" s="315">
        <f>C17/C18</f>
        <v>0.12399025106695473</v>
      </c>
      <c r="E16" s="308"/>
    </row>
    <row r="17" spans="2:8" ht="13.5" customHeight="1" x14ac:dyDescent="0.3">
      <c r="B17" s="314" t="s">
        <v>557</v>
      </c>
      <c r="C17" s="316">
        <f>'Consolidated Profit &amp; Loss'!G16</f>
        <v>116.5</v>
      </c>
    </row>
    <row r="18" spans="2:8" ht="13.5" customHeight="1" x14ac:dyDescent="0.3">
      <c r="B18" s="317" t="s">
        <v>558</v>
      </c>
      <c r="C18" s="318">
        <f>'Consolidated Balance Sheet'!G13+'Consolidated Balance Sheet'!G19</f>
        <v>939.59</v>
      </c>
    </row>
    <row r="19" spans="2:8" ht="13.5" customHeight="1" x14ac:dyDescent="0.3">
      <c r="B19" s="304"/>
      <c r="C19" s="316"/>
    </row>
    <row r="20" spans="2:8" ht="13.5" customHeight="1" x14ac:dyDescent="0.3">
      <c r="B20" s="304" t="s">
        <v>559</v>
      </c>
      <c r="C20" s="319">
        <f>Assumption!G34</f>
        <v>0.25</v>
      </c>
    </row>
    <row r="21" spans="2:8" ht="13.5" customHeight="1" x14ac:dyDescent="0.3">
      <c r="B21" s="311" t="s">
        <v>560</v>
      </c>
      <c r="C21" s="312">
        <f>C16*(1-C20)</f>
        <v>9.299268830021605E-2</v>
      </c>
    </row>
    <row r="22" spans="2:8" ht="13.5" customHeight="1" x14ac:dyDescent="0.3">
      <c r="B22" s="304"/>
      <c r="C22" s="305"/>
    </row>
    <row r="23" spans="2:8" ht="15" customHeight="1" x14ac:dyDescent="0.3">
      <c r="B23" s="689" t="s">
        <v>561</v>
      </c>
      <c r="C23" s="688"/>
      <c r="G23" s="320"/>
      <c r="H23" s="320"/>
    </row>
    <row r="24" spans="2:8" ht="13.5" customHeight="1" x14ac:dyDescent="0.3">
      <c r="B24" s="321" t="s">
        <v>288</v>
      </c>
      <c r="C24" s="322">
        <v>18.2</v>
      </c>
      <c r="E24" s="323"/>
    </row>
    <row r="25" spans="2:8" ht="13.5" customHeight="1" x14ac:dyDescent="0.3">
      <c r="B25" s="75" t="s">
        <v>562</v>
      </c>
      <c r="C25" s="324">
        <v>2</v>
      </c>
    </row>
    <row r="26" spans="2:8" ht="13.5" customHeight="1" x14ac:dyDescent="0.3">
      <c r="B26" s="304" t="s">
        <v>563</v>
      </c>
      <c r="C26" s="310">
        <f>C24/C25</f>
        <v>9.1</v>
      </c>
    </row>
    <row r="27" spans="2:8" ht="13.5" customHeight="1" x14ac:dyDescent="0.3">
      <c r="B27" s="304"/>
      <c r="C27" s="305"/>
    </row>
    <row r="28" spans="2:8" ht="13.5" customHeight="1" x14ac:dyDescent="0.3">
      <c r="B28" s="304"/>
      <c r="C28" s="305"/>
    </row>
    <row r="29" spans="2:8" ht="13.5" customHeight="1" x14ac:dyDescent="0.3">
      <c r="B29" s="304" t="s">
        <v>564</v>
      </c>
      <c r="C29" s="325">
        <v>17314</v>
      </c>
    </row>
    <row r="30" spans="2:8" ht="13.5" customHeight="1" x14ac:dyDescent="0.3">
      <c r="B30" s="326" t="s">
        <v>565</v>
      </c>
      <c r="C30" s="327">
        <f>C29*C26</f>
        <v>157557.4</v>
      </c>
    </row>
    <row r="31" spans="2:8" ht="13.5" customHeight="1" x14ac:dyDescent="0.3">
      <c r="B31" s="304"/>
      <c r="C31" s="305"/>
    </row>
    <row r="32" spans="2:8" ht="13.5" customHeight="1" x14ac:dyDescent="0.3">
      <c r="B32" s="328" t="s">
        <v>566</v>
      </c>
      <c r="C32" s="329"/>
    </row>
    <row r="33" spans="2:5" ht="13.5" customHeight="1" x14ac:dyDescent="0.3">
      <c r="B33" s="326" t="s">
        <v>567</v>
      </c>
      <c r="C33" s="330">
        <f>C18+C30</f>
        <v>158496.99</v>
      </c>
    </row>
    <row r="34" spans="2:5" ht="13.5" customHeight="1" x14ac:dyDescent="0.3">
      <c r="B34" s="304"/>
      <c r="C34" s="305"/>
      <c r="E34" s="308"/>
    </row>
    <row r="35" spans="2:5" ht="13.5" customHeight="1" x14ac:dyDescent="0.3">
      <c r="B35" s="304" t="s">
        <v>568</v>
      </c>
      <c r="C35" s="315">
        <f>C18/C33</f>
        <v>5.9281251965731339E-3</v>
      </c>
    </row>
    <row r="36" spans="2:5" ht="13.5" customHeight="1" x14ac:dyDescent="0.3">
      <c r="B36" s="304" t="s">
        <v>569</v>
      </c>
      <c r="C36" s="315">
        <f>C30/C33</f>
        <v>0.99407187480342685</v>
      </c>
    </row>
    <row r="37" spans="2:5" ht="13.5" customHeight="1" x14ac:dyDescent="0.3">
      <c r="B37" s="304"/>
      <c r="C37" s="305"/>
    </row>
    <row r="38" spans="2:5" ht="13.5" customHeight="1" x14ac:dyDescent="0.3">
      <c r="B38" s="331" t="s">
        <v>570</v>
      </c>
      <c r="C38" s="332">
        <f>(C36*C12)+(C35*C21)</f>
        <v>0.15144516187736243</v>
      </c>
    </row>
  </sheetData>
  <mergeCells count="2">
    <mergeCell ref="B1:C1"/>
    <mergeCell ref="B3:C3"/>
  </mergeCells>
  <hyperlinks>
    <hyperlink ref="D7" r:id="rId1" xr:uid="{00000000-0004-0000-1100-000000000000}"/>
    <hyperlink ref="D8" r:id="rId2" xr:uid="{00000000-0004-0000-1100-000001000000}"/>
  </hyperlink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R1505"/>
  <sheetViews>
    <sheetView showGridLines="0" zoomScale="79" zoomScaleNormal="79" workbookViewId="0">
      <selection activeCell="J3" sqref="J3"/>
    </sheetView>
  </sheetViews>
  <sheetFormatPr defaultColWidth="8.6328125" defaultRowHeight="14.5" x14ac:dyDescent="0.35"/>
  <cols>
    <col min="1" max="1" width="2.08984375" customWidth="1"/>
    <col min="2" max="3" width="11.81640625" style="333" customWidth="1"/>
    <col min="4" max="4" width="13.90625" customWidth="1"/>
    <col min="5" max="5" width="15.6328125" customWidth="1"/>
    <col min="6" max="7" width="12.453125" customWidth="1"/>
    <col min="10" max="10" width="17.26953125" customWidth="1"/>
    <col min="11" max="11" width="12.453125" customWidth="1"/>
    <col min="12" max="12" width="13.6328125" customWidth="1"/>
    <col min="13" max="13" width="10" customWidth="1"/>
    <col min="14" max="14" width="13.08984375" customWidth="1"/>
    <col min="15" max="15" width="11.26953125" customWidth="1"/>
    <col min="16" max="16" width="8.453125" customWidth="1"/>
    <col min="17" max="17" width="8.36328125" customWidth="1"/>
    <col min="18" max="18" width="12.453125" customWidth="1"/>
  </cols>
  <sheetData>
    <row r="1" spans="2:17" ht="14.25" customHeight="1" x14ac:dyDescent="0.35">
      <c r="B1" s="690" t="s">
        <v>571</v>
      </c>
      <c r="C1" s="690"/>
      <c r="D1" s="690"/>
      <c r="E1" s="690"/>
      <c r="F1" s="690"/>
      <c r="G1" s="690"/>
      <c r="H1" s="690"/>
    </row>
    <row r="2" spans="2:17" ht="14.25" customHeight="1" x14ac:dyDescent="0.35">
      <c r="B2" s="690"/>
      <c r="C2" s="690"/>
      <c r="D2" s="690"/>
      <c r="E2" s="690"/>
      <c r="F2" s="690"/>
      <c r="G2" s="690"/>
      <c r="H2" s="690"/>
    </row>
    <row r="4" spans="2:17" s="334" customFormat="1" ht="15" customHeight="1" x14ac:dyDescent="0.35">
      <c r="B4" s="691" t="s">
        <v>572</v>
      </c>
      <c r="C4" s="335"/>
      <c r="D4" s="692" t="s">
        <v>573</v>
      </c>
      <c r="E4" s="692" t="s">
        <v>574</v>
      </c>
      <c r="G4" s="694" t="s">
        <v>575</v>
      </c>
      <c r="H4" s="694"/>
    </row>
    <row r="5" spans="2:17" ht="14.25" customHeight="1" x14ac:dyDescent="0.35">
      <c r="B5" s="691"/>
      <c r="C5" s="336"/>
      <c r="D5" s="693" t="s">
        <v>576</v>
      </c>
      <c r="E5" s="693" t="s">
        <v>576</v>
      </c>
      <c r="G5" s="693" t="s">
        <v>577</v>
      </c>
      <c r="H5" s="693" t="s">
        <v>578</v>
      </c>
    </row>
    <row r="6" spans="2:17" ht="14.25" customHeight="1" x14ac:dyDescent="0.35">
      <c r="B6" s="337">
        <v>43922</v>
      </c>
      <c r="C6" s="337"/>
      <c r="D6">
        <v>8253.7999999999993</v>
      </c>
      <c r="E6">
        <v>894.36</v>
      </c>
      <c r="G6" s="338"/>
      <c r="H6" s="338"/>
    </row>
    <row r="7" spans="2:17" ht="14.25" customHeight="1" x14ac:dyDescent="0.35">
      <c r="B7" s="337">
        <v>43924</v>
      </c>
      <c r="C7" s="337"/>
      <c r="D7">
        <v>8083.8</v>
      </c>
      <c r="E7">
        <v>874.86</v>
      </c>
      <c r="G7" s="338">
        <f t="shared" ref="G7:G70" si="0">(D7-D6)/D6</f>
        <v>-2.059657369938684E-2</v>
      </c>
      <c r="H7" s="338">
        <f t="shared" ref="H7:H70" si="1">(E7-E6)/E6</f>
        <v>-2.1803300684288207E-2</v>
      </c>
      <c r="J7" s="338" t="s">
        <v>579</v>
      </c>
      <c r="K7" s="339">
        <f>SLOPE(H7:H1505,G7:G1505)</f>
        <v>0.66451766622924391</v>
      </c>
      <c r="M7" s="568" t="s">
        <v>580</v>
      </c>
      <c r="N7" s="568"/>
      <c r="O7" s="568"/>
      <c r="P7" s="568"/>
      <c r="Q7" s="568"/>
    </row>
    <row r="8" spans="2:17" ht="14.25" customHeight="1" x14ac:dyDescent="0.35">
      <c r="B8" s="337">
        <v>43928</v>
      </c>
      <c r="C8" s="337"/>
      <c r="D8">
        <v>8792.2000000000007</v>
      </c>
      <c r="E8">
        <v>906.32</v>
      </c>
      <c r="G8" s="338">
        <f t="shared" si="0"/>
        <v>8.7632054231920692E-2</v>
      </c>
      <c r="H8" s="338">
        <f t="shared" si="1"/>
        <v>3.596003932057705E-2</v>
      </c>
      <c r="I8" t="s">
        <v>581</v>
      </c>
      <c r="J8" s="338" t="s">
        <v>582</v>
      </c>
      <c r="K8" s="339">
        <f>_xlfn.COVARIANCE.S(H6:H1505,G6:G1505)/_xlfn.VAR.S(G6:G1505)</f>
        <v>0.66451766622924302</v>
      </c>
      <c r="M8" s="568"/>
      <c r="N8" s="568"/>
      <c r="O8" s="568"/>
      <c r="P8" s="568"/>
      <c r="Q8" s="568"/>
    </row>
    <row r="9" spans="2:17" ht="14.25" customHeight="1" x14ac:dyDescent="0.35">
      <c r="B9" s="337">
        <v>43929</v>
      </c>
      <c r="C9" s="337"/>
      <c r="D9">
        <v>8748.75</v>
      </c>
      <c r="E9">
        <v>886.04</v>
      </c>
      <c r="G9" s="338">
        <f t="shared" si="0"/>
        <v>-4.9418803029959192E-3</v>
      </c>
      <c r="H9" s="338">
        <f t="shared" si="1"/>
        <v>-2.2376202665725223E-2</v>
      </c>
      <c r="J9" s="338" t="s">
        <v>583</v>
      </c>
      <c r="K9" s="339">
        <f>K28</f>
        <v>0.66451766622924502</v>
      </c>
      <c r="M9" s="568"/>
      <c r="N9" s="568"/>
      <c r="O9" s="568"/>
      <c r="P9" s="568"/>
      <c r="Q9" s="568"/>
    </row>
    <row r="10" spans="2:17" ht="14.25" customHeight="1" x14ac:dyDescent="0.35">
      <c r="B10" s="337">
        <v>43930</v>
      </c>
      <c r="C10" s="337"/>
      <c r="D10">
        <v>9111.9</v>
      </c>
      <c r="E10">
        <v>901.1</v>
      </c>
      <c r="G10" s="338">
        <f t="shared" si="0"/>
        <v>4.1508786969567037E-2</v>
      </c>
      <c r="H10" s="338">
        <f t="shared" si="1"/>
        <v>1.6996975305855335E-2</v>
      </c>
      <c r="M10" s="568"/>
      <c r="N10" s="568"/>
      <c r="O10" s="568"/>
      <c r="P10" s="568"/>
      <c r="Q10" s="568"/>
    </row>
    <row r="11" spans="2:17" ht="14.25" customHeight="1" x14ac:dyDescent="0.35">
      <c r="B11" s="337">
        <v>43934</v>
      </c>
      <c r="C11" s="337"/>
      <c r="D11">
        <v>8993.85</v>
      </c>
      <c r="E11">
        <v>894.11</v>
      </c>
      <c r="G11" s="338">
        <f t="shared" si="0"/>
        <v>-1.295558555295814E-2</v>
      </c>
      <c r="H11" s="338">
        <f t="shared" si="1"/>
        <v>-7.7571856619687149E-3</v>
      </c>
      <c r="J11" t="s">
        <v>584</v>
      </c>
      <c r="M11" s="568"/>
      <c r="N11" s="568"/>
      <c r="O11" s="568"/>
      <c r="P11" s="568"/>
      <c r="Q11" s="568"/>
    </row>
    <row r="12" spans="2:17" ht="15" customHeight="1" x14ac:dyDescent="0.35">
      <c r="B12" s="337">
        <v>43936</v>
      </c>
      <c r="C12" s="337"/>
      <c r="D12">
        <v>8925.2999999999993</v>
      </c>
      <c r="E12">
        <v>885</v>
      </c>
      <c r="G12" s="338">
        <f t="shared" si="0"/>
        <v>-7.6218749478811727E-3</v>
      </c>
      <c r="H12" s="338">
        <f t="shared" si="1"/>
        <v>-1.0188902931406665E-2</v>
      </c>
      <c r="M12" s="340"/>
      <c r="N12" s="340"/>
      <c r="O12" s="340"/>
      <c r="P12" s="340"/>
      <c r="Q12" s="340"/>
    </row>
    <row r="13" spans="2:17" ht="14.25" customHeight="1" x14ac:dyDescent="0.35">
      <c r="B13" s="337">
        <v>43937</v>
      </c>
      <c r="C13" s="337"/>
      <c r="D13">
        <v>8992.7999999999993</v>
      </c>
      <c r="E13">
        <v>863.59</v>
      </c>
      <c r="G13" s="338">
        <f t="shared" si="0"/>
        <v>7.5627709992941421E-3</v>
      </c>
      <c r="H13" s="338">
        <f t="shared" si="1"/>
        <v>-2.419209039548019E-2</v>
      </c>
      <c r="J13" s="569" t="s">
        <v>585</v>
      </c>
      <c r="K13" s="569"/>
      <c r="M13" s="340"/>
      <c r="N13" s="340"/>
      <c r="O13" s="340"/>
      <c r="P13" s="340"/>
      <c r="Q13" s="340"/>
    </row>
    <row r="14" spans="2:17" ht="14.25" customHeight="1" x14ac:dyDescent="0.35">
      <c r="B14" s="337">
        <v>43938</v>
      </c>
      <c r="C14" s="337"/>
      <c r="D14">
        <v>9266.75</v>
      </c>
      <c r="E14">
        <v>881.06</v>
      </c>
      <c r="G14" s="338">
        <f t="shared" si="0"/>
        <v>3.0463259496486161E-2</v>
      </c>
      <c r="H14" s="338">
        <f t="shared" si="1"/>
        <v>2.0229507057747211E-2</v>
      </c>
      <c r="J14" t="s">
        <v>586</v>
      </c>
      <c r="K14">
        <v>0.29514540410116002</v>
      </c>
      <c r="M14" s="342"/>
      <c r="N14" s="342"/>
      <c r="O14" s="342"/>
      <c r="P14" s="342"/>
    </row>
    <row r="15" spans="2:17" ht="14.25" customHeight="1" x14ac:dyDescent="0.35">
      <c r="B15" s="337">
        <v>43941</v>
      </c>
      <c r="C15" s="337"/>
      <c r="D15">
        <v>9261.85</v>
      </c>
      <c r="E15">
        <v>878.65</v>
      </c>
      <c r="G15" s="338">
        <f t="shared" si="0"/>
        <v>-5.287722232713342E-4</v>
      </c>
      <c r="H15" s="338">
        <f t="shared" si="1"/>
        <v>-2.7353415204412505E-3</v>
      </c>
      <c r="J15" t="s">
        <v>587</v>
      </c>
      <c r="K15">
        <v>8.7110809562037206E-2</v>
      </c>
    </row>
    <row r="16" spans="2:17" ht="14.25" customHeight="1" x14ac:dyDescent="0.35">
      <c r="B16" s="337">
        <v>43942</v>
      </c>
      <c r="C16" s="337"/>
      <c r="D16">
        <v>8981.4500000000007</v>
      </c>
      <c r="E16">
        <v>838.18</v>
      </c>
      <c r="G16" s="338">
        <f t="shared" si="0"/>
        <v>-3.0274729130789164E-2</v>
      </c>
      <c r="H16" s="338">
        <f t="shared" si="1"/>
        <v>-4.6059295510157659E-2</v>
      </c>
      <c r="J16" t="s">
        <v>588</v>
      </c>
      <c r="K16">
        <v>8.6500997143574995E-2</v>
      </c>
    </row>
    <row r="17" spans="2:18" ht="14.25" customHeight="1" x14ac:dyDescent="0.35">
      <c r="B17" s="337">
        <v>43943</v>
      </c>
      <c r="C17" s="337"/>
      <c r="D17">
        <v>9187.2999999999993</v>
      </c>
      <c r="E17">
        <v>872.89</v>
      </c>
      <c r="G17" s="338">
        <f t="shared" si="0"/>
        <v>2.2919461779556588E-2</v>
      </c>
      <c r="H17" s="338">
        <f t="shared" si="1"/>
        <v>4.141115273568928E-2</v>
      </c>
      <c r="J17" t="s">
        <v>589</v>
      </c>
      <c r="K17">
        <v>2.11643389544744E-2</v>
      </c>
    </row>
    <row r="18" spans="2:18" ht="15" customHeight="1" x14ac:dyDescent="0.35">
      <c r="B18" s="337">
        <v>43944</v>
      </c>
      <c r="C18" s="337"/>
      <c r="D18">
        <v>9313.9</v>
      </c>
      <c r="E18">
        <v>855.51</v>
      </c>
      <c r="G18" s="338">
        <f t="shared" si="0"/>
        <v>1.3779891807168631E-2</v>
      </c>
      <c r="H18" s="338">
        <f t="shared" si="1"/>
        <v>-1.9910870785551441E-2</v>
      </c>
      <c r="J18" s="343" t="s">
        <v>590</v>
      </c>
      <c r="K18" s="343">
        <v>1499</v>
      </c>
    </row>
    <row r="19" spans="2:18" ht="14.25" customHeight="1" x14ac:dyDescent="0.35">
      <c r="B19" s="337">
        <v>43945</v>
      </c>
      <c r="C19" s="337"/>
      <c r="D19">
        <v>9154.4</v>
      </c>
      <c r="E19">
        <v>837.79</v>
      </c>
      <c r="G19" s="338">
        <f t="shared" si="0"/>
        <v>-1.7124942290554977E-2</v>
      </c>
      <c r="H19" s="338">
        <f t="shared" si="1"/>
        <v>-2.071279120057045E-2</v>
      </c>
    </row>
    <row r="20" spans="2:18" ht="15" customHeight="1" x14ac:dyDescent="0.35">
      <c r="B20" s="337">
        <v>43948</v>
      </c>
      <c r="C20" s="337"/>
      <c r="D20">
        <v>9282.2999999999993</v>
      </c>
      <c r="E20">
        <v>849.41</v>
      </c>
      <c r="G20" s="338">
        <f t="shared" si="0"/>
        <v>1.3971423577733073E-2</v>
      </c>
      <c r="H20" s="338">
        <f t="shared" si="1"/>
        <v>1.3869824180283848E-2</v>
      </c>
      <c r="J20" t="s">
        <v>591</v>
      </c>
    </row>
    <row r="21" spans="2:18" ht="14.25" customHeight="1" x14ac:dyDescent="0.35">
      <c r="B21" s="337">
        <v>43949</v>
      </c>
      <c r="C21" s="337"/>
      <c r="D21">
        <v>9380.9</v>
      </c>
      <c r="E21">
        <v>846.99</v>
      </c>
      <c r="G21" s="338">
        <f t="shared" si="0"/>
        <v>1.0622367301207716E-2</v>
      </c>
      <c r="H21" s="338">
        <f t="shared" si="1"/>
        <v>-2.8490363899647511E-3</v>
      </c>
      <c r="J21" s="341"/>
      <c r="K21" s="341" t="s">
        <v>592</v>
      </c>
      <c r="L21" s="341" t="s">
        <v>593</v>
      </c>
      <c r="M21" s="341" t="s">
        <v>594</v>
      </c>
      <c r="N21" s="341" t="s">
        <v>595</v>
      </c>
      <c r="O21" s="341" t="s">
        <v>596</v>
      </c>
    </row>
    <row r="22" spans="2:18" ht="14.25" customHeight="1" x14ac:dyDescent="0.35">
      <c r="B22" s="337">
        <v>43950</v>
      </c>
      <c r="C22" s="337"/>
      <c r="D22">
        <v>9553.35</v>
      </c>
      <c r="E22">
        <v>853.64</v>
      </c>
      <c r="G22" s="338">
        <f t="shared" si="0"/>
        <v>1.8383097570595652E-2</v>
      </c>
      <c r="H22" s="338">
        <f t="shared" si="1"/>
        <v>7.8513323651990905E-3</v>
      </c>
      <c r="J22" t="s">
        <v>597</v>
      </c>
      <c r="K22">
        <v>1</v>
      </c>
      <c r="L22">
        <v>6.3986035436483693E-2</v>
      </c>
      <c r="M22">
        <v>6.3986035436483693E-2</v>
      </c>
      <c r="N22">
        <v>142.848533294394</v>
      </c>
      <c r="O22">
        <v>1.6374084367584401E-31</v>
      </c>
    </row>
    <row r="23" spans="2:18" ht="14.25" customHeight="1" x14ac:dyDescent="0.35">
      <c r="B23" s="337">
        <v>43951</v>
      </c>
      <c r="C23" s="337"/>
      <c r="D23">
        <v>9859.9</v>
      </c>
      <c r="E23">
        <v>871.96</v>
      </c>
      <c r="G23" s="338">
        <f t="shared" si="0"/>
        <v>3.2088220362490566E-2</v>
      </c>
      <c r="H23" s="338">
        <f t="shared" si="1"/>
        <v>2.1461037439670178E-2</v>
      </c>
      <c r="J23" t="s">
        <v>598</v>
      </c>
      <c r="K23">
        <v>1497</v>
      </c>
      <c r="L23">
        <v>0.67055007733968297</v>
      </c>
      <c r="M23">
        <v>4.4792924337988202E-4</v>
      </c>
    </row>
    <row r="24" spans="2:18" ht="15" customHeight="1" x14ac:dyDescent="0.35">
      <c r="B24" s="337">
        <v>43955</v>
      </c>
      <c r="C24" s="337"/>
      <c r="D24">
        <v>9293.5</v>
      </c>
      <c r="E24">
        <v>862.26</v>
      </c>
      <c r="G24" s="338">
        <f t="shared" si="0"/>
        <v>-5.7444801671416509E-2</v>
      </c>
      <c r="H24" s="338">
        <f t="shared" si="1"/>
        <v>-1.1124363502913029E-2</v>
      </c>
      <c r="J24" s="343" t="s">
        <v>599</v>
      </c>
      <c r="K24" s="343">
        <v>1498</v>
      </c>
      <c r="L24" s="343">
        <v>0.73453611277616704</v>
      </c>
      <c r="M24" s="343"/>
      <c r="N24" s="343"/>
      <c r="O24" s="343"/>
    </row>
    <row r="25" spans="2:18" ht="15" customHeight="1" x14ac:dyDescent="0.35">
      <c r="B25" s="337">
        <v>43956</v>
      </c>
      <c r="C25" s="337"/>
      <c r="D25">
        <v>9205.6</v>
      </c>
      <c r="E25">
        <v>864.52</v>
      </c>
      <c r="G25" s="338">
        <f t="shared" si="0"/>
        <v>-9.4582234895356585E-3</v>
      </c>
      <c r="H25" s="338">
        <f t="shared" si="1"/>
        <v>2.621019182149225E-3</v>
      </c>
    </row>
    <row r="26" spans="2:18" ht="14.25" customHeight="1" x14ac:dyDescent="0.35">
      <c r="B26" s="337">
        <v>43957</v>
      </c>
      <c r="C26" s="337"/>
      <c r="D26">
        <v>9270.9</v>
      </c>
      <c r="E26">
        <v>867.57</v>
      </c>
      <c r="G26" s="338">
        <f t="shared" si="0"/>
        <v>7.0935082992960013E-3</v>
      </c>
      <c r="H26" s="338">
        <f t="shared" si="1"/>
        <v>3.5279692777495817E-3</v>
      </c>
      <c r="J26" s="341"/>
      <c r="K26" s="341" t="s">
        <v>600</v>
      </c>
      <c r="L26" s="341" t="s">
        <v>589</v>
      </c>
      <c r="M26" s="341" t="s">
        <v>601</v>
      </c>
      <c r="N26" s="341" t="s">
        <v>602</v>
      </c>
      <c r="O26" s="341" t="s">
        <v>603</v>
      </c>
      <c r="P26" s="341" t="s">
        <v>604</v>
      </c>
      <c r="Q26" s="341" t="s">
        <v>605</v>
      </c>
      <c r="R26" s="341" t="s">
        <v>606</v>
      </c>
    </row>
    <row r="27" spans="2:18" ht="14.25" customHeight="1" x14ac:dyDescent="0.35">
      <c r="B27" s="337">
        <v>43958</v>
      </c>
      <c r="C27" s="337"/>
      <c r="D27">
        <v>9199.0499999999993</v>
      </c>
      <c r="E27">
        <v>848.77</v>
      </c>
      <c r="G27" s="338">
        <f t="shared" si="0"/>
        <v>-7.7500566288063047E-3</v>
      </c>
      <c r="H27" s="338">
        <f t="shared" si="1"/>
        <v>-2.1669721175236658E-2</v>
      </c>
      <c r="J27" t="s">
        <v>607</v>
      </c>
      <c r="K27">
        <v>1.6335434107387599E-3</v>
      </c>
      <c r="L27">
        <v>5.4829766605257301E-4</v>
      </c>
      <c r="M27">
        <v>2.97930031783525</v>
      </c>
      <c r="N27">
        <v>2.9356059517998199E-3</v>
      </c>
      <c r="O27">
        <v>5.5803016320653005E-4</v>
      </c>
      <c r="P27">
        <v>2.7090566582709799E-3</v>
      </c>
      <c r="Q27">
        <v>5.5803016320653005E-4</v>
      </c>
      <c r="R27">
        <v>2.7090566582709799E-3</v>
      </c>
    </row>
    <row r="28" spans="2:18" ht="15" customHeight="1" x14ac:dyDescent="0.35">
      <c r="B28" s="337">
        <v>43959</v>
      </c>
      <c r="C28" s="337"/>
      <c r="D28">
        <v>9251.5</v>
      </c>
      <c r="E28">
        <v>846.6</v>
      </c>
      <c r="G28" s="338">
        <f t="shared" si="0"/>
        <v>5.7016757165142852E-3</v>
      </c>
      <c r="H28" s="338">
        <f t="shared" si="1"/>
        <v>-2.5566407860786304E-3</v>
      </c>
      <c r="J28" s="343" t="s">
        <v>608</v>
      </c>
      <c r="K28" s="343">
        <v>0.66451766622924502</v>
      </c>
      <c r="L28" s="343">
        <v>5.5599212248388603E-2</v>
      </c>
      <c r="M28" s="343">
        <v>11.951925924067501</v>
      </c>
      <c r="N28" s="343">
        <v>1.63740843675694E-31</v>
      </c>
      <c r="O28" s="343">
        <v>0.55545703542990799</v>
      </c>
      <c r="P28" s="343">
        <v>0.77357829702858305</v>
      </c>
      <c r="Q28" s="343">
        <v>0.55545703542990799</v>
      </c>
      <c r="R28" s="343">
        <v>0.77357829702858305</v>
      </c>
    </row>
    <row r="29" spans="2:18" ht="14.25" customHeight="1" x14ac:dyDescent="0.35">
      <c r="B29" s="337">
        <v>43962</v>
      </c>
      <c r="C29" s="337"/>
      <c r="D29">
        <v>9239.2000000000007</v>
      </c>
      <c r="E29">
        <v>862.01</v>
      </c>
      <c r="G29" s="338">
        <f t="shared" si="0"/>
        <v>-1.329514132843244E-3</v>
      </c>
      <c r="H29" s="338">
        <f t="shared" si="1"/>
        <v>1.8202220647295025E-2</v>
      </c>
    </row>
    <row r="30" spans="2:18" ht="14.25" customHeight="1" x14ac:dyDescent="0.35">
      <c r="B30" s="337">
        <v>43963</v>
      </c>
      <c r="C30" s="337"/>
      <c r="D30">
        <v>9196.5499999999993</v>
      </c>
      <c r="E30">
        <v>843.35</v>
      </c>
      <c r="G30" s="338">
        <f t="shared" si="0"/>
        <v>-4.6162005368431741E-3</v>
      </c>
      <c r="H30" s="338">
        <f t="shared" si="1"/>
        <v>-2.164708066031713E-2</v>
      </c>
    </row>
    <row r="31" spans="2:18" ht="14.25" customHeight="1" x14ac:dyDescent="0.35">
      <c r="B31" s="337">
        <v>43964</v>
      </c>
      <c r="C31" s="337"/>
      <c r="D31">
        <v>9383.5499999999993</v>
      </c>
      <c r="E31">
        <v>874.37</v>
      </c>
      <c r="G31" s="338">
        <f t="shared" si="0"/>
        <v>2.03337120985587E-2</v>
      </c>
      <c r="H31" s="338">
        <f t="shared" si="1"/>
        <v>3.6781881780992447E-2</v>
      </c>
    </row>
    <row r="32" spans="2:18" ht="14.25" customHeight="1" x14ac:dyDescent="0.35">
      <c r="B32" s="337">
        <v>43965</v>
      </c>
      <c r="C32" s="337"/>
      <c r="D32">
        <v>9142.75</v>
      </c>
      <c r="E32">
        <v>870.68</v>
      </c>
      <c r="G32" s="338">
        <f t="shared" si="0"/>
        <v>-2.5661929653489277E-2</v>
      </c>
      <c r="H32" s="338">
        <f t="shared" si="1"/>
        <v>-4.2201813877420936E-3</v>
      </c>
    </row>
    <row r="33" spans="2:8" ht="14.25" customHeight="1" x14ac:dyDescent="0.35">
      <c r="B33" s="337">
        <v>43966</v>
      </c>
      <c r="C33" s="337"/>
      <c r="D33">
        <v>9136.85</v>
      </c>
      <c r="E33">
        <v>871.12</v>
      </c>
      <c r="G33" s="338">
        <f t="shared" si="0"/>
        <v>-6.4532006234444082E-4</v>
      </c>
      <c r="H33" s="338">
        <f t="shared" si="1"/>
        <v>5.0535213855843082E-4</v>
      </c>
    </row>
    <row r="34" spans="2:8" ht="14.25" customHeight="1" x14ac:dyDescent="0.35">
      <c r="B34" s="337">
        <v>43969</v>
      </c>
      <c r="C34" s="337"/>
      <c r="D34">
        <v>8823.25</v>
      </c>
      <c r="E34">
        <v>853.89</v>
      </c>
      <c r="G34" s="338">
        <f t="shared" si="0"/>
        <v>-3.4322550988579253E-2</v>
      </c>
      <c r="H34" s="338">
        <f t="shared" si="1"/>
        <v>-1.9779134906786688E-2</v>
      </c>
    </row>
    <row r="35" spans="2:8" ht="14.25" customHeight="1" x14ac:dyDescent="0.35">
      <c r="B35" s="337">
        <v>43970</v>
      </c>
      <c r="C35" s="337"/>
      <c r="D35">
        <v>8879.1</v>
      </c>
      <c r="E35">
        <v>855.81</v>
      </c>
      <c r="G35" s="338">
        <f t="shared" si="0"/>
        <v>6.3298671124586026E-3</v>
      </c>
      <c r="H35" s="338">
        <f t="shared" si="1"/>
        <v>2.2485331834310733E-3</v>
      </c>
    </row>
    <row r="36" spans="2:8" ht="14.25" customHeight="1" x14ac:dyDescent="0.35">
      <c r="B36" s="337">
        <v>43971</v>
      </c>
      <c r="C36" s="337"/>
      <c r="D36">
        <v>9066.5499999999993</v>
      </c>
      <c r="E36">
        <v>855.17</v>
      </c>
      <c r="G36" s="338">
        <f t="shared" si="0"/>
        <v>2.111137390050781E-2</v>
      </c>
      <c r="H36" s="338">
        <f t="shared" si="1"/>
        <v>-7.4782954160384477E-4</v>
      </c>
    </row>
    <row r="37" spans="2:8" ht="14.25" customHeight="1" x14ac:dyDescent="0.35">
      <c r="B37" s="337">
        <v>43972</v>
      </c>
      <c r="C37" s="337"/>
      <c r="D37">
        <v>9106.25</v>
      </c>
      <c r="E37">
        <v>877.27</v>
      </c>
      <c r="G37" s="338">
        <f t="shared" si="0"/>
        <v>4.3787328145767392E-3</v>
      </c>
      <c r="H37" s="338">
        <f t="shared" si="1"/>
        <v>2.5842814878912993E-2</v>
      </c>
    </row>
    <row r="38" spans="2:8" ht="14.25" customHeight="1" x14ac:dyDescent="0.35">
      <c r="B38" s="337">
        <v>43973</v>
      </c>
      <c r="C38" s="337"/>
      <c r="D38">
        <v>9039.25</v>
      </c>
      <c r="E38">
        <v>875.55</v>
      </c>
      <c r="G38" s="338">
        <f t="shared" si="0"/>
        <v>-7.3575840768702813E-3</v>
      </c>
      <c r="H38" s="338">
        <f t="shared" si="1"/>
        <v>-1.9606278568741974E-3</v>
      </c>
    </row>
    <row r="39" spans="2:8" ht="14.25" customHeight="1" x14ac:dyDescent="0.35">
      <c r="B39" s="337">
        <v>43977</v>
      </c>
      <c r="C39" s="337"/>
      <c r="D39">
        <v>9029.0499999999993</v>
      </c>
      <c r="E39">
        <v>863.24</v>
      </c>
      <c r="G39" s="338">
        <f t="shared" si="0"/>
        <v>-1.1284122023398765E-3</v>
      </c>
      <c r="H39" s="338">
        <f t="shared" si="1"/>
        <v>-1.4059733881560101E-2</v>
      </c>
    </row>
    <row r="40" spans="2:8" ht="14.25" customHeight="1" x14ac:dyDescent="0.35">
      <c r="B40" s="337">
        <v>43978</v>
      </c>
      <c r="C40" s="337"/>
      <c r="D40">
        <v>9314.9500000000007</v>
      </c>
      <c r="E40">
        <v>861.62</v>
      </c>
      <c r="G40" s="338">
        <f t="shared" si="0"/>
        <v>3.1664460823674856E-2</v>
      </c>
      <c r="H40" s="338">
        <f t="shared" si="1"/>
        <v>-1.8766507576108667E-3</v>
      </c>
    </row>
    <row r="41" spans="2:8" ht="14.25" customHeight="1" x14ac:dyDescent="0.35">
      <c r="B41" s="337">
        <v>43979</v>
      </c>
      <c r="C41" s="337"/>
      <c r="D41">
        <v>9490.1</v>
      </c>
      <c r="E41">
        <v>862.01</v>
      </c>
      <c r="G41" s="338">
        <f t="shared" si="0"/>
        <v>1.8803106833638356E-2</v>
      </c>
      <c r="H41" s="338">
        <f t="shared" si="1"/>
        <v>4.5263573268956891E-4</v>
      </c>
    </row>
    <row r="42" spans="2:8" ht="14.25" customHeight="1" x14ac:dyDescent="0.35">
      <c r="B42" s="337">
        <v>43980</v>
      </c>
      <c r="C42" s="337"/>
      <c r="D42">
        <v>9580.2999999999993</v>
      </c>
      <c r="E42">
        <v>878.65</v>
      </c>
      <c r="G42" s="338">
        <f t="shared" si="0"/>
        <v>9.5046416792234963E-3</v>
      </c>
      <c r="H42" s="338">
        <f t="shared" si="1"/>
        <v>1.9303720374473598E-2</v>
      </c>
    </row>
    <row r="43" spans="2:8" ht="14.25" customHeight="1" x14ac:dyDescent="0.35">
      <c r="B43" s="337">
        <v>43983</v>
      </c>
      <c r="C43" s="337"/>
      <c r="D43">
        <v>9826.15</v>
      </c>
      <c r="E43">
        <v>887.61</v>
      </c>
      <c r="G43" s="338">
        <f t="shared" si="0"/>
        <v>2.5662035635627318E-2</v>
      </c>
      <c r="H43" s="338">
        <f t="shared" si="1"/>
        <v>1.0197462015592143E-2</v>
      </c>
    </row>
    <row r="44" spans="2:8" ht="14.25" customHeight="1" x14ac:dyDescent="0.35">
      <c r="B44" s="337">
        <v>43984</v>
      </c>
      <c r="C44" s="337"/>
      <c r="D44">
        <v>9979.1</v>
      </c>
      <c r="E44">
        <v>889.09</v>
      </c>
      <c r="G44" s="338">
        <f t="shared" si="0"/>
        <v>1.5565608096762286E-2</v>
      </c>
      <c r="H44" s="338">
        <f t="shared" si="1"/>
        <v>1.6673989702684943E-3</v>
      </c>
    </row>
    <row r="45" spans="2:8" ht="14.25" customHeight="1" x14ac:dyDescent="0.35">
      <c r="B45" s="337">
        <v>43985</v>
      </c>
      <c r="C45" s="337"/>
      <c r="D45">
        <v>10061.549999999999</v>
      </c>
      <c r="E45">
        <v>886.97</v>
      </c>
      <c r="G45" s="338">
        <f t="shared" si="0"/>
        <v>8.2622681404133543E-3</v>
      </c>
      <c r="H45" s="338">
        <f t="shared" si="1"/>
        <v>-2.3844605158083033E-3</v>
      </c>
    </row>
    <row r="46" spans="2:8" ht="14.25" customHeight="1" x14ac:dyDescent="0.35">
      <c r="B46" s="337">
        <v>43986</v>
      </c>
      <c r="C46" s="337"/>
      <c r="D46">
        <v>10029.1</v>
      </c>
      <c r="E46">
        <v>886.58</v>
      </c>
      <c r="G46" s="338">
        <f t="shared" si="0"/>
        <v>-3.2251492066330645E-3</v>
      </c>
      <c r="H46" s="338">
        <f t="shared" si="1"/>
        <v>-4.3969920064938648E-4</v>
      </c>
    </row>
    <row r="47" spans="2:8" ht="14.25" customHeight="1" x14ac:dyDescent="0.35">
      <c r="B47" s="337">
        <v>43987</v>
      </c>
      <c r="C47" s="337"/>
      <c r="D47">
        <v>10142.15</v>
      </c>
      <c r="E47">
        <v>910.51</v>
      </c>
      <c r="G47" s="338">
        <f t="shared" si="0"/>
        <v>1.1272197904098998E-2</v>
      </c>
      <c r="H47" s="338">
        <f t="shared" si="1"/>
        <v>2.699136005774995E-2</v>
      </c>
    </row>
    <row r="48" spans="2:8" ht="14.25" customHeight="1" x14ac:dyDescent="0.35">
      <c r="B48" s="337">
        <v>43990</v>
      </c>
      <c r="C48" s="337"/>
      <c r="D48">
        <v>10167.450000000001</v>
      </c>
      <c r="E48">
        <v>916.66</v>
      </c>
      <c r="G48" s="338">
        <f t="shared" si="0"/>
        <v>2.4945401123037119E-3</v>
      </c>
      <c r="H48" s="338">
        <f t="shared" si="1"/>
        <v>6.75445629372547E-3</v>
      </c>
    </row>
    <row r="49" spans="2:8" ht="14.25" customHeight="1" x14ac:dyDescent="0.35">
      <c r="B49" s="337">
        <v>43991</v>
      </c>
      <c r="C49" s="337"/>
      <c r="D49">
        <v>10046.65</v>
      </c>
      <c r="E49">
        <v>921.39</v>
      </c>
      <c r="G49" s="338">
        <f t="shared" si="0"/>
        <v>-1.1881051787813176E-2</v>
      </c>
      <c r="H49" s="338">
        <f t="shared" si="1"/>
        <v>5.1600375275456748E-3</v>
      </c>
    </row>
    <row r="50" spans="2:8" ht="14.25" customHeight="1" x14ac:dyDescent="0.35">
      <c r="B50" s="337">
        <v>43992</v>
      </c>
      <c r="C50" s="337"/>
      <c r="D50">
        <v>10116.15</v>
      </c>
      <c r="E50">
        <v>958.91</v>
      </c>
      <c r="G50" s="338">
        <f t="shared" si="0"/>
        <v>6.9177287951705298E-3</v>
      </c>
      <c r="H50" s="338">
        <f t="shared" si="1"/>
        <v>4.0721084448496273E-2</v>
      </c>
    </row>
    <row r="51" spans="2:8" ht="14.25" customHeight="1" x14ac:dyDescent="0.35">
      <c r="B51" s="337">
        <v>43993</v>
      </c>
      <c r="C51" s="337"/>
      <c r="D51">
        <v>9902</v>
      </c>
      <c r="E51">
        <v>956.15</v>
      </c>
      <c r="G51" s="338">
        <f t="shared" si="0"/>
        <v>-2.1169120663493489E-2</v>
      </c>
      <c r="H51" s="338">
        <f t="shared" si="1"/>
        <v>-2.8782680334963561E-3</v>
      </c>
    </row>
    <row r="52" spans="2:8" ht="14.25" customHeight="1" x14ac:dyDescent="0.35">
      <c r="B52" s="337">
        <v>43994</v>
      </c>
      <c r="C52" s="337"/>
      <c r="D52">
        <v>9972.9</v>
      </c>
      <c r="E52">
        <v>945.51</v>
      </c>
      <c r="G52" s="338">
        <f t="shared" si="0"/>
        <v>7.1601696626943682E-3</v>
      </c>
      <c r="H52" s="338">
        <f t="shared" si="1"/>
        <v>-1.1127961093970597E-2</v>
      </c>
    </row>
    <row r="53" spans="2:8" ht="14.25" customHeight="1" x14ac:dyDescent="0.35">
      <c r="B53" s="337">
        <v>43997</v>
      </c>
      <c r="C53" s="337"/>
      <c r="D53">
        <v>9813.7000000000007</v>
      </c>
      <c r="E53">
        <v>931.83</v>
      </c>
      <c r="G53" s="338">
        <f t="shared" si="0"/>
        <v>-1.5963260435780859E-2</v>
      </c>
      <c r="H53" s="338">
        <f t="shared" si="1"/>
        <v>-1.4468382142970408E-2</v>
      </c>
    </row>
    <row r="54" spans="2:8" ht="14.25" customHeight="1" x14ac:dyDescent="0.35">
      <c r="B54" s="337">
        <v>43998</v>
      </c>
      <c r="C54" s="337"/>
      <c r="D54">
        <v>9914</v>
      </c>
      <c r="E54">
        <v>939.01</v>
      </c>
      <c r="G54" s="338">
        <f t="shared" si="0"/>
        <v>1.022040616688907E-2</v>
      </c>
      <c r="H54" s="338">
        <f t="shared" si="1"/>
        <v>7.7052681283066114E-3</v>
      </c>
    </row>
    <row r="55" spans="2:8" ht="14.25" customHeight="1" x14ac:dyDescent="0.35">
      <c r="B55" s="337">
        <v>43999</v>
      </c>
      <c r="C55" s="337"/>
      <c r="D55">
        <v>9881.15</v>
      </c>
      <c r="E55">
        <v>944.09</v>
      </c>
      <c r="G55" s="338">
        <f t="shared" si="0"/>
        <v>-3.3134960661690906E-3</v>
      </c>
      <c r="H55" s="338">
        <f t="shared" si="1"/>
        <v>5.4099530356439664E-3</v>
      </c>
    </row>
    <row r="56" spans="2:8" ht="14.25" customHeight="1" x14ac:dyDescent="0.35">
      <c r="B56" s="337">
        <v>44000</v>
      </c>
      <c r="C56" s="337"/>
      <c r="D56">
        <v>10091.65</v>
      </c>
      <c r="E56">
        <v>951.47</v>
      </c>
      <c r="G56" s="338">
        <f t="shared" si="0"/>
        <v>2.1303188394063446E-2</v>
      </c>
      <c r="H56" s="338">
        <f t="shared" si="1"/>
        <v>7.817051340444232E-3</v>
      </c>
    </row>
    <row r="57" spans="2:8" ht="14.25" customHeight="1" x14ac:dyDescent="0.35">
      <c r="B57" s="337">
        <v>44001</v>
      </c>
      <c r="C57" s="337"/>
      <c r="D57">
        <v>10244.4</v>
      </c>
      <c r="E57">
        <v>943.64</v>
      </c>
      <c r="G57" s="338">
        <f t="shared" si="0"/>
        <v>1.513627603018337E-2</v>
      </c>
      <c r="H57" s="338">
        <f t="shared" si="1"/>
        <v>-8.2293713937381541E-3</v>
      </c>
    </row>
    <row r="58" spans="2:8" ht="14.25" customHeight="1" x14ac:dyDescent="0.35">
      <c r="B58" s="337">
        <v>44004</v>
      </c>
      <c r="C58" s="337"/>
      <c r="D58">
        <v>10311.200000000001</v>
      </c>
      <c r="E58">
        <v>936.26</v>
      </c>
      <c r="G58" s="338">
        <f t="shared" si="0"/>
        <v>6.5206356643630762E-3</v>
      </c>
      <c r="H58" s="338">
        <f t="shared" si="1"/>
        <v>-7.8207791106777967E-3</v>
      </c>
    </row>
    <row r="59" spans="2:8" ht="14.25" customHeight="1" x14ac:dyDescent="0.35">
      <c r="B59" s="337">
        <v>44005</v>
      </c>
      <c r="C59" s="337"/>
      <c r="D59">
        <v>10471</v>
      </c>
      <c r="E59">
        <v>925.97</v>
      </c>
      <c r="G59" s="338">
        <f t="shared" si="0"/>
        <v>1.5497711226627285E-2</v>
      </c>
      <c r="H59" s="338">
        <f t="shared" si="1"/>
        <v>-1.0990536816696178E-2</v>
      </c>
    </row>
    <row r="60" spans="2:8" ht="14.25" customHeight="1" x14ac:dyDescent="0.35">
      <c r="B60" s="337">
        <v>44006</v>
      </c>
      <c r="C60" s="337"/>
      <c r="D60">
        <v>10305.299999999999</v>
      </c>
      <c r="E60">
        <v>930.84</v>
      </c>
      <c r="G60" s="338">
        <f t="shared" si="0"/>
        <v>-1.5824658580842397E-2</v>
      </c>
      <c r="H60" s="338">
        <f t="shared" si="1"/>
        <v>5.2593496549564285E-3</v>
      </c>
    </row>
    <row r="61" spans="2:8" ht="14.25" customHeight="1" x14ac:dyDescent="0.35">
      <c r="B61" s="337">
        <v>44007</v>
      </c>
      <c r="C61" s="337"/>
      <c r="D61">
        <v>10288.9</v>
      </c>
      <c r="E61">
        <v>997.41</v>
      </c>
      <c r="G61" s="338">
        <f t="shared" si="0"/>
        <v>-1.5914141267114627E-3</v>
      </c>
      <c r="H61" s="338">
        <f t="shared" si="1"/>
        <v>7.1516050019337307E-2</v>
      </c>
    </row>
    <row r="62" spans="2:8" ht="14.25" customHeight="1" x14ac:dyDescent="0.35">
      <c r="B62" s="337">
        <v>44008</v>
      </c>
      <c r="C62" s="337"/>
      <c r="D62">
        <v>10383</v>
      </c>
      <c r="E62">
        <v>1024.1400000000001</v>
      </c>
      <c r="G62" s="338">
        <f t="shared" si="0"/>
        <v>9.1457784602824756E-3</v>
      </c>
      <c r="H62" s="338">
        <f t="shared" si="1"/>
        <v>2.6799410473125528E-2</v>
      </c>
    </row>
    <row r="63" spans="2:8" ht="14.25" customHeight="1" x14ac:dyDescent="0.35">
      <c r="B63" s="337">
        <v>44011</v>
      </c>
      <c r="C63" s="337"/>
      <c r="D63">
        <v>10312.4</v>
      </c>
      <c r="E63">
        <v>1030.05</v>
      </c>
      <c r="G63" s="338">
        <f t="shared" si="0"/>
        <v>-6.7995762303766118E-3</v>
      </c>
      <c r="H63" s="338">
        <f t="shared" si="1"/>
        <v>5.7706954127363973E-3</v>
      </c>
    </row>
    <row r="64" spans="2:8" ht="14.25" customHeight="1" x14ac:dyDescent="0.35">
      <c r="B64" s="337">
        <v>44012</v>
      </c>
      <c r="C64" s="337"/>
      <c r="D64">
        <v>10302.1</v>
      </c>
      <c r="E64">
        <v>1004.6</v>
      </c>
      <c r="G64" s="338">
        <f t="shared" si="0"/>
        <v>-9.987975640975207E-4</v>
      </c>
      <c r="H64" s="338">
        <f t="shared" si="1"/>
        <v>-2.4707538469006293E-2</v>
      </c>
    </row>
    <row r="65" spans="2:8" ht="14.25" customHeight="1" x14ac:dyDescent="0.35">
      <c r="B65" s="337">
        <v>44013</v>
      </c>
      <c r="C65" s="337"/>
      <c r="D65">
        <v>10430.049999999999</v>
      </c>
      <c r="E65">
        <v>981.85</v>
      </c>
      <c r="G65" s="338">
        <f t="shared" si="0"/>
        <v>1.2419797905281341E-2</v>
      </c>
      <c r="H65" s="338">
        <f t="shared" si="1"/>
        <v>-2.2645829185745571E-2</v>
      </c>
    </row>
    <row r="66" spans="2:8" ht="14.25" customHeight="1" x14ac:dyDescent="0.35">
      <c r="B66" s="337">
        <v>44014</v>
      </c>
      <c r="C66" s="337"/>
      <c r="D66">
        <v>10551.7</v>
      </c>
      <c r="E66">
        <v>975.79</v>
      </c>
      <c r="G66" s="338">
        <f t="shared" si="0"/>
        <v>1.1663414844607789E-2</v>
      </c>
      <c r="H66" s="338">
        <f t="shared" si="1"/>
        <v>-6.1720222029842224E-3</v>
      </c>
    </row>
    <row r="67" spans="2:8" ht="14.25" customHeight="1" x14ac:dyDescent="0.35">
      <c r="B67" s="337">
        <v>44015</v>
      </c>
      <c r="C67" s="337"/>
      <c r="D67">
        <v>10607.35</v>
      </c>
      <c r="E67">
        <v>988.5</v>
      </c>
      <c r="G67" s="338">
        <f t="shared" si="0"/>
        <v>5.2740316726214388E-3</v>
      </c>
      <c r="H67" s="338">
        <f t="shared" si="1"/>
        <v>1.3025343567775891E-2</v>
      </c>
    </row>
    <row r="68" spans="2:8" ht="14.25" customHeight="1" x14ac:dyDescent="0.35">
      <c r="B68" s="337">
        <v>44018</v>
      </c>
      <c r="C68" s="337"/>
      <c r="D68">
        <v>10763.65</v>
      </c>
      <c r="E68">
        <v>973.73</v>
      </c>
      <c r="G68" s="338">
        <f t="shared" si="0"/>
        <v>1.4735065779860123E-2</v>
      </c>
      <c r="H68" s="338">
        <f t="shared" si="1"/>
        <v>-1.494183105715729E-2</v>
      </c>
    </row>
    <row r="69" spans="2:8" ht="14.25" customHeight="1" x14ac:dyDescent="0.35">
      <c r="B69" s="337">
        <v>44019</v>
      </c>
      <c r="C69" s="337"/>
      <c r="D69">
        <v>10799.65</v>
      </c>
      <c r="E69">
        <v>970.67</v>
      </c>
      <c r="G69" s="338">
        <f t="shared" si="0"/>
        <v>3.3445903573601893E-3</v>
      </c>
      <c r="H69" s="338">
        <f t="shared" si="1"/>
        <v>-3.1425549176877154E-3</v>
      </c>
    </row>
    <row r="70" spans="2:8" ht="14.25" customHeight="1" x14ac:dyDescent="0.35">
      <c r="B70" s="337">
        <v>44020</v>
      </c>
      <c r="C70" s="337"/>
      <c r="D70">
        <v>10705.75</v>
      </c>
      <c r="E70">
        <v>967.18</v>
      </c>
      <c r="G70" s="338">
        <f t="shared" si="0"/>
        <v>-8.6947262179792525E-3</v>
      </c>
      <c r="H70" s="338">
        <f t="shared" si="1"/>
        <v>-3.5954546859385881E-3</v>
      </c>
    </row>
    <row r="71" spans="2:8" ht="14.25" customHeight="1" x14ac:dyDescent="0.35">
      <c r="B71" s="337">
        <v>44021</v>
      </c>
      <c r="C71" s="337"/>
      <c r="D71">
        <v>10813.45</v>
      </c>
      <c r="E71">
        <v>977.96</v>
      </c>
      <c r="G71" s="338">
        <f t="shared" ref="G71:G134" si="2">(D71-D70)/D70</f>
        <v>1.0060014478201035E-2</v>
      </c>
      <c r="H71" s="338">
        <f t="shared" ref="H71:H134" si="3">(E71-E70)/E70</f>
        <v>1.1145805330962268E-2</v>
      </c>
    </row>
    <row r="72" spans="2:8" ht="14.25" customHeight="1" x14ac:dyDescent="0.35">
      <c r="B72" s="337">
        <v>44022</v>
      </c>
      <c r="C72" s="337"/>
      <c r="D72">
        <v>10768.05</v>
      </c>
      <c r="E72">
        <v>988.25</v>
      </c>
      <c r="G72" s="338">
        <f t="shared" si="2"/>
        <v>-4.1984750472792171E-3</v>
      </c>
      <c r="H72" s="338">
        <f t="shared" si="3"/>
        <v>1.0521902736308196E-2</v>
      </c>
    </row>
    <row r="73" spans="2:8" ht="14.25" customHeight="1" x14ac:dyDescent="0.35">
      <c r="B73" s="337">
        <v>44025</v>
      </c>
      <c r="C73" s="337"/>
      <c r="D73">
        <v>10802.7</v>
      </c>
      <c r="E73">
        <v>981.41</v>
      </c>
      <c r="G73" s="338">
        <f t="shared" si="2"/>
        <v>3.2178528145765909E-3</v>
      </c>
      <c r="H73" s="338">
        <f t="shared" si="3"/>
        <v>-6.9213255755123018E-3</v>
      </c>
    </row>
    <row r="74" spans="2:8" ht="14.25" customHeight="1" x14ac:dyDescent="0.35">
      <c r="B74" s="337">
        <v>44026</v>
      </c>
      <c r="C74" s="337"/>
      <c r="D74">
        <v>10607.35</v>
      </c>
      <c r="E74">
        <v>983.72</v>
      </c>
      <c r="G74" s="338">
        <f t="shared" si="2"/>
        <v>-1.8083442102437387E-2</v>
      </c>
      <c r="H74" s="338">
        <f t="shared" si="3"/>
        <v>2.3537563301780696E-3</v>
      </c>
    </row>
    <row r="75" spans="2:8" ht="14.25" customHeight="1" x14ac:dyDescent="0.35">
      <c r="B75" s="337">
        <v>44027</v>
      </c>
      <c r="C75" s="337"/>
      <c r="D75">
        <v>10618.2</v>
      </c>
      <c r="E75">
        <v>982.74</v>
      </c>
      <c r="G75" s="338">
        <f t="shared" si="2"/>
        <v>1.0228756475463112E-3</v>
      </c>
      <c r="H75" s="338">
        <f t="shared" si="3"/>
        <v>-9.9621843614038368E-4</v>
      </c>
    </row>
    <row r="76" spans="2:8" ht="14.25" customHeight="1" x14ac:dyDescent="0.35">
      <c r="B76" s="337">
        <v>44028</v>
      </c>
      <c r="C76" s="337"/>
      <c r="D76">
        <v>10739.95</v>
      </c>
      <c r="E76">
        <v>984.7</v>
      </c>
      <c r="G76" s="338">
        <f t="shared" si="2"/>
        <v>1.1466161873010491E-2</v>
      </c>
      <c r="H76" s="338">
        <f t="shared" si="3"/>
        <v>1.9944237539939722E-3</v>
      </c>
    </row>
    <row r="77" spans="2:8" ht="14.25" customHeight="1" x14ac:dyDescent="0.35">
      <c r="B77" s="337">
        <v>44029</v>
      </c>
      <c r="C77" s="337"/>
      <c r="D77">
        <v>10901.7</v>
      </c>
      <c r="E77">
        <v>1013.41</v>
      </c>
      <c r="G77" s="338">
        <f t="shared" si="2"/>
        <v>1.5060591529755724E-2</v>
      </c>
      <c r="H77" s="338">
        <f t="shared" si="3"/>
        <v>2.9156088148674642E-2</v>
      </c>
    </row>
    <row r="78" spans="2:8" ht="14.25" customHeight="1" x14ac:dyDescent="0.35">
      <c r="B78" s="337">
        <v>44032</v>
      </c>
      <c r="C78" s="337"/>
      <c r="D78">
        <v>11022.2</v>
      </c>
      <c r="E78">
        <v>1014.79</v>
      </c>
      <c r="G78" s="338">
        <f t="shared" si="2"/>
        <v>1.1053321958960529E-2</v>
      </c>
      <c r="H78" s="338">
        <f t="shared" si="3"/>
        <v>1.3617390789512592E-3</v>
      </c>
    </row>
    <row r="79" spans="2:8" ht="14.25" customHeight="1" x14ac:dyDescent="0.35">
      <c r="B79" s="337">
        <v>44033</v>
      </c>
      <c r="C79" s="337"/>
      <c r="D79">
        <v>11162.25</v>
      </c>
      <c r="E79">
        <v>1014.2</v>
      </c>
      <c r="G79" s="338">
        <f t="shared" si="2"/>
        <v>1.2706174810836246E-2</v>
      </c>
      <c r="H79" s="338">
        <f t="shared" si="3"/>
        <v>-5.8140107805547761E-4</v>
      </c>
    </row>
    <row r="80" spans="2:8" ht="14.25" customHeight="1" x14ac:dyDescent="0.35">
      <c r="B80" s="337">
        <v>44034</v>
      </c>
      <c r="C80" s="337"/>
      <c r="D80">
        <v>11132.6</v>
      </c>
      <c r="E80">
        <v>1010.65</v>
      </c>
      <c r="G80" s="338">
        <f t="shared" si="2"/>
        <v>-2.6562744966292314E-3</v>
      </c>
      <c r="H80" s="338">
        <f t="shared" si="3"/>
        <v>-3.5002957996451076E-3</v>
      </c>
    </row>
    <row r="81" spans="2:8" ht="14.25" customHeight="1" x14ac:dyDescent="0.35">
      <c r="B81" s="337">
        <v>44035</v>
      </c>
      <c r="C81" s="337"/>
      <c r="D81">
        <v>11215.45</v>
      </c>
      <c r="E81">
        <v>1013.8</v>
      </c>
      <c r="G81" s="338">
        <f t="shared" si="2"/>
        <v>7.4421069651294724E-3</v>
      </c>
      <c r="H81" s="338">
        <f t="shared" si="3"/>
        <v>3.1168060159303193E-3</v>
      </c>
    </row>
    <row r="82" spans="2:8" ht="14.25" customHeight="1" x14ac:dyDescent="0.35">
      <c r="B82" s="337">
        <v>44036</v>
      </c>
      <c r="C82" s="337"/>
      <c r="D82">
        <v>11194.15</v>
      </c>
      <c r="E82">
        <v>1001.79</v>
      </c>
      <c r="G82" s="338">
        <f t="shared" si="2"/>
        <v>-1.8991658827778725E-3</v>
      </c>
      <c r="H82" s="338">
        <f t="shared" si="3"/>
        <v>-1.1846518050897604E-2</v>
      </c>
    </row>
    <row r="83" spans="2:8" ht="14.25" customHeight="1" x14ac:dyDescent="0.35">
      <c r="B83" s="337">
        <v>44039</v>
      </c>
      <c r="C83" s="337"/>
      <c r="D83">
        <v>11131.8</v>
      </c>
      <c r="E83">
        <v>993.62</v>
      </c>
      <c r="G83" s="338">
        <f t="shared" si="2"/>
        <v>-5.5698735500239287E-3</v>
      </c>
      <c r="H83" s="338">
        <f t="shared" si="3"/>
        <v>-8.1554018307229657E-3</v>
      </c>
    </row>
    <row r="84" spans="2:8" ht="14.25" customHeight="1" x14ac:dyDescent="0.35">
      <c r="B84" s="337">
        <v>44040</v>
      </c>
      <c r="C84" s="337"/>
      <c r="D84">
        <v>11300.55</v>
      </c>
      <c r="E84">
        <v>989.68</v>
      </c>
      <c r="G84" s="338">
        <f t="shared" si="2"/>
        <v>1.5159273432868001E-2</v>
      </c>
      <c r="H84" s="338">
        <f t="shared" si="3"/>
        <v>-3.9652986051005963E-3</v>
      </c>
    </row>
    <row r="85" spans="2:8" ht="14.25" customHeight="1" x14ac:dyDescent="0.35">
      <c r="B85" s="337">
        <v>44041</v>
      </c>
      <c r="C85" s="337"/>
      <c r="D85">
        <v>11202.85</v>
      </c>
      <c r="E85">
        <v>987.51</v>
      </c>
      <c r="G85" s="338">
        <f t="shared" si="2"/>
        <v>-8.6455968957262173E-3</v>
      </c>
      <c r="H85" s="338">
        <f t="shared" si="3"/>
        <v>-2.1926279201357601E-3</v>
      </c>
    </row>
    <row r="86" spans="2:8" ht="14.25" customHeight="1" x14ac:dyDescent="0.35">
      <c r="B86" s="337">
        <v>44042</v>
      </c>
      <c r="C86" s="337"/>
      <c r="D86">
        <v>11102.15</v>
      </c>
      <c r="E86">
        <v>990.71</v>
      </c>
      <c r="G86" s="338">
        <f t="shared" si="2"/>
        <v>-8.9887841040450171E-3</v>
      </c>
      <c r="H86" s="338">
        <f t="shared" si="3"/>
        <v>3.2404735141923074E-3</v>
      </c>
    </row>
    <row r="87" spans="2:8" ht="14.25" customHeight="1" x14ac:dyDescent="0.35">
      <c r="B87" s="337">
        <v>44043</v>
      </c>
      <c r="C87" s="337"/>
      <c r="D87">
        <v>11073.45</v>
      </c>
      <c r="E87">
        <v>1000.46</v>
      </c>
      <c r="G87" s="338">
        <f t="shared" si="2"/>
        <v>-2.5850848709483218E-3</v>
      </c>
      <c r="H87" s="338">
        <f t="shared" si="3"/>
        <v>9.8414268554874781E-3</v>
      </c>
    </row>
    <row r="88" spans="2:8" ht="14.25" customHeight="1" x14ac:dyDescent="0.35">
      <c r="B88" s="337">
        <v>44046</v>
      </c>
      <c r="C88" s="337"/>
      <c r="D88">
        <v>10891.6</v>
      </c>
      <c r="E88">
        <v>968.56</v>
      </c>
      <c r="G88" s="338">
        <f t="shared" si="2"/>
        <v>-1.6422162921221513E-2</v>
      </c>
      <c r="H88" s="338">
        <f t="shared" si="3"/>
        <v>-3.1885332746936501E-2</v>
      </c>
    </row>
    <row r="89" spans="2:8" ht="14.25" customHeight="1" x14ac:dyDescent="0.35">
      <c r="B89" s="337">
        <v>44047</v>
      </c>
      <c r="C89" s="337"/>
      <c r="D89">
        <v>11095.25</v>
      </c>
      <c r="E89">
        <v>962.16</v>
      </c>
      <c r="G89" s="338">
        <f t="shared" si="2"/>
        <v>1.8697895625986966E-2</v>
      </c>
      <c r="H89" s="338">
        <f t="shared" si="3"/>
        <v>-6.6077475840422666E-3</v>
      </c>
    </row>
    <row r="90" spans="2:8" ht="14.25" customHeight="1" x14ac:dyDescent="0.35">
      <c r="B90" s="337">
        <v>44048</v>
      </c>
      <c r="C90" s="337"/>
      <c r="D90">
        <v>11101.65</v>
      </c>
      <c r="E90">
        <v>942.51</v>
      </c>
      <c r="G90" s="338">
        <f t="shared" si="2"/>
        <v>5.7682341542548716E-4</v>
      </c>
      <c r="H90" s="338">
        <f t="shared" si="3"/>
        <v>-2.042279870291841E-2</v>
      </c>
    </row>
    <row r="91" spans="2:8" ht="14.25" customHeight="1" x14ac:dyDescent="0.35">
      <c r="B91" s="337">
        <v>44049</v>
      </c>
      <c r="C91" s="337"/>
      <c r="D91">
        <v>11200.15</v>
      </c>
      <c r="E91">
        <v>934.98</v>
      </c>
      <c r="G91" s="338">
        <f t="shared" si="2"/>
        <v>8.8725549805659526E-3</v>
      </c>
      <c r="H91" s="338">
        <f t="shared" si="3"/>
        <v>-7.9893051532609442E-3</v>
      </c>
    </row>
    <row r="92" spans="2:8" ht="14.25" customHeight="1" x14ac:dyDescent="0.35">
      <c r="B92" s="337">
        <v>44050</v>
      </c>
      <c r="C92" s="337"/>
      <c r="D92">
        <v>11214.05</v>
      </c>
      <c r="E92">
        <v>951.77</v>
      </c>
      <c r="G92" s="338">
        <f t="shared" si="2"/>
        <v>1.2410548073016555E-3</v>
      </c>
      <c r="H92" s="338">
        <f t="shared" si="3"/>
        <v>1.7957603371195067E-2</v>
      </c>
    </row>
    <row r="93" spans="2:8" ht="14.25" customHeight="1" x14ac:dyDescent="0.35">
      <c r="B93" s="337">
        <v>44053</v>
      </c>
      <c r="C93" s="337"/>
      <c r="D93">
        <v>11270.15</v>
      </c>
      <c r="E93">
        <v>987.56</v>
      </c>
      <c r="G93" s="338">
        <f t="shared" si="2"/>
        <v>5.0026529220041256E-3</v>
      </c>
      <c r="H93" s="338">
        <f t="shared" si="3"/>
        <v>3.7603622723977395E-2</v>
      </c>
    </row>
    <row r="94" spans="2:8" ht="14.25" customHeight="1" x14ac:dyDescent="0.35">
      <c r="B94" s="337">
        <v>44054</v>
      </c>
      <c r="C94" s="337"/>
      <c r="D94">
        <v>11322.5</v>
      </c>
      <c r="E94">
        <v>994.7</v>
      </c>
      <c r="G94" s="338">
        <f t="shared" si="2"/>
        <v>4.6450135978669642E-3</v>
      </c>
      <c r="H94" s="338">
        <f t="shared" si="3"/>
        <v>7.229940459313966E-3</v>
      </c>
    </row>
    <row r="95" spans="2:8" ht="14.25" customHeight="1" x14ac:dyDescent="0.35">
      <c r="B95" s="337">
        <v>44055</v>
      </c>
      <c r="C95" s="337"/>
      <c r="D95">
        <v>11308.4</v>
      </c>
      <c r="E95">
        <v>983.52</v>
      </c>
      <c r="G95" s="338">
        <f t="shared" si="2"/>
        <v>-1.2453080150143841E-3</v>
      </c>
      <c r="H95" s="338">
        <f t="shared" si="3"/>
        <v>-1.1239569719513485E-2</v>
      </c>
    </row>
    <row r="96" spans="2:8" ht="14.25" customHeight="1" x14ac:dyDescent="0.35">
      <c r="B96" s="337">
        <v>44056</v>
      </c>
      <c r="C96" s="337"/>
      <c r="D96">
        <v>11300.45</v>
      </c>
      <c r="E96">
        <v>1003.32</v>
      </c>
      <c r="G96" s="338">
        <f t="shared" si="2"/>
        <v>-7.0301722613268973E-4</v>
      </c>
      <c r="H96" s="338">
        <f t="shared" si="3"/>
        <v>2.0131771595900509E-2</v>
      </c>
    </row>
    <row r="97" spans="2:8" ht="14.25" customHeight="1" x14ac:dyDescent="0.35">
      <c r="B97" s="337">
        <v>44057</v>
      </c>
      <c r="C97" s="337"/>
      <c r="D97">
        <v>11178.4</v>
      </c>
      <c r="E97">
        <v>1014.94</v>
      </c>
      <c r="G97" s="338">
        <f t="shared" si="2"/>
        <v>-1.0800454849143272E-2</v>
      </c>
      <c r="H97" s="338">
        <f t="shared" si="3"/>
        <v>1.1581549256468529E-2</v>
      </c>
    </row>
    <row r="98" spans="2:8" ht="14.25" customHeight="1" x14ac:dyDescent="0.35">
      <c r="B98" s="337">
        <v>44060</v>
      </c>
      <c r="C98" s="337"/>
      <c r="D98">
        <v>11247.1</v>
      </c>
      <c r="E98">
        <v>1007.75</v>
      </c>
      <c r="G98" s="338">
        <f t="shared" si="2"/>
        <v>6.1457811493595442E-3</v>
      </c>
      <c r="H98" s="338">
        <f t="shared" si="3"/>
        <v>-7.084162610597724E-3</v>
      </c>
    </row>
    <row r="99" spans="2:8" ht="14.25" customHeight="1" x14ac:dyDescent="0.35">
      <c r="B99" s="337">
        <v>44061</v>
      </c>
      <c r="C99" s="337"/>
      <c r="D99">
        <v>11385.35</v>
      </c>
      <c r="E99">
        <v>1001.35</v>
      </c>
      <c r="G99" s="338">
        <f t="shared" si="2"/>
        <v>1.2292057508157659E-2</v>
      </c>
      <c r="H99" s="338">
        <f t="shared" si="3"/>
        <v>-6.3507814438104465E-3</v>
      </c>
    </row>
    <row r="100" spans="2:8" ht="14.25" customHeight="1" x14ac:dyDescent="0.35">
      <c r="B100" s="337">
        <v>44062</v>
      </c>
      <c r="C100" s="337"/>
      <c r="D100">
        <v>11408.4</v>
      </c>
      <c r="E100">
        <v>1037.44</v>
      </c>
      <c r="G100" s="338">
        <f t="shared" si="2"/>
        <v>2.0245315251616572E-3</v>
      </c>
      <c r="H100" s="338">
        <f t="shared" si="3"/>
        <v>3.6041344185349808E-2</v>
      </c>
    </row>
    <row r="101" spans="2:8" ht="14.25" customHeight="1" x14ac:dyDescent="0.35">
      <c r="B101" s="337">
        <v>44063</v>
      </c>
      <c r="C101" s="337"/>
      <c r="D101">
        <v>11312.2</v>
      </c>
      <c r="E101">
        <v>1032.71</v>
      </c>
      <c r="G101" s="338">
        <f t="shared" si="2"/>
        <v>-8.4323831562707219E-3</v>
      </c>
      <c r="H101" s="338">
        <f t="shared" si="3"/>
        <v>-4.5592998149290732E-3</v>
      </c>
    </row>
    <row r="102" spans="2:8" ht="14.25" customHeight="1" x14ac:dyDescent="0.35">
      <c r="B102" s="337">
        <v>44064</v>
      </c>
      <c r="C102" s="337"/>
      <c r="D102">
        <v>11371.6</v>
      </c>
      <c r="E102">
        <v>1074.51</v>
      </c>
      <c r="G102" s="338">
        <f t="shared" si="2"/>
        <v>5.2509679814712997E-3</v>
      </c>
      <c r="H102" s="338">
        <f t="shared" si="3"/>
        <v>4.0476029088514637E-2</v>
      </c>
    </row>
    <row r="103" spans="2:8" ht="14.25" customHeight="1" x14ac:dyDescent="0.35">
      <c r="B103" s="337">
        <v>44067</v>
      </c>
      <c r="C103" s="337"/>
      <c r="D103">
        <v>11466.45</v>
      </c>
      <c r="E103">
        <v>1083.96</v>
      </c>
      <c r="G103" s="338">
        <f t="shared" si="2"/>
        <v>8.3409546589750215E-3</v>
      </c>
      <c r="H103" s="338">
        <f t="shared" si="3"/>
        <v>8.7947064243236884E-3</v>
      </c>
    </row>
    <row r="104" spans="2:8" ht="14.25" customHeight="1" x14ac:dyDescent="0.35">
      <c r="B104" s="337">
        <v>44068</v>
      </c>
      <c r="C104" s="337"/>
      <c r="D104">
        <v>11472.25</v>
      </c>
      <c r="E104">
        <v>1124.8800000000001</v>
      </c>
      <c r="G104" s="338">
        <f t="shared" si="2"/>
        <v>5.0582351120000276E-4</v>
      </c>
      <c r="H104" s="338">
        <f t="shared" si="3"/>
        <v>3.7750470497066375E-2</v>
      </c>
    </row>
    <row r="105" spans="2:8" ht="14.25" customHeight="1" x14ac:dyDescent="0.35">
      <c r="B105" s="337">
        <v>44069</v>
      </c>
      <c r="C105" s="337"/>
      <c r="D105">
        <v>11549.6</v>
      </c>
      <c r="E105">
        <v>1121.83</v>
      </c>
      <c r="G105" s="338">
        <f t="shared" si="2"/>
        <v>6.7423565560374259E-3</v>
      </c>
      <c r="H105" s="338">
        <f t="shared" si="3"/>
        <v>-2.7114003271461683E-3</v>
      </c>
    </row>
    <row r="106" spans="2:8" ht="14.25" customHeight="1" x14ac:dyDescent="0.35">
      <c r="B106" s="337">
        <v>44070</v>
      </c>
      <c r="C106" s="337"/>
      <c r="D106">
        <v>11559.25</v>
      </c>
      <c r="E106">
        <v>1144.23</v>
      </c>
      <c r="G106" s="338">
        <f t="shared" si="2"/>
        <v>8.3552677148989016E-4</v>
      </c>
      <c r="H106" s="338">
        <f t="shared" si="3"/>
        <v>1.9967374735922638E-2</v>
      </c>
    </row>
    <row r="107" spans="2:8" ht="14.25" customHeight="1" x14ac:dyDescent="0.35">
      <c r="B107" s="337">
        <v>44071</v>
      </c>
      <c r="C107" s="337"/>
      <c r="D107">
        <v>11647.6</v>
      </c>
      <c r="E107">
        <v>1132.3599999999999</v>
      </c>
      <c r="G107" s="338">
        <f t="shared" si="2"/>
        <v>7.6432294482773853E-3</v>
      </c>
      <c r="H107" s="338">
        <f t="shared" si="3"/>
        <v>-1.0373788486580599E-2</v>
      </c>
    </row>
    <row r="108" spans="2:8" ht="14.25" customHeight="1" x14ac:dyDescent="0.35">
      <c r="B108" s="337">
        <v>44074</v>
      </c>
      <c r="C108" s="337"/>
      <c r="D108">
        <v>11387.5</v>
      </c>
      <c r="E108">
        <v>1105.53</v>
      </c>
      <c r="G108" s="338">
        <f t="shared" si="2"/>
        <v>-2.233078058999282E-2</v>
      </c>
      <c r="H108" s="338">
        <f t="shared" si="3"/>
        <v>-2.3693878271927593E-2</v>
      </c>
    </row>
    <row r="109" spans="2:8" ht="14.25" customHeight="1" x14ac:dyDescent="0.35">
      <c r="B109" s="337">
        <v>44075</v>
      </c>
      <c r="C109" s="337"/>
      <c r="D109">
        <v>11470.25</v>
      </c>
      <c r="E109">
        <v>1083.18</v>
      </c>
      <c r="G109" s="338">
        <f t="shared" si="2"/>
        <v>7.2667398463227223E-3</v>
      </c>
      <c r="H109" s="338">
        <f t="shared" si="3"/>
        <v>-2.0216547719193428E-2</v>
      </c>
    </row>
    <row r="110" spans="2:8" ht="14.25" customHeight="1" x14ac:dyDescent="0.35">
      <c r="B110" s="337">
        <v>44076</v>
      </c>
      <c r="C110" s="337"/>
      <c r="D110">
        <v>11535</v>
      </c>
      <c r="E110">
        <v>1067.3699999999999</v>
      </c>
      <c r="G110" s="338">
        <f t="shared" si="2"/>
        <v>5.6450382511279177E-3</v>
      </c>
      <c r="H110" s="338">
        <f t="shared" si="3"/>
        <v>-1.4595912036780749E-2</v>
      </c>
    </row>
    <row r="111" spans="2:8" ht="14.25" customHeight="1" x14ac:dyDescent="0.35">
      <c r="B111" s="337">
        <v>44077</v>
      </c>
      <c r="C111" s="337"/>
      <c r="D111">
        <v>11527.45</v>
      </c>
      <c r="E111">
        <v>1070.29</v>
      </c>
      <c r="G111" s="338">
        <f t="shared" si="2"/>
        <v>-6.5452969224094257E-4</v>
      </c>
      <c r="H111" s="338">
        <f t="shared" si="3"/>
        <v>2.7356961503509311E-3</v>
      </c>
    </row>
    <row r="112" spans="2:8" ht="14.25" customHeight="1" x14ac:dyDescent="0.35">
      <c r="B112" s="337">
        <v>44078</v>
      </c>
      <c r="C112" s="337"/>
      <c r="D112">
        <v>11333.85</v>
      </c>
      <c r="E112">
        <v>1064.5</v>
      </c>
      <c r="G112" s="338">
        <f t="shared" si="2"/>
        <v>-1.679469440335897E-2</v>
      </c>
      <c r="H112" s="338">
        <f t="shared" si="3"/>
        <v>-5.4097487596819213E-3</v>
      </c>
    </row>
    <row r="113" spans="2:8" ht="14.25" customHeight="1" x14ac:dyDescent="0.35">
      <c r="B113" s="337">
        <v>44081</v>
      </c>
      <c r="C113" s="337"/>
      <c r="D113">
        <v>11355.05</v>
      </c>
      <c r="E113">
        <v>1032.81</v>
      </c>
      <c r="G113" s="338">
        <f t="shared" si="2"/>
        <v>1.8705029623648547E-3</v>
      </c>
      <c r="H113" s="338">
        <f t="shared" si="3"/>
        <v>-2.9769844997651531E-2</v>
      </c>
    </row>
    <row r="114" spans="2:8" ht="14.25" customHeight="1" x14ac:dyDescent="0.35">
      <c r="B114" s="337">
        <v>44082</v>
      </c>
      <c r="C114" s="337"/>
      <c r="D114">
        <v>11317.35</v>
      </c>
      <c r="E114">
        <v>984.49</v>
      </c>
      <c r="G114" s="338">
        <f t="shared" si="2"/>
        <v>-3.3201086741140649E-3</v>
      </c>
      <c r="H114" s="338">
        <f t="shared" si="3"/>
        <v>-4.6784984653518012E-2</v>
      </c>
    </row>
    <row r="115" spans="2:8" ht="14.25" customHeight="1" x14ac:dyDescent="0.35">
      <c r="B115" s="337">
        <v>44083</v>
      </c>
      <c r="C115" s="337"/>
      <c r="D115">
        <v>11278</v>
      </c>
      <c r="E115">
        <v>995.24</v>
      </c>
      <c r="G115" s="338">
        <f t="shared" si="2"/>
        <v>-3.4769623630974003E-3</v>
      </c>
      <c r="H115" s="338">
        <f t="shared" si="3"/>
        <v>1.091935926215604E-2</v>
      </c>
    </row>
    <row r="116" spans="2:8" ht="14.25" customHeight="1" x14ac:dyDescent="0.35">
      <c r="B116" s="337">
        <v>44084</v>
      </c>
      <c r="C116" s="337"/>
      <c r="D116">
        <v>11449.25</v>
      </c>
      <c r="E116">
        <v>993.4</v>
      </c>
      <c r="G116" s="338">
        <f t="shared" si="2"/>
        <v>1.5184429863450966E-2</v>
      </c>
      <c r="H116" s="338">
        <f t="shared" si="3"/>
        <v>-1.8488002893774687E-3</v>
      </c>
    </row>
    <row r="117" spans="2:8" ht="14.25" customHeight="1" x14ac:dyDescent="0.35">
      <c r="B117" s="337">
        <v>44085</v>
      </c>
      <c r="C117" s="337"/>
      <c r="D117">
        <v>11464.45</v>
      </c>
      <c r="E117">
        <v>998.65</v>
      </c>
      <c r="G117" s="338">
        <f t="shared" si="2"/>
        <v>1.3275978775902986E-3</v>
      </c>
      <c r="H117" s="338">
        <f t="shared" si="3"/>
        <v>5.2848802093819211E-3</v>
      </c>
    </row>
    <row r="118" spans="2:8" ht="14.25" customHeight="1" x14ac:dyDescent="0.35">
      <c r="B118" s="337">
        <v>44088</v>
      </c>
      <c r="C118" s="337"/>
      <c r="D118">
        <v>11440.05</v>
      </c>
      <c r="E118">
        <v>1071.08</v>
      </c>
      <c r="G118" s="338">
        <f t="shared" si="2"/>
        <v>-2.1283184103905073E-3</v>
      </c>
      <c r="H118" s="338">
        <f t="shared" si="3"/>
        <v>7.2527912682120818E-2</v>
      </c>
    </row>
    <row r="119" spans="2:8" ht="14.25" customHeight="1" x14ac:dyDescent="0.35">
      <c r="B119" s="337">
        <v>44089</v>
      </c>
      <c r="C119" s="337"/>
      <c r="D119">
        <v>11521.8</v>
      </c>
      <c r="E119">
        <v>1060.8399999999999</v>
      </c>
      <c r="G119" s="338">
        <f t="shared" si="2"/>
        <v>7.1459477886897356E-3</v>
      </c>
      <c r="H119" s="338">
        <f t="shared" si="3"/>
        <v>-9.560443664338808E-3</v>
      </c>
    </row>
    <row r="120" spans="2:8" ht="14.25" customHeight="1" x14ac:dyDescent="0.35">
      <c r="B120" s="337">
        <v>44090</v>
      </c>
      <c r="C120" s="337"/>
      <c r="D120">
        <v>11604.55</v>
      </c>
      <c r="E120">
        <v>1063.4100000000001</v>
      </c>
      <c r="G120" s="338">
        <f t="shared" si="2"/>
        <v>7.1820375288583387E-3</v>
      </c>
      <c r="H120" s="338">
        <f t="shared" si="3"/>
        <v>2.4226084989255343E-3</v>
      </c>
    </row>
    <row r="121" spans="2:8" ht="14.25" customHeight="1" x14ac:dyDescent="0.35">
      <c r="B121" s="337">
        <v>44091</v>
      </c>
      <c r="C121" s="337"/>
      <c r="D121">
        <v>11516.1</v>
      </c>
      <c r="E121">
        <v>1049.5</v>
      </c>
      <c r="G121" s="338">
        <f t="shared" si="2"/>
        <v>-7.6220103321541048E-3</v>
      </c>
      <c r="H121" s="338">
        <f t="shared" si="3"/>
        <v>-1.3080561589603334E-2</v>
      </c>
    </row>
    <row r="122" spans="2:8" ht="14.25" customHeight="1" x14ac:dyDescent="0.35">
      <c r="B122" s="337">
        <v>44092</v>
      </c>
      <c r="C122" s="337"/>
      <c r="D122">
        <v>11504.95</v>
      </c>
      <c r="E122">
        <v>1077.92</v>
      </c>
      <c r="G122" s="338">
        <f t="shared" si="2"/>
        <v>-9.6820972377798355E-4</v>
      </c>
      <c r="H122" s="338">
        <f t="shared" si="3"/>
        <v>2.7079561696045806E-2</v>
      </c>
    </row>
    <row r="123" spans="2:8" ht="14.25" customHeight="1" x14ac:dyDescent="0.35">
      <c r="B123" s="337">
        <v>44095</v>
      </c>
      <c r="C123" s="337"/>
      <c r="D123">
        <v>11250.55</v>
      </c>
      <c r="E123">
        <v>1056.18</v>
      </c>
      <c r="G123" s="338">
        <f t="shared" si="2"/>
        <v>-2.2112221261283312E-2</v>
      </c>
      <c r="H123" s="338">
        <f t="shared" si="3"/>
        <v>-2.0168472613923117E-2</v>
      </c>
    </row>
    <row r="124" spans="2:8" ht="14.25" customHeight="1" x14ac:dyDescent="0.35">
      <c r="B124" s="337">
        <v>44096</v>
      </c>
      <c r="C124" s="337"/>
      <c r="D124">
        <v>11153.65</v>
      </c>
      <c r="E124">
        <v>1036.77</v>
      </c>
      <c r="G124" s="338">
        <f t="shared" si="2"/>
        <v>-8.6129122576229285E-3</v>
      </c>
      <c r="H124" s="338">
        <f t="shared" si="3"/>
        <v>-1.8377549281372571E-2</v>
      </c>
    </row>
    <row r="125" spans="2:8" ht="14.25" customHeight="1" x14ac:dyDescent="0.35">
      <c r="B125" s="337">
        <v>44097</v>
      </c>
      <c r="C125" s="337"/>
      <c r="D125">
        <v>11131.85</v>
      </c>
      <c r="E125">
        <v>1026.18</v>
      </c>
      <c r="G125" s="338">
        <f t="shared" si="2"/>
        <v>-1.9545171311632758E-3</v>
      </c>
      <c r="H125" s="338">
        <f t="shared" si="3"/>
        <v>-1.021441592638668E-2</v>
      </c>
    </row>
    <row r="126" spans="2:8" ht="14.25" customHeight="1" x14ac:dyDescent="0.35">
      <c r="B126" s="337">
        <v>44098</v>
      </c>
      <c r="C126" s="337"/>
      <c r="D126">
        <v>10805.55</v>
      </c>
      <c r="E126">
        <v>1016.33</v>
      </c>
      <c r="G126" s="338">
        <f t="shared" si="2"/>
        <v>-2.9312288613303365E-2</v>
      </c>
      <c r="H126" s="338">
        <f t="shared" si="3"/>
        <v>-9.5987058800600499E-3</v>
      </c>
    </row>
    <row r="127" spans="2:8" ht="14.25" customHeight="1" x14ac:dyDescent="0.35">
      <c r="B127" s="337">
        <v>44099</v>
      </c>
      <c r="C127" s="337"/>
      <c r="D127">
        <v>11050.25</v>
      </c>
      <c r="E127">
        <v>1015.34</v>
      </c>
      <c r="G127" s="338">
        <f t="shared" si="2"/>
        <v>2.264576999782526E-2</v>
      </c>
      <c r="H127" s="338">
        <f t="shared" si="3"/>
        <v>-9.7409306032490337E-4</v>
      </c>
    </row>
    <row r="128" spans="2:8" ht="14.25" customHeight="1" x14ac:dyDescent="0.35">
      <c r="B128" s="337">
        <v>44102</v>
      </c>
      <c r="C128" s="337"/>
      <c r="D128">
        <v>11227.55</v>
      </c>
      <c r="E128">
        <v>1035.98</v>
      </c>
      <c r="G128" s="338">
        <f t="shared" si="2"/>
        <v>1.6044885862310742E-2</v>
      </c>
      <c r="H128" s="338">
        <f t="shared" si="3"/>
        <v>2.0328165934563776E-2</v>
      </c>
    </row>
    <row r="129" spans="2:8" ht="14.25" customHeight="1" x14ac:dyDescent="0.35">
      <c r="B129" s="337">
        <v>44103</v>
      </c>
      <c r="C129" s="337"/>
      <c r="D129">
        <v>11222.4</v>
      </c>
      <c r="E129">
        <v>1039.25</v>
      </c>
      <c r="G129" s="338">
        <f t="shared" si="2"/>
        <v>-4.5869312539241746E-4</v>
      </c>
      <c r="H129" s="338">
        <f t="shared" si="3"/>
        <v>3.1564315913434446E-3</v>
      </c>
    </row>
    <row r="130" spans="2:8" ht="14.25" customHeight="1" x14ac:dyDescent="0.35">
      <c r="B130" s="337">
        <v>44104</v>
      </c>
      <c r="C130" s="337"/>
      <c r="D130">
        <v>11247.55</v>
      </c>
      <c r="E130">
        <v>1024.45</v>
      </c>
      <c r="G130" s="338">
        <f t="shared" si="2"/>
        <v>2.2410536070715387E-3</v>
      </c>
      <c r="H130" s="338">
        <f t="shared" si="3"/>
        <v>-1.4241039210969406E-2</v>
      </c>
    </row>
    <row r="131" spans="2:8" ht="14.25" customHeight="1" x14ac:dyDescent="0.35">
      <c r="B131" s="337">
        <v>44105</v>
      </c>
      <c r="C131" s="337"/>
      <c r="D131">
        <v>11416.95</v>
      </c>
      <c r="E131">
        <v>1057.6199999999999</v>
      </c>
      <c r="G131" s="338">
        <f t="shared" si="2"/>
        <v>1.5061057741463827E-2</v>
      </c>
      <c r="H131" s="338">
        <f t="shared" si="3"/>
        <v>3.2378349358192046E-2</v>
      </c>
    </row>
    <row r="132" spans="2:8" ht="14.25" customHeight="1" x14ac:dyDescent="0.35">
      <c r="B132" s="337">
        <v>44109</v>
      </c>
      <c r="C132" s="337"/>
      <c r="D132">
        <v>11503.35</v>
      </c>
      <c r="E132">
        <v>1071.53</v>
      </c>
      <c r="G132" s="338">
        <f t="shared" si="2"/>
        <v>7.5676954002601073E-3</v>
      </c>
      <c r="H132" s="338">
        <f t="shared" si="3"/>
        <v>1.3152171857567068E-2</v>
      </c>
    </row>
    <row r="133" spans="2:8" ht="14.25" customHeight="1" x14ac:dyDescent="0.35">
      <c r="B133" s="337">
        <v>44110</v>
      </c>
      <c r="C133" s="337"/>
      <c r="D133">
        <v>11662.4</v>
      </c>
      <c r="E133">
        <v>1070.04</v>
      </c>
      <c r="G133" s="338">
        <f t="shared" si="2"/>
        <v>1.382640709010847E-2</v>
      </c>
      <c r="H133" s="338">
        <f t="shared" si="3"/>
        <v>-1.3905350293505632E-3</v>
      </c>
    </row>
    <row r="134" spans="2:8" ht="14.25" customHeight="1" x14ac:dyDescent="0.35">
      <c r="B134" s="337">
        <v>44111</v>
      </c>
      <c r="C134" s="337"/>
      <c r="D134">
        <v>11738.85</v>
      </c>
      <c r="E134">
        <v>1064.7</v>
      </c>
      <c r="G134" s="338">
        <f t="shared" si="2"/>
        <v>6.5552544930718142E-3</v>
      </c>
      <c r="H134" s="338">
        <f t="shared" si="3"/>
        <v>-4.9904676460692295E-3</v>
      </c>
    </row>
    <row r="135" spans="2:8" ht="14.25" customHeight="1" x14ac:dyDescent="0.35">
      <c r="B135" s="337">
        <v>44112</v>
      </c>
      <c r="C135" s="337"/>
      <c r="D135">
        <v>11834.6</v>
      </c>
      <c r="E135">
        <v>1059.1500000000001</v>
      </c>
      <c r="G135" s="338">
        <f t="shared" ref="G135:G198" si="4">(D135-D134)/D134</f>
        <v>8.15667633541616E-3</v>
      </c>
      <c r="H135" s="338">
        <f t="shared" ref="H135:H198" si="5">(E135-E134)/E134</f>
        <v>-5.2127359819667081E-3</v>
      </c>
    </row>
    <row r="136" spans="2:8" ht="14.25" customHeight="1" x14ac:dyDescent="0.35">
      <c r="B136" s="337">
        <v>44113</v>
      </c>
      <c r="C136" s="337"/>
      <c r="D136">
        <v>11914.2</v>
      </c>
      <c r="E136">
        <v>1079.8</v>
      </c>
      <c r="G136" s="338">
        <f t="shared" si="4"/>
        <v>6.7260405928379801E-3</v>
      </c>
      <c r="H136" s="338">
        <f t="shared" si="5"/>
        <v>1.9496766274842904E-2</v>
      </c>
    </row>
    <row r="137" spans="2:8" ht="14.25" customHeight="1" x14ac:dyDescent="0.35">
      <c r="B137" s="337">
        <v>44116</v>
      </c>
      <c r="C137" s="337"/>
      <c r="D137">
        <v>11930.95</v>
      </c>
      <c r="E137">
        <v>1070.79</v>
      </c>
      <c r="G137" s="338">
        <f t="shared" si="4"/>
        <v>1.4058854140437461E-3</v>
      </c>
      <c r="H137" s="338">
        <f t="shared" si="5"/>
        <v>-8.3441378032968992E-3</v>
      </c>
    </row>
    <row r="138" spans="2:8" ht="14.25" customHeight="1" x14ac:dyDescent="0.35">
      <c r="B138" s="337">
        <v>44117</v>
      </c>
      <c r="C138" s="337"/>
      <c r="D138">
        <v>11934.5</v>
      </c>
      <c r="E138">
        <v>1050.79</v>
      </c>
      <c r="G138" s="338">
        <f t="shared" si="4"/>
        <v>2.9754545949813488E-4</v>
      </c>
      <c r="H138" s="338">
        <f t="shared" si="5"/>
        <v>-1.8677798634652919E-2</v>
      </c>
    </row>
    <row r="139" spans="2:8" ht="14.25" customHeight="1" x14ac:dyDescent="0.35">
      <c r="B139" s="337">
        <v>44118</v>
      </c>
      <c r="C139" s="337"/>
      <c r="D139">
        <v>11971.05</v>
      </c>
      <c r="E139">
        <v>1041.92</v>
      </c>
      <c r="G139" s="338">
        <f t="shared" si="4"/>
        <v>3.0625497507226337E-3</v>
      </c>
      <c r="H139" s="338">
        <f t="shared" si="5"/>
        <v>-8.4412679983630334E-3</v>
      </c>
    </row>
    <row r="140" spans="2:8" ht="14.25" customHeight="1" x14ac:dyDescent="0.35">
      <c r="B140" s="337">
        <v>44119</v>
      </c>
      <c r="C140" s="337"/>
      <c r="D140">
        <v>11680.35</v>
      </c>
      <c r="E140">
        <v>1020.09</v>
      </c>
      <c r="G140" s="338">
        <f t="shared" si="4"/>
        <v>-2.4283584146753953E-2</v>
      </c>
      <c r="H140" s="338">
        <f t="shared" si="5"/>
        <v>-2.0951704545454582E-2</v>
      </c>
    </row>
    <row r="141" spans="2:8" ht="14.25" customHeight="1" x14ac:dyDescent="0.35">
      <c r="B141" s="337">
        <v>44120</v>
      </c>
      <c r="C141" s="337"/>
      <c r="D141">
        <v>11762.45</v>
      </c>
      <c r="E141">
        <v>1026.82</v>
      </c>
      <c r="G141" s="338">
        <f t="shared" si="4"/>
        <v>7.0288989627879609E-3</v>
      </c>
      <c r="H141" s="338">
        <f t="shared" si="5"/>
        <v>6.5974570871196701E-3</v>
      </c>
    </row>
    <row r="142" spans="2:8" ht="14.25" customHeight="1" x14ac:dyDescent="0.35">
      <c r="B142" s="337">
        <v>44123</v>
      </c>
      <c r="C142" s="337"/>
      <c r="D142">
        <v>11873.05</v>
      </c>
      <c r="E142">
        <v>1008.65</v>
      </c>
      <c r="G142" s="338">
        <f t="shared" si="4"/>
        <v>9.4028029874727234E-3</v>
      </c>
      <c r="H142" s="338">
        <f t="shared" si="5"/>
        <v>-1.7695409127208236E-2</v>
      </c>
    </row>
    <row r="143" spans="2:8" ht="14.25" customHeight="1" x14ac:dyDescent="0.35">
      <c r="B143" s="337">
        <v>44124</v>
      </c>
      <c r="C143" s="337"/>
      <c r="D143">
        <v>11896.8</v>
      </c>
      <c r="E143">
        <v>1008.41</v>
      </c>
      <c r="G143" s="338">
        <f t="shared" si="4"/>
        <v>2.0003284749916831E-3</v>
      </c>
      <c r="H143" s="338">
        <f t="shared" si="5"/>
        <v>-2.3794180340059397E-4</v>
      </c>
    </row>
    <row r="144" spans="2:8" ht="14.25" customHeight="1" x14ac:dyDescent="0.35">
      <c r="B144" s="337">
        <v>44125</v>
      </c>
      <c r="C144" s="337"/>
      <c r="D144">
        <v>11937.65</v>
      </c>
      <c r="E144">
        <v>1010.29</v>
      </c>
      <c r="G144" s="338">
        <f t="shared" si="4"/>
        <v>3.4336964561899304E-3</v>
      </c>
      <c r="H144" s="338">
        <f t="shared" si="5"/>
        <v>1.8643210598863513E-3</v>
      </c>
    </row>
    <row r="145" spans="2:8" ht="14.25" customHeight="1" x14ac:dyDescent="0.35">
      <c r="B145" s="337">
        <v>44126</v>
      </c>
      <c r="C145" s="337"/>
      <c r="D145">
        <v>11896.45</v>
      </c>
      <c r="E145">
        <v>1015.24</v>
      </c>
      <c r="G145" s="338">
        <f t="shared" si="4"/>
        <v>-3.4512655338361327E-3</v>
      </c>
      <c r="H145" s="338">
        <f t="shared" si="5"/>
        <v>4.8995832879668664E-3</v>
      </c>
    </row>
    <row r="146" spans="2:8" ht="14.25" customHeight="1" x14ac:dyDescent="0.35">
      <c r="B146" s="337">
        <v>44127</v>
      </c>
      <c r="C146" s="337"/>
      <c r="D146">
        <v>11930.35</v>
      </c>
      <c r="E146">
        <v>1017.91</v>
      </c>
      <c r="G146" s="338">
        <f t="shared" si="4"/>
        <v>2.8495895834471322E-3</v>
      </c>
      <c r="H146" s="338">
        <f t="shared" si="5"/>
        <v>2.6299200189117441E-3</v>
      </c>
    </row>
    <row r="147" spans="2:8" ht="14.25" customHeight="1" x14ac:dyDescent="0.35">
      <c r="B147" s="337">
        <v>44130</v>
      </c>
      <c r="C147" s="337"/>
      <c r="D147">
        <v>11767.75</v>
      </c>
      <c r="E147">
        <v>1019.45</v>
      </c>
      <c r="G147" s="338">
        <f t="shared" si="4"/>
        <v>-1.3629105600422482E-2</v>
      </c>
      <c r="H147" s="338">
        <f t="shared" si="5"/>
        <v>1.5129038913067731E-3</v>
      </c>
    </row>
    <row r="148" spans="2:8" ht="14.25" customHeight="1" x14ac:dyDescent="0.35">
      <c r="B148" s="337">
        <v>44131</v>
      </c>
      <c r="C148" s="337"/>
      <c r="D148">
        <v>11889.4</v>
      </c>
      <c r="E148">
        <v>1015.19</v>
      </c>
      <c r="G148" s="338">
        <f t="shared" si="4"/>
        <v>1.0337575152429277E-2</v>
      </c>
      <c r="H148" s="338">
        <f t="shared" si="5"/>
        <v>-4.1787238216685375E-3</v>
      </c>
    </row>
    <row r="149" spans="2:8" ht="14.25" customHeight="1" x14ac:dyDescent="0.35">
      <c r="B149" s="337">
        <v>44132</v>
      </c>
      <c r="C149" s="337"/>
      <c r="D149">
        <v>11729.6</v>
      </c>
      <c r="E149">
        <v>1011.77</v>
      </c>
      <c r="G149" s="338">
        <f t="shared" si="4"/>
        <v>-1.3440543677561465E-2</v>
      </c>
      <c r="H149" s="338">
        <f t="shared" si="5"/>
        <v>-3.3688275101213297E-3</v>
      </c>
    </row>
    <row r="150" spans="2:8" ht="14.25" customHeight="1" x14ac:dyDescent="0.35">
      <c r="B150" s="337">
        <v>44133</v>
      </c>
      <c r="C150" s="337"/>
      <c r="D150">
        <v>11670.8</v>
      </c>
      <c r="E150">
        <v>1013.65</v>
      </c>
      <c r="G150" s="338">
        <f t="shared" si="4"/>
        <v>-5.0129586686673963E-3</v>
      </c>
      <c r="H150" s="338">
        <f t="shared" si="5"/>
        <v>1.8581298121114439E-3</v>
      </c>
    </row>
    <row r="151" spans="2:8" ht="14.25" customHeight="1" x14ac:dyDescent="0.35">
      <c r="B151" s="337">
        <v>44134</v>
      </c>
      <c r="C151" s="337"/>
      <c r="D151">
        <v>11642.4</v>
      </c>
      <c r="E151">
        <v>999.94</v>
      </c>
      <c r="G151" s="338">
        <f t="shared" si="4"/>
        <v>-2.4334235870719779E-3</v>
      </c>
      <c r="H151" s="338">
        <f t="shared" si="5"/>
        <v>-1.3525378582350834E-2</v>
      </c>
    </row>
    <row r="152" spans="2:8" ht="14.25" customHeight="1" x14ac:dyDescent="0.35">
      <c r="B152" s="337">
        <v>44137</v>
      </c>
      <c r="C152" s="337"/>
      <c r="D152">
        <v>11669.15</v>
      </c>
      <c r="E152">
        <v>1008.8</v>
      </c>
      <c r="G152" s="338">
        <f t="shared" si="4"/>
        <v>2.2976362262076546E-3</v>
      </c>
      <c r="H152" s="338">
        <f t="shared" si="5"/>
        <v>8.8605316318978132E-3</v>
      </c>
    </row>
    <row r="153" spans="2:8" ht="14.25" customHeight="1" x14ac:dyDescent="0.35">
      <c r="B153" s="337">
        <v>44138</v>
      </c>
      <c r="C153" s="337"/>
      <c r="D153">
        <v>11813.5</v>
      </c>
      <c r="E153">
        <v>1002.07</v>
      </c>
      <c r="G153" s="338">
        <f t="shared" si="4"/>
        <v>1.2370224052308898E-2</v>
      </c>
      <c r="H153" s="338">
        <f t="shared" si="5"/>
        <v>-6.6712926249007784E-3</v>
      </c>
    </row>
    <row r="154" spans="2:8" ht="14.25" customHeight="1" x14ac:dyDescent="0.35">
      <c r="B154" s="337">
        <v>44139</v>
      </c>
      <c r="C154" s="337"/>
      <c r="D154">
        <v>11908.5</v>
      </c>
      <c r="E154">
        <v>1023.95</v>
      </c>
      <c r="G154" s="338">
        <f t="shared" si="4"/>
        <v>8.041647267956151E-3</v>
      </c>
      <c r="H154" s="338">
        <f t="shared" si="5"/>
        <v>2.1834801959942914E-2</v>
      </c>
    </row>
    <row r="155" spans="2:8" ht="14.25" customHeight="1" x14ac:dyDescent="0.35">
      <c r="B155" s="337">
        <v>44140</v>
      </c>
      <c r="C155" s="337"/>
      <c r="D155">
        <v>12120.3</v>
      </c>
      <c r="E155">
        <v>1033.26</v>
      </c>
      <c r="G155" s="338">
        <f t="shared" si="4"/>
        <v>1.7785615316790467E-2</v>
      </c>
      <c r="H155" s="338">
        <f t="shared" si="5"/>
        <v>9.0922408320718243E-3</v>
      </c>
    </row>
    <row r="156" spans="2:8" ht="14.25" customHeight="1" x14ac:dyDescent="0.35">
      <c r="B156" s="337">
        <v>44141</v>
      </c>
      <c r="C156" s="337"/>
      <c r="D156">
        <v>12263.55</v>
      </c>
      <c r="E156">
        <v>1023.21</v>
      </c>
      <c r="G156" s="338">
        <f t="shared" si="4"/>
        <v>1.1819014380832158E-2</v>
      </c>
      <c r="H156" s="338">
        <f t="shared" si="5"/>
        <v>-9.7264967191219576E-3</v>
      </c>
    </row>
    <row r="157" spans="2:8" ht="14.25" customHeight="1" x14ac:dyDescent="0.35">
      <c r="B157" s="337">
        <v>44144</v>
      </c>
      <c r="C157" s="337"/>
      <c r="D157">
        <v>12461.05</v>
      </c>
      <c r="E157">
        <v>1017.96</v>
      </c>
      <c r="G157" s="338">
        <f t="shared" si="4"/>
        <v>1.6104635280974923E-2</v>
      </c>
      <c r="H157" s="338">
        <f t="shared" si="5"/>
        <v>-5.1309115430849973E-3</v>
      </c>
    </row>
    <row r="158" spans="2:8" ht="14.25" customHeight="1" x14ac:dyDescent="0.35">
      <c r="B158" s="337">
        <v>44145</v>
      </c>
      <c r="C158" s="337"/>
      <c r="D158">
        <v>12631.1</v>
      </c>
      <c r="E158">
        <v>1009.49</v>
      </c>
      <c r="G158" s="338">
        <f t="shared" si="4"/>
        <v>1.364652256431048E-2</v>
      </c>
      <c r="H158" s="338">
        <f t="shared" si="5"/>
        <v>-8.3205626940155084E-3</v>
      </c>
    </row>
    <row r="159" spans="2:8" ht="14.25" customHeight="1" x14ac:dyDescent="0.35">
      <c r="B159" s="337">
        <v>44146</v>
      </c>
      <c r="C159" s="337"/>
      <c r="D159">
        <v>12749.15</v>
      </c>
      <c r="E159">
        <v>1018.7</v>
      </c>
      <c r="G159" s="338">
        <f t="shared" si="4"/>
        <v>9.3459793683843273E-3</v>
      </c>
      <c r="H159" s="338">
        <f t="shared" si="5"/>
        <v>9.1234187560055441E-3</v>
      </c>
    </row>
    <row r="160" spans="2:8" ht="14.25" customHeight="1" x14ac:dyDescent="0.35">
      <c r="B160" s="337">
        <v>44147</v>
      </c>
      <c r="C160" s="337"/>
      <c r="D160">
        <v>12690.8</v>
      </c>
      <c r="E160">
        <v>990.14</v>
      </c>
      <c r="G160" s="338">
        <f t="shared" si="4"/>
        <v>-4.5767757066157641E-3</v>
      </c>
      <c r="H160" s="338">
        <f t="shared" si="5"/>
        <v>-2.8035731815058463E-2</v>
      </c>
    </row>
    <row r="161" spans="2:8" ht="14.25" customHeight="1" x14ac:dyDescent="0.35">
      <c r="B161" s="337">
        <v>44148</v>
      </c>
      <c r="C161" s="337"/>
      <c r="D161">
        <v>12719.95</v>
      </c>
      <c r="E161">
        <v>978.25</v>
      </c>
      <c r="G161" s="338">
        <f t="shared" si="4"/>
        <v>2.2969395152395008E-3</v>
      </c>
      <c r="H161" s="338">
        <f t="shared" si="5"/>
        <v>-1.2008402852121909E-2</v>
      </c>
    </row>
    <row r="162" spans="2:8" ht="14.25" customHeight="1" x14ac:dyDescent="0.35">
      <c r="B162" s="337">
        <v>44152</v>
      </c>
      <c r="C162" s="337"/>
      <c r="D162">
        <v>12874.2</v>
      </c>
      <c r="E162">
        <v>971.08</v>
      </c>
      <c r="G162" s="338">
        <f t="shared" si="4"/>
        <v>1.212661999457545E-2</v>
      </c>
      <c r="H162" s="338">
        <f t="shared" si="5"/>
        <v>-7.3294147712751941E-3</v>
      </c>
    </row>
    <row r="163" spans="2:8" ht="14.25" customHeight="1" x14ac:dyDescent="0.35">
      <c r="B163" s="337">
        <v>44153</v>
      </c>
      <c r="C163" s="337"/>
      <c r="D163">
        <v>12938.25</v>
      </c>
      <c r="E163">
        <v>979.15</v>
      </c>
      <c r="G163" s="338">
        <f t="shared" si="4"/>
        <v>4.9750664118934978E-3</v>
      </c>
      <c r="H163" s="338">
        <f t="shared" si="5"/>
        <v>8.3103348848703879E-3</v>
      </c>
    </row>
    <row r="164" spans="2:8" ht="14.25" customHeight="1" x14ac:dyDescent="0.35">
      <c r="B164" s="337">
        <v>44154</v>
      </c>
      <c r="C164" s="337"/>
      <c r="D164">
        <v>12771.7</v>
      </c>
      <c r="E164">
        <v>975.18</v>
      </c>
      <c r="G164" s="338">
        <f t="shared" si="4"/>
        <v>-1.2872683709156901E-2</v>
      </c>
      <c r="H164" s="338">
        <f t="shared" si="5"/>
        <v>-4.0545370985038322E-3</v>
      </c>
    </row>
    <row r="165" spans="2:8" ht="14.25" customHeight="1" x14ac:dyDescent="0.35">
      <c r="B165" s="337">
        <v>44155</v>
      </c>
      <c r="C165" s="337"/>
      <c r="D165">
        <v>12859.05</v>
      </c>
      <c r="E165">
        <v>978.5</v>
      </c>
      <c r="G165" s="338">
        <f t="shared" si="4"/>
        <v>6.8393401035099898E-3</v>
      </c>
      <c r="H165" s="338">
        <f t="shared" si="5"/>
        <v>3.4044996821100209E-3</v>
      </c>
    </row>
    <row r="166" spans="2:8" ht="14.25" customHeight="1" x14ac:dyDescent="0.35">
      <c r="B166" s="337">
        <v>44158</v>
      </c>
      <c r="C166" s="337"/>
      <c r="D166">
        <v>12926.45</v>
      </c>
      <c r="E166">
        <v>992.66</v>
      </c>
      <c r="G166" s="338">
        <f t="shared" si="4"/>
        <v>5.2414447412523829E-3</v>
      </c>
      <c r="H166" s="338">
        <f t="shared" si="5"/>
        <v>1.447112927950942E-2</v>
      </c>
    </row>
    <row r="167" spans="2:8" ht="14.25" customHeight="1" x14ac:dyDescent="0.35">
      <c r="B167" s="337">
        <v>44159</v>
      </c>
      <c r="C167" s="337"/>
      <c r="D167">
        <v>13055.15</v>
      </c>
      <c r="E167">
        <v>1022.56</v>
      </c>
      <c r="G167" s="338">
        <f t="shared" si="4"/>
        <v>9.9563298508096882E-3</v>
      </c>
      <c r="H167" s="338">
        <f t="shared" si="5"/>
        <v>3.0121088791731285E-2</v>
      </c>
    </row>
    <row r="168" spans="2:8" ht="14.25" customHeight="1" x14ac:dyDescent="0.35">
      <c r="B168" s="337">
        <v>44160</v>
      </c>
      <c r="C168" s="337"/>
      <c r="D168">
        <v>12858.4</v>
      </c>
      <c r="E168">
        <v>1033.3599999999999</v>
      </c>
      <c r="G168" s="338">
        <f t="shared" si="4"/>
        <v>-1.5070680919024294E-2</v>
      </c>
      <c r="H168" s="338">
        <f t="shared" si="5"/>
        <v>1.0561727429197264E-2</v>
      </c>
    </row>
    <row r="169" spans="2:8" ht="14.25" customHeight="1" x14ac:dyDescent="0.35">
      <c r="B169" s="337">
        <v>44161</v>
      </c>
      <c r="C169" s="337"/>
      <c r="D169">
        <v>12987</v>
      </c>
      <c r="E169">
        <v>1028.6099999999999</v>
      </c>
      <c r="G169" s="338">
        <f t="shared" si="4"/>
        <v>1.0001244322777356E-2</v>
      </c>
      <c r="H169" s="338">
        <f t="shared" si="5"/>
        <v>-4.5966555701788345E-3</v>
      </c>
    </row>
    <row r="170" spans="2:8" ht="14.25" customHeight="1" x14ac:dyDescent="0.35">
      <c r="B170" s="337">
        <v>44162</v>
      </c>
      <c r="C170" s="337"/>
      <c r="D170">
        <v>12968.95</v>
      </c>
      <c r="E170">
        <v>1032.9100000000001</v>
      </c>
      <c r="G170" s="338">
        <f t="shared" si="4"/>
        <v>-1.3898513898513338E-3</v>
      </c>
      <c r="H170" s="338">
        <f t="shared" si="5"/>
        <v>4.1803987906010856E-3</v>
      </c>
    </row>
    <row r="171" spans="2:8" ht="14.25" customHeight="1" x14ac:dyDescent="0.35">
      <c r="B171" s="337">
        <v>44166</v>
      </c>
      <c r="C171" s="337"/>
      <c r="D171">
        <v>13109.05</v>
      </c>
      <c r="E171">
        <v>1029.3</v>
      </c>
      <c r="G171" s="338">
        <f t="shared" si="4"/>
        <v>1.0802724970024446E-2</v>
      </c>
      <c r="H171" s="338">
        <f t="shared" si="5"/>
        <v>-3.4949802015665711E-3</v>
      </c>
    </row>
    <row r="172" spans="2:8" ht="14.25" customHeight="1" x14ac:dyDescent="0.35">
      <c r="B172" s="337">
        <v>44167</v>
      </c>
      <c r="C172" s="337"/>
      <c r="D172">
        <v>13113.75</v>
      </c>
      <c r="E172">
        <v>1026.18</v>
      </c>
      <c r="G172" s="338">
        <f t="shared" si="4"/>
        <v>3.5853093855014117E-4</v>
      </c>
      <c r="H172" s="338">
        <f t="shared" si="5"/>
        <v>-3.0311862430777142E-3</v>
      </c>
    </row>
    <row r="173" spans="2:8" ht="14.25" customHeight="1" x14ac:dyDescent="0.35">
      <c r="B173" s="337">
        <v>44168</v>
      </c>
      <c r="C173" s="337"/>
      <c r="D173">
        <v>13133.9</v>
      </c>
      <c r="E173">
        <v>1044.3</v>
      </c>
      <c r="G173" s="338">
        <f t="shared" si="4"/>
        <v>1.5365551425030701E-3</v>
      </c>
      <c r="H173" s="338">
        <f t="shared" si="5"/>
        <v>1.7657720867683923E-2</v>
      </c>
    </row>
    <row r="174" spans="2:8" ht="14.25" customHeight="1" x14ac:dyDescent="0.35">
      <c r="B174" s="337">
        <v>44169</v>
      </c>
      <c r="C174" s="337"/>
      <c r="D174">
        <v>13258.55</v>
      </c>
      <c r="E174">
        <v>1051.03</v>
      </c>
      <c r="G174" s="338">
        <f t="shared" si="4"/>
        <v>9.4907072537479074E-3</v>
      </c>
      <c r="H174" s="338">
        <f t="shared" si="5"/>
        <v>6.4445082830604412E-3</v>
      </c>
    </row>
    <row r="175" spans="2:8" ht="14.25" customHeight="1" x14ac:dyDescent="0.35">
      <c r="B175" s="337">
        <v>44172</v>
      </c>
      <c r="C175" s="337"/>
      <c r="D175">
        <v>13355.75</v>
      </c>
      <c r="E175">
        <v>1057.3699999999999</v>
      </c>
      <c r="G175" s="338">
        <f t="shared" si="4"/>
        <v>7.3311184103842979E-3</v>
      </c>
      <c r="H175" s="338">
        <f t="shared" si="5"/>
        <v>6.0321779587641823E-3</v>
      </c>
    </row>
    <row r="176" spans="2:8" ht="14.25" customHeight="1" x14ac:dyDescent="0.35">
      <c r="B176" s="337">
        <v>44173</v>
      </c>
      <c r="C176" s="337"/>
      <c r="D176">
        <v>13392.95</v>
      </c>
      <c r="E176">
        <v>1053.4100000000001</v>
      </c>
      <c r="G176" s="338">
        <f t="shared" si="4"/>
        <v>2.7853171854819629E-3</v>
      </c>
      <c r="H176" s="338">
        <f t="shared" si="5"/>
        <v>-3.7451412466778982E-3</v>
      </c>
    </row>
    <row r="177" spans="2:8" ht="14.25" customHeight="1" x14ac:dyDescent="0.35">
      <c r="B177" s="337">
        <v>44174</v>
      </c>
      <c r="C177" s="337"/>
      <c r="D177">
        <v>13529.1</v>
      </c>
      <c r="E177">
        <v>1038.6099999999999</v>
      </c>
      <c r="G177" s="338">
        <f t="shared" si="4"/>
        <v>1.0165796183813098E-2</v>
      </c>
      <c r="H177" s="338">
        <f t="shared" si="5"/>
        <v>-1.404961031317358E-2</v>
      </c>
    </row>
    <row r="178" spans="2:8" ht="14.25" customHeight="1" x14ac:dyDescent="0.35">
      <c r="B178" s="337">
        <v>44175</v>
      </c>
      <c r="C178" s="337"/>
      <c r="D178">
        <v>13478.3</v>
      </c>
      <c r="E178">
        <v>1021.43</v>
      </c>
      <c r="G178" s="338">
        <f t="shared" si="4"/>
        <v>-3.7548691339409929E-3</v>
      </c>
      <c r="H178" s="338">
        <f t="shared" si="5"/>
        <v>-1.6541338904882439E-2</v>
      </c>
    </row>
    <row r="179" spans="2:8" ht="14.25" customHeight="1" x14ac:dyDescent="0.35">
      <c r="B179" s="337">
        <v>44176</v>
      </c>
      <c r="C179" s="337"/>
      <c r="D179">
        <v>13513.85</v>
      </c>
      <c r="E179">
        <v>1024.3499999999999</v>
      </c>
      <c r="G179" s="338">
        <f t="shared" si="4"/>
        <v>2.6375729876914073E-3</v>
      </c>
      <c r="H179" s="338">
        <f t="shared" si="5"/>
        <v>2.8587372605072881E-3</v>
      </c>
    </row>
    <row r="180" spans="2:8" ht="14.25" customHeight="1" x14ac:dyDescent="0.35">
      <c r="B180" s="337">
        <v>44179</v>
      </c>
      <c r="C180" s="337"/>
      <c r="D180">
        <v>13558.15</v>
      </c>
      <c r="E180">
        <v>1077.8699999999999</v>
      </c>
      <c r="G180" s="338">
        <f t="shared" si="4"/>
        <v>3.2781183748524121E-3</v>
      </c>
      <c r="H180" s="338">
        <f t="shared" si="5"/>
        <v>5.224776687655585E-2</v>
      </c>
    </row>
    <row r="181" spans="2:8" ht="14.25" customHeight="1" x14ac:dyDescent="0.35">
      <c r="B181" s="337">
        <v>44180</v>
      </c>
      <c r="C181" s="337"/>
      <c r="D181">
        <v>13567.85</v>
      </c>
      <c r="E181">
        <v>1076.18</v>
      </c>
      <c r="G181" s="338">
        <f t="shared" si="4"/>
        <v>7.1543684057196063E-4</v>
      </c>
      <c r="H181" s="338">
        <f t="shared" si="5"/>
        <v>-1.5679070759923065E-3</v>
      </c>
    </row>
    <row r="182" spans="2:8" ht="14.25" customHeight="1" x14ac:dyDescent="0.35">
      <c r="B182" s="337">
        <v>44181</v>
      </c>
      <c r="C182" s="337"/>
      <c r="D182">
        <v>13682.7</v>
      </c>
      <c r="E182">
        <v>1074.75</v>
      </c>
      <c r="G182" s="338">
        <f t="shared" si="4"/>
        <v>8.4648636298308398E-3</v>
      </c>
      <c r="H182" s="338">
        <f t="shared" si="5"/>
        <v>-1.3287739969150734E-3</v>
      </c>
    </row>
    <row r="183" spans="2:8" ht="14.25" customHeight="1" x14ac:dyDescent="0.35">
      <c r="B183" s="337">
        <v>44182</v>
      </c>
      <c r="C183" s="337"/>
      <c r="D183">
        <v>13740.7</v>
      </c>
      <c r="E183">
        <v>1079.6500000000001</v>
      </c>
      <c r="G183" s="338">
        <f t="shared" si="4"/>
        <v>4.2389294510586355E-3</v>
      </c>
      <c r="H183" s="338">
        <f t="shared" si="5"/>
        <v>4.5591998139102967E-3</v>
      </c>
    </row>
    <row r="184" spans="2:8" ht="14.25" customHeight="1" x14ac:dyDescent="0.35">
      <c r="B184" s="337">
        <v>44183</v>
      </c>
      <c r="C184" s="337"/>
      <c r="D184">
        <v>13760.55</v>
      </c>
      <c r="E184">
        <v>1050.98</v>
      </c>
      <c r="G184" s="338">
        <f t="shared" si="4"/>
        <v>1.4446134476408439E-3</v>
      </c>
      <c r="H184" s="338">
        <f t="shared" si="5"/>
        <v>-2.6554902051590858E-2</v>
      </c>
    </row>
    <row r="185" spans="2:8" ht="14.25" customHeight="1" x14ac:dyDescent="0.35">
      <c r="B185" s="337">
        <v>44186</v>
      </c>
      <c r="C185" s="337"/>
      <c r="D185">
        <v>13328.4</v>
      </c>
      <c r="E185">
        <v>1031.8699999999999</v>
      </c>
      <c r="G185" s="338">
        <f t="shared" si="4"/>
        <v>-3.1404994713147345E-2</v>
      </c>
      <c r="H185" s="338">
        <f t="shared" si="5"/>
        <v>-1.8183029172772199E-2</v>
      </c>
    </row>
    <row r="186" spans="2:8" ht="14.25" customHeight="1" x14ac:dyDescent="0.35">
      <c r="B186" s="337">
        <v>44187</v>
      </c>
      <c r="C186" s="337"/>
      <c r="D186">
        <v>13466.3</v>
      </c>
      <c r="E186">
        <v>1028.75</v>
      </c>
      <c r="G186" s="338">
        <f t="shared" si="4"/>
        <v>1.0346328141412295E-2</v>
      </c>
      <c r="H186" s="338">
        <f t="shared" si="5"/>
        <v>-3.0236366984212073E-3</v>
      </c>
    </row>
    <row r="187" spans="2:8" ht="14.25" customHeight="1" x14ac:dyDescent="0.35">
      <c r="B187" s="337">
        <v>44188</v>
      </c>
      <c r="C187" s="337"/>
      <c r="D187">
        <v>13601.1</v>
      </c>
      <c r="E187">
        <v>1049.79</v>
      </c>
      <c r="G187" s="338">
        <f t="shared" si="4"/>
        <v>1.0010173544329259E-2</v>
      </c>
      <c r="H187" s="338">
        <f t="shared" si="5"/>
        <v>2.045200486026728E-2</v>
      </c>
    </row>
    <row r="188" spans="2:8" ht="14.25" customHeight="1" x14ac:dyDescent="0.35">
      <c r="B188" s="337">
        <v>44189</v>
      </c>
      <c r="C188" s="337"/>
      <c r="D188">
        <v>13749.25</v>
      </c>
      <c r="E188">
        <v>1061.97</v>
      </c>
      <c r="G188" s="338">
        <f t="shared" si="4"/>
        <v>1.089250134180321E-2</v>
      </c>
      <c r="H188" s="338">
        <f t="shared" si="5"/>
        <v>1.160232046409288E-2</v>
      </c>
    </row>
    <row r="189" spans="2:8" ht="14.25" customHeight="1" x14ac:dyDescent="0.35">
      <c r="B189" s="337">
        <v>44193</v>
      </c>
      <c r="C189" s="337"/>
      <c r="D189">
        <v>13873.2</v>
      </c>
      <c r="E189">
        <v>1069.95</v>
      </c>
      <c r="G189" s="338">
        <f t="shared" si="4"/>
        <v>9.0150371838464451E-3</v>
      </c>
      <c r="H189" s="338">
        <f t="shared" si="5"/>
        <v>7.5143365631797675E-3</v>
      </c>
    </row>
    <row r="190" spans="2:8" ht="14.25" customHeight="1" x14ac:dyDescent="0.35">
      <c r="B190" s="337">
        <v>44194</v>
      </c>
      <c r="C190" s="337"/>
      <c r="D190">
        <v>13932.6</v>
      </c>
      <c r="E190">
        <v>1079.3499999999999</v>
      </c>
      <c r="G190" s="338">
        <f t="shared" si="4"/>
        <v>4.281636536631753E-3</v>
      </c>
      <c r="H190" s="338">
        <f t="shared" si="5"/>
        <v>8.7854572643580198E-3</v>
      </c>
    </row>
    <row r="191" spans="2:8" ht="14.25" customHeight="1" x14ac:dyDescent="0.35">
      <c r="B191" s="337">
        <v>44195</v>
      </c>
      <c r="C191" s="337"/>
      <c r="D191">
        <v>13981.95</v>
      </c>
      <c r="E191">
        <v>1078.1099999999999</v>
      </c>
      <c r="G191" s="338">
        <f t="shared" si="4"/>
        <v>3.5420524525214504E-3</v>
      </c>
      <c r="H191" s="338">
        <f t="shared" si="5"/>
        <v>-1.1488395793764852E-3</v>
      </c>
    </row>
    <row r="192" spans="2:8" ht="14.25" customHeight="1" x14ac:dyDescent="0.35">
      <c r="B192" s="337">
        <v>44196</v>
      </c>
      <c r="C192" s="337"/>
      <c r="D192">
        <v>13981.75</v>
      </c>
      <c r="E192">
        <v>1083.21</v>
      </c>
      <c r="G192" s="338">
        <f t="shared" si="4"/>
        <v>-1.4304156430306758E-5</v>
      </c>
      <c r="H192" s="338">
        <f t="shared" si="5"/>
        <v>4.7305005982693207E-3</v>
      </c>
    </row>
    <row r="193" spans="2:8" ht="14.25" customHeight="1" x14ac:dyDescent="0.35">
      <c r="B193" s="337">
        <v>44197</v>
      </c>
      <c r="C193" s="337"/>
      <c r="D193">
        <v>14018.5</v>
      </c>
      <c r="E193">
        <v>1082.3699999999999</v>
      </c>
      <c r="G193" s="338">
        <f t="shared" si="4"/>
        <v>2.6284263414808589E-3</v>
      </c>
      <c r="H193" s="338">
        <f t="shared" si="5"/>
        <v>-7.7547289999182567E-4</v>
      </c>
    </row>
    <row r="194" spans="2:8" ht="14.25" customHeight="1" x14ac:dyDescent="0.35">
      <c r="B194" s="337">
        <v>44200</v>
      </c>
      <c r="C194" s="337"/>
      <c r="D194">
        <v>14132.9</v>
      </c>
      <c r="E194">
        <v>1087.3699999999999</v>
      </c>
      <c r="G194" s="338">
        <f t="shared" si="4"/>
        <v>8.1606448621464236E-3</v>
      </c>
      <c r="H194" s="338">
        <f t="shared" si="5"/>
        <v>4.6194924101739705E-3</v>
      </c>
    </row>
    <row r="195" spans="2:8" ht="14.25" customHeight="1" x14ac:dyDescent="0.35">
      <c r="B195" s="337">
        <v>44201</v>
      </c>
      <c r="C195" s="337"/>
      <c r="D195">
        <v>14199.5</v>
      </c>
      <c r="E195">
        <v>1107.03</v>
      </c>
      <c r="G195" s="338">
        <f t="shared" si="4"/>
        <v>4.7124086351704435E-3</v>
      </c>
      <c r="H195" s="338">
        <f t="shared" si="5"/>
        <v>1.8080322245417921E-2</v>
      </c>
    </row>
    <row r="196" spans="2:8" ht="14.25" customHeight="1" x14ac:dyDescent="0.35">
      <c r="B196" s="337">
        <v>44202</v>
      </c>
      <c r="C196" s="337"/>
      <c r="D196">
        <v>14146.25</v>
      </c>
      <c r="E196">
        <v>1113.81</v>
      </c>
      <c r="G196" s="338">
        <f t="shared" si="4"/>
        <v>-3.7501320469030598E-3</v>
      </c>
      <c r="H196" s="338">
        <f t="shared" si="5"/>
        <v>6.1244952711308389E-3</v>
      </c>
    </row>
    <row r="197" spans="2:8" ht="14.25" customHeight="1" x14ac:dyDescent="0.35">
      <c r="B197" s="337">
        <v>44203</v>
      </c>
      <c r="C197" s="337"/>
      <c r="D197">
        <v>14137.35</v>
      </c>
      <c r="E197">
        <v>1113.76</v>
      </c>
      <c r="G197" s="338">
        <f t="shared" si="4"/>
        <v>-6.2914199876289731E-4</v>
      </c>
      <c r="H197" s="338">
        <f t="shared" si="5"/>
        <v>-4.4890959858462866E-5</v>
      </c>
    </row>
    <row r="198" spans="2:8" ht="14.25" customHeight="1" x14ac:dyDescent="0.35">
      <c r="B198" s="337">
        <v>44204</v>
      </c>
      <c r="C198" s="337"/>
      <c r="D198">
        <v>14347.25</v>
      </c>
      <c r="E198">
        <v>1117.6199999999999</v>
      </c>
      <c r="G198" s="338">
        <f t="shared" si="4"/>
        <v>1.484719554937804E-2</v>
      </c>
      <c r="H198" s="338">
        <f t="shared" si="5"/>
        <v>3.4657376813675297E-3</v>
      </c>
    </row>
    <row r="199" spans="2:8" ht="14.25" customHeight="1" x14ac:dyDescent="0.35">
      <c r="B199" s="337">
        <v>44207</v>
      </c>
      <c r="C199" s="337"/>
      <c r="D199">
        <v>14484.75</v>
      </c>
      <c r="E199">
        <v>1118.22</v>
      </c>
      <c r="G199" s="338">
        <f t="shared" ref="G199:G262" si="6">(D199-D198)/D198</f>
        <v>9.5837181341372046E-3</v>
      </c>
      <c r="H199" s="338">
        <f t="shared" ref="H199:H262" si="7">(E199-E198)/E198</f>
        <v>5.3685510280787434E-4</v>
      </c>
    </row>
    <row r="200" spans="2:8" ht="14.25" customHeight="1" x14ac:dyDescent="0.35">
      <c r="B200" s="337">
        <v>44208</v>
      </c>
      <c r="C200" s="337"/>
      <c r="D200">
        <v>14563.45</v>
      </c>
      <c r="E200">
        <v>1171.29</v>
      </c>
      <c r="G200" s="338">
        <f t="shared" si="6"/>
        <v>5.4333005402233889E-3</v>
      </c>
      <c r="H200" s="338">
        <f t="shared" si="7"/>
        <v>4.7459355046412993E-2</v>
      </c>
    </row>
    <row r="201" spans="2:8" ht="14.25" customHeight="1" x14ac:dyDescent="0.35">
      <c r="B201" s="337">
        <v>44209</v>
      </c>
      <c r="C201" s="337"/>
      <c r="D201">
        <v>14564.85</v>
      </c>
      <c r="E201">
        <v>1167.78</v>
      </c>
      <c r="G201" s="338">
        <f t="shared" si="6"/>
        <v>9.6131067844476149E-5</v>
      </c>
      <c r="H201" s="338">
        <f t="shared" si="7"/>
        <v>-2.9966959506185411E-3</v>
      </c>
    </row>
    <row r="202" spans="2:8" ht="14.25" customHeight="1" x14ac:dyDescent="0.35">
      <c r="B202" s="337">
        <v>44210</v>
      </c>
      <c r="C202" s="337"/>
      <c r="D202">
        <v>14595.6</v>
      </c>
      <c r="E202">
        <v>1169.6099999999999</v>
      </c>
      <c r="G202" s="338">
        <f t="shared" si="6"/>
        <v>2.1112472837001412E-3</v>
      </c>
      <c r="H202" s="338">
        <f t="shared" si="7"/>
        <v>1.5670759903405841E-3</v>
      </c>
    </row>
    <row r="203" spans="2:8" ht="14.25" customHeight="1" x14ac:dyDescent="0.35">
      <c r="B203" s="337">
        <v>44211</v>
      </c>
      <c r="C203" s="337"/>
      <c r="D203">
        <v>14433.7</v>
      </c>
      <c r="E203">
        <v>1167.1300000000001</v>
      </c>
      <c r="G203" s="338">
        <f t="shared" si="6"/>
        <v>-1.1092384006138812E-2</v>
      </c>
      <c r="H203" s="338">
        <f t="shared" si="7"/>
        <v>-2.1203649079605947E-3</v>
      </c>
    </row>
    <row r="204" spans="2:8" ht="14.25" customHeight="1" x14ac:dyDescent="0.35">
      <c r="B204" s="337">
        <v>44214</v>
      </c>
      <c r="C204" s="337"/>
      <c r="D204">
        <v>14281.3</v>
      </c>
      <c r="E204">
        <v>1159.3599999999999</v>
      </c>
      <c r="G204" s="338">
        <f t="shared" si="6"/>
        <v>-1.0558623222042958E-2</v>
      </c>
      <c r="H204" s="338">
        <f t="shared" si="7"/>
        <v>-6.6573560785861113E-3</v>
      </c>
    </row>
    <row r="205" spans="2:8" ht="14.25" customHeight="1" x14ac:dyDescent="0.35">
      <c r="B205" s="337">
        <v>44215</v>
      </c>
      <c r="C205" s="337"/>
      <c r="D205">
        <v>14521.15</v>
      </c>
      <c r="E205">
        <v>1170.55</v>
      </c>
      <c r="G205" s="338">
        <f t="shared" si="6"/>
        <v>1.6794689559073778E-2</v>
      </c>
      <c r="H205" s="338">
        <f t="shared" si="7"/>
        <v>9.651876897598723E-3</v>
      </c>
    </row>
    <row r="206" spans="2:8" ht="14.25" customHeight="1" x14ac:dyDescent="0.35">
      <c r="B206" s="337">
        <v>44216</v>
      </c>
      <c r="C206" s="337"/>
      <c r="D206">
        <v>14644.7</v>
      </c>
      <c r="E206">
        <v>1175.5999999999999</v>
      </c>
      <c r="G206" s="338">
        <f t="shared" si="6"/>
        <v>8.5082793029478444E-3</v>
      </c>
      <c r="H206" s="338">
        <f t="shared" si="7"/>
        <v>4.3142112682072143E-3</v>
      </c>
    </row>
    <row r="207" spans="2:8" ht="14.25" customHeight="1" x14ac:dyDescent="0.35">
      <c r="B207" s="337">
        <v>44217</v>
      </c>
      <c r="C207" s="337"/>
      <c r="D207">
        <v>14590.35</v>
      </c>
      <c r="E207">
        <v>1173.52</v>
      </c>
      <c r="G207" s="338">
        <f t="shared" si="6"/>
        <v>-3.7112402439107911E-3</v>
      </c>
      <c r="H207" s="338">
        <f t="shared" si="7"/>
        <v>-1.7693092888737048E-3</v>
      </c>
    </row>
    <row r="208" spans="2:8" ht="14.25" customHeight="1" x14ac:dyDescent="0.35">
      <c r="B208" s="337">
        <v>44218</v>
      </c>
      <c r="C208" s="337"/>
      <c r="D208">
        <v>14371.9</v>
      </c>
      <c r="E208">
        <v>1163.9100000000001</v>
      </c>
      <c r="G208" s="338">
        <f t="shared" si="6"/>
        <v>-1.4972224792414213E-2</v>
      </c>
      <c r="H208" s="338">
        <f t="shared" si="7"/>
        <v>-8.1890381075737095E-3</v>
      </c>
    </row>
    <row r="209" spans="2:8" ht="14.25" customHeight="1" x14ac:dyDescent="0.35">
      <c r="B209" s="337">
        <v>44221</v>
      </c>
      <c r="C209" s="337"/>
      <c r="D209">
        <v>14238.9</v>
      </c>
      <c r="E209">
        <v>1165.4000000000001</v>
      </c>
      <c r="G209" s="338">
        <f t="shared" si="6"/>
        <v>-9.2541695948343654E-3</v>
      </c>
      <c r="H209" s="338">
        <f t="shared" si="7"/>
        <v>1.280167710561821E-3</v>
      </c>
    </row>
    <row r="210" spans="2:8" ht="14.25" customHeight="1" x14ac:dyDescent="0.35">
      <c r="B210" s="337">
        <v>44223</v>
      </c>
      <c r="C210" s="337"/>
      <c r="D210">
        <v>13967.5</v>
      </c>
      <c r="E210">
        <v>1173.02</v>
      </c>
      <c r="G210" s="338">
        <f t="shared" si="6"/>
        <v>-1.9060461131126676E-2</v>
      </c>
      <c r="H210" s="338">
        <f t="shared" si="7"/>
        <v>6.5385275441907417E-3</v>
      </c>
    </row>
    <row r="211" spans="2:8" ht="14.25" customHeight="1" x14ac:dyDescent="0.35">
      <c r="B211" s="337">
        <v>44224</v>
      </c>
      <c r="C211" s="337"/>
      <c r="D211">
        <v>13817.55</v>
      </c>
      <c r="E211">
        <v>1171.3900000000001</v>
      </c>
      <c r="G211" s="338">
        <f t="shared" si="6"/>
        <v>-1.0735636298550257E-2</v>
      </c>
      <c r="H211" s="338">
        <f t="shared" si="7"/>
        <v>-1.3895756253089306E-3</v>
      </c>
    </row>
    <row r="212" spans="2:8" ht="14.25" customHeight="1" x14ac:dyDescent="0.35">
      <c r="B212" s="337">
        <v>44225</v>
      </c>
      <c r="C212" s="337"/>
      <c r="D212">
        <v>13634.6</v>
      </c>
      <c r="E212">
        <v>1175.4000000000001</v>
      </c>
      <c r="G212" s="338">
        <f t="shared" si="6"/>
        <v>-1.3240408031814534E-2</v>
      </c>
      <c r="H212" s="338">
        <f t="shared" si="7"/>
        <v>3.4232834495769903E-3</v>
      </c>
    </row>
    <row r="213" spans="2:8" ht="14.25" customHeight="1" x14ac:dyDescent="0.35">
      <c r="B213" s="337">
        <v>44228</v>
      </c>
      <c r="C213" s="337"/>
      <c r="D213">
        <v>14281.2</v>
      </c>
      <c r="E213">
        <v>1177.3800000000001</v>
      </c>
      <c r="G213" s="338">
        <f t="shared" si="6"/>
        <v>4.7423466768368734E-2</v>
      </c>
      <c r="H213" s="338">
        <f t="shared" si="7"/>
        <v>1.6845329249617306E-3</v>
      </c>
    </row>
    <row r="214" spans="2:8" ht="14.25" customHeight="1" x14ac:dyDescent="0.35">
      <c r="B214" s="337">
        <v>44229</v>
      </c>
      <c r="C214" s="337"/>
      <c r="D214">
        <v>14647.85</v>
      </c>
      <c r="E214">
        <v>1199.02</v>
      </c>
      <c r="G214" s="338">
        <f t="shared" si="6"/>
        <v>2.5673612861664259E-2</v>
      </c>
      <c r="H214" s="338">
        <f t="shared" si="7"/>
        <v>1.8379792420458875E-2</v>
      </c>
    </row>
    <row r="215" spans="2:8" ht="14.25" customHeight="1" x14ac:dyDescent="0.35">
      <c r="B215" s="337">
        <v>44230</v>
      </c>
      <c r="C215" s="337"/>
      <c r="D215">
        <v>14789.95</v>
      </c>
      <c r="E215">
        <v>1209.51</v>
      </c>
      <c r="G215" s="338">
        <f t="shared" si="6"/>
        <v>9.701082411411939E-3</v>
      </c>
      <c r="H215" s="338">
        <f t="shared" si="7"/>
        <v>8.7488115294156975E-3</v>
      </c>
    </row>
    <row r="216" spans="2:8" ht="14.25" customHeight="1" x14ac:dyDescent="0.35">
      <c r="B216" s="337">
        <v>44231</v>
      </c>
      <c r="C216" s="337"/>
      <c r="D216">
        <v>14895.65</v>
      </c>
      <c r="E216">
        <v>1208.72</v>
      </c>
      <c r="G216" s="338">
        <f t="shared" si="6"/>
        <v>7.1467449180016773E-3</v>
      </c>
      <c r="H216" s="338">
        <f t="shared" si="7"/>
        <v>-6.5315706360423941E-4</v>
      </c>
    </row>
    <row r="217" spans="2:8" ht="14.25" customHeight="1" x14ac:dyDescent="0.35">
      <c r="B217" s="337">
        <v>44232</v>
      </c>
      <c r="C217" s="337"/>
      <c r="D217">
        <v>14924.25</v>
      </c>
      <c r="E217">
        <v>1229.6099999999999</v>
      </c>
      <c r="G217" s="338">
        <f t="shared" si="6"/>
        <v>1.920023631060099E-3</v>
      </c>
      <c r="H217" s="338">
        <f t="shared" si="7"/>
        <v>1.7282745383546124E-2</v>
      </c>
    </row>
    <row r="218" spans="2:8" ht="14.25" customHeight="1" x14ac:dyDescent="0.35">
      <c r="B218" s="337">
        <v>44235</v>
      </c>
      <c r="C218" s="337"/>
      <c r="D218">
        <v>15115.8</v>
      </c>
      <c r="E218">
        <v>1237.24</v>
      </c>
      <c r="G218" s="338">
        <f t="shared" si="6"/>
        <v>1.2834815819890398E-2</v>
      </c>
      <c r="H218" s="338">
        <f t="shared" si="7"/>
        <v>6.2052195411554153E-3</v>
      </c>
    </row>
    <row r="219" spans="2:8" ht="14.25" customHeight="1" x14ac:dyDescent="0.35">
      <c r="B219" s="337">
        <v>44236</v>
      </c>
      <c r="C219" s="337"/>
      <c r="D219">
        <v>15109.3</v>
      </c>
      <c r="E219">
        <v>1237.73</v>
      </c>
      <c r="G219" s="338">
        <f t="shared" si="6"/>
        <v>-4.300136281242144E-4</v>
      </c>
      <c r="H219" s="338">
        <f t="shared" si="7"/>
        <v>3.9604280495296717E-4</v>
      </c>
    </row>
    <row r="220" spans="2:8" ht="14.25" customHeight="1" x14ac:dyDescent="0.35">
      <c r="B220" s="337">
        <v>44237</v>
      </c>
      <c r="C220" s="337"/>
      <c r="D220">
        <v>15106.5</v>
      </c>
      <c r="E220">
        <v>1228.23</v>
      </c>
      <c r="G220" s="338">
        <f t="shared" si="6"/>
        <v>-1.8531632835401193E-4</v>
      </c>
      <c r="H220" s="338">
        <f t="shared" si="7"/>
        <v>-7.6753411487157945E-3</v>
      </c>
    </row>
    <row r="221" spans="2:8" ht="14.25" customHeight="1" x14ac:dyDescent="0.35">
      <c r="B221" s="337">
        <v>44238</v>
      </c>
      <c r="C221" s="337"/>
      <c r="D221">
        <v>15173.3</v>
      </c>
      <c r="E221">
        <v>1232.3900000000001</v>
      </c>
      <c r="G221" s="338">
        <f t="shared" si="6"/>
        <v>4.4219375765398522E-3</v>
      </c>
      <c r="H221" s="338">
        <f t="shared" si="7"/>
        <v>3.38698777916195E-3</v>
      </c>
    </row>
    <row r="222" spans="2:8" ht="14.25" customHeight="1" x14ac:dyDescent="0.35">
      <c r="B222" s="337">
        <v>44239</v>
      </c>
      <c r="C222" s="337"/>
      <c r="D222">
        <v>15163.3</v>
      </c>
      <c r="E222">
        <v>1228.08</v>
      </c>
      <c r="G222" s="338">
        <f t="shared" si="6"/>
        <v>-6.5905241443852032E-4</v>
      </c>
      <c r="H222" s="338">
        <f t="shared" si="7"/>
        <v>-3.4972695331836291E-3</v>
      </c>
    </row>
    <row r="223" spans="2:8" ht="14.25" customHeight="1" x14ac:dyDescent="0.35">
      <c r="B223" s="337">
        <v>44242</v>
      </c>
      <c r="C223" s="337"/>
      <c r="D223">
        <v>15314.7</v>
      </c>
      <c r="E223">
        <v>1236</v>
      </c>
      <c r="G223" s="338">
        <f t="shared" si="6"/>
        <v>9.9846339517124551E-3</v>
      </c>
      <c r="H223" s="338">
        <f t="shared" si="7"/>
        <v>6.4490912644128012E-3</v>
      </c>
    </row>
    <row r="224" spans="2:8" ht="14.25" customHeight="1" x14ac:dyDescent="0.35">
      <c r="B224" s="337">
        <v>44243</v>
      </c>
      <c r="C224" s="337"/>
      <c r="D224">
        <v>15313.45</v>
      </c>
      <c r="E224">
        <v>1277.19</v>
      </c>
      <c r="G224" s="338">
        <f t="shared" si="6"/>
        <v>-8.1620926299568388E-5</v>
      </c>
      <c r="H224" s="338">
        <f t="shared" si="7"/>
        <v>3.3325242718446647E-2</v>
      </c>
    </row>
    <row r="225" spans="2:8" ht="14.25" customHeight="1" x14ac:dyDescent="0.35">
      <c r="B225" s="337">
        <v>44244</v>
      </c>
      <c r="C225" s="337"/>
      <c r="D225">
        <v>15208.9</v>
      </c>
      <c r="E225">
        <v>1261.0999999999999</v>
      </c>
      <c r="G225" s="338">
        <f t="shared" si="6"/>
        <v>-6.8273315288195071E-3</v>
      </c>
      <c r="H225" s="338">
        <f t="shared" si="7"/>
        <v>-1.2597968978773827E-2</v>
      </c>
    </row>
    <row r="226" spans="2:8" ht="14.25" customHeight="1" x14ac:dyDescent="0.35">
      <c r="B226" s="337">
        <v>44245</v>
      </c>
      <c r="C226" s="337"/>
      <c r="D226">
        <v>15118.95</v>
      </c>
      <c r="E226">
        <v>1259.07</v>
      </c>
      <c r="G226" s="338">
        <f t="shared" si="6"/>
        <v>-5.9143001795000892E-3</v>
      </c>
      <c r="H226" s="338">
        <f t="shared" si="7"/>
        <v>-1.6097058123859906E-3</v>
      </c>
    </row>
    <row r="227" spans="2:8" ht="14.25" customHeight="1" x14ac:dyDescent="0.35">
      <c r="B227" s="337">
        <v>44246</v>
      </c>
      <c r="C227" s="337"/>
      <c r="D227">
        <v>14981.75</v>
      </c>
      <c r="E227">
        <v>1265.51</v>
      </c>
      <c r="G227" s="338">
        <f t="shared" si="6"/>
        <v>-9.0747042618700858E-3</v>
      </c>
      <c r="H227" s="338">
        <f t="shared" si="7"/>
        <v>5.1148863843948743E-3</v>
      </c>
    </row>
    <row r="228" spans="2:8" ht="14.25" customHeight="1" x14ac:dyDescent="0.35">
      <c r="B228" s="337">
        <v>44249</v>
      </c>
      <c r="C228" s="337"/>
      <c r="D228">
        <v>14675.7</v>
      </c>
      <c r="E228">
        <v>1266.1500000000001</v>
      </c>
      <c r="G228" s="338">
        <f t="shared" si="6"/>
        <v>-2.0428187628281028E-2</v>
      </c>
      <c r="H228" s="338">
        <f t="shared" si="7"/>
        <v>5.0572496463884128E-4</v>
      </c>
    </row>
    <row r="229" spans="2:8" ht="14.25" customHeight="1" x14ac:dyDescent="0.35">
      <c r="B229" s="337">
        <v>44250</v>
      </c>
      <c r="C229" s="337"/>
      <c r="D229">
        <v>14707.8</v>
      </c>
      <c r="E229">
        <v>1286.6500000000001</v>
      </c>
      <c r="G229" s="338">
        <f t="shared" si="6"/>
        <v>2.1872891923382558E-3</v>
      </c>
      <c r="H229" s="338">
        <f t="shared" si="7"/>
        <v>1.6190814674406664E-2</v>
      </c>
    </row>
    <row r="230" spans="2:8" ht="14.25" customHeight="1" x14ac:dyDescent="0.35">
      <c r="B230" s="337">
        <v>44251</v>
      </c>
      <c r="C230" s="337"/>
      <c r="D230">
        <v>14982</v>
      </c>
      <c r="E230">
        <v>1281.0999999999999</v>
      </c>
      <c r="G230" s="338">
        <f t="shared" si="6"/>
        <v>1.8643168930771479E-2</v>
      </c>
      <c r="H230" s="338">
        <f t="shared" si="7"/>
        <v>-4.3135273772977748E-3</v>
      </c>
    </row>
    <row r="231" spans="2:8" ht="14.25" customHeight="1" x14ac:dyDescent="0.35">
      <c r="B231" s="337">
        <v>44252</v>
      </c>
      <c r="C231" s="337"/>
      <c r="D231">
        <v>15097.35</v>
      </c>
      <c r="E231">
        <v>1306.75</v>
      </c>
      <c r="G231" s="338">
        <f t="shared" si="6"/>
        <v>7.6992390869043094E-3</v>
      </c>
      <c r="H231" s="338">
        <f t="shared" si="7"/>
        <v>2.0021856217313318E-2</v>
      </c>
    </row>
    <row r="232" spans="2:8" ht="14.25" customHeight="1" x14ac:dyDescent="0.35">
      <c r="B232" s="337">
        <v>44253</v>
      </c>
      <c r="C232" s="337"/>
      <c r="D232">
        <v>14529.15</v>
      </c>
      <c r="E232">
        <v>1291.95</v>
      </c>
      <c r="G232" s="338">
        <f t="shared" si="6"/>
        <v>-3.7635744021301799E-2</v>
      </c>
      <c r="H232" s="338">
        <f t="shared" si="7"/>
        <v>-1.1325808303041864E-2</v>
      </c>
    </row>
    <row r="233" spans="2:8" ht="14.25" customHeight="1" x14ac:dyDescent="0.35">
      <c r="B233" s="337">
        <v>44256</v>
      </c>
      <c r="C233" s="337"/>
      <c r="D233">
        <v>14761.55</v>
      </c>
      <c r="E233">
        <v>1327.49</v>
      </c>
      <c r="G233" s="338">
        <f t="shared" si="6"/>
        <v>1.5995429877177926E-2</v>
      </c>
      <c r="H233" s="338">
        <f t="shared" si="7"/>
        <v>2.7508804520298743E-2</v>
      </c>
    </row>
    <row r="234" spans="2:8" ht="14.25" customHeight="1" x14ac:dyDescent="0.35">
      <c r="B234" s="337">
        <v>44257</v>
      </c>
      <c r="C234" s="337"/>
      <c r="D234">
        <v>14919.1</v>
      </c>
      <c r="E234">
        <v>1325.17</v>
      </c>
      <c r="G234" s="338">
        <f t="shared" si="6"/>
        <v>1.0672998431736578E-2</v>
      </c>
      <c r="H234" s="338">
        <f t="shared" si="7"/>
        <v>-1.747659116076156E-3</v>
      </c>
    </row>
    <row r="235" spans="2:8" ht="14.25" customHeight="1" x14ac:dyDescent="0.35">
      <c r="B235" s="337">
        <v>44258</v>
      </c>
      <c r="C235" s="337"/>
      <c r="D235">
        <v>15245.6</v>
      </c>
      <c r="E235">
        <v>1337</v>
      </c>
      <c r="G235" s="338">
        <f t="shared" si="6"/>
        <v>2.1884698138627666E-2</v>
      </c>
      <c r="H235" s="338">
        <f t="shared" si="7"/>
        <v>8.9271565157677327E-3</v>
      </c>
    </row>
    <row r="236" spans="2:8" ht="14.25" customHeight="1" x14ac:dyDescent="0.35">
      <c r="B236" s="337">
        <v>44259</v>
      </c>
      <c r="C236" s="337"/>
      <c r="D236">
        <v>15080.75</v>
      </c>
      <c r="E236">
        <v>1384.48</v>
      </c>
      <c r="G236" s="338">
        <f t="shared" si="6"/>
        <v>-1.0812955869234425E-2</v>
      </c>
      <c r="H236" s="338">
        <f t="shared" si="7"/>
        <v>3.5512341062079296E-2</v>
      </c>
    </row>
    <row r="237" spans="2:8" ht="14.25" customHeight="1" x14ac:dyDescent="0.35">
      <c r="B237" s="337">
        <v>44260</v>
      </c>
      <c r="C237" s="337"/>
      <c r="D237">
        <v>14938.1</v>
      </c>
      <c r="E237">
        <v>1363.68</v>
      </c>
      <c r="G237" s="338">
        <f t="shared" si="6"/>
        <v>-9.4590786267261008E-3</v>
      </c>
      <c r="H237" s="338">
        <f t="shared" si="7"/>
        <v>-1.5023691205362269E-2</v>
      </c>
    </row>
    <row r="238" spans="2:8" ht="14.25" customHeight="1" x14ac:dyDescent="0.35">
      <c r="B238" s="337">
        <v>44263</v>
      </c>
      <c r="C238" s="337"/>
      <c r="D238">
        <v>14956.2</v>
      </c>
      <c r="E238">
        <v>1388.83</v>
      </c>
      <c r="G238" s="338">
        <f t="shared" si="6"/>
        <v>1.2116668117096794E-3</v>
      </c>
      <c r="H238" s="338">
        <f t="shared" si="7"/>
        <v>1.8442743165551934E-2</v>
      </c>
    </row>
    <row r="239" spans="2:8" ht="14.25" customHeight="1" x14ac:dyDescent="0.35">
      <c r="B239" s="337">
        <v>44264</v>
      </c>
      <c r="C239" s="337"/>
      <c r="D239">
        <v>15098.4</v>
      </c>
      <c r="E239">
        <v>1375.67</v>
      </c>
      <c r="G239" s="338">
        <f t="shared" si="6"/>
        <v>9.5077626669875306E-3</v>
      </c>
      <c r="H239" s="338">
        <f t="shared" si="7"/>
        <v>-9.4756017655147542E-3</v>
      </c>
    </row>
    <row r="240" spans="2:8" ht="14.25" customHeight="1" x14ac:dyDescent="0.35">
      <c r="B240" s="337">
        <v>44265</v>
      </c>
      <c r="C240" s="337"/>
      <c r="D240">
        <v>15174.8</v>
      </c>
      <c r="E240">
        <v>1361.85</v>
      </c>
      <c r="G240" s="338">
        <f t="shared" si="6"/>
        <v>5.0601388226566811E-3</v>
      </c>
      <c r="H240" s="338">
        <f t="shared" si="7"/>
        <v>-1.0046013942297326E-2</v>
      </c>
    </row>
    <row r="241" spans="2:8" ht="14.25" customHeight="1" x14ac:dyDescent="0.35">
      <c r="B241" s="337">
        <v>44267</v>
      </c>
      <c r="C241" s="337"/>
      <c r="D241">
        <v>15030.95</v>
      </c>
      <c r="E241">
        <v>1334.67</v>
      </c>
      <c r="G241" s="338">
        <f t="shared" si="6"/>
        <v>-9.4795318554444577E-3</v>
      </c>
      <c r="H241" s="338">
        <f t="shared" si="7"/>
        <v>-1.9958145170172806E-2</v>
      </c>
    </row>
    <row r="242" spans="2:8" ht="14.25" customHeight="1" x14ac:dyDescent="0.35">
      <c r="B242" s="337">
        <v>44270</v>
      </c>
      <c r="C242" s="337"/>
      <c r="D242">
        <v>14929.5</v>
      </c>
      <c r="E242">
        <v>1311.25</v>
      </c>
      <c r="G242" s="338">
        <f t="shared" si="6"/>
        <v>-6.7494070567729065E-3</v>
      </c>
      <c r="H242" s="338">
        <f t="shared" si="7"/>
        <v>-1.7547408722755491E-2</v>
      </c>
    </row>
    <row r="243" spans="2:8" ht="14.25" customHeight="1" x14ac:dyDescent="0.35">
      <c r="B243" s="337">
        <v>44271</v>
      </c>
      <c r="C243" s="337"/>
      <c r="D243">
        <v>14910.45</v>
      </c>
      <c r="E243">
        <v>1309.42</v>
      </c>
      <c r="G243" s="338">
        <f t="shared" si="6"/>
        <v>-1.2759971867778073E-3</v>
      </c>
      <c r="H243" s="338">
        <f t="shared" si="7"/>
        <v>-1.3956148713059502E-3</v>
      </c>
    </row>
    <row r="244" spans="2:8" ht="14.25" customHeight="1" x14ac:dyDescent="0.35">
      <c r="B244" s="337">
        <v>44272</v>
      </c>
      <c r="C244" s="337"/>
      <c r="D244">
        <v>14721.3</v>
      </c>
      <c r="E244">
        <v>1291.6500000000001</v>
      </c>
      <c r="G244" s="338">
        <f t="shared" si="6"/>
        <v>-1.2685733830970993E-2</v>
      </c>
      <c r="H244" s="338">
        <f t="shared" si="7"/>
        <v>-1.3570893983595777E-2</v>
      </c>
    </row>
    <row r="245" spans="2:8" ht="14.25" customHeight="1" x14ac:dyDescent="0.35">
      <c r="B245" s="337">
        <v>44273</v>
      </c>
      <c r="C245" s="337"/>
      <c r="D245">
        <v>14557.85</v>
      </c>
      <c r="E245">
        <v>1267.04</v>
      </c>
      <c r="G245" s="338">
        <f t="shared" si="6"/>
        <v>-1.1102959657095427E-2</v>
      </c>
      <c r="H245" s="338">
        <f t="shared" si="7"/>
        <v>-1.9053149072891361E-2</v>
      </c>
    </row>
    <row r="246" spans="2:8" ht="14.25" customHeight="1" x14ac:dyDescent="0.35">
      <c r="B246" s="337">
        <v>44274</v>
      </c>
      <c r="C246" s="337"/>
      <c r="D246">
        <v>14744</v>
      </c>
      <c r="E246">
        <v>1278.92</v>
      </c>
      <c r="G246" s="338">
        <f t="shared" si="6"/>
        <v>1.2786915650319218E-2</v>
      </c>
      <c r="H246" s="338">
        <f t="shared" si="7"/>
        <v>9.376183861598773E-3</v>
      </c>
    </row>
    <row r="247" spans="2:8" ht="14.25" customHeight="1" x14ac:dyDescent="0.35">
      <c r="B247" s="337">
        <v>44277</v>
      </c>
      <c r="C247" s="337"/>
      <c r="D247">
        <v>14736.4</v>
      </c>
      <c r="E247">
        <v>1277.83</v>
      </c>
      <c r="G247" s="338">
        <f t="shared" si="6"/>
        <v>-5.1546391752579782E-4</v>
      </c>
      <c r="H247" s="338">
        <f t="shared" si="7"/>
        <v>-8.5228161261075399E-4</v>
      </c>
    </row>
    <row r="248" spans="2:8" ht="14.25" customHeight="1" x14ac:dyDescent="0.35">
      <c r="B248" s="337">
        <v>44278</v>
      </c>
      <c r="C248" s="337"/>
      <c r="D248">
        <v>14814.75</v>
      </c>
      <c r="E248">
        <v>1287.24</v>
      </c>
      <c r="G248" s="338">
        <f t="shared" si="6"/>
        <v>5.3167666458565433E-3</v>
      </c>
      <c r="H248" s="338">
        <f t="shared" si="7"/>
        <v>7.3640468606935841E-3</v>
      </c>
    </row>
    <row r="249" spans="2:8" ht="14.25" customHeight="1" x14ac:dyDescent="0.35">
      <c r="B249" s="337">
        <v>44279</v>
      </c>
      <c r="C249" s="337"/>
      <c r="D249">
        <v>14549.4</v>
      </c>
      <c r="E249">
        <v>1275.8</v>
      </c>
      <c r="G249" s="338">
        <f t="shared" si="6"/>
        <v>-1.7911203361514732E-2</v>
      </c>
      <c r="H249" s="338">
        <f t="shared" si="7"/>
        <v>-8.8872315962835631E-3</v>
      </c>
    </row>
    <row r="250" spans="2:8" ht="14.25" customHeight="1" x14ac:dyDescent="0.35">
      <c r="B250" s="337">
        <v>44280</v>
      </c>
      <c r="C250" s="337"/>
      <c r="D250">
        <v>14324.9</v>
      </c>
      <c r="E250">
        <v>1273.68</v>
      </c>
      <c r="G250" s="338">
        <f t="shared" si="6"/>
        <v>-1.5430189561081557E-2</v>
      </c>
      <c r="H250" s="338">
        <f t="shared" si="7"/>
        <v>-1.6617024612007297E-3</v>
      </c>
    </row>
    <row r="251" spans="2:8" ht="14.25" customHeight="1" x14ac:dyDescent="0.35">
      <c r="B251" s="337">
        <v>44281</v>
      </c>
      <c r="C251" s="337"/>
      <c r="D251">
        <v>14507.3</v>
      </c>
      <c r="E251">
        <v>1281.8900000000001</v>
      </c>
      <c r="G251" s="338">
        <f t="shared" si="6"/>
        <v>1.2733073180266504E-2</v>
      </c>
      <c r="H251" s="338">
        <f t="shared" si="7"/>
        <v>6.4458890773192922E-3</v>
      </c>
    </row>
    <row r="252" spans="2:8" ht="14.25" customHeight="1" x14ac:dyDescent="0.35">
      <c r="B252" s="337">
        <v>44285</v>
      </c>
      <c r="C252" s="337"/>
      <c r="D252">
        <v>14845.1</v>
      </c>
      <c r="E252">
        <v>1287.6400000000001</v>
      </c>
      <c r="G252" s="338">
        <f t="shared" si="6"/>
        <v>2.3284829017115597E-2</v>
      </c>
      <c r="H252" s="338">
        <f t="shared" si="7"/>
        <v>4.4855642839869252E-3</v>
      </c>
    </row>
    <row r="253" spans="2:8" ht="14.25" customHeight="1" x14ac:dyDescent="0.35">
      <c r="B253" s="337">
        <v>44286</v>
      </c>
      <c r="C253" s="337"/>
      <c r="D253">
        <v>14690.7</v>
      </c>
      <c r="E253">
        <v>1270.06</v>
      </c>
      <c r="G253" s="338">
        <f t="shared" si="6"/>
        <v>-1.0400738290749112E-2</v>
      </c>
      <c r="H253" s="338">
        <f t="shared" si="7"/>
        <v>-1.365288434655661E-2</v>
      </c>
    </row>
    <row r="254" spans="2:8" ht="14.25" customHeight="1" x14ac:dyDescent="0.35">
      <c r="B254" s="337">
        <v>44287</v>
      </c>
      <c r="C254" s="337"/>
      <c r="D254">
        <v>14867.35</v>
      </c>
      <c r="E254">
        <v>1279.72</v>
      </c>
      <c r="G254" s="338">
        <f t="shared" si="6"/>
        <v>1.2024614211712146E-2</v>
      </c>
      <c r="H254" s="338">
        <f t="shared" si="7"/>
        <v>7.6059398768562759E-3</v>
      </c>
    </row>
    <row r="255" spans="2:8" ht="14.25" customHeight="1" x14ac:dyDescent="0.35">
      <c r="B255" s="337">
        <v>44291</v>
      </c>
      <c r="C255" s="337"/>
      <c r="D255">
        <v>14637.8</v>
      </c>
      <c r="E255">
        <v>1235.45</v>
      </c>
      <c r="G255" s="338">
        <f t="shared" si="6"/>
        <v>-1.5439873279367277E-2</v>
      </c>
      <c r="H255" s="338">
        <f t="shared" si="7"/>
        <v>-3.4593504829181367E-2</v>
      </c>
    </row>
    <row r="256" spans="2:8" ht="14.25" customHeight="1" x14ac:dyDescent="0.35">
      <c r="B256" s="337">
        <v>44292</v>
      </c>
      <c r="C256" s="337"/>
      <c r="D256">
        <v>14683.5</v>
      </c>
      <c r="E256">
        <v>1237.29</v>
      </c>
      <c r="G256" s="338">
        <f t="shared" si="6"/>
        <v>3.1220538605528651E-3</v>
      </c>
      <c r="H256" s="338">
        <f t="shared" si="7"/>
        <v>1.4893358695211609E-3</v>
      </c>
    </row>
    <row r="257" spans="2:8" ht="14.25" customHeight="1" x14ac:dyDescent="0.35">
      <c r="B257" s="337">
        <v>44293</v>
      </c>
      <c r="C257" s="337"/>
      <c r="D257">
        <v>14819.05</v>
      </c>
      <c r="E257">
        <v>1260.8</v>
      </c>
      <c r="G257" s="338">
        <f t="shared" si="6"/>
        <v>9.2314502673067917E-3</v>
      </c>
      <c r="H257" s="338">
        <f t="shared" si="7"/>
        <v>1.9001204244760719E-2</v>
      </c>
    </row>
    <row r="258" spans="2:8" ht="14.25" customHeight="1" x14ac:dyDescent="0.35">
      <c r="B258" s="337">
        <v>44294</v>
      </c>
      <c r="C258" s="337"/>
      <c r="D258">
        <v>14873.8</v>
      </c>
      <c r="E258">
        <v>1300.76</v>
      </c>
      <c r="G258" s="338">
        <f t="shared" si="6"/>
        <v>3.6945688151399721E-3</v>
      </c>
      <c r="H258" s="338">
        <f t="shared" si="7"/>
        <v>3.1694162436548254E-2</v>
      </c>
    </row>
    <row r="259" spans="2:8" ht="14.25" customHeight="1" x14ac:dyDescent="0.35">
      <c r="B259" s="337">
        <v>44295</v>
      </c>
      <c r="C259" s="337"/>
      <c r="D259">
        <v>14834.85</v>
      </c>
      <c r="E259">
        <v>1299.1199999999999</v>
      </c>
      <c r="G259" s="338">
        <f t="shared" si="6"/>
        <v>-2.618698651319697E-3</v>
      </c>
      <c r="H259" s="338">
        <f t="shared" si="7"/>
        <v>-1.2608013776562164E-3</v>
      </c>
    </row>
    <row r="260" spans="2:8" ht="14.25" customHeight="1" x14ac:dyDescent="0.35">
      <c r="B260" s="337">
        <v>44298</v>
      </c>
      <c r="C260" s="337"/>
      <c r="D260">
        <v>14310.8</v>
      </c>
      <c r="E260">
        <v>1246.45</v>
      </c>
      <c r="G260" s="338">
        <f t="shared" si="6"/>
        <v>-3.5325601539617932E-2</v>
      </c>
      <c r="H260" s="338">
        <f t="shared" si="7"/>
        <v>-4.0542828991932886E-2</v>
      </c>
    </row>
    <row r="261" spans="2:8" ht="14.25" customHeight="1" x14ac:dyDescent="0.35">
      <c r="B261" s="337">
        <v>44299</v>
      </c>
      <c r="C261" s="337"/>
      <c r="D261">
        <v>14504.8</v>
      </c>
      <c r="E261">
        <v>1264.52</v>
      </c>
      <c r="G261" s="338">
        <f t="shared" si="6"/>
        <v>1.3556195321016297E-2</v>
      </c>
      <c r="H261" s="338">
        <f t="shared" si="7"/>
        <v>1.4497171968390177E-2</v>
      </c>
    </row>
    <row r="262" spans="2:8" ht="14.25" customHeight="1" x14ac:dyDescent="0.35">
      <c r="B262" s="337">
        <v>44301</v>
      </c>
      <c r="C262" s="337"/>
      <c r="D262">
        <v>14581.45</v>
      </c>
      <c r="E262">
        <v>1298.98</v>
      </c>
      <c r="G262" s="338">
        <f t="shared" si="6"/>
        <v>5.2844575588771618E-3</v>
      </c>
      <c r="H262" s="338">
        <f t="shared" si="7"/>
        <v>2.7251447189447407E-2</v>
      </c>
    </row>
    <row r="263" spans="2:8" ht="14.25" customHeight="1" x14ac:dyDescent="0.35">
      <c r="B263" s="337">
        <v>44302</v>
      </c>
      <c r="C263" s="337"/>
      <c r="D263">
        <v>14617.85</v>
      </c>
      <c r="E263">
        <v>1286.0999999999999</v>
      </c>
      <c r="G263" s="338">
        <f t="shared" ref="G263:G326" si="8">(D263-D262)/D262</f>
        <v>2.4963223822047627E-3</v>
      </c>
      <c r="H263" s="338">
        <f t="shared" ref="H263:H326" si="9">(E263-E262)/E262</f>
        <v>-9.9154721396789089E-3</v>
      </c>
    </row>
    <row r="264" spans="2:8" ht="14.25" customHeight="1" x14ac:dyDescent="0.35">
      <c r="B264" s="337">
        <v>44305</v>
      </c>
      <c r="C264" s="337"/>
      <c r="D264">
        <v>14359.45</v>
      </c>
      <c r="E264">
        <v>1252.83</v>
      </c>
      <c r="G264" s="338">
        <f t="shared" si="8"/>
        <v>-1.7677018166146159E-2</v>
      </c>
      <c r="H264" s="338">
        <f t="shared" si="9"/>
        <v>-2.5868905994868192E-2</v>
      </c>
    </row>
    <row r="265" spans="2:8" ht="14.25" customHeight="1" x14ac:dyDescent="0.35">
      <c r="B265" s="337">
        <v>44306</v>
      </c>
      <c r="C265" s="337"/>
      <c r="D265">
        <v>14296.4</v>
      </c>
      <c r="E265">
        <v>1236.25</v>
      </c>
      <c r="G265" s="338">
        <f t="shared" si="8"/>
        <v>-4.3908366963916505E-3</v>
      </c>
      <c r="H265" s="338">
        <f t="shared" si="9"/>
        <v>-1.3234038137656289E-2</v>
      </c>
    </row>
    <row r="266" spans="2:8" ht="14.25" customHeight="1" x14ac:dyDescent="0.35">
      <c r="B266" s="337">
        <v>44308</v>
      </c>
      <c r="C266" s="337"/>
      <c r="D266">
        <v>14406.15</v>
      </c>
      <c r="E266">
        <v>1266.4000000000001</v>
      </c>
      <c r="G266" s="338">
        <f t="shared" si="8"/>
        <v>7.6767577851766878E-3</v>
      </c>
      <c r="H266" s="338">
        <f t="shared" si="9"/>
        <v>2.4388270980788749E-2</v>
      </c>
    </row>
    <row r="267" spans="2:8" ht="14.25" customHeight="1" x14ac:dyDescent="0.35">
      <c r="B267" s="337">
        <v>44309</v>
      </c>
      <c r="C267" s="337"/>
      <c r="D267">
        <v>14341.35</v>
      </c>
      <c r="E267">
        <v>1242.24</v>
      </c>
      <c r="G267" s="338">
        <f t="shared" si="8"/>
        <v>-4.49807894545033E-3</v>
      </c>
      <c r="H267" s="338">
        <f t="shared" si="9"/>
        <v>-1.9077700568540808E-2</v>
      </c>
    </row>
    <row r="268" spans="2:8" ht="14.25" customHeight="1" x14ac:dyDescent="0.35">
      <c r="B268" s="337">
        <v>44312</v>
      </c>
      <c r="C268" s="337"/>
      <c r="D268">
        <v>14485</v>
      </c>
      <c r="E268">
        <v>1219.07</v>
      </c>
      <c r="G268" s="338">
        <f t="shared" si="8"/>
        <v>1.0016490776670233E-2</v>
      </c>
      <c r="H268" s="338">
        <f t="shared" si="9"/>
        <v>-1.8651790314271052E-2</v>
      </c>
    </row>
    <row r="269" spans="2:8" ht="14.25" customHeight="1" x14ac:dyDescent="0.35">
      <c r="B269" s="337">
        <v>44313</v>
      </c>
      <c r="C269" s="337"/>
      <c r="D269">
        <v>14653.05</v>
      </c>
      <c r="E269">
        <v>1206.49</v>
      </c>
      <c r="G269" s="338">
        <f t="shared" si="8"/>
        <v>1.1601656886434192E-2</v>
      </c>
      <c r="H269" s="338">
        <f t="shared" si="9"/>
        <v>-1.0319341793334203E-2</v>
      </c>
    </row>
    <row r="270" spans="2:8" ht="14.25" customHeight="1" x14ac:dyDescent="0.35">
      <c r="B270" s="337">
        <v>44314</v>
      </c>
      <c r="C270" s="337"/>
      <c r="D270">
        <v>14864.55</v>
      </c>
      <c r="E270">
        <v>1282.54</v>
      </c>
      <c r="G270" s="338">
        <f t="shared" si="8"/>
        <v>1.4433855067716278E-2</v>
      </c>
      <c r="H270" s="338">
        <f t="shared" si="9"/>
        <v>6.303409062652815E-2</v>
      </c>
    </row>
    <row r="271" spans="2:8" ht="14.25" customHeight="1" x14ac:dyDescent="0.35">
      <c r="B271" s="337">
        <v>44315</v>
      </c>
      <c r="C271" s="337"/>
      <c r="D271">
        <v>14894.9</v>
      </c>
      <c r="E271">
        <v>1246.05</v>
      </c>
      <c r="G271" s="338">
        <f t="shared" si="8"/>
        <v>2.0417705211392451E-3</v>
      </c>
      <c r="H271" s="338">
        <f t="shared" si="9"/>
        <v>-2.8451354343724179E-2</v>
      </c>
    </row>
    <row r="272" spans="2:8" ht="14.25" customHeight="1" x14ac:dyDescent="0.35">
      <c r="B272" s="337">
        <v>44316</v>
      </c>
      <c r="C272" s="337"/>
      <c r="D272">
        <v>14631.1</v>
      </c>
      <c r="E272">
        <v>1210.06</v>
      </c>
      <c r="G272" s="338">
        <f t="shared" si="8"/>
        <v>-1.7710760058812027E-2</v>
      </c>
      <c r="H272" s="338">
        <f t="shared" si="9"/>
        <v>-2.8883271136792271E-2</v>
      </c>
    </row>
    <row r="273" spans="2:8" ht="14.25" customHeight="1" x14ac:dyDescent="0.35">
      <c r="B273" s="337">
        <v>44319</v>
      </c>
      <c r="C273" s="337"/>
      <c r="D273">
        <v>14634.15</v>
      </c>
      <c r="E273">
        <v>1210.8</v>
      </c>
      <c r="G273" s="338">
        <f t="shared" si="8"/>
        <v>2.0846006110266982E-4</v>
      </c>
      <c r="H273" s="338">
        <f t="shared" si="9"/>
        <v>6.1153992364015766E-4</v>
      </c>
    </row>
    <row r="274" spans="2:8" ht="14.25" customHeight="1" x14ac:dyDescent="0.35">
      <c r="B274" s="337">
        <v>44320</v>
      </c>
      <c r="C274" s="337"/>
      <c r="D274">
        <v>14496.5</v>
      </c>
      <c r="E274">
        <v>1206.44</v>
      </c>
      <c r="G274" s="338">
        <f t="shared" si="8"/>
        <v>-9.4060809818130638E-3</v>
      </c>
      <c r="H274" s="338">
        <f t="shared" si="9"/>
        <v>-3.6009250082589196E-3</v>
      </c>
    </row>
    <row r="275" spans="2:8" ht="14.25" customHeight="1" x14ac:dyDescent="0.35">
      <c r="B275" s="337">
        <v>44321</v>
      </c>
      <c r="C275" s="337"/>
      <c r="D275">
        <v>14617.85</v>
      </c>
      <c r="E275">
        <v>1216.05</v>
      </c>
      <c r="G275" s="338">
        <f t="shared" si="8"/>
        <v>8.3709861000931512E-3</v>
      </c>
      <c r="H275" s="338">
        <f t="shared" si="9"/>
        <v>7.9655846954675737E-3</v>
      </c>
    </row>
    <row r="276" spans="2:8" ht="14.25" customHeight="1" x14ac:dyDescent="0.35">
      <c r="B276" s="337">
        <v>44322</v>
      </c>
      <c r="C276" s="337"/>
      <c r="D276">
        <v>14724.8</v>
      </c>
      <c r="E276">
        <v>1223.8699999999999</v>
      </c>
      <c r="G276" s="338">
        <f t="shared" si="8"/>
        <v>7.3163974182249032E-3</v>
      </c>
      <c r="H276" s="338">
        <f t="shared" si="9"/>
        <v>6.4306566341843976E-3</v>
      </c>
    </row>
    <row r="277" spans="2:8" ht="14.25" customHeight="1" x14ac:dyDescent="0.35">
      <c r="B277" s="337">
        <v>44323</v>
      </c>
      <c r="C277" s="337"/>
      <c r="D277">
        <v>14823.15</v>
      </c>
      <c r="E277">
        <v>1226.3</v>
      </c>
      <c r="G277" s="338">
        <f t="shared" si="8"/>
        <v>6.6792078669999167E-3</v>
      </c>
      <c r="H277" s="338">
        <f t="shared" si="9"/>
        <v>1.9855049964457531E-3</v>
      </c>
    </row>
    <row r="278" spans="2:8" ht="14.25" customHeight="1" x14ac:dyDescent="0.35">
      <c r="B278" s="337">
        <v>44326</v>
      </c>
      <c r="C278" s="337"/>
      <c r="D278">
        <v>14942.35</v>
      </c>
      <c r="E278">
        <v>1228.23</v>
      </c>
      <c r="G278" s="338">
        <f t="shared" si="8"/>
        <v>8.0414756647541677E-3</v>
      </c>
      <c r="H278" s="338">
        <f t="shared" si="9"/>
        <v>1.5738400065237411E-3</v>
      </c>
    </row>
    <row r="279" spans="2:8" ht="14.25" customHeight="1" x14ac:dyDescent="0.35">
      <c r="B279" s="337">
        <v>44327</v>
      </c>
      <c r="C279" s="337"/>
      <c r="D279">
        <v>14850.75</v>
      </c>
      <c r="E279">
        <v>1212.6300000000001</v>
      </c>
      <c r="G279" s="338">
        <f t="shared" si="8"/>
        <v>-6.1302271731019792E-3</v>
      </c>
      <c r="H279" s="338">
        <f t="shared" si="9"/>
        <v>-1.2701204171856988E-2</v>
      </c>
    </row>
    <row r="280" spans="2:8" ht="14.25" customHeight="1" x14ac:dyDescent="0.35">
      <c r="B280" s="337">
        <v>44328</v>
      </c>
      <c r="C280" s="337"/>
      <c r="D280">
        <v>14696.5</v>
      </c>
      <c r="E280">
        <v>1205.75</v>
      </c>
      <c r="G280" s="338">
        <f t="shared" si="8"/>
        <v>-1.0386680807366631E-2</v>
      </c>
      <c r="H280" s="338">
        <f t="shared" si="9"/>
        <v>-5.6736184986352876E-3</v>
      </c>
    </row>
    <row r="281" spans="2:8" ht="14.25" customHeight="1" x14ac:dyDescent="0.35">
      <c r="B281" s="337">
        <v>44330</v>
      </c>
      <c r="C281" s="337"/>
      <c r="D281">
        <v>14677.8</v>
      </c>
      <c r="E281">
        <v>1197.58</v>
      </c>
      <c r="G281" s="338">
        <f t="shared" si="8"/>
        <v>-1.2724117987276376E-3</v>
      </c>
      <c r="H281" s="338">
        <f t="shared" si="9"/>
        <v>-6.7758656437902328E-3</v>
      </c>
    </row>
    <row r="282" spans="2:8" ht="14.25" customHeight="1" x14ac:dyDescent="0.35">
      <c r="B282" s="337">
        <v>44333</v>
      </c>
      <c r="C282" s="337"/>
      <c r="D282">
        <v>14923.15</v>
      </c>
      <c r="E282">
        <v>1206.05</v>
      </c>
      <c r="G282" s="338">
        <f t="shared" si="8"/>
        <v>1.6715720339560449E-2</v>
      </c>
      <c r="H282" s="338">
        <f t="shared" si="9"/>
        <v>7.0725964027455604E-3</v>
      </c>
    </row>
    <row r="283" spans="2:8" ht="14.25" customHeight="1" x14ac:dyDescent="0.35">
      <c r="B283" s="337">
        <v>44334</v>
      </c>
      <c r="C283" s="337"/>
      <c r="D283">
        <v>15108.1</v>
      </c>
      <c r="E283">
        <v>1228.6199999999999</v>
      </c>
      <c r="G283" s="338">
        <f t="shared" si="8"/>
        <v>1.2393496011230921E-2</v>
      </c>
      <c r="H283" s="338">
        <f t="shared" si="9"/>
        <v>1.8713983665685451E-2</v>
      </c>
    </row>
    <row r="284" spans="2:8" ht="14.25" customHeight="1" x14ac:dyDescent="0.35">
      <c r="B284" s="337">
        <v>44335</v>
      </c>
      <c r="C284" s="337"/>
      <c r="D284">
        <v>15030.15</v>
      </c>
      <c r="E284">
        <v>1246.25</v>
      </c>
      <c r="G284" s="338">
        <f t="shared" si="8"/>
        <v>-5.159483985411847E-3</v>
      </c>
      <c r="H284" s="338">
        <f t="shared" si="9"/>
        <v>1.4349432696846959E-2</v>
      </c>
    </row>
    <row r="285" spans="2:8" ht="14.25" customHeight="1" x14ac:dyDescent="0.35">
      <c r="B285" s="337">
        <v>44336</v>
      </c>
      <c r="C285" s="337"/>
      <c r="D285">
        <v>14906.05</v>
      </c>
      <c r="E285">
        <v>1242.29</v>
      </c>
      <c r="G285" s="338">
        <f t="shared" si="8"/>
        <v>-8.2567372913776894E-3</v>
      </c>
      <c r="H285" s="338">
        <f t="shared" si="9"/>
        <v>-3.1775325977934092E-3</v>
      </c>
    </row>
    <row r="286" spans="2:8" ht="14.25" customHeight="1" x14ac:dyDescent="0.35">
      <c r="B286" s="337">
        <v>44337</v>
      </c>
      <c r="C286" s="337"/>
      <c r="D286">
        <v>15175.3</v>
      </c>
      <c r="E286">
        <v>1263.97</v>
      </c>
      <c r="G286" s="338">
        <f t="shared" si="8"/>
        <v>1.8063135438295189E-2</v>
      </c>
      <c r="H286" s="338">
        <f t="shared" si="9"/>
        <v>1.745164172616705E-2</v>
      </c>
    </row>
    <row r="287" spans="2:8" ht="14.25" customHeight="1" x14ac:dyDescent="0.35">
      <c r="B287" s="337">
        <v>44340</v>
      </c>
      <c r="C287" s="337"/>
      <c r="D287">
        <v>15197.7</v>
      </c>
      <c r="E287">
        <v>1299.82</v>
      </c>
      <c r="G287" s="338">
        <f t="shared" si="8"/>
        <v>1.4760828451497799E-3</v>
      </c>
      <c r="H287" s="338">
        <f t="shared" si="9"/>
        <v>2.8363014944974889E-2</v>
      </c>
    </row>
    <row r="288" spans="2:8" ht="14.25" customHeight="1" x14ac:dyDescent="0.35">
      <c r="B288" s="337">
        <v>44341</v>
      </c>
      <c r="C288" s="337"/>
      <c r="D288">
        <v>15208.45</v>
      </c>
      <c r="E288">
        <v>1321.06</v>
      </c>
      <c r="G288" s="338">
        <f t="shared" si="8"/>
        <v>7.0734387440204766E-4</v>
      </c>
      <c r="H288" s="338">
        <f t="shared" si="9"/>
        <v>1.6340724100260044E-2</v>
      </c>
    </row>
    <row r="289" spans="2:8" ht="14.25" customHeight="1" x14ac:dyDescent="0.35">
      <c r="B289" s="337">
        <v>44342</v>
      </c>
      <c r="C289" s="337"/>
      <c r="D289">
        <v>15301.45</v>
      </c>
      <c r="E289">
        <v>1313.93</v>
      </c>
      <c r="G289" s="338">
        <f t="shared" si="8"/>
        <v>6.1150215833960719E-3</v>
      </c>
      <c r="H289" s="338">
        <f t="shared" si="9"/>
        <v>-5.3971810515797023E-3</v>
      </c>
    </row>
    <row r="290" spans="2:8" ht="14.25" customHeight="1" x14ac:dyDescent="0.35">
      <c r="B290" s="337">
        <v>44343</v>
      </c>
      <c r="C290" s="337"/>
      <c r="D290">
        <v>15337.85</v>
      </c>
      <c r="E290">
        <v>1324.32</v>
      </c>
      <c r="G290" s="338">
        <f t="shared" si="8"/>
        <v>2.3788595198494023E-3</v>
      </c>
      <c r="H290" s="338">
        <f t="shared" si="9"/>
        <v>7.907574984968661E-3</v>
      </c>
    </row>
    <row r="291" spans="2:8" ht="14.25" customHeight="1" x14ac:dyDescent="0.35">
      <c r="B291" s="337">
        <v>44344</v>
      </c>
      <c r="C291" s="337"/>
      <c r="D291">
        <v>15435.65</v>
      </c>
      <c r="E291">
        <v>1390.96</v>
      </c>
      <c r="G291" s="338">
        <f t="shared" si="8"/>
        <v>6.3763826090357687E-3</v>
      </c>
      <c r="H291" s="338">
        <f t="shared" si="9"/>
        <v>5.0320164310740684E-2</v>
      </c>
    </row>
    <row r="292" spans="2:8" ht="14.25" customHeight="1" x14ac:dyDescent="0.35">
      <c r="B292" s="337">
        <v>44347</v>
      </c>
      <c r="C292" s="337"/>
      <c r="D292">
        <v>15582.8</v>
      </c>
      <c r="E292">
        <v>1539.14</v>
      </c>
      <c r="G292" s="338">
        <f t="shared" si="8"/>
        <v>9.5331262369903209E-3</v>
      </c>
      <c r="H292" s="338">
        <f t="shared" si="9"/>
        <v>0.10653074135848627</v>
      </c>
    </row>
    <row r="293" spans="2:8" ht="14.25" customHeight="1" x14ac:dyDescent="0.35">
      <c r="B293" s="337">
        <v>44348</v>
      </c>
      <c r="C293" s="337"/>
      <c r="D293">
        <v>15574.85</v>
      </c>
      <c r="E293">
        <v>1480.13</v>
      </c>
      <c r="G293" s="338">
        <f t="shared" si="8"/>
        <v>-5.1017788844103169E-4</v>
      </c>
      <c r="H293" s="338">
        <f t="shared" si="9"/>
        <v>-3.833959223982223E-2</v>
      </c>
    </row>
    <row r="294" spans="2:8" ht="14.25" customHeight="1" x14ac:dyDescent="0.35">
      <c r="B294" s="337">
        <v>44349</v>
      </c>
      <c r="C294" s="337"/>
      <c r="D294">
        <v>15576.2</v>
      </c>
      <c r="E294">
        <v>1582.32</v>
      </c>
      <c r="G294" s="338">
        <f t="shared" si="8"/>
        <v>8.667820235831252E-5</v>
      </c>
      <c r="H294" s="338">
        <f t="shared" si="9"/>
        <v>6.9041232864680682E-2</v>
      </c>
    </row>
    <row r="295" spans="2:8" ht="14.25" customHeight="1" x14ac:dyDescent="0.35">
      <c r="B295" s="337">
        <v>44350</v>
      </c>
      <c r="C295" s="337"/>
      <c r="D295">
        <v>15690.35</v>
      </c>
      <c r="E295">
        <v>1562.71</v>
      </c>
      <c r="G295" s="338">
        <f t="shared" si="8"/>
        <v>7.3284883347671213E-3</v>
      </c>
      <c r="H295" s="338">
        <f t="shared" si="9"/>
        <v>-1.2393194802568317E-2</v>
      </c>
    </row>
    <row r="296" spans="2:8" ht="14.25" customHeight="1" x14ac:dyDescent="0.35">
      <c r="B296" s="337">
        <v>44351</v>
      </c>
      <c r="C296" s="337"/>
      <c r="D296">
        <v>15670.25</v>
      </c>
      <c r="E296">
        <v>1542.12</v>
      </c>
      <c r="G296" s="338">
        <f t="shared" si="8"/>
        <v>-1.2810421692314297E-3</v>
      </c>
      <c r="H296" s="338">
        <f t="shared" si="9"/>
        <v>-1.3175829168559838E-2</v>
      </c>
    </row>
    <row r="297" spans="2:8" ht="14.25" customHeight="1" x14ac:dyDescent="0.35">
      <c r="B297" s="337">
        <v>44354</v>
      </c>
      <c r="C297" s="337"/>
      <c r="D297">
        <v>15751.65</v>
      </c>
      <c r="E297">
        <v>1591.87</v>
      </c>
      <c r="G297" s="338">
        <f t="shared" si="8"/>
        <v>5.1945565641900822E-3</v>
      </c>
      <c r="H297" s="338">
        <f t="shared" si="9"/>
        <v>3.226078385599046E-2</v>
      </c>
    </row>
    <row r="298" spans="2:8" ht="14.25" customHeight="1" x14ac:dyDescent="0.35">
      <c r="B298" s="337">
        <v>44355</v>
      </c>
      <c r="C298" s="337"/>
      <c r="D298">
        <v>15740.1</v>
      </c>
      <c r="E298">
        <v>1613.9</v>
      </c>
      <c r="G298" s="338">
        <f t="shared" si="8"/>
        <v>-7.3325651598399354E-4</v>
      </c>
      <c r="H298" s="338">
        <f t="shared" si="9"/>
        <v>1.3839069773285634E-2</v>
      </c>
    </row>
    <row r="299" spans="2:8" ht="14.25" customHeight="1" x14ac:dyDescent="0.35">
      <c r="B299" s="337">
        <v>44356</v>
      </c>
      <c r="C299" s="337"/>
      <c r="D299">
        <v>15635.35</v>
      </c>
      <c r="E299">
        <v>1615.93</v>
      </c>
      <c r="G299" s="338">
        <f t="shared" si="8"/>
        <v>-6.6549767790547712E-3</v>
      </c>
      <c r="H299" s="338">
        <f t="shared" si="9"/>
        <v>1.2578226655926468E-3</v>
      </c>
    </row>
    <row r="300" spans="2:8" ht="14.25" customHeight="1" x14ac:dyDescent="0.35">
      <c r="B300" s="337">
        <v>44357</v>
      </c>
      <c r="C300" s="337"/>
      <c r="D300">
        <v>15737.75</v>
      </c>
      <c r="E300">
        <v>1624.6</v>
      </c>
      <c r="G300" s="338">
        <f t="shared" si="8"/>
        <v>6.5492617690041883E-3</v>
      </c>
      <c r="H300" s="338">
        <f t="shared" si="9"/>
        <v>5.3653314190588979E-3</v>
      </c>
    </row>
    <row r="301" spans="2:8" ht="14.25" customHeight="1" x14ac:dyDescent="0.35">
      <c r="B301" s="337">
        <v>44358</v>
      </c>
      <c r="C301" s="337"/>
      <c r="D301">
        <v>15799.35</v>
      </c>
      <c r="E301">
        <v>1622.02</v>
      </c>
      <c r="G301" s="338">
        <f t="shared" si="8"/>
        <v>3.9141554542422114E-3</v>
      </c>
      <c r="H301" s="338">
        <f t="shared" si="9"/>
        <v>-1.5880832204849978E-3</v>
      </c>
    </row>
    <row r="302" spans="2:8" ht="14.25" customHeight="1" x14ac:dyDescent="0.35">
      <c r="B302" s="337">
        <v>44361</v>
      </c>
      <c r="C302" s="337"/>
      <c r="D302">
        <v>15811.85</v>
      </c>
      <c r="E302">
        <v>1605.98</v>
      </c>
      <c r="G302" s="338">
        <f t="shared" si="8"/>
        <v>7.9117178871282673E-4</v>
      </c>
      <c r="H302" s="338">
        <f t="shared" si="9"/>
        <v>-9.8889039592606528E-3</v>
      </c>
    </row>
    <row r="303" spans="2:8" ht="14.25" customHeight="1" x14ac:dyDescent="0.35">
      <c r="B303" s="337">
        <v>44362</v>
      </c>
      <c r="C303" s="337"/>
      <c r="D303">
        <v>15869.25</v>
      </c>
      <c r="E303">
        <v>1601.92</v>
      </c>
      <c r="G303" s="338">
        <f t="shared" si="8"/>
        <v>3.630188750841909E-3</v>
      </c>
      <c r="H303" s="338">
        <f t="shared" si="9"/>
        <v>-2.5280514078630774E-3</v>
      </c>
    </row>
    <row r="304" spans="2:8" ht="14.25" customHeight="1" x14ac:dyDescent="0.35">
      <c r="B304" s="337">
        <v>44363</v>
      </c>
      <c r="C304" s="337"/>
      <c r="D304">
        <v>15767.55</v>
      </c>
      <c r="E304">
        <v>1569.64</v>
      </c>
      <c r="G304" s="338">
        <f t="shared" si="8"/>
        <v>-6.40862044520067E-3</v>
      </c>
      <c r="H304" s="338">
        <f t="shared" si="9"/>
        <v>-2.0150819017179366E-2</v>
      </c>
    </row>
    <row r="305" spans="2:8" ht="14.25" customHeight="1" x14ac:dyDescent="0.35">
      <c r="B305" s="337">
        <v>44364</v>
      </c>
      <c r="C305" s="337"/>
      <c r="D305">
        <v>15691.4</v>
      </c>
      <c r="E305">
        <v>1590.98</v>
      </c>
      <c r="G305" s="338">
        <f t="shared" si="8"/>
        <v>-4.8295391484409209E-3</v>
      </c>
      <c r="H305" s="338">
        <f t="shared" si="9"/>
        <v>1.3595474121454548E-2</v>
      </c>
    </row>
    <row r="306" spans="2:8" ht="14.25" customHeight="1" x14ac:dyDescent="0.35">
      <c r="B306" s="337">
        <v>44365</v>
      </c>
      <c r="C306" s="337"/>
      <c r="D306">
        <v>15683.35</v>
      </c>
      <c r="E306">
        <v>1569.79</v>
      </c>
      <c r="G306" s="338">
        <f t="shared" si="8"/>
        <v>-5.1301987075718367E-4</v>
      </c>
      <c r="H306" s="338">
        <f t="shared" si="9"/>
        <v>-1.3318834931928782E-2</v>
      </c>
    </row>
    <row r="307" spans="2:8" ht="14.25" customHeight="1" x14ac:dyDescent="0.35">
      <c r="B307" s="337">
        <v>44368</v>
      </c>
      <c r="C307" s="337"/>
      <c r="D307">
        <v>15746.5</v>
      </c>
      <c r="E307">
        <v>1556.32</v>
      </c>
      <c r="G307" s="338">
        <f t="shared" si="8"/>
        <v>4.02656320237702E-3</v>
      </c>
      <c r="H307" s="338">
        <f t="shared" si="9"/>
        <v>-8.5807655801094593E-3</v>
      </c>
    </row>
    <row r="308" spans="2:8" ht="14.25" customHeight="1" x14ac:dyDescent="0.35">
      <c r="B308" s="337">
        <v>44369</v>
      </c>
      <c r="C308" s="337"/>
      <c r="D308">
        <v>15772.75</v>
      </c>
      <c r="E308">
        <v>1595.39</v>
      </c>
      <c r="G308" s="338">
        <f t="shared" si="8"/>
        <v>1.6670371193598578E-3</v>
      </c>
      <c r="H308" s="338">
        <f t="shared" si="9"/>
        <v>2.5104091703505811E-2</v>
      </c>
    </row>
    <row r="309" spans="2:8" ht="14.25" customHeight="1" x14ac:dyDescent="0.35">
      <c r="B309" s="337">
        <v>44370</v>
      </c>
      <c r="C309" s="337"/>
      <c r="D309">
        <v>15686.95</v>
      </c>
      <c r="E309">
        <v>1586.72</v>
      </c>
      <c r="G309" s="338">
        <f t="shared" si="8"/>
        <v>-5.4397616141763023E-3</v>
      </c>
      <c r="H309" s="338">
        <f t="shared" si="9"/>
        <v>-5.4344078877265577E-3</v>
      </c>
    </row>
    <row r="310" spans="2:8" ht="14.25" customHeight="1" x14ac:dyDescent="0.35">
      <c r="B310" s="337">
        <v>44371</v>
      </c>
      <c r="C310" s="337"/>
      <c r="D310">
        <v>15790.45</v>
      </c>
      <c r="E310">
        <v>1574.59</v>
      </c>
      <c r="G310" s="338">
        <f t="shared" si="8"/>
        <v>6.5978408804770843E-3</v>
      </c>
      <c r="H310" s="338">
        <f t="shared" si="9"/>
        <v>-7.6447010184532297E-3</v>
      </c>
    </row>
    <row r="311" spans="2:8" ht="14.25" customHeight="1" x14ac:dyDescent="0.35">
      <c r="B311" s="337">
        <v>44372</v>
      </c>
      <c r="C311" s="337"/>
      <c r="D311">
        <v>15860.35</v>
      </c>
      <c r="E311">
        <v>1566.08</v>
      </c>
      <c r="G311" s="338">
        <f t="shared" si="8"/>
        <v>4.4267262807582836E-3</v>
      </c>
      <c r="H311" s="338">
        <f t="shared" si="9"/>
        <v>-5.4045815101073872E-3</v>
      </c>
    </row>
    <row r="312" spans="2:8" ht="14.25" customHeight="1" x14ac:dyDescent="0.35">
      <c r="B312" s="337">
        <v>44375</v>
      </c>
      <c r="C312" s="337"/>
      <c r="D312">
        <v>15814.7</v>
      </c>
      <c r="E312">
        <v>1564.89</v>
      </c>
      <c r="G312" s="338">
        <f t="shared" si="8"/>
        <v>-2.8782466969518097E-3</v>
      </c>
      <c r="H312" s="338">
        <f t="shared" si="9"/>
        <v>-7.5985901103380873E-4</v>
      </c>
    </row>
    <row r="313" spans="2:8" ht="14.25" customHeight="1" x14ac:dyDescent="0.35">
      <c r="B313" s="337">
        <v>44376</v>
      </c>
      <c r="C313" s="337"/>
      <c r="D313">
        <v>15748.45</v>
      </c>
      <c r="E313">
        <v>1572.61</v>
      </c>
      <c r="G313" s="338">
        <f t="shared" si="8"/>
        <v>-4.1891404832213068E-3</v>
      </c>
      <c r="H313" s="338">
        <f t="shared" si="9"/>
        <v>4.9332540945368677E-3</v>
      </c>
    </row>
    <row r="314" spans="2:8" ht="14.25" customHeight="1" x14ac:dyDescent="0.35">
      <c r="B314" s="337">
        <v>44377</v>
      </c>
      <c r="C314" s="337"/>
      <c r="D314">
        <v>15721.5</v>
      </c>
      <c r="E314">
        <v>1569.44</v>
      </c>
      <c r="G314" s="338">
        <f t="shared" si="8"/>
        <v>-1.7112795227467292E-3</v>
      </c>
      <c r="H314" s="338">
        <f t="shared" si="9"/>
        <v>-2.0157572443262129E-3</v>
      </c>
    </row>
    <row r="315" spans="2:8" ht="14.25" customHeight="1" x14ac:dyDescent="0.35">
      <c r="B315" s="337">
        <v>44378</v>
      </c>
      <c r="C315" s="337"/>
      <c r="D315">
        <v>15680</v>
      </c>
      <c r="E315">
        <v>1574.4</v>
      </c>
      <c r="G315" s="338">
        <f t="shared" si="8"/>
        <v>-2.6396972299080877E-3</v>
      </c>
      <c r="H315" s="338">
        <f t="shared" si="9"/>
        <v>3.1603629320012465E-3</v>
      </c>
    </row>
    <row r="316" spans="2:8" ht="14.25" customHeight="1" x14ac:dyDescent="0.35">
      <c r="B316" s="337">
        <v>44379</v>
      </c>
      <c r="C316" s="337"/>
      <c r="D316">
        <v>15722.2</v>
      </c>
      <c r="E316">
        <v>1595.29</v>
      </c>
      <c r="G316" s="338">
        <f t="shared" si="8"/>
        <v>2.6913265306122915E-3</v>
      </c>
      <c r="H316" s="338">
        <f t="shared" si="9"/>
        <v>1.3268546747967397E-2</v>
      </c>
    </row>
    <row r="317" spans="2:8" ht="14.25" customHeight="1" x14ac:dyDescent="0.35">
      <c r="B317" s="337">
        <v>44382</v>
      </c>
      <c r="C317" s="337"/>
      <c r="D317">
        <v>15834.35</v>
      </c>
      <c r="E317">
        <v>1613.76</v>
      </c>
      <c r="G317" s="338">
        <f t="shared" si="8"/>
        <v>7.1332256300008666E-3</v>
      </c>
      <c r="H317" s="338">
        <f t="shared" si="9"/>
        <v>1.1577832243667313E-2</v>
      </c>
    </row>
    <row r="318" spans="2:8" ht="14.25" customHeight="1" x14ac:dyDescent="0.35">
      <c r="B318" s="337">
        <v>44383</v>
      </c>
      <c r="C318" s="337"/>
      <c r="D318">
        <v>15818.25</v>
      </c>
      <c r="E318">
        <v>1580.04</v>
      </c>
      <c r="G318" s="338">
        <f t="shared" si="8"/>
        <v>-1.0167768174885843E-3</v>
      </c>
      <c r="H318" s="338">
        <f t="shared" si="9"/>
        <v>-2.0895300416418815E-2</v>
      </c>
    </row>
    <row r="319" spans="2:8" ht="14.25" customHeight="1" x14ac:dyDescent="0.35">
      <c r="B319" s="337">
        <v>44384</v>
      </c>
      <c r="C319" s="337"/>
      <c r="D319">
        <v>15879.65</v>
      </c>
      <c r="E319">
        <v>1591.18</v>
      </c>
      <c r="G319" s="338">
        <f t="shared" si="8"/>
        <v>3.881592464400274E-3</v>
      </c>
      <c r="H319" s="338">
        <f t="shared" si="9"/>
        <v>7.0504544188755352E-3</v>
      </c>
    </row>
    <row r="320" spans="2:8" ht="14.25" customHeight="1" x14ac:dyDescent="0.35">
      <c r="B320" s="337">
        <v>44385</v>
      </c>
      <c r="C320" s="337"/>
      <c r="D320">
        <v>15727.9</v>
      </c>
      <c r="E320">
        <v>1585.49</v>
      </c>
      <c r="G320" s="338">
        <f t="shared" si="8"/>
        <v>-9.5562559628203387E-3</v>
      </c>
      <c r="H320" s="338">
        <f t="shared" si="9"/>
        <v>-3.5759624932440418E-3</v>
      </c>
    </row>
    <row r="321" spans="2:8" ht="14.25" customHeight="1" x14ac:dyDescent="0.35">
      <c r="B321" s="337">
        <v>44386</v>
      </c>
      <c r="C321" s="337"/>
      <c r="D321">
        <v>15689.8</v>
      </c>
      <c r="E321">
        <v>1593.7</v>
      </c>
      <c r="G321" s="338">
        <f t="shared" si="8"/>
        <v>-2.4224467347834337E-3</v>
      </c>
      <c r="H321" s="338">
        <f t="shared" si="9"/>
        <v>5.1782098909485628E-3</v>
      </c>
    </row>
    <row r="322" spans="2:8" ht="14.25" customHeight="1" x14ac:dyDescent="0.35">
      <c r="B322" s="337">
        <v>44389</v>
      </c>
      <c r="C322" s="337"/>
      <c r="D322">
        <v>15692.6</v>
      </c>
      <c r="E322">
        <v>1597.12</v>
      </c>
      <c r="G322" s="338">
        <f t="shared" si="8"/>
        <v>1.7845989113953598E-4</v>
      </c>
      <c r="H322" s="338">
        <f t="shared" si="9"/>
        <v>2.1459496768525101E-3</v>
      </c>
    </row>
    <row r="323" spans="2:8" ht="14.25" customHeight="1" x14ac:dyDescent="0.35">
      <c r="B323" s="337">
        <v>44390</v>
      </c>
      <c r="C323" s="337"/>
      <c r="D323">
        <v>15812.35</v>
      </c>
      <c r="E323">
        <v>1601.58</v>
      </c>
      <c r="G323" s="338">
        <f t="shared" si="8"/>
        <v>7.6309853051756875E-3</v>
      </c>
      <c r="H323" s="338">
        <f t="shared" si="9"/>
        <v>2.7925265477860379E-3</v>
      </c>
    </row>
    <row r="324" spans="2:8" ht="14.25" customHeight="1" x14ac:dyDescent="0.35">
      <c r="B324" s="337">
        <v>44391</v>
      </c>
      <c r="C324" s="337"/>
      <c r="D324">
        <v>15853.95</v>
      </c>
      <c r="E324">
        <v>1640</v>
      </c>
      <c r="G324" s="338">
        <f t="shared" si="8"/>
        <v>2.6308549962529518E-3</v>
      </c>
      <c r="H324" s="338">
        <f t="shared" si="9"/>
        <v>2.3988811049089072E-2</v>
      </c>
    </row>
    <row r="325" spans="2:8" ht="14.25" customHeight="1" x14ac:dyDescent="0.35">
      <c r="B325" s="337">
        <v>44392</v>
      </c>
      <c r="C325" s="337"/>
      <c r="D325">
        <v>15924.2</v>
      </c>
      <c r="E325">
        <v>1650.14</v>
      </c>
      <c r="G325" s="338">
        <f t="shared" si="8"/>
        <v>4.4310723825923505E-3</v>
      </c>
      <c r="H325" s="338">
        <f t="shared" si="9"/>
        <v>6.1829268292683537E-3</v>
      </c>
    </row>
    <row r="326" spans="2:8" ht="14.25" customHeight="1" x14ac:dyDescent="0.35">
      <c r="B326" s="337">
        <v>44393</v>
      </c>
      <c r="C326" s="337"/>
      <c r="D326">
        <v>15923.4</v>
      </c>
      <c r="E326">
        <v>1614.5</v>
      </c>
      <c r="G326" s="338">
        <f t="shared" si="8"/>
        <v>-5.0238002537087662E-5</v>
      </c>
      <c r="H326" s="338">
        <f t="shared" si="9"/>
        <v>-2.1598167428218271E-2</v>
      </c>
    </row>
    <row r="327" spans="2:8" ht="14.25" customHeight="1" x14ac:dyDescent="0.35">
      <c r="B327" s="337">
        <v>44396</v>
      </c>
      <c r="C327" s="337"/>
      <c r="D327">
        <v>15752.4</v>
      </c>
      <c r="E327">
        <v>1586.08</v>
      </c>
      <c r="G327" s="338">
        <f t="shared" ref="G327:G390" si="10">(D327-D326)/D326</f>
        <v>-1.0738912543803459E-2</v>
      </c>
      <c r="H327" s="338">
        <f t="shared" ref="H327:H390" si="11">(E327-E326)/E326</f>
        <v>-1.7602973056673937E-2</v>
      </c>
    </row>
    <row r="328" spans="2:8" ht="14.25" customHeight="1" x14ac:dyDescent="0.35">
      <c r="B328" s="337">
        <v>44397</v>
      </c>
      <c r="C328" s="337"/>
      <c r="D328">
        <v>15632.1</v>
      </c>
      <c r="E328">
        <v>1576.08</v>
      </c>
      <c r="G328" s="338">
        <f t="shared" si="10"/>
        <v>-7.6369315151976385E-3</v>
      </c>
      <c r="H328" s="338">
        <f t="shared" si="11"/>
        <v>-6.3048522142640983E-3</v>
      </c>
    </row>
    <row r="329" spans="2:8" ht="14.25" customHeight="1" x14ac:dyDescent="0.35">
      <c r="B329" s="337">
        <v>44399</v>
      </c>
      <c r="C329" s="337"/>
      <c r="D329">
        <v>15824.05</v>
      </c>
      <c r="E329">
        <v>1598.8</v>
      </c>
      <c r="G329" s="338">
        <f t="shared" si="10"/>
        <v>1.2279220322285483E-2</v>
      </c>
      <c r="H329" s="338">
        <f t="shared" si="11"/>
        <v>1.4415511902949107E-2</v>
      </c>
    </row>
    <row r="330" spans="2:8" ht="14.25" customHeight="1" x14ac:dyDescent="0.35">
      <c r="B330" s="337">
        <v>44400</v>
      </c>
      <c r="C330" s="337"/>
      <c r="D330">
        <v>15856.05</v>
      </c>
      <c r="E330">
        <v>1599.2</v>
      </c>
      <c r="G330" s="338">
        <f t="shared" si="10"/>
        <v>2.0222383018253863E-3</v>
      </c>
      <c r="H330" s="338">
        <f t="shared" si="11"/>
        <v>2.5018764073060483E-4</v>
      </c>
    </row>
    <row r="331" spans="2:8" ht="14.25" customHeight="1" x14ac:dyDescent="0.35">
      <c r="B331" s="337">
        <v>44403</v>
      </c>
      <c r="C331" s="337"/>
      <c r="D331">
        <v>15824.45</v>
      </c>
      <c r="E331">
        <v>1573.5</v>
      </c>
      <c r="G331" s="338">
        <f t="shared" si="10"/>
        <v>-1.9929301433836638E-3</v>
      </c>
      <c r="H331" s="338">
        <f t="shared" si="11"/>
        <v>-1.6070535267633846E-2</v>
      </c>
    </row>
    <row r="332" spans="2:8" ht="14.25" customHeight="1" x14ac:dyDescent="0.35">
      <c r="B332" s="337">
        <v>44404</v>
      </c>
      <c r="C332" s="337"/>
      <c r="D332">
        <v>15746.45</v>
      </c>
      <c r="E332">
        <v>1621.13</v>
      </c>
      <c r="G332" s="338">
        <f t="shared" si="10"/>
        <v>-4.9290812634878306E-3</v>
      </c>
      <c r="H332" s="338">
        <f t="shared" si="11"/>
        <v>3.0270098506514211E-2</v>
      </c>
    </row>
    <row r="333" spans="2:8" ht="14.25" customHeight="1" x14ac:dyDescent="0.35">
      <c r="B333" s="337">
        <v>44405</v>
      </c>
      <c r="C333" s="337"/>
      <c r="D333">
        <v>15709.4</v>
      </c>
      <c r="E333">
        <v>1617.52</v>
      </c>
      <c r="G333" s="338">
        <f t="shared" si="10"/>
        <v>-2.3529112911164795E-3</v>
      </c>
      <c r="H333" s="338">
        <f t="shared" si="11"/>
        <v>-2.2268417708636119E-3</v>
      </c>
    </row>
    <row r="334" spans="2:8" ht="14.25" customHeight="1" x14ac:dyDescent="0.35">
      <c r="B334" s="337">
        <v>44406</v>
      </c>
      <c r="C334" s="337"/>
      <c r="D334">
        <v>15778.45</v>
      </c>
      <c r="E334">
        <v>1611.38</v>
      </c>
      <c r="G334" s="338">
        <f t="shared" si="10"/>
        <v>4.3954574967854342E-3</v>
      </c>
      <c r="H334" s="338">
        <f t="shared" si="11"/>
        <v>-3.7959345170383504E-3</v>
      </c>
    </row>
    <row r="335" spans="2:8" ht="14.25" customHeight="1" x14ac:dyDescent="0.35">
      <c r="B335" s="337">
        <v>44407</v>
      </c>
      <c r="C335" s="337"/>
      <c r="D335">
        <v>15763.05</v>
      </c>
      <c r="E335">
        <v>1688.07</v>
      </c>
      <c r="G335" s="338">
        <f t="shared" si="10"/>
        <v>-9.7601475430105335E-4</v>
      </c>
      <c r="H335" s="338">
        <f t="shared" si="11"/>
        <v>4.7592746589879373E-2</v>
      </c>
    </row>
    <row r="336" spans="2:8" ht="14.25" customHeight="1" x14ac:dyDescent="0.35">
      <c r="B336" s="337">
        <v>44410</v>
      </c>
      <c r="C336" s="337"/>
      <c r="D336">
        <v>15885.15</v>
      </c>
      <c r="E336">
        <v>1703.02</v>
      </c>
      <c r="G336" s="338">
        <f t="shared" si="10"/>
        <v>7.7459628688610624E-3</v>
      </c>
      <c r="H336" s="338">
        <f t="shared" si="11"/>
        <v>8.856267808799426E-3</v>
      </c>
    </row>
    <row r="337" spans="2:8" ht="14.25" customHeight="1" x14ac:dyDescent="0.35">
      <c r="B337" s="337">
        <v>44411</v>
      </c>
      <c r="C337" s="337"/>
      <c r="D337">
        <v>16130.75</v>
      </c>
      <c r="E337">
        <v>1711.59</v>
      </c>
      <c r="G337" s="338">
        <f t="shared" si="10"/>
        <v>1.5460980853186805E-2</v>
      </c>
      <c r="H337" s="338">
        <f t="shared" si="11"/>
        <v>5.0322368498314386E-3</v>
      </c>
    </row>
    <row r="338" spans="2:8" ht="14.25" customHeight="1" x14ac:dyDescent="0.35">
      <c r="B338" s="337">
        <v>44412</v>
      </c>
      <c r="C338" s="337"/>
      <c r="D338">
        <v>16258.8</v>
      </c>
      <c r="E338">
        <v>1751.99</v>
      </c>
      <c r="G338" s="338">
        <f t="shared" si="10"/>
        <v>7.9382545758876228E-3</v>
      </c>
      <c r="H338" s="338">
        <f t="shared" si="11"/>
        <v>2.3603783616403515E-2</v>
      </c>
    </row>
    <row r="339" spans="2:8" ht="14.25" customHeight="1" x14ac:dyDescent="0.35">
      <c r="B339" s="337">
        <v>44413</v>
      </c>
      <c r="C339" s="337"/>
      <c r="D339">
        <v>16294.6</v>
      </c>
      <c r="E339">
        <v>1759.81</v>
      </c>
      <c r="G339" s="338">
        <f t="shared" si="10"/>
        <v>2.201884517922669E-3</v>
      </c>
      <c r="H339" s="338">
        <f t="shared" si="11"/>
        <v>4.4634957962088459E-3</v>
      </c>
    </row>
    <row r="340" spans="2:8" ht="14.25" customHeight="1" x14ac:dyDescent="0.35">
      <c r="B340" s="337">
        <v>44414</v>
      </c>
      <c r="C340" s="337"/>
      <c r="D340">
        <v>16238.2</v>
      </c>
      <c r="E340">
        <v>1754.56</v>
      </c>
      <c r="G340" s="338">
        <f t="shared" si="10"/>
        <v>-3.46126937758519E-3</v>
      </c>
      <c r="H340" s="338">
        <f t="shared" si="11"/>
        <v>-2.9832766037242659E-3</v>
      </c>
    </row>
    <row r="341" spans="2:8" ht="14.25" customHeight="1" x14ac:dyDescent="0.35">
      <c r="B341" s="337">
        <v>44417</v>
      </c>
      <c r="C341" s="337"/>
      <c r="D341">
        <v>16258.25</v>
      </c>
      <c r="E341">
        <v>1757.88</v>
      </c>
      <c r="G341" s="338">
        <f t="shared" si="10"/>
        <v>1.2347427670554168E-3</v>
      </c>
      <c r="H341" s="338">
        <f t="shared" si="11"/>
        <v>1.8922122925406734E-3</v>
      </c>
    </row>
    <row r="342" spans="2:8" ht="14.25" customHeight="1" x14ac:dyDescent="0.35">
      <c r="B342" s="337">
        <v>44418</v>
      </c>
      <c r="C342" s="337"/>
      <c r="D342">
        <v>16280.1</v>
      </c>
      <c r="E342">
        <v>1684.75</v>
      </c>
      <c r="G342" s="338">
        <f t="shared" si="10"/>
        <v>1.3439330801285725E-3</v>
      </c>
      <c r="H342" s="338">
        <f t="shared" si="11"/>
        <v>-4.1601246956561373E-2</v>
      </c>
    </row>
    <row r="343" spans="2:8" ht="14.25" customHeight="1" x14ac:dyDescent="0.35">
      <c r="B343" s="337">
        <v>44419</v>
      </c>
      <c r="C343" s="337"/>
      <c r="D343">
        <v>16282.25</v>
      </c>
      <c r="E343">
        <v>1665.05</v>
      </c>
      <c r="G343" s="338">
        <f t="shared" si="10"/>
        <v>1.3206307086563573E-4</v>
      </c>
      <c r="H343" s="338">
        <f t="shared" si="11"/>
        <v>-1.1693129544442822E-2</v>
      </c>
    </row>
    <row r="344" spans="2:8" ht="14.25" customHeight="1" x14ac:dyDescent="0.35">
      <c r="B344" s="337">
        <v>44420</v>
      </c>
      <c r="C344" s="337"/>
      <c r="D344">
        <v>16364.4</v>
      </c>
      <c r="E344">
        <v>1708.71</v>
      </c>
      <c r="G344" s="338">
        <f t="shared" si="10"/>
        <v>5.045371493497498E-3</v>
      </c>
      <c r="H344" s="338">
        <f t="shared" si="11"/>
        <v>2.6221434791748044E-2</v>
      </c>
    </row>
    <row r="345" spans="2:8" ht="14.25" customHeight="1" x14ac:dyDescent="0.35">
      <c r="B345" s="337">
        <v>44421</v>
      </c>
      <c r="C345" s="337"/>
      <c r="D345">
        <v>16529.099999999999</v>
      </c>
      <c r="E345">
        <v>1742.78</v>
      </c>
      <c r="G345" s="338">
        <f t="shared" si="10"/>
        <v>1.0064530321918244E-2</v>
      </c>
      <c r="H345" s="338">
        <f t="shared" si="11"/>
        <v>1.9939018323764674E-2</v>
      </c>
    </row>
    <row r="346" spans="2:8" ht="14.25" customHeight="1" x14ac:dyDescent="0.35">
      <c r="B346" s="337">
        <v>44424</v>
      </c>
      <c r="C346" s="337"/>
      <c r="D346">
        <v>16563.05</v>
      </c>
      <c r="E346">
        <v>1717.18</v>
      </c>
      <c r="G346" s="338">
        <f t="shared" si="10"/>
        <v>2.0539533307924042E-3</v>
      </c>
      <c r="H346" s="338">
        <f t="shared" si="11"/>
        <v>-1.4689174766751918E-2</v>
      </c>
    </row>
    <row r="347" spans="2:8" ht="14.25" customHeight="1" x14ac:dyDescent="0.35">
      <c r="B347" s="337">
        <v>44425</v>
      </c>
      <c r="C347" s="337"/>
      <c r="D347">
        <v>16614.599999999999</v>
      </c>
      <c r="E347">
        <v>1685.15</v>
      </c>
      <c r="G347" s="338">
        <f t="shared" si="10"/>
        <v>3.1123494766965793E-3</v>
      </c>
      <c r="H347" s="338">
        <f t="shared" si="11"/>
        <v>-1.8652674734157149E-2</v>
      </c>
    </row>
    <row r="348" spans="2:8" ht="14.25" customHeight="1" x14ac:dyDescent="0.35">
      <c r="B348" s="337">
        <v>44426</v>
      </c>
      <c r="C348" s="337"/>
      <c r="D348">
        <v>16568.849999999999</v>
      </c>
      <c r="E348">
        <v>1686.04</v>
      </c>
      <c r="G348" s="338">
        <f t="shared" si="10"/>
        <v>-2.7536022534397461E-3</v>
      </c>
      <c r="H348" s="338">
        <f t="shared" si="11"/>
        <v>5.2814289529114482E-4</v>
      </c>
    </row>
    <row r="349" spans="2:8" ht="14.25" customHeight="1" x14ac:dyDescent="0.35">
      <c r="B349" s="337">
        <v>44428</v>
      </c>
      <c r="C349" s="337"/>
      <c r="D349">
        <v>16450.5</v>
      </c>
      <c r="E349">
        <v>1661.1</v>
      </c>
      <c r="G349" s="338">
        <f t="shared" si="10"/>
        <v>-7.1429218080916032E-3</v>
      </c>
      <c r="H349" s="338">
        <f t="shared" si="11"/>
        <v>-1.4792057127944803E-2</v>
      </c>
    </row>
    <row r="350" spans="2:8" ht="14.25" customHeight="1" x14ac:dyDescent="0.35">
      <c r="B350" s="337">
        <v>44431</v>
      </c>
      <c r="C350" s="337"/>
      <c r="D350">
        <v>16496.45</v>
      </c>
      <c r="E350">
        <v>1673.07</v>
      </c>
      <c r="G350" s="338">
        <f t="shared" si="10"/>
        <v>2.7932281693565987E-3</v>
      </c>
      <c r="H350" s="338">
        <f t="shared" si="11"/>
        <v>7.2060682680151877E-3</v>
      </c>
    </row>
    <row r="351" spans="2:8" ht="14.25" customHeight="1" x14ac:dyDescent="0.35">
      <c r="B351" s="337">
        <v>44432</v>
      </c>
      <c r="C351" s="337"/>
      <c r="D351">
        <v>16624.599999999999</v>
      </c>
      <c r="E351">
        <v>1695.88</v>
      </c>
      <c r="G351" s="338">
        <f t="shared" si="10"/>
        <v>7.7683380363652672E-3</v>
      </c>
      <c r="H351" s="338">
        <f t="shared" si="11"/>
        <v>1.3633619633368701E-2</v>
      </c>
    </row>
    <row r="352" spans="2:8" ht="14.25" customHeight="1" x14ac:dyDescent="0.35">
      <c r="B352" s="337">
        <v>44433</v>
      </c>
      <c r="C352" s="337"/>
      <c r="D352">
        <v>16634.650000000001</v>
      </c>
      <c r="E352">
        <v>1694.49</v>
      </c>
      <c r="G352" s="338">
        <f t="shared" si="10"/>
        <v>6.0452582317787565E-4</v>
      </c>
      <c r="H352" s="338">
        <f t="shared" si="11"/>
        <v>-8.1963346463199049E-4</v>
      </c>
    </row>
    <row r="353" spans="2:8" ht="14.25" customHeight="1" x14ac:dyDescent="0.35">
      <c r="B353" s="337">
        <v>44434</v>
      </c>
      <c r="C353" s="337"/>
      <c r="D353">
        <v>16636.900000000001</v>
      </c>
      <c r="E353">
        <v>1690.02</v>
      </c>
      <c r="G353" s="338">
        <f t="shared" si="10"/>
        <v>1.3525983414138559E-4</v>
      </c>
      <c r="H353" s="338">
        <f t="shared" si="11"/>
        <v>-2.6379618646318521E-3</v>
      </c>
    </row>
    <row r="354" spans="2:8" ht="14.25" customHeight="1" x14ac:dyDescent="0.35">
      <c r="B354" s="337">
        <v>44435</v>
      </c>
      <c r="C354" s="337"/>
      <c r="D354">
        <v>16705.2</v>
      </c>
      <c r="E354">
        <v>1713.37</v>
      </c>
      <c r="G354" s="338">
        <f t="shared" si="10"/>
        <v>4.1053321231719411E-3</v>
      </c>
      <c r="H354" s="338">
        <f t="shared" si="11"/>
        <v>1.3816404539591194E-2</v>
      </c>
    </row>
    <row r="355" spans="2:8" ht="14.25" customHeight="1" x14ac:dyDescent="0.35">
      <c r="B355" s="337">
        <v>44438</v>
      </c>
      <c r="C355" s="337"/>
      <c r="D355">
        <v>16931.05</v>
      </c>
      <c r="E355">
        <v>1736.47</v>
      </c>
      <c r="G355" s="338">
        <f t="shared" si="10"/>
        <v>1.3519742355673594E-2</v>
      </c>
      <c r="H355" s="338">
        <f t="shared" si="11"/>
        <v>1.3482201742764341E-2</v>
      </c>
    </row>
    <row r="356" spans="2:8" ht="14.25" customHeight="1" x14ac:dyDescent="0.35">
      <c r="B356" s="337">
        <v>44439</v>
      </c>
      <c r="C356" s="337"/>
      <c r="D356">
        <v>17132.2</v>
      </c>
      <c r="E356">
        <v>1738.41</v>
      </c>
      <c r="G356" s="338">
        <f t="shared" si="10"/>
        <v>1.1880539009689385E-2</v>
      </c>
      <c r="H356" s="338">
        <f t="shared" si="11"/>
        <v>1.1172090505451027E-3</v>
      </c>
    </row>
    <row r="357" spans="2:8" ht="14.25" customHeight="1" x14ac:dyDescent="0.35">
      <c r="B357" s="337">
        <v>44440</v>
      </c>
      <c r="C357" s="337"/>
      <c r="D357">
        <v>17076.25</v>
      </c>
      <c r="E357">
        <v>1738.91</v>
      </c>
      <c r="G357" s="338">
        <f t="shared" si="10"/>
        <v>-3.2657802267076455E-3</v>
      </c>
      <c r="H357" s="338">
        <f t="shared" si="11"/>
        <v>2.8761914623132634E-4</v>
      </c>
    </row>
    <row r="358" spans="2:8" ht="14.25" customHeight="1" x14ac:dyDescent="0.35">
      <c r="B358" s="337">
        <v>44441</v>
      </c>
      <c r="C358" s="337"/>
      <c r="D358">
        <v>17234.150000000001</v>
      </c>
      <c r="E358">
        <v>1744.52</v>
      </c>
      <c r="G358" s="338">
        <f t="shared" si="10"/>
        <v>9.246760852060696E-3</v>
      </c>
      <c r="H358" s="338">
        <f t="shared" si="11"/>
        <v>3.2261589156425E-3</v>
      </c>
    </row>
    <row r="359" spans="2:8" ht="14.25" customHeight="1" x14ac:dyDescent="0.35">
      <c r="B359" s="337">
        <v>44442</v>
      </c>
      <c r="C359" s="337"/>
      <c r="D359">
        <v>17323.599999999999</v>
      </c>
      <c r="E359">
        <v>1757.24</v>
      </c>
      <c r="G359" s="338">
        <f t="shared" si="10"/>
        <v>5.1902762828452279E-3</v>
      </c>
      <c r="H359" s="338">
        <f t="shared" si="11"/>
        <v>7.2914039391924583E-3</v>
      </c>
    </row>
    <row r="360" spans="2:8" ht="14.25" customHeight="1" x14ac:dyDescent="0.35">
      <c r="B360" s="337">
        <v>44445</v>
      </c>
      <c r="C360" s="337"/>
      <c r="D360">
        <v>17377.8</v>
      </c>
      <c r="E360">
        <v>1747.4</v>
      </c>
      <c r="G360" s="338">
        <f t="shared" si="10"/>
        <v>3.1286799510494775E-3</v>
      </c>
      <c r="H360" s="338">
        <f t="shared" si="11"/>
        <v>-5.5996904236188102E-3</v>
      </c>
    </row>
    <row r="361" spans="2:8" ht="14.25" customHeight="1" x14ac:dyDescent="0.35">
      <c r="B361" s="337">
        <v>44446</v>
      </c>
      <c r="C361" s="337"/>
      <c r="D361">
        <v>17362.099999999999</v>
      </c>
      <c r="E361">
        <v>1720.08</v>
      </c>
      <c r="G361" s="338">
        <f t="shared" si="10"/>
        <v>-9.034515301131747E-4</v>
      </c>
      <c r="H361" s="338">
        <f t="shared" si="11"/>
        <v>-1.5634657204990365E-2</v>
      </c>
    </row>
    <row r="362" spans="2:8" ht="14.25" customHeight="1" x14ac:dyDescent="0.35">
      <c r="B362" s="337">
        <v>44447</v>
      </c>
      <c r="C362" s="337"/>
      <c r="D362">
        <v>17353.5</v>
      </c>
      <c r="E362">
        <v>1732.35</v>
      </c>
      <c r="G362" s="338">
        <f t="shared" si="10"/>
        <v>-4.9533178590139128E-4</v>
      </c>
      <c r="H362" s="338">
        <f t="shared" si="11"/>
        <v>7.1333891446909341E-3</v>
      </c>
    </row>
    <row r="363" spans="2:8" ht="14.25" customHeight="1" x14ac:dyDescent="0.35">
      <c r="B363" s="337">
        <v>44448</v>
      </c>
      <c r="C363" s="337"/>
      <c r="D363">
        <v>17369.25</v>
      </c>
      <c r="E363">
        <v>1777.46</v>
      </c>
      <c r="G363" s="338">
        <f t="shared" si="10"/>
        <v>9.0759789091537728E-4</v>
      </c>
      <c r="H363" s="338">
        <f t="shared" si="11"/>
        <v>2.6039772563281167E-2</v>
      </c>
    </row>
    <row r="364" spans="2:8" ht="14.25" customHeight="1" x14ac:dyDescent="0.35">
      <c r="B364" s="337">
        <v>44452</v>
      </c>
      <c r="C364" s="337"/>
      <c r="D364">
        <v>17355.3</v>
      </c>
      <c r="E364">
        <v>1794.35</v>
      </c>
      <c r="G364" s="338">
        <f t="shared" si="10"/>
        <v>-8.0314348633364868E-4</v>
      </c>
      <c r="H364" s="338">
        <f t="shared" si="11"/>
        <v>9.5023235403327629E-3</v>
      </c>
    </row>
    <row r="365" spans="2:8" ht="14.25" customHeight="1" x14ac:dyDescent="0.35">
      <c r="B365" s="337">
        <v>44453</v>
      </c>
      <c r="C365" s="337"/>
      <c r="D365">
        <v>17380</v>
      </c>
      <c r="E365">
        <v>1975.01</v>
      </c>
      <c r="G365" s="338">
        <f t="shared" si="10"/>
        <v>1.4231963722897748E-3</v>
      </c>
      <c r="H365" s="338">
        <f t="shared" si="11"/>
        <v>0.10068269847019817</v>
      </c>
    </row>
    <row r="366" spans="2:8" ht="14.25" customHeight="1" x14ac:dyDescent="0.35">
      <c r="B366" s="337">
        <v>44454</v>
      </c>
      <c r="C366" s="337"/>
      <c r="D366">
        <v>17519.45</v>
      </c>
      <c r="E366">
        <v>1974.46</v>
      </c>
      <c r="G366" s="338">
        <f t="shared" si="10"/>
        <v>8.0235903337169574E-3</v>
      </c>
      <c r="H366" s="338">
        <f t="shared" si="11"/>
        <v>-2.7847960263490036E-4</v>
      </c>
    </row>
    <row r="367" spans="2:8" ht="14.25" customHeight="1" x14ac:dyDescent="0.35">
      <c r="B367" s="337">
        <v>44455</v>
      </c>
      <c r="C367" s="337"/>
      <c r="D367">
        <v>17629.5</v>
      </c>
      <c r="E367">
        <v>1950.86</v>
      </c>
      <c r="G367" s="338">
        <f t="shared" si="10"/>
        <v>6.2815898900935403E-3</v>
      </c>
      <c r="H367" s="338">
        <f t="shared" si="11"/>
        <v>-1.1952635150876764E-2</v>
      </c>
    </row>
    <row r="368" spans="2:8" ht="14.25" customHeight="1" x14ac:dyDescent="0.35">
      <c r="B368" s="337">
        <v>44456</v>
      </c>
      <c r="C368" s="337"/>
      <c r="D368">
        <v>17585.150000000001</v>
      </c>
      <c r="E368">
        <v>1966.61</v>
      </c>
      <c r="G368" s="338">
        <f t="shared" si="10"/>
        <v>-2.5156697580758698E-3</v>
      </c>
      <c r="H368" s="338">
        <f t="shared" si="11"/>
        <v>8.073362517043766E-3</v>
      </c>
    </row>
    <row r="369" spans="2:8" ht="14.25" customHeight="1" x14ac:dyDescent="0.35">
      <c r="B369" s="337">
        <v>44459</v>
      </c>
      <c r="C369" s="337"/>
      <c r="D369">
        <v>17396.900000000001</v>
      </c>
      <c r="E369">
        <v>1915.88</v>
      </c>
      <c r="G369" s="338">
        <f t="shared" si="10"/>
        <v>-1.0705055117528142E-2</v>
      </c>
      <c r="H369" s="338">
        <f t="shared" si="11"/>
        <v>-2.5795658518974172E-2</v>
      </c>
    </row>
    <row r="370" spans="2:8" ht="14.25" customHeight="1" x14ac:dyDescent="0.35">
      <c r="B370" s="337">
        <v>44460</v>
      </c>
      <c r="C370" s="337"/>
      <c r="D370">
        <v>17562</v>
      </c>
      <c r="E370">
        <v>1940.43</v>
      </c>
      <c r="G370" s="338">
        <f t="shared" si="10"/>
        <v>9.4901965292666247E-3</v>
      </c>
      <c r="H370" s="338">
        <f t="shared" si="11"/>
        <v>1.2813954944986092E-2</v>
      </c>
    </row>
    <row r="371" spans="2:8" ht="14.25" customHeight="1" x14ac:dyDescent="0.35">
      <c r="B371" s="337">
        <v>44461</v>
      </c>
      <c r="C371" s="337"/>
      <c r="D371">
        <v>17546.650000000001</v>
      </c>
      <c r="E371">
        <v>1965.87</v>
      </c>
      <c r="G371" s="338">
        <f t="shared" si="10"/>
        <v>-8.7404623619169485E-4</v>
      </c>
      <c r="H371" s="338">
        <f t="shared" si="11"/>
        <v>1.3110496127146987E-2</v>
      </c>
    </row>
    <row r="372" spans="2:8" ht="14.25" customHeight="1" x14ac:dyDescent="0.35">
      <c r="B372" s="337">
        <v>44462</v>
      </c>
      <c r="C372" s="337"/>
      <c r="D372">
        <v>17822.95</v>
      </c>
      <c r="E372">
        <v>1987.28</v>
      </c>
      <c r="G372" s="338">
        <f t="shared" si="10"/>
        <v>1.5746595503985047E-2</v>
      </c>
      <c r="H372" s="338">
        <f t="shared" si="11"/>
        <v>1.0890852396140174E-2</v>
      </c>
    </row>
    <row r="373" spans="2:8" ht="14.25" customHeight="1" x14ac:dyDescent="0.35">
      <c r="B373" s="337">
        <v>44463</v>
      </c>
      <c r="C373" s="337"/>
      <c r="D373">
        <v>17853.2</v>
      </c>
      <c r="E373">
        <v>1996.77</v>
      </c>
      <c r="G373" s="338">
        <f t="shared" si="10"/>
        <v>1.6972498940972173E-3</v>
      </c>
      <c r="H373" s="338">
        <f t="shared" si="11"/>
        <v>4.7753713618614432E-3</v>
      </c>
    </row>
    <row r="374" spans="2:8" ht="14.25" customHeight="1" x14ac:dyDescent="0.35">
      <c r="B374" s="337">
        <v>44466</v>
      </c>
      <c r="C374" s="337"/>
      <c r="D374">
        <v>17855.099999999999</v>
      </c>
      <c r="E374">
        <v>1994.33</v>
      </c>
      <c r="G374" s="338">
        <f t="shared" si="10"/>
        <v>1.0642349830830423E-4</v>
      </c>
      <c r="H374" s="338">
        <f t="shared" si="11"/>
        <v>-1.221973487181826E-3</v>
      </c>
    </row>
    <row r="375" spans="2:8" ht="14.25" customHeight="1" x14ac:dyDescent="0.35">
      <c r="B375" s="337">
        <v>44467</v>
      </c>
      <c r="C375" s="337"/>
      <c r="D375">
        <v>17748.599999999999</v>
      </c>
      <c r="E375">
        <v>1983.7</v>
      </c>
      <c r="G375" s="338">
        <f t="shared" si="10"/>
        <v>-5.9646823596619459E-3</v>
      </c>
      <c r="H375" s="338">
        <f t="shared" si="11"/>
        <v>-5.330110864300232E-3</v>
      </c>
    </row>
    <row r="376" spans="2:8" ht="14.25" customHeight="1" x14ac:dyDescent="0.35">
      <c r="B376" s="337">
        <v>44468</v>
      </c>
      <c r="C376" s="337"/>
      <c r="D376">
        <v>17711.3</v>
      </c>
      <c r="E376">
        <v>2002.28</v>
      </c>
      <c r="G376" s="338">
        <f t="shared" si="10"/>
        <v>-2.1015742086699387E-3</v>
      </c>
      <c r="H376" s="338">
        <f t="shared" si="11"/>
        <v>9.3663356354287079E-3</v>
      </c>
    </row>
    <row r="377" spans="2:8" ht="14.25" customHeight="1" x14ac:dyDescent="0.35">
      <c r="B377" s="337">
        <v>44469</v>
      </c>
      <c r="C377" s="337"/>
      <c r="D377">
        <v>17618.150000000001</v>
      </c>
      <c r="E377">
        <v>2104.9299999999998</v>
      </c>
      <c r="G377" s="338">
        <f t="shared" si="10"/>
        <v>-5.2593541976025376E-3</v>
      </c>
      <c r="H377" s="338">
        <f t="shared" si="11"/>
        <v>5.1266556126016272E-2</v>
      </c>
    </row>
    <row r="378" spans="2:8" ht="14.25" customHeight="1" x14ac:dyDescent="0.35">
      <c r="B378" s="337">
        <v>44470</v>
      </c>
      <c r="C378" s="337"/>
      <c r="D378">
        <v>17532.05</v>
      </c>
      <c r="E378">
        <v>2153.2199999999998</v>
      </c>
      <c r="G378" s="338">
        <f t="shared" si="10"/>
        <v>-4.8870057298866327E-3</v>
      </c>
      <c r="H378" s="338">
        <f t="shared" si="11"/>
        <v>2.2941380473459911E-2</v>
      </c>
    </row>
    <row r="379" spans="2:8" ht="14.25" customHeight="1" x14ac:dyDescent="0.35">
      <c r="B379" s="337">
        <v>44473</v>
      </c>
      <c r="C379" s="337"/>
      <c r="D379">
        <v>17691.25</v>
      </c>
      <c r="E379">
        <v>2403.4899999999998</v>
      </c>
      <c r="G379" s="338">
        <f t="shared" si="10"/>
        <v>9.0805125470210697E-3</v>
      </c>
      <c r="H379" s="338">
        <f t="shared" si="11"/>
        <v>0.11623057560305032</v>
      </c>
    </row>
    <row r="380" spans="2:8" ht="14.25" customHeight="1" x14ac:dyDescent="0.35">
      <c r="B380" s="337">
        <v>44474</v>
      </c>
      <c r="C380" s="337"/>
      <c r="D380">
        <v>17822.3</v>
      </c>
      <c r="E380">
        <v>2388.83</v>
      </c>
      <c r="G380" s="338">
        <f t="shared" si="10"/>
        <v>7.4076167596975493E-3</v>
      </c>
      <c r="H380" s="338">
        <f t="shared" si="11"/>
        <v>-6.0994636965412199E-3</v>
      </c>
    </row>
    <row r="381" spans="2:8" ht="14.25" customHeight="1" x14ac:dyDescent="0.35">
      <c r="B381" s="337">
        <v>44475</v>
      </c>
      <c r="C381" s="337"/>
      <c r="D381">
        <v>17646</v>
      </c>
      <c r="E381">
        <v>2318.5700000000002</v>
      </c>
      <c r="G381" s="338">
        <f t="shared" si="10"/>
        <v>-9.8921014683850724E-3</v>
      </c>
      <c r="H381" s="338">
        <f t="shared" si="11"/>
        <v>-2.9411887827932404E-2</v>
      </c>
    </row>
    <row r="382" spans="2:8" ht="14.25" customHeight="1" x14ac:dyDescent="0.35">
      <c r="B382" s="337">
        <v>44476</v>
      </c>
      <c r="C382" s="337"/>
      <c r="D382">
        <v>17790.349999999999</v>
      </c>
      <c r="E382">
        <v>2306.65</v>
      </c>
      <c r="G382" s="338">
        <f t="shared" si="10"/>
        <v>8.1803241527824179E-3</v>
      </c>
      <c r="H382" s="338">
        <f t="shared" si="11"/>
        <v>-5.1410999020948568E-3</v>
      </c>
    </row>
    <row r="383" spans="2:8" ht="14.25" customHeight="1" x14ac:dyDescent="0.35">
      <c r="B383" s="337">
        <v>44477</v>
      </c>
      <c r="C383" s="337"/>
      <c r="D383">
        <v>17895.2</v>
      </c>
      <c r="E383">
        <v>2398.2199999999998</v>
      </c>
      <c r="G383" s="338">
        <f t="shared" si="10"/>
        <v>5.8936445882178928E-3</v>
      </c>
      <c r="H383" s="338">
        <f t="shared" si="11"/>
        <v>3.9698263715778163E-2</v>
      </c>
    </row>
    <row r="384" spans="2:8" ht="14.25" customHeight="1" x14ac:dyDescent="0.35">
      <c r="B384" s="337">
        <v>44480</v>
      </c>
      <c r="C384" s="337"/>
      <c r="D384">
        <v>17945.95</v>
      </c>
      <c r="E384">
        <v>2481.4899999999998</v>
      </c>
      <c r="G384" s="338">
        <f t="shared" si="10"/>
        <v>2.8359560105503151E-3</v>
      </c>
      <c r="H384" s="338">
        <f t="shared" si="11"/>
        <v>3.4721585175671955E-2</v>
      </c>
    </row>
    <row r="385" spans="2:8" ht="14.25" customHeight="1" x14ac:dyDescent="0.35">
      <c r="B385" s="337">
        <v>44481</v>
      </c>
      <c r="C385" s="337"/>
      <c r="D385">
        <v>17991.95</v>
      </c>
      <c r="E385">
        <v>2513.9299999999998</v>
      </c>
      <c r="G385" s="338">
        <f t="shared" si="10"/>
        <v>2.5632524330002032E-3</v>
      </c>
      <c r="H385" s="338">
        <f t="shared" si="11"/>
        <v>1.3072790944150514E-2</v>
      </c>
    </row>
    <row r="386" spans="2:8" ht="14.25" customHeight="1" x14ac:dyDescent="0.35">
      <c r="B386" s="337">
        <v>44482</v>
      </c>
      <c r="C386" s="337"/>
      <c r="D386">
        <v>18161.75</v>
      </c>
      <c r="E386">
        <v>2522.13</v>
      </c>
      <c r="G386" s="338">
        <f t="shared" si="10"/>
        <v>9.4375540172132125E-3</v>
      </c>
      <c r="H386" s="338">
        <f t="shared" si="11"/>
        <v>3.2618251104844899E-3</v>
      </c>
    </row>
    <row r="387" spans="2:8" ht="14.25" customHeight="1" x14ac:dyDescent="0.35">
      <c r="B387" s="337">
        <v>44483</v>
      </c>
      <c r="C387" s="337"/>
      <c r="D387">
        <v>18338.55</v>
      </c>
      <c r="E387">
        <v>2516.4699999999998</v>
      </c>
      <c r="G387" s="338">
        <f t="shared" si="10"/>
        <v>9.7347447244896159E-3</v>
      </c>
      <c r="H387" s="338">
        <f t="shared" si="11"/>
        <v>-2.2441349177085672E-3</v>
      </c>
    </row>
    <row r="388" spans="2:8" ht="14.25" customHeight="1" x14ac:dyDescent="0.35">
      <c r="B388" s="337">
        <v>44487</v>
      </c>
      <c r="C388" s="337"/>
      <c r="D388">
        <v>18477.05</v>
      </c>
      <c r="E388">
        <v>2680.33</v>
      </c>
      <c r="G388" s="338">
        <f t="shared" si="10"/>
        <v>7.5523964544634125E-3</v>
      </c>
      <c r="H388" s="338">
        <f t="shared" si="11"/>
        <v>6.5115022233525596E-2</v>
      </c>
    </row>
    <row r="389" spans="2:8" ht="14.25" customHeight="1" x14ac:dyDescent="0.35">
      <c r="B389" s="337">
        <v>44488</v>
      </c>
      <c r="C389" s="337"/>
      <c r="D389">
        <v>18418.75</v>
      </c>
      <c r="E389">
        <v>2698.02</v>
      </c>
      <c r="G389" s="338">
        <f t="shared" si="10"/>
        <v>-3.1552655862271996E-3</v>
      </c>
      <c r="H389" s="338">
        <f t="shared" si="11"/>
        <v>6.5999335902668906E-3</v>
      </c>
    </row>
    <row r="390" spans="2:8" ht="14.25" customHeight="1" x14ac:dyDescent="0.35">
      <c r="B390" s="337">
        <v>44489</v>
      </c>
      <c r="C390" s="337"/>
      <c r="D390">
        <v>18266.599999999999</v>
      </c>
      <c r="E390">
        <v>2568.79</v>
      </c>
      <c r="G390" s="338">
        <f t="shared" si="10"/>
        <v>-8.2606040040720165E-3</v>
      </c>
      <c r="H390" s="338">
        <f t="shared" si="11"/>
        <v>-4.7898088227663255E-2</v>
      </c>
    </row>
    <row r="391" spans="2:8" ht="14.25" customHeight="1" x14ac:dyDescent="0.35">
      <c r="B391" s="337">
        <v>44490</v>
      </c>
      <c r="C391" s="337"/>
      <c r="D391">
        <v>18178.099999999999</v>
      </c>
      <c r="E391">
        <v>2487.15</v>
      </c>
      <c r="G391" s="338">
        <f t="shared" ref="G391:G454" si="12">(D391-D390)/D390</f>
        <v>-4.8449081930955953E-3</v>
      </c>
      <c r="H391" s="338">
        <f t="shared" ref="H391:H454" si="13">(E391-E390)/E390</f>
        <v>-3.1781500239412279E-2</v>
      </c>
    </row>
    <row r="392" spans="2:8" ht="14.25" customHeight="1" x14ac:dyDescent="0.35">
      <c r="B392" s="337">
        <v>44491</v>
      </c>
      <c r="C392" s="337"/>
      <c r="D392">
        <v>18114.900000000001</v>
      </c>
      <c r="E392">
        <v>2194.5100000000002</v>
      </c>
      <c r="G392" s="338">
        <f t="shared" si="12"/>
        <v>-3.4767109873967629E-3</v>
      </c>
      <c r="H392" s="338">
        <f t="shared" si="13"/>
        <v>-0.11766077639064787</v>
      </c>
    </row>
    <row r="393" spans="2:8" ht="14.25" customHeight="1" x14ac:dyDescent="0.35">
      <c r="B393" s="337">
        <v>44494</v>
      </c>
      <c r="C393" s="337"/>
      <c r="D393">
        <v>18125.400000000001</v>
      </c>
      <c r="E393">
        <v>2323.1</v>
      </c>
      <c r="G393" s="338">
        <f t="shared" si="12"/>
        <v>5.7963334050974602E-4</v>
      </c>
      <c r="H393" s="338">
        <f t="shared" si="13"/>
        <v>5.8596224214061306E-2</v>
      </c>
    </row>
    <row r="394" spans="2:8" ht="14.25" customHeight="1" x14ac:dyDescent="0.35">
      <c r="B394" s="337">
        <v>44495</v>
      </c>
      <c r="C394" s="337"/>
      <c r="D394">
        <v>18268.400000000001</v>
      </c>
      <c r="E394">
        <v>2433.79</v>
      </c>
      <c r="G394" s="338">
        <f t="shared" si="12"/>
        <v>7.8894810597283371E-3</v>
      </c>
      <c r="H394" s="338">
        <f t="shared" si="13"/>
        <v>4.764753992510011E-2</v>
      </c>
    </row>
    <row r="395" spans="2:8" ht="14.25" customHeight="1" x14ac:dyDescent="0.35">
      <c r="B395" s="337">
        <v>44496</v>
      </c>
      <c r="C395" s="337"/>
      <c r="D395">
        <v>18210.95</v>
      </c>
      <c r="E395">
        <v>2522.63</v>
      </c>
      <c r="G395" s="338">
        <f t="shared" si="12"/>
        <v>-3.1447745834337283E-3</v>
      </c>
      <c r="H395" s="338">
        <f t="shared" si="13"/>
        <v>3.6502738527153182E-2</v>
      </c>
    </row>
    <row r="396" spans="2:8" ht="14.25" customHeight="1" x14ac:dyDescent="0.35">
      <c r="B396" s="337">
        <v>44497</v>
      </c>
      <c r="C396" s="337"/>
      <c r="D396">
        <v>17857.25</v>
      </c>
      <c r="E396">
        <v>2482.83</v>
      </c>
      <c r="G396" s="338">
        <f t="shared" si="12"/>
        <v>-1.9422380490858562E-2</v>
      </c>
      <c r="H396" s="338">
        <f t="shared" si="13"/>
        <v>-1.5777184922085356E-2</v>
      </c>
    </row>
    <row r="397" spans="2:8" ht="14.25" customHeight="1" x14ac:dyDescent="0.35">
      <c r="B397" s="337">
        <v>44498</v>
      </c>
      <c r="C397" s="337"/>
      <c r="D397">
        <v>17671.650000000001</v>
      </c>
      <c r="E397">
        <v>2471.35</v>
      </c>
      <c r="G397" s="338">
        <f t="shared" si="12"/>
        <v>-1.0393537638774085E-2</v>
      </c>
      <c r="H397" s="338">
        <f t="shared" si="13"/>
        <v>-4.6237559559051643E-3</v>
      </c>
    </row>
    <row r="398" spans="2:8" ht="14.25" customHeight="1" x14ac:dyDescent="0.35">
      <c r="B398" s="337">
        <v>44501</v>
      </c>
      <c r="C398" s="337"/>
      <c r="D398">
        <v>17929.650000000001</v>
      </c>
      <c r="E398">
        <v>2402.69</v>
      </c>
      <c r="G398" s="338">
        <f t="shared" si="12"/>
        <v>1.4599655380227651E-2</v>
      </c>
      <c r="H398" s="338">
        <f t="shared" si="13"/>
        <v>-2.7782386145224214E-2</v>
      </c>
    </row>
    <row r="399" spans="2:8" ht="14.25" customHeight="1" x14ac:dyDescent="0.35">
      <c r="B399" s="337">
        <v>44502</v>
      </c>
      <c r="C399" s="337"/>
      <c r="D399">
        <v>17888.95</v>
      </c>
      <c r="E399">
        <v>2378.1</v>
      </c>
      <c r="G399" s="338">
        <f t="shared" si="12"/>
        <v>-2.2699829611844474E-3</v>
      </c>
      <c r="H399" s="338">
        <f t="shared" si="13"/>
        <v>-1.0234362318900958E-2</v>
      </c>
    </row>
    <row r="400" spans="2:8" ht="14.25" customHeight="1" x14ac:dyDescent="0.35">
      <c r="B400" s="337">
        <v>44503</v>
      </c>
      <c r="C400" s="337"/>
      <c r="D400">
        <v>17829.2</v>
      </c>
      <c r="E400">
        <v>2255.9699999999998</v>
      </c>
      <c r="G400" s="338">
        <f t="shared" si="12"/>
        <v>-3.3400507016901494E-3</v>
      </c>
      <c r="H400" s="338">
        <f t="shared" si="13"/>
        <v>-5.1356124637315551E-2</v>
      </c>
    </row>
    <row r="401" spans="2:8" ht="14.25" customHeight="1" x14ac:dyDescent="0.35">
      <c r="B401" s="337">
        <v>44504</v>
      </c>
      <c r="C401" s="337"/>
      <c r="D401">
        <v>17916.8</v>
      </c>
      <c r="E401">
        <v>2309.73</v>
      </c>
      <c r="G401" s="338">
        <f t="shared" si="12"/>
        <v>4.9132883135529657E-3</v>
      </c>
      <c r="H401" s="338">
        <f t="shared" si="13"/>
        <v>2.3830104123725149E-2</v>
      </c>
    </row>
    <row r="402" spans="2:8" ht="14.25" customHeight="1" x14ac:dyDescent="0.35">
      <c r="B402" s="337">
        <v>44508</v>
      </c>
      <c r="C402" s="337"/>
      <c r="D402">
        <v>18068.55</v>
      </c>
      <c r="E402">
        <v>2467.58</v>
      </c>
      <c r="G402" s="338">
        <f t="shared" si="12"/>
        <v>8.4697044115020544E-3</v>
      </c>
      <c r="H402" s="338">
        <f t="shared" si="13"/>
        <v>6.8341321279976414E-2</v>
      </c>
    </row>
    <row r="403" spans="2:8" ht="14.25" customHeight="1" x14ac:dyDescent="0.35">
      <c r="B403" s="337">
        <v>44509</v>
      </c>
      <c r="C403" s="337"/>
      <c r="D403">
        <v>18044.25</v>
      </c>
      <c r="E403">
        <v>2493.17</v>
      </c>
      <c r="G403" s="338">
        <f t="shared" si="12"/>
        <v>-1.3448782553109836E-3</v>
      </c>
      <c r="H403" s="338">
        <f t="shared" si="13"/>
        <v>1.0370484442247118E-2</v>
      </c>
    </row>
    <row r="404" spans="2:8" ht="14.25" customHeight="1" x14ac:dyDescent="0.35">
      <c r="B404" s="337">
        <v>44510</v>
      </c>
      <c r="C404" s="337"/>
      <c r="D404">
        <v>18017.2</v>
      </c>
      <c r="E404">
        <v>2487.9</v>
      </c>
      <c r="G404" s="338">
        <f t="shared" si="12"/>
        <v>-1.4990925086938649E-3</v>
      </c>
      <c r="H404" s="338">
        <f t="shared" si="13"/>
        <v>-2.1137748328433205E-3</v>
      </c>
    </row>
    <row r="405" spans="2:8" ht="14.25" customHeight="1" x14ac:dyDescent="0.35">
      <c r="B405" s="337">
        <v>44511</v>
      </c>
      <c r="C405" s="337"/>
      <c r="D405">
        <v>17873.599999999999</v>
      </c>
      <c r="E405">
        <v>2515.77</v>
      </c>
      <c r="G405" s="338">
        <f t="shared" si="12"/>
        <v>-7.9701618453478992E-3</v>
      </c>
      <c r="H405" s="338">
        <f t="shared" si="13"/>
        <v>1.120221873869524E-2</v>
      </c>
    </row>
    <row r="406" spans="2:8" ht="14.25" customHeight="1" x14ac:dyDescent="0.35">
      <c r="B406" s="337">
        <v>44512</v>
      </c>
      <c r="C406" s="337"/>
      <c r="D406">
        <v>18102.75</v>
      </c>
      <c r="E406">
        <v>2559.69</v>
      </c>
      <c r="G406" s="338">
        <f t="shared" si="12"/>
        <v>1.2820584549279467E-2</v>
      </c>
      <c r="H406" s="338">
        <f t="shared" si="13"/>
        <v>1.7457875719958531E-2</v>
      </c>
    </row>
    <row r="407" spans="2:8" ht="14.25" customHeight="1" x14ac:dyDescent="0.35">
      <c r="B407" s="337">
        <v>44515</v>
      </c>
      <c r="C407" s="337"/>
      <c r="D407">
        <v>18109.45</v>
      </c>
      <c r="E407">
        <v>2671.63</v>
      </c>
      <c r="G407" s="338">
        <f t="shared" si="12"/>
        <v>3.7010951374795144E-4</v>
      </c>
      <c r="H407" s="338">
        <f t="shared" si="13"/>
        <v>4.373185815469844E-2</v>
      </c>
    </row>
    <row r="408" spans="2:8" ht="14.25" customHeight="1" x14ac:dyDescent="0.35">
      <c r="B408" s="337">
        <v>44516</v>
      </c>
      <c r="C408" s="337"/>
      <c r="D408">
        <v>17999.2</v>
      </c>
      <c r="E408">
        <v>2666.86</v>
      </c>
      <c r="G408" s="338">
        <f t="shared" si="12"/>
        <v>-6.0879816891181125E-3</v>
      </c>
      <c r="H408" s="338">
        <f t="shared" si="13"/>
        <v>-1.7854268742303319E-3</v>
      </c>
    </row>
    <row r="409" spans="2:8" ht="14.25" customHeight="1" x14ac:dyDescent="0.35">
      <c r="B409" s="337">
        <v>44517</v>
      </c>
      <c r="C409" s="337"/>
      <c r="D409">
        <v>17898.650000000001</v>
      </c>
      <c r="E409">
        <v>2714.36</v>
      </c>
      <c r="G409" s="338">
        <f t="shared" si="12"/>
        <v>-5.5863593937507923E-3</v>
      </c>
      <c r="H409" s="338">
        <f t="shared" si="13"/>
        <v>1.7811208687370166E-2</v>
      </c>
    </row>
    <row r="410" spans="2:8" ht="14.25" customHeight="1" x14ac:dyDescent="0.35">
      <c r="B410" s="337">
        <v>44518</v>
      </c>
      <c r="C410" s="337"/>
      <c r="D410">
        <v>17764.8</v>
      </c>
      <c r="E410">
        <v>2759.57</v>
      </c>
      <c r="G410" s="338">
        <f t="shared" si="12"/>
        <v>-7.4782176309387679E-3</v>
      </c>
      <c r="H410" s="338">
        <f t="shared" si="13"/>
        <v>1.6655859944885731E-2</v>
      </c>
    </row>
    <row r="411" spans="2:8" ht="14.25" customHeight="1" x14ac:dyDescent="0.35">
      <c r="B411" s="337">
        <v>44522</v>
      </c>
      <c r="C411" s="337"/>
      <c r="D411">
        <v>17416.55</v>
      </c>
      <c r="E411">
        <v>2783.62</v>
      </c>
      <c r="G411" s="338">
        <f t="shared" si="12"/>
        <v>-1.9603372962262451E-2</v>
      </c>
      <c r="H411" s="338">
        <f t="shared" si="13"/>
        <v>8.7151259072970524E-3</v>
      </c>
    </row>
    <row r="412" spans="2:8" ht="14.25" customHeight="1" x14ac:dyDescent="0.35">
      <c r="B412" s="337">
        <v>44523</v>
      </c>
      <c r="C412" s="337"/>
      <c r="D412">
        <v>17503.349999999999</v>
      </c>
      <c r="E412">
        <v>2843.34</v>
      </c>
      <c r="G412" s="338">
        <f t="shared" si="12"/>
        <v>4.9837654414909543E-3</v>
      </c>
      <c r="H412" s="338">
        <f t="shared" si="13"/>
        <v>2.1454077783605613E-2</v>
      </c>
    </row>
    <row r="413" spans="2:8" ht="14.25" customHeight="1" x14ac:dyDescent="0.35">
      <c r="B413" s="337">
        <v>44524</v>
      </c>
      <c r="C413" s="337"/>
      <c r="D413">
        <v>17415.05</v>
      </c>
      <c r="E413">
        <v>2822.62</v>
      </c>
      <c r="G413" s="338">
        <f t="shared" si="12"/>
        <v>-5.0447485767009907E-3</v>
      </c>
      <c r="H413" s="338">
        <f t="shared" si="13"/>
        <v>-7.2872044848664788E-3</v>
      </c>
    </row>
    <row r="414" spans="2:8" ht="14.25" customHeight="1" x14ac:dyDescent="0.35">
      <c r="B414" s="337">
        <v>44525</v>
      </c>
      <c r="C414" s="337"/>
      <c r="D414">
        <v>17536.25</v>
      </c>
      <c r="E414">
        <v>2840.31</v>
      </c>
      <c r="G414" s="338">
        <f t="shared" si="12"/>
        <v>6.9594976758608632E-3</v>
      </c>
      <c r="H414" s="338">
        <f t="shared" si="13"/>
        <v>6.2672269026649192E-3</v>
      </c>
    </row>
    <row r="415" spans="2:8" ht="14.25" customHeight="1" x14ac:dyDescent="0.35">
      <c r="B415" s="337">
        <v>44526</v>
      </c>
      <c r="C415" s="337"/>
      <c r="D415">
        <v>17026.45</v>
      </c>
      <c r="E415">
        <v>2712.37</v>
      </c>
      <c r="G415" s="338">
        <f t="shared" si="12"/>
        <v>-2.9071209637180087E-2</v>
      </c>
      <c r="H415" s="338">
        <f t="shared" si="13"/>
        <v>-4.504437895863482E-2</v>
      </c>
    </row>
    <row r="416" spans="2:8" ht="14.25" customHeight="1" x14ac:dyDescent="0.35">
      <c r="B416" s="337">
        <v>44529</v>
      </c>
      <c r="C416" s="337"/>
      <c r="D416">
        <v>17053.95</v>
      </c>
      <c r="E416">
        <v>2581.06</v>
      </c>
      <c r="G416" s="338">
        <f t="shared" si="12"/>
        <v>1.6151341001794267E-3</v>
      </c>
      <c r="H416" s="338">
        <f t="shared" si="13"/>
        <v>-4.8411536774112661E-2</v>
      </c>
    </row>
    <row r="417" spans="2:8" ht="14.25" customHeight="1" x14ac:dyDescent="0.35">
      <c r="B417" s="337">
        <v>44530</v>
      </c>
      <c r="C417" s="337"/>
      <c r="D417">
        <v>16983.2</v>
      </c>
      <c r="E417">
        <v>2749.99</v>
      </c>
      <c r="G417" s="338">
        <f t="shared" si="12"/>
        <v>-4.1485990049226129E-3</v>
      </c>
      <c r="H417" s="338">
        <f t="shared" si="13"/>
        <v>6.5449853935979727E-2</v>
      </c>
    </row>
    <row r="418" spans="2:8" ht="14.25" customHeight="1" x14ac:dyDescent="0.35">
      <c r="B418" s="337">
        <v>44531</v>
      </c>
      <c r="C418" s="337"/>
      <c r="D418">
        <v>17166.900000000001</v>
      </c>
      <c r="E418">
        <v>2813.78</v>
      </c>
      <c r="G418" s="338">
        <f t="shared" si="12"/>
        <v>1.0816571670827684E-2</v>
      </c>
      <c r="H418" s="338">
        <f t="shared" si="13"/>
        <v>2.3196447987083743E-2</v>
      </c>
    </row>
    <row r="419" spans="2:8" ht="14.25" customHeight="1" x14ac:dyDescent="0.35">
      <c r="B419" s="337">
        <v>44532</v>
      </c>
      <c r="C419" s="337"/>
      <c r="D419">
        <v>17401.650000000001</v>
      </c>
      <c r="E419">
        <v>2780.74</v>
      </c>
      <c r="G419" s="338">
        <f t="shared" si="12"/>
        <v>1.3674571413592436E-2</v>
      </c>
      <c r="H419" s="338">
        <f t="shared" si="13"/>
        <v>-1.1742211544612732E-2</v>
      </c>
    </row>
    <row r="420" spans="2:8" ht="14.25" customHeight="1" x14ac:dyDescent="0.35">
      <c r="B420" s="337">
        <v>44533</v>
      </c>
      <c r="C420" s="337"/>
      <c r="D420">
        <v>17196.7</v>
      </c>
      <c r="E420">
        <v>2760.92</v>
      </c>
      <c r="G420" s="338">
        <f t="shared" si="12"/>
        <v>-1.177761878902292E-2</v>
      </c>
      <c r="H420" s="338">
        <f t="shared" si="13"/>
        <v>-7.1275991282894876E-3</v>
      </c>
    </row>
    <row r="421" spans="2:8" ht="14.25" customHeight="1" x14ac:dyDescent="0.35">
      <c r="B421" s="337">
        <v>44536</v>
      </c>
      <c r="C421" s="337"/>
      <c r="D421">
        <v>16912.25</v>
      </c>
      <c r="E421">
        <v>2714.51</v>
      </c>
      <c r="G421" s="338">
        <f t="shared" si="12"/>
        <v>-1.6540964254769853E-2</v>
      </c>
      <c r="H421" s="338">
        <f t="shared" si="13"/>
        <v>-1.6809614186575436E-2</v>
      </c>
    </row>
    <row r="422" spans="2:8" ht="14.25" customHeight="1" x14ac:dyDescent="0.35">
      <c r="B422" s="337">
        <v>44537</v>
      </c>
      <c r="C422" s="337"/>
      <c r="D422">
        <v>17176.7</v>
      </c>
      <c r="E422">
        <v>2749.49</v>
      </c>
      <c r="G422" s="338">
        <f t="shared" si="12"/>
        <v>1.5636594775976037E-2</v>
      </c>
      <c r="H422" s="338">
        <f t="shared" si="13"/>
        <v>1.2886303605438756E-2</v>
      </c>
    </row>
    <row r="423" spans="2:8" ht="14.25" customHeight="1" x14ac:dyDescent="0.35">
      <c r="B423" s="337">
        <v>44538</v>
      </c>
      <c r="C423" s="337"/>
      <c r="D423">
        <v>17469.75</v>
      </c>
      <c r="E423">
        <v>2678.69</v>
      </c>
      <c r="G423" s="338">
        <f t="shared" si="12"/>
        <v>1.7060902268771026E-2</v>
      </c>
      <c r="H423" s="338">
        <f t="shared" si="13"/>
        <v>-2.5750230042662359E-2</v>
      </c>
    </row>
    <row r="424" spans="2:8" ht="14.25" customHeight="1" x14ac:dyDescent="0.35">
      <c r="B424" s="337">
        <v>44539</v>
      </c>
      <c r="C424" s="337"/>
      <c r="D424">
        <v>17516.849999999999</v>
      </c>
      <c r="E424">
        <v>2680.38</v>
      </c>
      <c r="G424" s="338">
        <f t="shared" si="12"/>
        <v>2.6960889537628496E-3</v>
      </c>
      <c r="H424" s="338">
        <f t="shared" si="13"/>
        <v>6.3090540525408112E-4</v>
      </c>
    </row>
    <row r="425" spans="2:8" ht="14.25" customHeight="1" x14ac:dyDescent="0.35">
      <c r="B425" s="337">
        <v>44540</v>
      </c>
      <c r="C425" s="337"/>
      <c r="D425">
        <v>17511.3</v>
      </c>
      <c r="E425">
        <v>2699.56</v>
      </c>
      <c r="G425" s="338">
        <f t="shared" si="12"/>
        <v>-3.168377876158826E-4</v>
      </c>
      <c r="H425" s="338">
        <f t="shared" si="13"/>
        <v>7.1557018034755651E-3</v>
      </c>
    </row>
    <row r="426" spans="2:8" ht="14.25" customHeight="1" x14ac:dyDescent="0.35">
      <c r="B426" s="337">
        <v>44543</v>
      </c>
      <c r="C426" s="337"/>
      <c r="D426">
        <v>17368.25</v>
      </c>
      <c r="E426">
        <v>2625.63</v>
      </c>
      <c r="G426" s="338">
        <f t="shared" si="12"/>
        <v>-8.1690108672685217E-3</v>
      </c>
      <c r="H426" s="338">
        <f t="shared" si="13"/>
        <v>-2.7385944376120491E-2</v>
      </c>
    </row>
    <row r="427" spans="2:8" ht="14.25" customHeight="1" x14ac:dyDescent="0.35">
      <c r="B427" s="337">
        <v>44544</v>
      </c>
      <c r="C427" s="337"/>
      <c r="D427">
        <v>17324.900000000001</v>
      </c>
      <c r="E427">
        <v>2561.13</v>
      </c>
      <c r="G427" s="338">
        <f t="shared" si="12"/>
        <v>-2.4959336720739595E-3</v>
      </c>
      <c r="H427" s="338">
        <f t="shared" si="13"/>
        <v>-2.4565532843546119E-2</v>
      </c>
    </row>
    <row r="428" spans="2:8" ht="14.25" customHeight="1" x14ac:dyDescent="0.35">
      <c r="B428" s="337">
        <v>44545</v>
      </c>
      <c r="C428" s="337"/>
      <c r="D428">
        <v>17221.400000000001</v>
      </c>
      <c r="E428">
        <v>2596.96</v>
      </c>
      <c r="G428" s="338">
        <f t="shared" si="12"/>
        <v>-5.9740604563374095E-3</v>
      </c>
      <c r="H428" s="338">
        <f t="shared" si="13"/>
        <v>1.3989918512531549E-2</v>
      </c>
    </row>
    <row r="429" spans="2:8" ht="14.25" customHeight="1" x14ac:dyDescent="0.35">
      <c r="B429" s="337">
        <v>44546</v>
      </c>
      <c r="C429" s="337"/>
      <c r="D429">
        <v>17248.400000000001</v>
      </c>
      <c r="E429">
        <v>2537.14</v>
      </c>
      <c r="G429" s="338">
        <f t="shared" si="12"/>
        <v>1.5678167860917231E-3</v>
      </c>
      <c r="H429" s="338">
        <f t="shared" si="13"/>
        <v>-2.3034625100117122E-2</v>
      </c>
    </row>
    <row r="430" spans="2:8" ht="14.25" customHeight="1" x14ac:dyDescent="0.35">
      <c r="B430" s="337">
        <v>44547</v>
      </c>
      <c r="C430" s="337"/>
      <c r="D430">
        <v>16985.2</v>
      </c>
      <c r="E430">
        <v>2534.65</v>
      </c>
      <c r="G430" s="338">
        <f t="shared" si="12"/>
        <v>-1.5259386377866974E-2</v>
      </c>
      <c r="H430" s="338">
        <f t="shared" si="13"/>
        <v>-9.8142002412156281E-4</v>
      </c>
    </row>
    <row r="431" spans="2:8" ht="14.25" customHeight="1" x14ac:dyDescent="0.35">
      <c r="B431" s="337">
        <v>44550</v>
      </c>
      <c r="C431" s="337"/>
      <c r="D431">
        <v>16614.2</v>
      </c>
      <c r="E431">
        <v>2361.0100000000002</v>
      </c>
      <c r="G431" s="338">
        <f t="shared" si="12"/>
        <v>-2.1842545274709746E-2</v>
      </c>
      <c r="H431" s="338">
        <f t="shared" si="13"/>
        <v>-6.8506499911230298E-2</v>
      </c>
    </row>
    <row r="432" spans="2:8" ht="14.25" customHeight="1" x14ac:dyDescent="0.35">
      <c r="B432" s="337">
        <v>44551</v>
      </c>
      <c r="C432" s="337"/>
      <c r="D432">
        <v>16770.849999999999</v>
      </c>
      <c r="E432">
        <v>2308.69</v>
      </c>
      <c r="G432" s="338">
        <f t="shared" si="12"/>
        <v>9.4286814893282736E-3</v>
      </c>
      <c r="H432" s="338">
        <f t="shared" si="13"/>
        <v>-2.2160007793274979E-2</v>
      </c>
    </row>
    <row r="433" spans="2:8" ht="14.25" customHeight="1" x14ac:dyDescent="0.35">
      <c r="B433" s="337">
        <v>44552</v>
      </c>
      <c r="C433" s="337"/>
      <c r="D433">
        <v>16955.45</v>
      </c>
      <c r="E433">
        <v>2414.2199999999998</v>
      </c>
      <c r="G433" s="338">
        <f t="shared" si="12"/>
        <v>1.1007194030117864E-2</v>
      </c>
      <c r="H433" s="338">
        <f t="shared" si="13"/>
        <v>4.5709904751179128E-2</v>
      </c>
    </row>
    <row r="434" spans="2:8" ht="14.25" customHeight="1" x14ac:dyDescent="0.35">
      <c r="B434" s="337">
        <v>44553</v>
      </c>
      <c r="C434" s="337"/>
      <c r="D434">
        <v>17072.599999999999</v>
      </c>
      <c r="E434">
        <v>2396.48</v>
      </c>
      <c r="G434" s="338">
        <f t="shared" si="12"/>
        <v>6.9092828559547412E-3</v>
      </c>
      <c r="H434" s="338">
        <f t="shared" si="13"/>
        <v>-7.3481290023277839E-3</v>
      </c>
    </row>
    <row r="435" spans="2:8" ht="14.25" customHeight="1" x14ac:dyDescent="0.35">
      <c r="B435" s="337">
        <v>44554</v>
      </c>
      <c r="C435" s="337"/>
      <c r="D435">
        <v>17003.75</v>
      </c>
      <c r="E435">
        <v>2348.98</v>
      </c>
      <c r="G435" s="338">
        <f t="shared" si="12"/>
        <v>-4.0327776671390736E-3</v>
      </c>
      <c r="H435" s="338">
        <f t="shared" si="13"/>
        <v>-1.9820737081052208E-2</v>
      </c>
    </row>
    <row r="436" spans="2:8" ht="14.25" customHeight="1" x14ac:dyDescent="0.35">
      <c r="B436" s="337">
        <v>44557</v>
      </c>
      <c r="C436" s="337"/>
      <c r="D436">
        <v>17086.25</v>
      </c>
      <c r="E436">
        <v>2338.5</v>
      </c>
      <c r="G436" s="338">
        <f t="shared" si="12"/>
        <v>4.8518709108284937E-3</v>
      </c>
      <c r="H436" s="338">
        <f t="shared" si="13"/>
        <v>-4.4615109536905459E-3</v>
      </c>
    </row>
    <row r="437" spans="2:8" ht="14.25" customHeight="1" x14ac:dyDescent="0.35">
      <c r="B437" s="337">
        <v>44558</v>
      </c>
      <c r="C437" s="337"/>
      <c r="D437">
        <v>17233.25</v>
      </c>
      <c r="E437">
        <v>2346.5500000000002</v>
      </c>
      <c r="G437" s="338">
        <f t="shared" si="12"/>
        <v>8.6034091740434561E-3</v>
      </c>
      <c r="H437" s="338">
        <f t="shared" si="13"/>
        <v>3.4423775924738859E-3</v>
      </c>
    </row>
    <row r="438" spans="2:8" ht="14.25" customHeight="1" x14ac:dyDescent="0.35">
      <c r="B438" s="337">
        <v>44559</v>
      </c>
      <c r="C438" s="337"/>
      <c r="D438">
        <v>17213.599999999999</v>
      </c>
      <c r="E438">
        <v>2351.12</v>
      </c>
      <c r="G438" s="338">
        <f t="shared" si="12"/>
        <v>-1.1402376220388758E-3</v>
      </c>
      <c r="H438" s="338">
        <f t="shared" si="13"/>
        <v>1.947540005539924E-3</v>
      </c>
    </row>
    <row r="439" spans="2:8" ht="14.25" customHeight="1" x14ac:dyDescent="0.35">
      <c r="B439" s="337">
        <v>44560</v>
      </c>
      <c r="C439" s="337"/>
      <c r="D439">
        <v>17203.95</v>
      </c>
      <c r="E439">
        <v>2353.0100000000002</v>
      </c>
      <c r="G439" s="338">
        <f t="shared" si="12"/>
        <v>-5.6060324394652012E-4</v>
      </c>
      <c r="H439" s="338">
        <f t="shared" si="13"/>
        <v>8.0387219708067965E-4</v>
      </c>
    </row>
    <row r="440" spans="2:8" ht="14.25" customHeight="1" x14ac:dyDescent="0.35">
      <c r="B440" s="337">
        <v>44561</v>
      </c>
      <c r="C440" s="337"/>
      <c r="D440">
        <v>17354.05</v>
      </c>
      <c r="E440">
        <v>2406.27</v>
      </c>
      <c r="G440" s="338">
        <f t="shared" si="12"/>
        <v>8.7247405392365442E-3</v>
      </c>
      <c r="H440" s="338">
        <f t="shared" si="13"/>
        <v>2.2634837930990415E-2</v>
      </c>
    </row>
    <row r="441" spans="2:8" ht="14.25" customHeight="1" x14ac:dyDescent="0.35">
      <c r="B441" s="337">
        <v>44564</v>
      </c>
      <c r="C441" s="337"/>
      <c r="D441">
        <v>17625.7</v>
      </c>
      <c r="E441">
        <v>2373.7199999999998</v>
      </c>
      <c r="G441" s="338">
        <f t="shared" si="12"/>
        <v>1.5653406553513528E-2</v>
      </c>
      <c r="H441" s="338">
        <f t="shared" si="13"/>
        <v>-1.35271602937327E-2</v>
      </c>
    </row>
    <row r="442" spans="2:8" ht="14.25" customHeight="1" x14ac:dyDescent="0.35">
      <c r="B442" s="337">
        <v>44565</v>
      </c>
      <c r="C442" s="337"/>
      <c r="D442">
        <v>17805.25</v>
      </c>
      <c r="E442">
        <v>2359.91</v>
      </c>
      <c r="G442" s="338">
        <f t="shared" si="12"/>
        <v>1.0186829459255477E-2</v>
      </c>
      <c r="H442" s="338">
        <f t="shared" si="13"/>
        <v>-5.817872369108381E-3</v>
      </c>
    </row>
    <row r="443" spans="2:8" ht="14.25" customHeight="1" x14ac:dyDescent="0.35">
      <c r="B443" s="337">
        <v>44566</v>
      </c>
      <c r="C443" s="337"/>
      <c r="D443">
        <v>17925.25</v>
      </c>
      <c r="E443">
        <v>2353.6</v>
      </c>
      <c r="G443" s="338">
        <f t="shared" si="12"/>
        <v>6.7395852346920151E-3</v>
      </c>
      <c r="H443" s="338">
        <f t="shared" si="13"/>
        <v>-2.6738307816823294E-3</v>
      </c>
    </row>
    <row r="444" spans="2:8" ht="14.25" customHeight="1" x14ac:dyDescent="0.35">
      <c r="B444" s="337">
        <v>44567</v>
      </c>
      <c r="C444" s="337"/>
      <c r="D444">
        <v>17745.900000000001</v>
      </c>
      <c r="E444">
        <v>2334.23</v>
      </c>
      <c r="G444" s="338">
        <f t="shared" si="12"/>
        <v>-1.0005439254682559E-2</v>
      </c>
      <c r="H444" s="338">
        <f t="shared" si="13"/>
        <v>-8.2299456152276906E-3</v>
      </c>
    </row>
    <row r="445" spans="2:8" ht="14.25" customHeight="1" x14ac:dyDescent="0.35">
      <c r="B445" s="337">
        <v>44568</v>
      </c>
      <c r="C445" s="337"/>
      <c r="D445">
        <v>17812.7</v>
      </c>
      <c r="E445">
        <v>2332.09</v>
      </c>
      <c r="G445" s="338">
        <f t="shared" si="12"/>
        <v>3.7642497703694526E-3</v>
      </c>
      <c r="H445" s="338">
        <f t="shared" si="13"/>
        <v>-9.1679054763235527E-4</v>
      </c>
    </row>
    <row r="446" spans="2:8" ht="14.25" customHeight="1" x14ac:dyDescent="0.35">
      <c r="B446" s="337">
        <v>44571</v>
      </c>
      <c r="C446" s="337"/>
      <c r="D446">
        <v>18003.3</v>
      </c>
      <c r="E446">
        <v>2328.66</v>
      </c>
      <c r="G446" s="338">
        <f t="shared" si="12"/>
        <v>1.0700230734251323E-2</v>
      </c>
      <c r="H446" s="338">
        <f t="shared" si="13"/>
        <v>-1.470783717609651E-3</v>
      </c>
    </row>
    <row r="447" spans="2:8" ht="14.25" customHeight="1" x14ac:dyDescent="0.35">
      <c r="B447" s="337">
        <v>44572</v>
      </c>
      <c r="C447" s="337"/>
      <c r="D447">
        <v>18055.75</v>
      </c>
      <c r="E447">
        <v>2265.11</v>
      </c>
      <c r="G447" s="338">
        <f t="shared" si="12"/>
        <v>2.9133547738470576E-3</v>
      </c>
      <c r="H447" s="338">
        <f t="shared" si="13"/>
        <v>-2.7290373004216901E-2</v>
      </c>
    </row>
    <row r="448" spans="2:8" ht="14.25" customHeight="1" x14ac:dyDescent="0.35">
      <c r="B448" s="337">
        <v>44573</v>
      </c>
      <c r="C448" s="337"/>
      <c r="D448">
        <v>18212.349999999999</v>
      </c>
      <c r="E448">
        <v>2211.9499999999998</v>
      </c>
      <c r="G448" s="338">
        <f t="shared" si="12"/>
        <v>8.6731373662128994E-3</v>
      </c>
      <c r="H448" s="338">
        <f t="shared" si="13"/>
        <v>-2.3469058897802007E-2</v>
      </c>
    </row>
    <row r="449" spans="2:8" ht="14.25" customHeight="1" x14ac:dyDescent="0.35">
      <c r="B449" s="337">
        <v>44574</v>
      </c>
      <c r="C449" s="337"/>
      <c r="D449">
        <v>18257.8</v>
      </c>
      <c r="E449">
        <v>2247.23</v>
      </c>
      <c r="G449" s="338">
        <f t="shared" si="12"/>
        <v>2.4955593319917931E-3</v>
      </c>
      <c r="H449" s="338">
        <f t="shared" si="13"/>
        <v>1.5949727615904609E-2</v>
      </c>
    </row>
    <row r="450" spans="2:8" ht="14.25" customHeight="1" x14ac:dyDescent="0.35">
      <c r="B450" s="337">
        <v>44575</v>
      </c>
      <c r="C450" s="337"/>
      <c r="D450">
        <v>18255.75</v>
      </c>
      <c r="E450">
        <v>2231.63</v>
      </c>
      <c r="G450" s="338">
        <f t="shared" si="12"/>
        <v>-1.1228077862608159E-4</v>
      </c>
      <c r="H450" s="338">
        <f t="shared" si="13"/>
        <v>-6.9418795583896216E-3</v>
      </c>
    </row>
    <row r="451" spans="2:8" ht="14.25" customHeight="1" x14ac:dyDescent="0.35">
      <c r="B451" s="337">
        <v>44578</v>
      </c>
      <c r="C451" s="337"/>
      <c r="D451">
        <v>18308.099999999999</v>
      </c>
      <c r="E451">
        <v>2229.9899999999998</v>
      </c>
      <c r="G451" s="338">
        <f t="shared" si="12"/>
        <v>2.8675896635305888E-3</v>
      </c>
      <c r="H451" s="338">
        <f t="shared" si="13"/>
        <v>-7.348888480618774E-4</v>
      </c>
    </row>
    <row r="452" spans="2:8" ht="14.25" customHeight="1" x14ac:dyDescent="0.35">
      <c r="B452" s="337">
        <v>44579</v>
      </c>
      <c r="C452" s="337"/>
      <c r="D452">
        <v>18113.05</v>
      </c>
      <c r="E452">
        <v>2200.52</v>
      </c>
      <c r="G452" s="338">
        <f t="shared" si="12"/>
        <v>-1.0653754349167816E-2</v>
      </c>
      <c r="H452" s="338">
        <f t="shared" si="13"/>
        <v>-1.3215305898232639E-2</v>
      </c>
    </row>
    <row r="453" spans="2:8" ht="14.25" customHeight="1" x14ac:dyDescent="0.35">
      <c r="B453" s="337">
        <v>44580</v>
      </c>
      <c r="C453" s="337"/>
      <c r="D453">
        <v>17938.400000000001</v>
      </c>
      <c r="E453">
        <v>2209.27</v>
      </c>
      <c r="G453" s="338">
        <f t="shared" si="12"/>
        <v>-9.6422192838863593E-3</v>
      </c>
      <c r="H453" s="338">
        <f t="shared" si="13"/>
        <v>3.9763328667769436E-3</v>
      </c>
    </row>
    <row r="454" spans="2:8" ht="14.25" customHeight="1" x14ac:dyDescent="0.35">
      <c r="B454" s="337">
        <v>44581</v>
      </c>
      <c r="C454" s="337"/>
      <c r="D454">
        <v>17757</v>
      </c>
      <c r="E454">
        <v>2273.06</v>
      </c>
      <c r="G454" s="338">
        <f t="shared" si="12"/>
        <v>-1.0112384605093064E-2</v>
      </c>
      <c r="H454" s="338">
        <f t="shared" si="13"/>
        <v>2.8873790890203536E-2</v>
      </c>
    </row>
    <row r="455" spans="2:8" ht="14.25" customHeight="1" x14ac:dyDescent="0.35">
      <c r="B455" s="337">
        <v>44582</v>
      </c>
      <c r="C455" s="337"/>
      <c r="D455">
        <v>17617.150000000001</v>
      </c>
      <c r="E455">
        <v>2288.4699999999998</v>
      </c>
      <c r="G455" s="338">
        <f t="shared" ref="G455:G518" si="14">(D455-D454)/D454</f>
        <v>-7.8757673030353404E-3</v>
      </c>
      <c r="H455" s="338">
        <f t="shared" ref="H455:H518" si="15">(E455-E454)/E454</f>
        <v>6.7794074947427055E-3</v>
      </c>
    </row>
    <row r="456" spans="2:8" ht="14.25" customHeight="1" x14ac:dyDescent="0.35">
      <c r="B456" s="337">
        <v>44585</v>
      </c>
      <c r="C456" s="337"/>
      <c r="D456">
        <v>17149.099999999999</v>
      </c>
      <c r="E456">
        <v>2301.14</v>
      </c>
      <c r="G456" s="338">
        <f t="shared" si="14"/>
        <v>-2.6567861430481256E-2</v>
      </c>
      <c r="H456" s="338">
        <f t="shared" si="15"/>
        <v>5.5364501173273293E-3</v>
      </c>
    </row>
    <row r="457" spans="2:8" ht="14.25" customHeight="1" x14ac:dyDescent="0.35">
      <c r="B457" s="337">
        <v>44586</v>
      </c>
      <c r="C457" s="337"/>
      <c r="D457">
        <v>17277.95</v>
      </c>
      <c r="E457">
        <v>2464.6</v>
      </c>
      <c r="G457" s="338">
        <f t="shared" si="14"/>
        <v>7.5135138287141714E-3</v>
      </c>
      <c r="H457" s="338">
        <f t="shared" si="15"/>
        <v>7.1034356883979272E-2</v>
      </c>
    </row>
    <row r="458" spans="2:8" ht="14.25" customHeight="1" x14ac:dyDescent="0.35">
      <c r="B458" s="337">
        <v>44588</v>
      </c>
      <c r="C458" s="337"/>
      <c r="D458">
        <v>17110.150000000001</v>
      </c>
      <c r="E458">
        <v>2384.75</v>
      </c>
      <c r="G458" s="338">
        <f t="shared" si="14"/>
        <v>-9.7118003003828154E-3</v>
      </c>
      <c r="H458" s="338">
        <f t="shared" si="15"/>
        <v>-3.2398766534123151E-2</v>
      </c>
    </row>
    <row r="459" spans="2:8" ht="14.25" customHeight="1" x14ac:dyDescent="0.35">
      <c r="B459" s="337">
        <v>44589</v>
      </c>
      <c r="C459" s="337"/>
      <c r="D459">
        <v>17101.95</v>
      </c>
      <c r="E459">
        <v>2411.14</v>
      </c>
      <c r="G459" s="338">
        <f t="shared" si="14"/>
        <v>-4.7924769800385895E-4</v>
      </c>
      <c r="H459" s="338">
        <f t="shared" si="15"/>
        <v>1.1066149491560907E-2</v>
      </c>
    </row>
    <row r="460" spans="2:8" ht="14.25" customHeight="1" x14ac:dyDescent="0.35">
      <c r="B460" s="337">
        <v>44592</v>
      </c>
      <c r="C460" s="337"/>
      <c r="D460">
        <v>17339.849999999999</v>
      </c>
      <c r="E460">
        <v>2294.13</v>
      </c>
      <c r="G460" s="338">
        <f t="shared" si="14"/>
        <v>1.3910694394498744E-2</v>
      </c>
      <c r="H460" s="338">
        <f t="shared" si="15"/>
        <v>-4.8528911635160037E-2</v>
      </c>
    </row>
    <row r="461" spans="2:8" ht="14.25" customHeight="1" x14ac:dyDescent="0.35">
      <c r="B461" s="337">
        <v>44593</v>
      </c>
      <c r="C461" s="337"/>
      <c r="D461">
        <v>17576.849999999999</v>
      </c>
      <c r="E461">
        <v>2286.33</v>
      </c>
      <c r="G461" s="338">
        <f t="shared" si="14"/>
        <v>1.3667938303964568E-2</v>
      </c>
      <c r="H461" s="338">
        <f t="shared" si="15"/>
        <v>-3.3999816924063508E-3</v>
      </c>
    </row>
    <row r="462" spans="2:8" ht="14.25" customHeight="1" x14ac:dyDescent="0.35">
      <c r="B462" s="337">
        <v>44594</v>
      </c>
      <c r="C462" s="337"/>
      <c r="D462">
        <v>17780</v>
      </c>
      <c r="E462">
        <v>2317.13</v>
      </c>
      <c r="G462" s="338">
        <f t="shared" si="14"/>
        <v>1.1557816104705989E-2</v>
      </c>
      <c r="H462" s="338">
        <f t="shared" si="15"/>
        <v>1.3471371149396711E-2</v>
      </c>
    </row>
    <row r="463" spans="2:8" ht="14.25" customHeight="1" x14ac:dyDescent="0.35">
      <c r="B463" s="337">
        <v>44595</v>
      </c>
      <c r="C463" s="337"/>
      <c r="D463">
        <v>17560.2</v>
      </c>
      <c r="E463">
        <v>2325.13</v>
      </c>
      <c r="G463" s="338">
        <f t="shared" si="14"/>
        <v>-1.2362204724409407E-2</v>
      </c>
      <c r="H463" s="338">
        <f t="shared" si="15"/>
        <v>3.452546900691804E-3</v>
      </c>
    </row>
    <row r="464" spans="2:8" ht="14.25" customHeight="1" x14ac:dyDescent="0.35">
      <c r="B464" s="337">
        <v>44596</v>
      </c>
      <c r="C464" s="337"/>
      <c r="D464">
        <v>17516.3</v>
      </c>
      <c r="E464">
        <v>2315.94</v>
      </c>
      <c r="G464" s="338">
        <f t="shared" si="14"/>
        <v>-2.4999715265202819E-3</v>
      </c>
      <c r="H464" s="338">
        <f t="shared" si="15"/>
        <v>-3.9524671738784727E-3</v>
      </c>
    </row>
    <row r="465" spans="2:8" ht="14.25" customHeight="1" x14ac:dyDescent="0.35">
      <c r="B465" s="337">
        <v>44599</v>
      </c>
      <c r="C465" s="337"/>
      <c r="D465">
        <v>17213.599999999999</v>
      </c>
      <c r="E465">
        <v>2324.9299999999998</v>
      </c>
      <c r="G465" s="338">
        <f t="shared" si="14"/>
        <v>-1.7281046796412527E-2</v>
      </c>
      <c r="H465" s="338">
        <f t="shared" si="15"/>
        <v>3.8817931379913906E-3</v>
      </c>
    </row>
    <row r="466" spans="2:8" ht="14.25" customHeight="1" x14ac:dyDescent="0.35">
      <c r="B466" s="337">
        <v>44600</v>
      </c>
      <c r="C466" s="337"/>
      <c r="D466">
        <v>17266.75</v>
      </c>
      <c r="E466">
        <v>2340.59</v>
      </c>
      <c r="G466" s="338">
        <f t="shared" si="14"/>
        <v>3.0876748617373159E-3</v>
      </c>
      <c r="H466" s="338">
        <f t="shared" si="15"/>
        <v>6.7356866658352336E-3</v>
      </c>
    </row>
    <row r="467" spans="2:8" ht="14.25" customHeight="1" x14ac:dyDescent="0.35">
      <c r="B467" s="337">
        <v>44601</v>
      </c>
      <c r="C467" s="337"/>
      <c r="D467">
        <v>17463.8</v>
      </c>
      <c r="E467">
        <v>2322.6</v>
      </c>
      <c r="G467" s="338">
        <f t="shared" si="14"/>
        <v>1.1412107084425227E-2</v>
      </c>
      <c r="H467" s="338">
        <f t="shared" si="15"/>
        <v>-7.6860962406915499E-3</v>
      </c>
    </row>
    <row r="468" spans="2:8" ht="14.25" customHeight="1" x14ac:dyDescent="0.35">
      <c r="B468" s="337">
        <v>44602</v>
      </c>
      <c r="C468" s="337"/>
      <c r="D468">
        <v>17605.849999999999</v>
      </c>
      <c r="E468">
        <v>2270.98</v>
      </c>
      <c r="G468" s="338">
        <f t="shared" si="14"/>
        <v>8.1339685520905695E-3</v>
      </c>
      <c r="H468" s="338">
        <f t="shared" si="15"/>
        <v>-2.2225092568672992E-2</v>
      </c>
    </row>
    <row r="469" spans="2:8" ht="14.25" customHeight="1" x14ac:dyDescent="0.35">
      <c r="B469" s="337">
        <v>44603</v>
      </c>
      <c r="C469" s="337"/>
      <c r="D469">
        <v>17374.75</v>
      </c>
      <c r="E469">
        <v>2248.5700000000002</v>
      </c>
      <c r="G469" s="338">
        <f t="shared" si="14"/>
        <v>-1.3126318808804946E-2</v>
      </c>
      <c r="H469" s="338">
        <f t="shared" si="15"/>
        <v>-9.8679865080273065E-3</v>
      </c>
    </row>
    <row r="470" spans="2:8" ht="14.25" customHeight="1" x14ac:dyDescent="0.35">
      <c r="B470" s="337">
        <v>44606</v>
      </c>
      <c r="C470" s="337"/>
      <c r="D470">
        <v>16842.8</v>
      </c>
      <c r="E470">
        <v>2194.7600000000002</v>
      </c>
      <c r="G470" s="338">
        <f t="shared" si="14"/>
        <v>-3.0616267859969251E-2</v>
      </c>
      <c r="H470" s="338">
        <f t="shared" si="15"/>
        <v>-2.3930764886127602E-2</v>
      </c>
    </row>
    <row r="471" spans="2:8" ht="14.25" customHeight="1" x14ac:dyDescent="0.35">
      <c r="B471" s="337">
        <v>44607</v>
      </c>
      <c r="C471" s="337"/>
      <c r="D471">
        <v>17352.45</v>
      </c>
      <c r="E471">
        <v>2261.4899999999998</v>
      </c>
      <c r="G471" s="338">
        <f t="shared" si="14"/>
        <v>3.0259220557152106E-2</v>
      </c>
      <c r="H471" s="338">
        <f t="shared" si="15"/>
        <v>3.0404235542838196E-2</v>
      </c>
    </row>
    <row r="472" spans="2:8" ht="14.25" customHeight="1" x14ac:dyDescent="0.35">
      <c r="B472" s="337">
        <v>44608</v>
      </c>
      <c r="C472" s="337"/>
      <c r="D472">
        <v>17322.2</v>
      </c>
      <c r="E472">
        <v>2270.2800000000002</v>
      </c>
      <c r="G472" s="338">
        <f t="shared" si="14"/>
        <v>-1.7432696823791451E-3</v>
      </c>
      <c r="H472" s="338">
        <f t="shared" si="15"/>
        <v>3.8868179828345116E-3</v>
      </c>
    </row>
    <row r="473" spans="2:8" ht="14.25" customHeight="1" x14ac:dyDescent="0.35">
      <c r="B473" s="337">
        <v>44609</v>
      </c>
      <c r="C473" s="337"/>
      <c r="D473">
        <v>17304.599999999999</v>
      </c>
      <c r="E473">
        <v>2296.66</v>
      </c>
      <c r="G473" s="338">
        <f t="shared" si="14"/>
        <v>-1.0160372239093292E-3</v>
      </c>
      <c r="H473" s="338">
        <f t="shared" si="15"/>
        <v>1.1619712105995583E-2</v>
      </c>
    </row>
    <row r="474" spans="2:8" ht="14.25" customHeight="1" x14ac:dyDescent="0.35">
      <c r="B474" s="337">
        <v>44610</v>
      </c>
      <c r="C474" s="337"/>
      <c r="D474">
        <v>17276.3</v>
      </c>
      <c r="E474">
        <v>2275.5</v>
      </c>
      <c r="G474" s="338">
        <f t="shared" si="14"/>
        <v>-1.6354033031679019E-3</v>
      </c>
      <c r="H474" s="338">
        <f t="shared" si="15"/>
        <v>-9.2133794292580777E-3</v>
      </c>
    </row>
    <row r="475" spans="2:8" ht="14.25" customHeight="1" x14ac:dyDescent="0.35">
      <c r="B475" s="337">
        <v>44613</v>
      </c>
      <c r="C475" s="337"/>
      <c r="D475">
        <v>17206.650000000001</v>
      </c>
      <c r="E475">
        <v>2296.96</v>
      </c>
      <c r="G475" s="338">
        <f t="shared" si="14"/>
        <v>-4.0315345299628868E-3</v>
      </c>
      <c r="H475" s="338">
        <f t="shared" si="15"/>
        <v>9.4308943089431059E-3</v>
      </c>
    </row>
    <row r="476" spans="2:8" ht="14.25" customHeight="1" x14ac:dyDescent="0.35">
      <c r="B476" s="337">
        <v>44614</v>
      </c>
      <c r="C476" s="337"/>
      <c r="D476">
        <v>17092.2</v>
      </c>
      <c r="E476">
        <v>2291.35</v>
      </c>
      <c r="G476" s="338">
        <f t="shared" si="14"/>
        <v>-6.6514981126483495E-3</v>
      </c>
      <c r="H476" s="338">
        <f t="shared" si="15"/>
        <v>-2.4423585957091664E-3</v>
      </c>
    </row>
    <row r="477" spans="2:8" ht="14.25" customHeight="1" x14ac:dyDescent="0.35">
      <c r="B477" s="337">
        <v>44615</v>
      </c>
      <c r="C477" s="337"/>
      <c r="D477">
        <v>17063.25</v>
      </c>
      <c r="E477">
        <v>2310.9699999999998</v>
      </c>
      <c r="G477" s="338">
        <f t="shared" si="14"/>
        <v>-1.6937550461614494E-3</v>
      </c>
      <c r="H477" s="338">
        <f t="shared" si="15"/>
        <v>8.5626377463067158E-3</v>
      </c>
    </row>
    <row r="478" spans="2:8" ht="14.25" customHeight="1" x14ac:dyDescent="0.35">
      <c r="B478" s="337">
        <v>44616</v>
      </c>
      <c r="C478" s="337"/>
      <c r="D478">
        <v>16247.95</v>
      </c>
      <c r="E478">
        <v>2258.56</v>
      </c>
      <c r="G478" s="338">
        <f t="shared" si="14"/>
        <v>-4.7781049917219716E-2</v>
      </c>
      <c r="H478" s="338">
        <f t="shared" si="15"/>
        <v>-2.2678788560647631E-2</v>
      </c>
    </row>
    <row r="479" spans="2:8" ht="14.25" customHeight="1" x14ac:dyDescent="0.35">
      <c r="B479" s="337">
        <v>44617</v>
      </c>
      <c r="C479" s="337"/>
      <c r="D479">
        <v>16658.400000000001</v>
      </c>
      <c r="E479">
        <v>2326.08</v>
      </c>
      <c r="G479" s="338">
        <f t="shared" si="14"/>
        <v>2.5261648392566491E-2</v>
      </c>
      <c r="H479" s="338">
        <f t="shared" si="15"/>
        <v>2.9895154434684039E-2</v>
      </c>
    </row>
    <row r="480" spans="2:8" ht="14.25" customHeight="1" x14ac:dyDescent="0.35">
      <c r="B480" s="337">
        <v>44620</v>
      </c>
      <c r="C480" s="337"/>
      <c r="D480">
        <v>16793.900000000001</v>
      </c>
      <c r="E480">
        <v>2298.25</v>
      </c>
      <c r="G480" s="338">
        <f t="shared" si="14"/>
        <v>8.1340344811026265E-3</v>
      </c>
      <c r="H480" s="338">
        <f t="shared" si="15"/>
        <v>-1.1964334846608856E-2</v>
      </c>
    </row>
    <row r="481" spans="2:8" ht="14.25" customHeight="1" x14ac:dyDescent="0.35">
      <c r="B481" s="337">
        <v>44622</v>
      </c>
      <c r="C481" s="337"/>
      <c r="D481">
        <v>16605.95</v>
      </c>
      <c r="E481">
        <v>2277.34</v>
      </c>
      <c r="G481" s="338">
        <f t="shared" si="14"/>
        <v>-1.1191563603451296E-2</v>
      </c>
      <c r="H481" s="338">
        <f t="shared" si="15"/>
        <v>-9.0982269117806398E-3</v>
      </c>
    </row>
    <row r="482" spans="2:8" ht="14.25" customHeight="1" x14ac:dyDescent="0.35">
      <c r="B482" s="337">
        <v>44623</v>
      </c>
      <c r="C482" s="337"/>
      <c r="D482">
        <v>16498.05</v>
      </c>
      <c r="E482">
        <v>2297.5100000000002</v>
      </c>
      <c r="G482" s="338">
        <f t="shared" si="14"/>
        <v>-6.4976710155095884E-3</v>
      </c>
      <c r="H482" s="338">
        <f t="shared" si="15"/>
        <v>8.8568241896247683E-3</v>
      </c>
    </row>
    <row r="483" spans="2:8" ht="14.25" customHeight="1" x14ac:dyDescent="0.35">
      <c r="B483" s="337">
        <v>44624</v>
      </c>
      <c r="C483" s="337"/>
      <c r="D483">
        <v>16245.35</v>
      </c>
      <c r="E483">
        <v>2264.87</v>
      </c>
      <c r="G483" s="338">
        <f t="shared" si="14"/>
        <v>-1.5316961701534359E-2</v>
      </c>
      <c r="H483" s="338">
        <f t="shared" si="15"/>
        <v>-1.4206684628141042E-2</v>
      </c>
    </row>
    <row r="484" spans="2:8" ht="14.25" customHeight="1" x14ac:dyDescent="0.35">
      <c r="B484" s="337">
        <v>44627</v>
      </c>
      <c r="C484" s="337"/>
      <c r="D484">
        <v>15863.15</v>
      </c>
      <c r="E484">
        <v>2230.88</v>
      </c>
      <c r="G484" s="338">
        <f t="shared" si="14"/>
        <v>-2.3526732264925083E-2</v>
      </c>
      <c r="H484" s="338">
        <f t="shared" si="15"/>
        <v>-1.5007483873246493E-2</v>
      </c>
    </row>
    <row r="485" spans="2:8" ht="14.25" customHeight="1" x14ac:dyDescent="0.35">
      <c r="B485" s="337">
        <v>44628</v>
      </c>
      <c r="C485" s="337"/>
      <c r="D485">
        <v>16013.45</v>
      </c>
      <c r="E485">
        <v>2291.1999999999998</v>
      </c>
      <c r="G485" s="338">
        <f t="shared" si="14"/>
        <v>9.4747890551372897E-3</v>
      </c>
      <c r="H485" s="338">
        <f t="shared" si="15"/>
        <v>2.7038657390805292E-2</v>
      </c>
    </row>
    <row r="486" spans="2:8" ht="14.25" customHeight="1" x14ac:dyDescent="0.35">
      <c r="B486" s="337">
        <v>44629</v>
      </c>
      <c r="C486" s="337"/>
      <c r="D486">
        <v>16345.35</v>
      </c>
      <c r="E486">
        <v>2388.6799999999998</v>
      </c>
      <c r="G486" s="338">
        <f t="shared" si="14"/>
        <v>2.0726326931423247E-2</v>
      </c>
      <c r="H486" s="338">
        <f t="shared" si="15"/>
        <v>4.2545391061452525E-2</v>
      </c>
    </row>
    <row r="487" spans="2:8" ht="14.25" customHeight="1" x14ac:dyDescent="0.35">
      <c r="B487" s="337">
        <v>44630</v>
      </c>
      <c r="C487" s="337"/>
      <c r="D487">
        <v>16594.900000000001</v>
      </c>
      <c r="E487">
        <v>2403.73</v>
      </c>
      <c r="G487" s="338">
        <f t="shared" si="14"/>
        <v>1.5267339029142912E-2</v>
      </c>
      <c r="H487" s="338">
        <f t="shared" si="15"/>
        <v>6.3005509318955167E-3</v>
      </c>
    </row>
    <row r="488" spans="2:8" ht="14.25" customHeight="1" x14ac:dyDescent="0.35">
      <c r="B488" s="337">
        <v>44631</v>
      </c>
      <c r="C488" s="337"/>
      <c r="D488">
        <v>16630.45</v>
      </c>
      <c r="E488">
        <v>2399.11</v>
      </c>
      <c r="G488" s="338">
        <f t="shared" si="14"/>
        <v>2.1422244183453513E-3</v>
      </c>
      <c r="H488" s="338">
        <f t="shared" si="15"/>
        <v>-1.9220128716619133E-3</v>
      </c>
    </row>
    <row r="489" spans="2:8" ht="14.25" customHeight="1" x14ac:dyDescent="0.35">
      <c r="B489" s="337">
        <v>44634</v>
      </c>
      <c r="C489" s="337"/>
      <c r="D489">
        <v>16871.3</v>
      </c>
      <c r="E489">
        <v>2387.79</v>
      </c>
      <c r="G489" s="338">
        <f t="shared" si="14"/>
        <v>1.4482470408196923E-2</v>
      </c>
      <c r="H489" s="338">
        <f t="shared" si="15"/>
        <v>-4.7184164127531307E-3</v>
      </c>
    </row>
    <row r="490" spans="2:8" ht="14.25" customHeight="1" x14ac:dyDescent="0.35">
      <c r="B490" s="337">
        <v>44635</v>
      </c>
      <c r="C490" s="337"/>
      <c r="D490">
        <v>16663</v>
      </c>
      <c r="E490">
        <v>2392.06</v>
      </c>
      <c r="G490" s="338">
        <f t="shared" si="14"/>
        <v>-1.2346410768583291E-2</v>
      </c>
      <c r="H490" s="338">
        <f t="shared" si="15"/>
        <v>1.7882644621176828E-3</v>
      </c>
    </row>
    <row r="491" spans="2:8" ht="14.25" customHeight="1" x14ac:dyDescent="0.35">
      <c r="B491" s="337">
        <v>44636</v>
      </c>
      <c r="C491" s="337"/>
      <c r="D491">
        <v>16975.349999999999</v>
      </c>
      <c r="E491">
        <v>2390.5700000000002</v>
      </c>
      <c r="G491" s="338">
        <f t="shared" si="14"/>
        <v>1.874512392726391E-2</v>
      </c>
      <c r="H491" s="338">
        <f t="shared" si="15"/>
        <v>-6.2289407456325588E-4</v>
      </c>
    </row>
    <row r="492" spans="2:8" ht="14.25" customHeight="1" x14ac:dyDescent="0.35">
      <c r="B492" s="337">
        <v>44637</v>
      </c>
      <c r="C492" s="337"/>
      <c r="D492">
        <v>17287.05</v>
      </c>
      <c r="E492">
        <v>2570.52</v>
      </c>
      <c r="G492" s="338">
        <f t="shared" si="14"/>
        <v>1.836191890005218E-2</v>
      </c>
      <c r="H492" s="338">
        <f t="shared" si="15"/>
        <v>7.5274934429863924E-2</v>
      </c>
    </row>
    <row r="493" spans="2:8" ht="14.25" customHeight="1" x14ac:dyDescent="0.35">
      <c r="B493" s="337">
        <v>44641</v>
      </c>
      <c r="C493" s="337"/>
      <c r="D493">
        <v>17117.599999999999</v>
      </c>
      <c r="E493">
        <v>2657.57</v>
      </c>
      <c r="G493" s="338">
        <f t="shared" si="14"/>
        <v>-9.8021351242693656E-3</v>
      </c>
      <c r="H493" s="338">
        <f t="shared" si="15"/>
        <v>3.386474332041773E-2</v>
      </c>
    </row>
    <row r="494" spans="2:8" ht="14.25" customHeight="1" x14ac:dyDescent="0.35">
      <c r="B494" s="337">
        <v>44642</v>
      </c>
      <c r="C494" s="337"/>
      <c r="D494">
        <v>17315.5</v>
      </c>
      <c r="E494">
        <v>2634.17</v>
      </c>
      <c r="G494" s="338">
        <f t="shared" si="14"/>
        <v>1.1561200168247972E-2</v>
      </c>
      <c r="H494" s="338">
        <f t="shared" si="15"/>
        <v>-8.8050361796679251E-3</v>
      </c>
    </row>
    <row r="495" spans="2:8" ht="14.25" customHeight="1" x14ac:dyDescent="0.35">
      <c r="B495" s="337">
        <v>44643</v>
      </c>
      <c r="C495" s="337"/>
      <c r="D495">
        <v>17245.650000000001</v>
      </c>
      <c r="E495">
        <v>2603.27</v>
      </c>
      <c r="G495" s="338">
        <f t="shared" si="14"/>
        <v>-4.033958014495599E-3</v>
      </c>
      <c r="H495" s="338">
        <f t="shared" si="15"/>
        <v>-1.173045019873436E-2</v>
      </c>
    </row>
    <row r="496" spans="2:8" ht="14.25" customHeight="1" x14ac:dyDescent="0.35">
      <c r="B496" s="337">
        <v>44644</v>
      </c>
      <c r="C496" s="337"/>
      <c r="D496">
        <v>17222.75</v>
      </c>
      <c r="E496">
        <v>2641.97</v>
      </c>
      <c r="G496" s="338">
        <f t="shared" si="14"/>
        <v>-1.3278710863319999E-3</v>
      </c>
      <c r="H496" s="338">
        <f t="shared" si="15"/>
        <v>1.4865918633103681E-2</v>
      </c>
    </row>
    <row r="497" spans="2:8" ht="14.25" customHeight="1" x14ac:dyDescent="0.35">
      <c r="B497" s="337">
        <v>44645</v>
      </c>
      <c r="C497" s="337"/>
      <c r="D497">
        <v>17153</v>
      </c>
      <c r="E497">
        <v>2623.64</v>
      </c>
      <c r="G497" s="338">
        <f t="shared" si="14"/>
        <v>-4.0498758909001172E-3</v>
      </c>
      <c r="H497" s="338">
        <f t="shared" si="15"/>
        <v>-6.9380045950559353E-3</v>
      </c>
    </row>
    <row r="498" spans="2:8" ht="14.25" customHeight="1" x14ac:dyDescent="0.35">
      <c r="B498" s="337">
        <v>44648</v>
      </c>
      <c r="C498" s="337"/>
      <c r="D498">
        <v>17222</v>
      </c>
      <c r="E498">
        <v>2713.86</v>
      </c>
      <c r="G498" s="338">
        <f t="shared" si="14"/>
        <v>4.022619949862998E-3</v>
      </c>
      <c r="H498" s="338">
        <f t="shared" si="15"/>
        <v>3.4387339726486964E-2</v>
      </c>
    </row>
    <row r="499" spans="2:8" ht="14.25" customHeight="1" x14ac:dyDescent="0.35">
      <c r="B499" s="337">
        <v>44649</v>
      </c>
      <c r="C499" s="337"/>
      <c r="D499">
        <v>17325.3</v>
      </c>
      <c r="E499">
        <v>2751.23</v>
      </c>
      <c r="G499" s="338">
        <f t="shared" si="14"/>
        <v>5.9981419115084931E-3</v>
      </c>
      <c r="H499" s="338">
        <f t="shared" si="15"/>
        <v>1.3770054461173343E-2</v>
      </c>
    </row>
    <row r="500" spans="2:8" ht="14.25" customHeight="1" x14ac:dyDescent="0.35">
      <c r="B500" s="337">
        <v>44650</v>
      </c>
      <c r="C500" s="337"/>
      <c r="D500">
        <v>17498.25</v>
      </c>
      <c r="E500">
        <v>2740.5</v>
      </c>
      <c r="G500" s="338">
        <f t="shared" si="14"/>
        <v>9.982511125348521E-3</v>
      </c>
      <c r="H500" s="338">
        <f t="shared" si="15"/>
        <v>-3.9000737851797264E-3</v>
      </c>
    </row>
    <row r="501" spans="2:8" ht="14.25" customHeight="1" x14ac:dyDescent="0.35">
      <c r="B501" s="337">
        <v>44651</v>
      </c>
      <c r="C501" s="337"/>
      <c r="D501">
        <v>17464.75</v>
      </c>
      <c r="E501">
        <v>2778.85</v>
      </c>
      <c r="G501" s="338">
        <f t="shared" si="14"/>
        <v>-1.9144771620019144E-3</v>
      </c>
      <c r="H501" s="338">
        <f t="shared" si="15"/>
        <v>1.3993796752417409E-2</v>
      </c>
    </row>
    <row r="502" spans="2:8" ht="14.25" customHeight="1" x14ac:dyDescent="0.35">
      <c r="B502" s="337">
        <v>44652</v>
      </c>
      <c r="C502" s="337"/>
      <c r="D502">
        <v>17670.45</v>
      </c>
      <c r="E502">
        <v>2851.49</v>
      </c>
      <c r="G502" s="338">
        <f t="shared" si="14"/>
        <v>1.1778009991554459E-2</v>
      </c>
      <c r="H502" s="338">
        <f t="shared" si="15"/>
        <v>2.6140309840401561E-2</v>
      </c>
    </row>
    <row r="503" spans="2:8" ht="14.25" customHeight="1" x14ac:dyDescent="0.35">
      <c r="B503" s="337">
        <v>44655</v>
      </c>
      <c r="C503" s="337"/>
      <c r="D503">
        <v>18053.400000000001</v>
      </c>
      <c r="E503">
        <v>2857.01</v>
      </c>
      <c r="G503" s="338">
        <f t="shared" si="14"/>
        <v>2.1671774063478901E-2</v>
      </c>
      <c r="H503" s="338">
        <f t="shared" si="15"/>
        <v>1.9358300397337661E-3</v>
      </c>
    </row>
    <row r="504" spans="2:8" ht="14.25" customHeight="1" x14ac:dyDescent="0.35">
      <c r="B504" s="337">
        <v>44656</v>
      </c>
      <c r="C504" s="337"/>
      <c r="D504">
        <v>17957.400000000001</v>
      </c>
      <c r="E504">
        <v>2941.97</v>
      </c>
      <c r="G504" s="338">
        <f t="shared" si="14"/>
        <v>-5.3175579115291296E-3</v>
      </c>
      <c r="H504" s="338">
        <f t="shared" si="15"/>
        <v>2.9737382788299509E-2</v>
      </c>
    </row>
    <row r="505" spans="2:8" ht="14.25" customHeight="1" x14ac:dyDescent="0.35">
      <c r="B505" s="337">
        <v>44657</v>
      </c>
      <c r="C505" s="337"/>
      <c r="D505">
        <v>17807.650000000001</v>
      </c>
      <c r="E505">
        <v>2953.84</v>
      </c>
      <c r="G505" s="338">
        <f t="shared" si="14"/>
        <v>-8.3391805049728793E-3</v>
      </c>
      <c r="H505" s="338">
        <f t="shared" si="15"/>
        <v>4.0347114348549939E-3</v>
      </c>
    </row>
    <row r="506" spans="2:8" ht="14.25" customHeight="1" x14ac:dyDescent="0.35">
      <c r="B506" s="337">
        <v>44658</v>
      </c>
      <c r="C506" s="337"/>
      <c r="D506">
        <v>17639.55</v>
      </c>
      <c r="E506">
        <v>2926.86</v>
      </c>
      <c r="G506" s="338">
        <f t="shared" si="14"/>
        <v>-9.4397632478177736E-3</v>
      </c>
      <c r="H506" s="338">
        <f t="shared" si="15"/>
        <v>-9.133873195569164E-3</v>
      </c>
    </row>
    <row r="507" spans="2:8" ht="14.25" customHeight="1" x14ac:dyDescent="0.35">
      <c r="B507" s="337">
        <v>44659</v>
      </c>
      <c r="C507" s="337"/>
      <c r="D507">
        <v>17784.349999999999</v>
      </c>
      <c r="E507">
        <v>2981.12</v>
      </c>
      <c r="G507" s="338">
        <f t="shared" si="14"/>
        <v>8.2088261888766598E-3</v>
      </c>
      <c r="H507" s="338">
        <f t="shared" si="15"/>
        <v>1.8538638677627138E-2</v>
      </c>
    </row>
    <row r="508" spans="2:8" ht="14.25" customHeight="1" x14ac:dyDescent="0.35">
      <c r="B508" s="337">
        <v>44662</v>
      </c>
      <c r="C508" s="337"/>
      <c r="D508">
        <v>17674.95</v>
      </c>
      <c r="E508">
        <v>3001.34</v>
      </c>
      <c r="G508" s="338">
        <f t="shared" si="14"/>
        <v>-6.1514758762618721E-3</v>
      </c>
      <c r="H508" s="338">
        <f t="shared" si="15"/>
        <v>6.7826857020181191E-3</v>
      </c>
    </row>
    <row r="509" spans="2:8" ht="14.25" customHeight="1" x14ac:dyDescent="0.35">
      <c r="B509" s="337">
        <v>44663</v>
      </c>
      <c r="C509" s="337"/>
      <c r="D509">
        <v>17530.3</v>
      </c>
      <c r="E509">
        <v>2965.37</v>
      </c>
      <c r="G509" s="338">
        <f t="shared" si="14"/>
        <v>-8.1838986814673567E-3</v>
      </c>
      <c r="H509" s="338">
        <f t="shared" si="15"/>
        <v>-1.1984646857736961E-2</v>
      </c>
    </row>
    <row r="510" spans="2:8" ht="14.25" customHeight="1" x14ac:dyDescent="0.35">
      <c r="B510" s="337">
        <v>44664</v>
      </c>
      <c r="C510" s="337"/>
      <c r="D510">
        <v>17475.650000000001</v>
      </c>
      <c r="E510">
        <v>2969.09</v>
      </c>
      <c r="G510" s="338">
        <f t="shared" si="14"/>
        <v>-3.1174594844353958E-3</v>
      </c>
      <c r="H510" s="338">
        <f t="shared" si="15"/>
        <v>1.25448089108619E-3</v>
      </c>
    </row>
    <row r="511" spans="2:8" ht="14.25" customHeight="1" x14ac:dyDescent="0.35">
      <c r="B511" s="337">
        <v>44669</v>
      </c>
      <c r="C511" s="337"/>
      <c r="D511">
        <v>17173.650000000001</v>
      </c>
      <c r="E511">
        <v>3016.99</v>
      </c>
      <c r="G511" s="338">
        <f t="shared" si="14"/>
        <v>-1.7281188396425881E-2</v>
      </c>
      <c r="H511" s="338">
        <f t="shared" si="15"/>
        <v>1.6132889201741826E-2</v>
      </c>
    </row>
    <row r="512" spans="2:8" ht="14.25" customHeight="1" x14ac:dyDescent="0.35">
      <c r="B512" s="337">
        <v>44670</v>
      </c>
      <c r="C512" s="337"/>
      <c r="D512">
        <v>16958.650000000001</v>
      </c>
      <c r="E512">
        <v>2975.9</v>
      </c>
      <c r="G512" s="338">
        <f t="shared" si="14"/>
        <v>-1.2519179091224054E-2</v>
      </c>
      <c r="H512" s="338">
        <f t="shared" si="15"/>
        <v>-1.361953470180534E-2</v>
      </c>
    </row>
    <row r="513" spans="2:8" ht="14.25" customHeight="1" x14ac:dyDescent="0.35">
      <c r="B513" s="337">
        <v>44671</v>
      </c>
      <c r="C513" s="337"/>
      <c r="D513">
        <v>17136.55</v>
      </c>
      <c r="E513">
        <v>2944.6</v>
      </c>
      <c r="G513" s="338">
        <f t="shared" si="14"/>
        <v>1.049022180421188E-2</v>
      </c>
      <c r="H513" s="338">
        <f t="shared" si="15"/>
        <v>-1.0517826539870353E-2</v>
      </c>
    </row>
    <row r="514" spans="2:8" ht="14.25" customHeight="1" x14ac:dyDescent="0.35">
      <c r="B514" s="337">
        <v>44672</v>
      </c>
      <c r="C514" s="337"/>
      <c r="D514">
        <v>17392.599999999999</v>
      </c>
      <c r="E514">
        <v>2966.61</v>
      </c>
      <c r="G514" s="338">
        <f t="shared" si="14"/>
        <v>1.4941747317867323E-2</v>
      </c>
      <c r="H514" s="338">
        <f t="shared" si="15"/>
        <v>7.4746994498404605E-3</v>
      </c>
    </row>
    <row r="515" spans="2:8" ht="14.25" customHeight="1" x14ac:dyDescent="0.35">
      <c r="B515" s="337">
        <v>44673</v>
      </c>
      <c r="C515" s="337"/>
      <c r="D515">
        <v>17171.95</v>
      </c>
      <c r="E515">
        <v>2950.86</v>
      </c>
      <c r="G515" s="338">
        <f t="shared" si="14"/>
        <v>-1.2686429860975233E-2</v>
      </c>
      <c r="H515" s="338">
        <f t="shared" si="15"/>
        <v>-5.30909017363253E-3</v>
      </c>
    </row>
    <row r="516" spans="2:8" ht="14.25" customHeight="1" x14ac:dyDescent="0.35">
      <c r="B516" s="337">
        <v>44676</v>
      </c>
      <c r="C516" s="337"/>
      <c r="D516">
        <v>16953.95</v>
      </c>
      <c r="E516">
        <v>2832.31</v>
      </c>
      <c r="G516" s="338">
        <f t="shared" si="14"/>
        <v>-1.2695121986728355E-2</v>
      </c>
      <c r="H516" s="338">
        <f t="shared" si="15"/>
        <v>-4.0174728723151955E-2</v>
      </c>
    </row>
    <row r="517" spans="2:8" ht="14.25" customHeight="1" x14ac:dyDescent="0.35">
      <c r="B517" s="337">
        <v>44677</v>
      </c>
      <c r="C517" s="337"/>
      <c r="D517">
        <v>17200.8</v>
      </c>
      <c r="E517">
        <v>2815.12</v>
      </c>
      <c r="G517" s="338">
        <f t="shared" si="14"/>
        <v>1.4560028783852643E-2</v>
      </c>
      <c r="H517" s="338">
        <f t="shared" si="15"/>
        <v>-6.0692508941464938E-3</v>
      </c>
    </row>
    <row r="518" spans="2:8" ht="14.25" customHeight="1" x14ac:dyDescent="0.35">
      <c r="B518" s="337">
        <v>44678</v>
      </c>
      <c r="C518" s="337"/>
      <c r="D518">
        <v>17038.400000000001</v>
      </c>
      <c r="E518">
        <v>2747.75</v>
      </c>
      <c r="G518" s="338">
        <f t="shared" si="14"/>
        <v>-9.4414213292403747E-3</v>
      </c>
      <c r="H518" s="338">
        <f t="shared" si="15"/>
        <v>-2.3931484270652722E-2</v>
      </c>
    </row>
    <row r="519" spans="2:8" ht="14.25" customHeight="1" x14ac:dyDescent="0.35">
      <c r="B519" s="337">
        <v>44679</v>
      </c>
      <c r="C519" s="337"/>
      <c r="D519">
        <v>17245.05</v>
      </c>
      <c r="E519">
        <v>2770.9</v>
      </c>
      <c r="G519" s="338">
        <f t="shared" ref="G519:G582" si="16">(D519-D518)/D518</f>
        <v>1.2128486242839574E-2</v>
      </c>
      <c r="H519" s="338">
        <f t="shared" ref="H519:H582" si="17">(E519-E518)/E518</f>
        <v>8.425075061413918E-3</v>
      </c>
    </row>
    <row r="520" spans="2:8" ht="14.25" customHeight="1" x14ac:dyDescent="0.35">
      <c r="B520" s="337">
        <v>44680</v>
      </c>
      <c r="C520" s="337"/>
      <c r="D520">
        <v>17102.55</v>
      </c>
      <c r="E520">
        <v>2743.48</v>
      </c>
      <c r="G520" s="338">
        <f t="shared" si="16"/>
        <v>-8.2632407560430388E-3</v>
      </c>
      <c r="H520" s="338">
        <f t="shared" si="17"/>
        <v>-9.8957017575517243E-3</v>
      </c>
    </row>
    <row r="521" spans="2:8" ht="14.25" customHeight="1" x14ac:dyDescent="0.35">
      <c r="B521" s="337">
        <v>44683</v>
      </c>
      <c r="C521" s="337"/>
      <c r="D521">
        <v>17069.099999999999</v>
      </c>
      <c r="E521">
        <v>2900.53</v>
      </c>
      <c r="G521" s="338">
        <f t="shared" si="16"/>
        <v>-1.9558486892305958E-3</v>
      </c>
      <c r="H521" s="338">
        <f t="shared" si="17"/>
        <v>5.7244813157012325E-2</v>
      </c>
    </row>
    <row r="522" spans="2:8" ht="14.25" customHeight="1" x14ac:dyDescent="0.35">
      <c r="B522" s="337">
        <v>44685</v>
      </c>
      <c r="C522" s="337"/>
      <c r="D522">
        <v>16677.599999999999</v>
      </c>
      <c r="E522">
        <v>2978.53</v>
      </c>
      <c r="G522" s="338">
        <f t="shared" si="16"/>
        <v>-2.2936182927043608E-2</v>
      </c>
      <c r="H522" s="338">
        <f t="shared" si="17"/>
        <v>2.6891637045643381E-2</v>
      </c>
    </row>
    <row r="523" spans="2:8" ht="14.25" customHeight="1" x14ac:dyDescent="0.35">
      <c r="B523" s="337">
        <v>44686</v>
      </c>
      <c r="C523" s="337"/>
      <c r="D523">
        <v>16682.650000000001</v>
      </c>
      <c r="E523">
        <v>2979.97</v>
      </c>
      <c r="G523" s="338">
        <f t="shared" si="16"/>
        <v>3.0280136230650159E-4</v>
      </c>
      <c r="H523" s="338">
        <f t="shared" si="17"/>
        <v>4.834599617930992E-4</v>
      </c>
    </row>
    <row r="524" spans="2:8" ht="14.25" customHeight="1" x14ac:dyDescent="0.35">
      <c r="B524" s="337">
        <v>44687</v>
      </c>
      <c r="C524" s="337"/>
      <c r="D524">
        <v>16411.25</v>
      </c>
      <c r="E524">
        <v>2964.82</v>
      </c>
      <c r="G524" s="338">
        <f t="shared" si="16"/>
        <v>-1.6268398605737183E-2</v>
      </c>
      <c r="H524" s="338">
        <f t="shared" si="17"/>
        <v>-5.0839437980918049E-3</v>
      </c>
    </row>
    <row r="525" spans="2:8" ht="14.25" customHeight="1" x14ac:dyDescent="0.35">
      <c r="B525" s="337">
        <v>44690</v>
      </c>
      <c r="C525" s="337"/>
      <c r="D525">
        <v>16301.85</v>
      </c>
      <c r="E525">
        <v>2964.82</v>
      </c>
      <c r="G525" s="338">
        <f t="shared" si="16"/>
        <v>-6.6661588849112434E-3</v>
      </c>
      <c r="H525" s="338">
        <f t="shared" si="17"/>
        <v>0</v>
      </c>
    </row>
    <row r="526" spans="2:8" ht="14.25" customHeight="1" x14ac:dyDescent="0.35">
      <c r="B526" s="337">
        <v>44691</v>
      </c>
      <c r="C526" s="337"/>
      <c r="D526">
        <v>16240.05</v>
      </c>
      <c r="E526">
        <v>2883.98</v>
      </c>
      <c r="G526" s="338">
        <f t="shared" si="16"/>
        <v>-3.7909807782552955E-3</v>
      </c>
      <c r="H526" s="338">
        <f t="shared" si="17"/>
        <v>-2.7266410777045533E-2</v>
      </c>
    </row>
    <row r="527" spans="2:8" ht="14.25" customHeight="1" x14ac:dyDescent="0.35">
      <c r="B527" s="337">
        <v>44692</v>
      </c>
      <c r="C527" s="337"/>
      <c r="D527">
        <v>16167.1</v>
      </c>
      <c r="E527">
        <v>2802.55</v>
      </c>
      <c r="G527" s="338">
        <f t="shared" si="16"/>
        <v>-4.4919812439000442E-3</v>
      </c>
      <c r="H527" s="338">
        <f t="shared" si="17"/>
        <v>-2.8235285958987177E-2</v>
      </c>
    </row>
    <row r="528" spans="2:8" ht="14.25" customHeight="1" x14ac:dyDescent="0.35">
      <c r="B528" s="337">
        <v>44693</v>
      </c>
      <c r="C528" s="337"/>
      <c r="D528">
        <v>15808</v>
      </c>
      <c r="E528">
        <v>2763.55</v>
      </c>
      <c r="G528" s="338">
        <f t="shared" si="16"/>
        <v>-2.2211775766835137E-2</v>
      </c>
      <c r="H528" s="338">
        <f t="shared" si="17"/>
        <v>-1.3915898021444755E-2</v>
      </c>
    </row>
    <row r="529" spans="2:8" ht="14.25" customHeight="1" x14ac:dyDescent="0.35">
      <c r="B529" s="337">
        <v>44694</v>
      </c>
      <c r="C529" s="337"/>
      <c r="D529">
        <v>15782.15</v>
      </c>
      <c r="E529">
        <v>2765.69</v>
      </c>
      <c r="G529" s="338">
        <f t="shared" si="16"/>
        <v>-1.6352479757085251E-3</v>
      </c>
      <c r="H529" s="338">
        <f t="shared" si="17"/>
        <v>7.7436630421011832E-4</v>
      </c>
    </row>
    <row r="530" spans="2:8" ht="14.25" customHeight="1" x14ac:dyDescent="0.35">
      <c r="B530" s="337">
        <v>44697</v>
      </c>
      <c r="C530" s="337"/>
      <c r="D530">
        <v>15842.3</v>
      </c>
      <c r="E530">
        <v>2777.46</v>
      </c>
      <c r="G530" s="338">
        <f t="shared" si="16"/>
        <v>3.8112677930446509E-3</v>
      </c>
      <c r="H530" s="338">
        <f t="shared" si="17"/>
        <v>4.2557191876168264E-3</v>
      </c>
    </row>
    <row r="531" spans="2:8" ht="14.25" customHeight="1" x14ac:dyDescent="0.35">
      <c r="B531" s="337">
        <v>44698</v>
      </c>
      <c r="C531" s="337"/>
      <c r="D531">
        <v>16259.3</v>
      </c>
      <c r="E531">
        <v>2827.94</v>
      </c>
      <c r="G531" s="338">
        <f t="shared" si="16"/>
        <v>2.6321935577536093E-2</v>
      </c>
      <c r="H531" s="338">
        <f t="shared" si="17"/>
        <v>1.8174879206181195E-2</v>
      </c>
    </row>
    <row r="532" spans="2:8" ht="14.25" customHeight="1" x14ac:dyDescent="0.35">
      <c r="B532" s="337">
        <v>44699</v>
      </c>
      <c r="C532" s="337"/>
      <c r="D532">
        <v>16240.3</v>
      </c>
      <c r="E532">
        <v>2868.73</v>
      </c>
      <c r="G532" s="338">
        <f t="shared" si="16"/>
        <v>-1.1685619922136869E-3</v>
      </c>
      <c r="H532" s="338">
        <f t="shared" si="17"/>
        <v>1.4423926957431898E-2</v>
      </c>
    </row>
    <row r="533" spans="2:8" ht="14.25" customHeight="1" x14ac:dyDescent="0.35">
      <c r="B533" s="337">
        <v>44700</v>
      </c>
      <c r="C533" s="337"/>
      <c r="D533">
        <v>15809.4</v>
      </c>
      <c r="E533">
        <v>2866.2</v>
      </c>
      <c r="G533" s="338">
        <f t="shared" si="16"/>
        <v>-2.6532761094314739E-2</v>
      </c>
      <c r="H533" s="338">
        <f t="shared" si="17"/>
        <v>-8.8192335981434299E-4</v>
      </c>
    </row>
    <row r="534" spans="2:8" ht="14.25" customHeight="1" x14ac:dyDescent="0.35">
      <c r="B534" s="337">
        <v>44701</v>
      </c>
      <c r="C534" s="337"/>
      <c r="D534">
        <v>16266.15</v>
      </c>
      <c r="E534">
        <v>2779.7</v>
      </c>
      <c r="G534" s="338">
        <f t="shared" si="16"/>
        <v>2.8891039508140728E-2</v>
      </c>
      <c r="H534" s="338">
        <f t="shared" si="17"/>
        <v>-3.0179331519084505E-2</v>
      </c>
    </row>
    <row r="535" spans="2:8" ht="14.25" customHeight="1" x14ac:dyDescent="0.35">
      <c r="B535" s="337">
        <v>44704</v>
      </c>
      <c r="C535" s="337"/>
      <c r="D535">
        <v>16214.7</v>
      </c>
      <c r="E535">
        <v>2666.61</v>
      </c>
      <c r="G535" s="338">
        <f t="shared" si="16"/>
        <v>-3.1630103005320194E-3</v>
      </c>
      <c r="H535" s="338">
        <f t="shared" si="17"/>
        <v>-4.0684246501420905E-2</v>
      </c>
    </row>
    <row r="536" spans="2:8" ht="14.25" customHeight="1" x14ac:dyDescent="0.35">
      <c r="B536" s="337">
        <v>44705</v>
      </c>
      <c r="C536" s="337"/>
      <c r="D536">
        <v>16125.15</v>
      </c>
      <c r="E536">
        <v>2706.06</v>
      </c>
      <c r="G536" s="338">
        <f t="shared" si="16"/>
        <v>-5.5227663786564718E-3</v>
      </c>
      <c r="H536" s="338">
        <f t="shared" si="17"/>
        <v>1.4794064373867875E-2</v>
      </c>
    </row>
    <row r="537" spans="2:8" ht="14.25" customHeight="1" x14ac:dyDescent="0.35">
      <c r="B537" s="337">
        <v>44706</v>
      </c>
      <c r="C537" s="337"/>
      <c r="D537">
        <v>16025.8</v>
      </c>
      <c r="E537">
        <v>2562.92</v>
      </c>
      <c r="G537" s="338">
        <f t="shared" si="16"/>
        <v>-6.1611829967473395E-3</v>
      </c>
      <c r="H537" s="338">
        <f t="shared" si="17"/>
        <v>-5.2896092473928839E-2</v>
      </c>
    </row>
    <row r="538" spans="2:8" ht="14.25" customHeight="1" x14ac:dyDescent="0.35">
      <c r="B538" s="337">
        <v>44707</v>
      </c>
      <c r="C538" s="337"/>
      <c r="D538">
        <v>16170.15</v>
      </c>
      <c r="E538">
        <v>2545.48</v>
      </c>
      <c r="G538" s="338">
        <f t="shared" si="16"/>
        <v>9.0073506470816044E-3</v>
      </c>
      <c r="H538" s="338">
        <f t="shared" si="17"/>
        <v>-6.8047383453248853E-3</v>
      </c>
    </row>
    <row r="539" spans="2:8" ht="14.25" customHeight="1" x14ac:dyDescent="0.35">
      <c r="B539" s="337">
        <v>44708</v>
      </c>
      <c r="C539" s="337"/>
      <c r="D539">
        <v>16352.45</v>
      </c>
      <c r="E539">
        <v>2562.6799999999998</v>
      </c>
      <c r="G539" s="338">
        <f t="shared" si="16"/>
        <v>1.1273859549849637E-2</v>
      </c>
      <c r="H539" s="338">
        <f t="shared" si="17"/>
        <v>6.7570752863899217E-3</v>
      </c>
    </row>
    <row r="540" spans="2:8" ht="14.25" customHeight="1" x14ac:dyDescent="0.35">
      <c r="B540" s="337">
        <v>44711</v>
      </c>
      <c r="C540" s="337"/>
      <c r="D540">
        <v>16661.400000000001</v>
      </c>
      <c r="E540">
        <v>2697.72</v>
      </c>
      <c r="G540" s="338">
        <f t="shared" si="16"/>
        <v>1.8893193374693133E-2</v>
      </c>
      <c r="H540" s="338">
        <f t="shared" si="17"/>
        <v>5.2694835094510423E-2</v>
      </c>
    </row>
    <row r="541" spans="2:8" ht="14.25" customHeight="1" x14ac:dyDescent="0.35">
      <c r="B541" s="337">
        <v>44712</v>
      </c>
      <c r="C541" s="337"/>
      <c r="D541">
        <v>16584.55</v>
      </c>
      <c r="E541">
        <v>2611.21</v>
      </c>
      <c r="G541" s="338">
        <f t="shared" si="16"/>
        <v>-4.61245753658169E-3</v>
      </c>
      <c r="H541" s="338">
        <f t="shared" si="17"/>
        <v>-3.2067820233382179E-2</v>
      </c>
    </row>
    <row r="542" spans="2:8" ht="14.25" customHeight="1" x14ac:dyDescent="0.35">
      <c r="B542" s="337">
        <v>44713</v>
      </c>
      <c r="C542" s="337"/>
      <c r="D542">
        <v>16522.75</v>
      </c>
      <c r="E542">
        <v>2611.7600000000002</v>
      </c>
      <c r="G542" s="338">
        <f t="shared" si="16"/>
        <v>-3.7263597746094571E-3</v>
      </c>
      <c r="H542" s="338">
        <f t="shared" si="17"/>
        <v>2.1063032080919646E-4</v>
      </c>
    </row>
    <row r="543" spans="2:8" ht="14.25" customHeight="1" x14ac:dyDescent="0.35">
      <c r="B543" s="337">
        <v>44714</v>
      </c>
      <c r="C543" s="337"/>
      <c r="D543">
        <v>16628</v>
      </c>
      <c r="E543">
        <v>2607.27</v>
      </c>
      <c r="G543" s="338">
        <f t="shared" si="16"/>
        <v>6.3700049931155528E-3</v>
      </c>
      <c r="H543" s="338">
        <f t="shared" si="17"/>
        <v>-1.7191472417068321E-3</v>
      </c>
    </row>
    <row r="544" spans="2:8" ht="14.25" customHeight="1" x14ac:dyDescent="0.35">
      <c r="B544" s="337">
        <v>44715</v>
      </c>
      <c r="C544" s="337"/>
      <c r="D544">
        <v>16584.3</v>
      </c>
      <c r="E544">
        <v>2793.39</v>
      </c>
      <c r="G544" s="338">
        <f t="shared" si="16"/>
        <v>-2.6280971854703346E-3</v>
      </c>
      <c r="H544" s="338">
        <f t="shared" si="17"/>
        <v>7.1385011909008228E-2</v>
      </c>
    </row>
    <row r="545" spans="2:8" ht="14.25" customHeight="1" x14ac:dyDescent="0.35">
      <c r="B545" s="337">
        <v>44718</v>
      </c>
      <c r="C545" s="337"/>
      <c r="D545">
        <v>16569.55</v>
      </c>
      <c r="E545">
        <v>2779.94</v>
      </c>
      <c r="G545" s="338">
        <f t="shared" si="16"/>
        <v>-8.8939539202739944E-4</v>
      </c>
      <c r="H545" s="338">
        <f t="shared" si="17"/>
        <v>-4.8149381217802807E-3</v>
      </c>
    </row>
    <row r="546" spans="2:8" ht="14.25" customHeight="1" x14ac:dyDescent="0.35">
      <c r="B546" s="337">
        <v>44719</v>
      </c>
      <c r="C546" s="337"/>
      <c r="D546">
        <v>16416.349999999999</v>
      </c>
      <c r="E546">
        <v>2766.23</v>
      </c>
      <c r="G546" s="338">
        <f t="shared" si="16"/>
        <v>-9.2458757178077097E-3</v>
      </c>
      <c r="H546" s="338">
        <f t="shared" si="17"/>
        <v>-4.931761117146426E-3</v>
      </c>
    </row>
    <row r="547" spans="2:8" ht="14.25" customHeight="1" x14ac:dyDescent="0.35">
      <c r="B547" s="337">
        <v>44720</v>
      </c>
      <c r="C547" s="337"/>
      <c r="D547">
        <v>16356.25</v>
      </c>
      <c r="E547">
        <v>2797.97</v>
      </c>
      <c r="G547" s="338">
        <f t="shared" si="16"/>
        <v>-3.6609843235553916E-3</v>
      </c>
      <c r="H547" s="338">
        <f t="shared" si="17"/>
        <v>1.1474100129056435E-2</v>
      </c>
    </row>
    <row r="548" spans="2:8" ht="14.25" customHeight="1" x14ac:dyDescent="0.35">
      <c r="B548" s="337">
        <v>44721</v>
      </c>
      <c r="C548" s="337"/>
      <c r="D548">
        <v>16478.099999999999</v>
      </c>
      <c r="E548">
        <v>2759.51</v>
      </c>
      <c r="G548" s="338">
        <f t="shared" si="16"/>
        <v>7.4497516239968543E-3</v>
      </c>
      <c r="H548" s="338">
        <f t="shared" si="17"/>
        <v>-1.3745679903644279E-2</v>
      </c>
    </row>
    <row r="549" spans="2:8" ht="14.25" customHeight="1" x14ac:dyDescent="0.35">
      <c r="B549" s="337">
        <v>44722</v>
      </c>
      <c r="C549" s="337"/>
      <c r="D549">
        <v>16201.8</v>
      </c>
      <c r="E549">
        <v>2846.56</v>
      </c>
      <c r="G549" s="338">
        <f t="shared" si="16"/>
        <v>-1.6767709869463063E-2</v>
      </c>
      <c r="H549" s="338">
        <f t="shared" si="17"/>
        <v>3.15454555337722E-2</v>
      </c>
    </row>
    <row r="550" spans="2:8" ht="14.25" customHeight="1" x14ac:dyDescent="0.35">
      <c r="B550" s="337">
        <v>44725</v>
      </c>
      <c r="C550" s="337"/>
      <c r="D550">
        <v>15774.4</v>
      </c>
      <c r="E550">
        <v>2762.05</v>
      </c>
      <c r="G550" s="338">
        <f t="shared" si="16"/>
        <v>-2.6379784962164678E-2</v>
      </c>
      <c r="H550" s="338">
        <f t="shared" si="17"/>
        <v>-2.9688466078354143E-2</v>
      </c>
    </row>
    <row r="551" spans="2:8" ht="14.25" customHeight="1" x14ac:dyDescent="0.35">
      <c r="B551" s="337">
        <v>44726</v>
      </c>
      <c r="C551" s="337"/>
      <c r="D551">
        <v>15732.1</v>
      </c>
      <c r="E551">
        <v>2712.37</v>
      </c>
      <c r="G551" s="338">
        <f t="shared" si="16"/>
        <v>-2.6815599959427471E-3</v>
      </c>
      <c r="H551" s="338">
        <f t="shared" si="17"/>
        <v>-1.7986640357705433E-2</v>
      </c>
    </row>
    <row r="552" spans="2:8" ht="14.25" customHeight="1" x14ac:dyDescent="0.35">
      <c r="B552" s="337">
        <v>44727</v>
      </c>
      <c r="C552" s="337"/>
      <c r="D552">
        <v>15692.15</v>
      </c>
      <c r="E552">
        <v>2740.97</v>
      </c>
      <c r="G552" s="338">
        <f t="shared" si="16"/>
        <v>-2.5393939779178067E-3</v>
      </c>
      <c r="H552" s="338">
        <f t="shared" si="17"/>
        <v>1.0544284150023746E-2</v>
      </c>
    </row>
    <row r="553" spans="2:8" ht="14.25" customHeight="1" x14ac:dyDescent="0.35">
      <c r="B553" s="337">
        <v>44728</v>
      </c>
      <c r="C553" s="337"/>
      <c r="D553">
        <v>15360.6</v>
      </c>
      <c r="E553">
        <v>2749.99</v>
      </c>
      <c r="G553" s="338">
        <f t="shared" si="16"/>
        <v>-2.1128398594201514E-2</v>
      </c>
      <c r="H553" s="338">
        <f t="shared" si="17"/>
        <v>3.2908058096221345E-3</v>
      </c>
    </row>
    <row r="554" spans="2:8" ht="14.25" customHeight="1" x14ac:dyDescent="0.35">
      <c r="B554" s="337">
        <v>44729</v>
      </c>
      <c r="C554" s="337"/>
      <c r="D554">
        <v>15293.5</v>
      </c>
      <c r="E554">
        <v>2751.63</v>
      </c>
      <c r="G554" s="338">
        <f t="shared" si="16"/>
        <v>-4.3683189458745336E-3</v>
      </c>
      <c r="H554" s="338">
        <f t="shared" si="17"/>
        <v>5.9636580496668257E-4</v>
      </c>
    </row>
    <row r="555" spans="2:8" ht="14.25" customHeight="1" x14ac:dyDescent="0.35">
      <c r="B555" s="337">
        <v>44732</v>
      </c>
      <c r="C555" s="337"/>
      <c r="D555">
        <v>15350.15</v>
      </c>
      <c r="E555">
        <v>2691.89</v>
      </c>
      <c r="G555" s="338">
        <f t="shared" si="16"/>
        <v>3.7041880537483007E-3</v>
      </c>
      <c r="H555" s="338">
        <f t="shared" si="17"/>
        <v>-2.1710767799449866E-2</v>
      </c>
    </row>
    <row r="556" spans="2:8" ht="14.25" customHeight="1" x14ac:dyDescent="0.35">
      <c r="B556" s="337">
        <v>44733</v>
      </c>
      <c r="C556" s="337"/>
      <c r="D556">
        <v>15638.8</v>
      </c>
      <c r="E556">
        <v>2783.12</v>
      </c>
      <c r="G556" s="338">
        <f t="shared" si="16"/>
        <v>1.8804376504464104E-2</v>
      </c>
      <c r="H556" s="338">
        <f t="shared" si="17"/>
        <v>3.3890686469357965E-2</v>
      </c>
    </row>
    <row r="557" spans="2:8" ht="14.25" customHeight="1" x14ac:dyDescent="0.35">
      <c r="B557" s="337">
        <v>44734</v>
      </c>
      <c r="C557" s="337"/>
      <c r="D557">
        <v>15413.3</v>
      </c>
      <c r="E557">
        <v>2732.4</v>
      </c>
      <c r="G557" s="338">
        <f t="shared" si="16"/>
        <v>-1.4419264905235697E-2</v>
      </c>
      <c r="H557" s="338">
        <f t="shared" si="17"/>
        <v>-1.8224151312196311E-2</v>
      </c>
    </row>
    <row r="558" spans="2:8" ht="14.25" customHeight="1" x14ac:dyDescent="0.35">
      <c r="B558" s="337">
        <v>44735</v>
      </c>
      <c r="C558" s="337"/>
      <c r="D558">
        <v>15556.65</v>
      </c>
      <c r="E558">
        <v>2755.17</v>
      </c>
      <c r="G558" s="338">
        <f t="shared" si="16"/>
        <v>9.3004093866985247E-3</v>
      </c>
      <c r="H558" s="338">
        <f t="shared" si="17"/>
        <v>8.3333333333333263E-3</v>
      </c>
    </row>
    <row r="559" spans="2:8" ht="14.25" customHeight="1" x14ac:dyDescent="0.35">
      <c r="B559" s="337">
        <v>44736</v>
      </c>
      <c r="C559" s="337"/>
      <c r="D559">
        <v>15699.25</v>
      </c>
      <c r="E559">
        <v>2747.3</v>
      </c>
      <c r="G559" s="338">
        <f t="shared" si="16"/>
        <v>9.1664979285386236E-3</v>
      </c>
      <c r="H559" s="338">
        <f t="shared" si="17"/>
        <v>-2.8564480594663452E-3</v>
      </c>
    </row>
    <row r="560" spans="2:8" ht="14.25" customHeight="1" x14ac:dyDescent="0.35">
      <c r="B560" s="337">
        <v>44739</v>
      </c>
      <c r="C560" s="337"/>
      <c r="D560">
        <v>15832.05</v>
      </c>
      <c r="E560">
        <v>2737.78</v>
      </c>
      <c r="G560" s="338">
        <f t="shared" si="16"/>
        <v>8.4590028186059384E-3</v>
      </c>
      <c r="H560" s="338">
        <f t="shared" si="17"/>
        <v>-3.4652203982091438E-3</v>
      </c>
    </row>
    <row r="561" spans="2:8" ht="14.25" customHeight="1" x14ac:dyDescent="0.35">
      <c r="B561" s="337">
        <v>44740</v>
      </c>
      <c r="C561" s="337"/>
      <c r="D561">
        <v>15850.2</v>
      </c>
      <c r="E561">
        <v>2743.66</v>
      </c>
      <c r="G561" s="338">
        <f t="shared" si="16"/>
        <v>1.1464087089164989E-3</v>
      </c>
      <c r="H561" s="338">
        <f t="shared" si="17"/>
        <v>2.1477255294434375E-3</v>
      </c>
    </row>
    <row r="562" spans="2:8" ht="14.25" customHeight="1" x14ac:dyDescent="0.35">
      <c r="B562" s="337">
        <v>44741</v>
      </c>
      <c r="C562" s="337"/>
      <c r="D562">
        <v>15799.1</v>
      </c>
      <c r="E562">
        <v>2728.36</v>
      </c>
      <c r="G562" s="338">
        <f t="shared" si="16"/>
        <v>-3.2239340828507123E-3</v>
      </c>
      <c r="H562" s="338">
        <f t="shared" si="17"/>
        <v>-5.5764927141117079E-3</v>
      </c>
    </row>
    <row r="563" spans="2:8" ht="14.25" customHeight="1" x14ac:dyDescent="0.35">
      <c r="B563" s="337">
        <v>44742</v>
      </c>
      <c r="C563" s="337"/>
      <c r="D563">
        <v>15780.25</v>
      </c>
      <c r="E563">
        <v>2735.99</v>
      </c>
      <c r="G563" s="338">
        <f t="shared" si="16"/>
        <v>-1.1931059364141225E-3</v>
      </c>
      <c r="H563" s="338">
        <f t="shared" si="17"/>
        <v>2.7965517746923623E-3</v>
      </c>
    </row>
    <row r="564" spans="2:8" ht="14.25" customHeight="1" x14ac:dyDescent="0.35">
      <c r="B564" s="337">
        <v>44743</v>
      </c>
      <c r="C564" s="337"/>
      <c r="D564">
        <v>15752.05</v>
      </c>
      <c r="E564">
        <v>2713.61</v>
      </c>
      <c r="G564" s="338">
        <f t="shared" si="16"/>
        <v>-1.7870439314966954E-3</v>
      </c>
      <c r="H564" s="338">
        <f t="shared" si="17"/>
        <v>-8.1798544585322524E-3</v>
      </c>
    </row>
    <row r="565" spans="2:8" ht="14.25" customHeight="1" x14ac:dyDescent="0.35">
      <c r="B565" s="337">
        <v>44746</v>
      </c>
      <c r="C565" s="337"/>
      <c r="D565">
        <v>15835.35</v>
      </c>
      <c r="E565">
        <v>2719.54</v>
      </c>
      <c r="G565" s="338">
        <f t="shared" si="16"/>
        <v>5.2882005834161963E-3</v>
      </c>
      <c r="H565" s="338">
        <f t="shared" si="17"/>
        <v>2.1852808620250646E-3</v>
      </c>
    </row>
    <row r="566" spans="2:8" ht="14.25" customHeight="1" x14ac:dyDescent="0.35">
      <c r="B566" s="337">
        <v>44747</v>
      </c>
      <c r="C566" s="337"/>
      <c r="D566">
        <v>15810.85</v>
      </c>
      <c r="E566">
        <v>2661.89</v>
      </c>
      <c r="G566" s="338">
        <f t="shared" si="16"/>
        <v>-1.5471713602793749E-3</v>
      </c>
      <c r="H566" s="338">
        <f t="shared" si="17"/>
        <v>-2.1198437971127505E-2</v>
      </c>
    </row>
    <row r="567" spans="2:8" ht="14.25" customHeight="1" x14ac:dyDescent="0.35">
      <c r="B567" s="337">
        <v>44748</v>
      </c>
      <c r="C567" s="337"/>
      <c r="D567">
        <v>15989.8</v>
      </c>
      <c r="E567">
        <v>2672.5</v>
      </c>
      <c r="G567" s="338">
        <f t="shared" si="16"/>
        <v>1.1318177074603763E-2</v>
      </c>
      <c r="H567" s="338">
        <f t="shared" si="17"/>
        <v>3.9858897249699004E-3</v>
      </c>
    </row>
    <row r="568" spans="2:8" ht="14.25" customHeight="1" x14ac:dyDescent="0.35">
      <c r="B568" s="337">
        <v>44749</v>
      </c>
      <c r="C568" s="337"/>
      <c r="D568">
        <v>16132.9</v>
      </c>
      <c r="E568">
        <v>2706.49</v>
      </c>
      <c r="G568" s="338">
        <f t="shared" si="16"/>
        <v>8.9494552777395816E-3</v>
      </c>
      <c r="H568" s="338">
        <f t="shared" si="17"/>
        <v>1.2718428437792247E-2</v>
      </c>
    </row>
    <row r="569" spans="2:8" ht="14.25" customHeight="1" x14ac:dyDescent="0.35">
      <c r="B569" s="337">
        <v>44750</v>
      </c>
      <c r="C569" s="337"/>
      <c r="D569">
        <v>16220.6</v>
      </c>
      <c r="E569">
        <v>2680.67</v>
      </c>
      <c r="G569" s="338">
        <f t="shared" si="16"/>
        <v>5.4360964240775514E-3</v>
      </c>
      <c r="H569" s="338">
        <f t="shared" si="17"/>
        <v>-9.5400315537835755E-3</v>
      </c>
    </row>
    <row r="570" spans="2:8" ht="14.25" customHeight="1" x14ac:dyDescent="0.35">
      <c r="B570" s="337">
        <v>44753</v>
      </c>
      <c r="C570" s="337"/>
      <c r="D570">
        <v>16216</v>
      </c>
      <c r="E570">
        <v>2700.31</v>
      </c>
      <c r="G570" s="338">
        <f t="shared" si="16"/>
        <v>-2.8359000283592243E-4</v>
      </c>
      <c r="H570" s="338">
        <f t="shared" si="17"/>
        <v>7.3265265773108483E-3</v>
      </c>
    </row>
    <row r="571" spans="2:8" ht="14.25" customHeight="1" x14ac:dyDescent="0.35">
      <c r="B571" s="337">
        <v>44754</v>
      </c>
      <c r="C571" s="337"/>
      <c r="D571">
        <v>16058.3</v>
      </c>
      <c r="E571">
        <v>2705.14</v>
      </c>
      <c r="G571" s="338">
        <f t="shared" si="16"/>
        <v>-9.724962999506705E-3</v>
      </c>
      <c r="H571" s="338">
        <f t="shared" si="17"/>
        <v>1.7886835215215763E-3</v>
      </c>
    </row>
    <row r="572" spans="2:8" ht="14.25" customHeight="1" x14ac:dyDescent="0.35">
      <c r="B572" s="337">
        <v>44755</v>
      </c>
      <c r="C572" s="337"/>
      <c r="D572">
        <v>15966.65</v>
      </c>
      <c r="E572">
        <v>2688</v>
      </c>
      <c r="G572" s="338">
        <f t="shared" si="16"/>
        <v>-5.7073289202468278E-3</v>
      </c>
      <c r="H572" s="338">
        <f t="shared" si="17"/>
        <v>-6.3360861175391567E-3</v>
      </c>
    </row>
    <row r="573" spans="2:8" ht="14.25" customHeight="1" x14ac:dyDescent="0.35">
      <c r="B573" s="337">
        <v>44756</v>
      </c>
      <c r="C573" s="337"/>
      <c r="D573">
        <v>15938.65</v>
      </c>
      <c r="E573">
        <v>2632.29</v>
      </c>
      <c r="G573" s="338">
        <f t="shared" si="16"/>
        <v>-1.7536552752142748E-3</v>
      </c>
      <c r="H573" s="338">
        <f t="shared" si="17"/>
        <v>-2.0725446428571444E-2</v>
      </c>
    </row>
    <row r="574" spans="2:8" ht="14.25" customHeight="1" x14ac:dyDescent="0.35">
      <c r="B574" s="337">
        <v>44757</v>
      </c>
      <c r="C574" s="337"/>
      <c r="D574">
        <v>16049.2</v>
      </c>
      <c r="E574">
        <v>2636.52</v>
      </c>
      <c r="G574" s="338">
        <f t="shared" si="16"/>
        <v>6.9359701103921031E-3</v>
      </c>
      <c r="H574" s="338">
        <f t="shared" si="17"/>
        <v>1.6069657978414302E-3</v>
      </c>
    </row>
    <row r="575" spans="2:8" ht="14.25" customHeight="1" x14ac:dyDescent="0.35">
      <c r="B575" s="337">
        <v>44760</v>
      </c>
      <c r="C575" s="337"/>
      <c r="D575">
        <v>16278.5</v>
      </c>
      <c r="E575">
        <v>2689.24</v>
      </c>
      <c r="G575" s="338">
        <f t="shared" si="16"/>
        <v>1.428731650175705E-2</v>
      </c>
      <c r="H575" s="338">
        <f t="shared" si="17"/>
        <v>1.9996055406368927E-2</v>
      </c>
    </row>
    <row r="576" spans="2:8" ht="14.25" customHeight="1" x14ac:dyDescent="0.35">
      <c r="B576" s="337">
        <v>44761</v>
      </c>
      <c r="C576" s="337"/>
      <c r="D576">
        <v>16340.55</v>
      </c>
      <c r="E576">
        <v>2674.05</v>
      </c>
      <c r="G576" s="338">
        <f t="shared" si="16"/>
        <v>3.8117762693122385E-3</v>
      </c>
      <c r="H576" s="338">
        <f t="shared" si="17"/>
        <v>-5.6484359893500024E-3</v>
      </c>
    </row>
    <row r="577" spans="2:8" ht="14.25" customHeight="1" x14ac:dyDescent="0.35">
      <c r="B577" s="337">
        <v>44762</v>
      </c>
      <c r="C577" s="337"/>
      <c r="D577">
        <v>16520.849999999999</v>
      </c>
      <c r="E577">
        <v>2706.09</v>
      </c>
      <c r="G577" s="338">
        <f t="shared" si="16"/>
        <v>1.1033900327712303E-2</v>
      </c>
      <c r="H577" s="338">
        <f t="shared" si="17"/>
        <v>1.1981825321142073E-2</v>
      </c>
    </row>
    <row r="578" spans="2:8" ht="14.25" customHeight="1" x14ac:dyDescent="0.35">
      <c r="B578" s="337">
        <v>44763</v>
      </c>
      <c r="C578" s="337"/>
      <c r="D578">
        <v>16605.25</v>
      </c>
      <c r="E578">
        <v>2715.95</v>
      </c>
      <c r="G578" s="338">
        <f t="shared" si="16"/>
        <v>5.1086959811390735E-3</v>
      </c>
      <c r="H578" s="338">
        <f t="shared" si="17"/>
        <v>3.6436334342167748E-3</v>
      </c>
    </row>
    <row r="579" spans="2:8" ht="14.25" customHeight="1" x14ac:dyDescent="0.35">
      <c r="B579" s="337">
        <v>44764</v>
      </c>
      <c r="C579" s="337"/>
      <c r="D579">
        <v>16719.45</v>
      </c>
      <c r="E579">
        <v>2806</v>
      </c>
      <c r="G579" s="338">
        <f t="shared" si="16"/>
        <v>6.8773430089881654E-3</v>
      </c>
      <c r="H579" s="338">
        <f t="shared" si="17"/>
        <v>3.3155985934939965E-2</v>
      </c>
    </row>
    <row r="580" spans="2:8" ht="14.25" customHeight="1" x14ac:dyDescent="0.35">
      <c r="B580" s="337">
        <v>44767</v>
      </c>
      <c r="C580" s="337"/>
      <c r="D580">
        <v>16631</v>
      </c>
      <c r="E580">
        <v>2828.17</v>
      </c>
      <c r="G580" s="338">
        <f t="shared" si="16"/>
        <v>-5.2902457915781154E-3</v>
      </c>
      <c r="H580" s="338">
        <f t="shared" si="17"/>
        <v>7.9009265858874106E-3</v>
      </c>
    </row>
    <row r="581" spans="2:8" ht="14.25" customHeight="1" x14ac:dyDescent="0.35">
      <c r="B581" s="337">
        <v>44768</v>
      </c>
      <c r="C581" s="337"/>
      <c r="D581">
        <v>16483.849999999999</v>
      </c>
      <c r="E581">
        <v>2822.19</v>
      </c>
      <c r="G581" s="338">
        <f t="shared" si="16"/>
        <v>-8.8479345800012901E-3</v>
      </c>
      <c r="H581" s="338">
        <f t="shared" si="17"/>
        <v>-2.1144414939696051E-3</v>
      </c>
    </row>
    <row r="582" spans="2:8" ht="14.25" customHeight="1" x14ac:dyDescent="0.35">
      <c r="B582" s="337">
        <v>44769</v>
      </c>
      <c r="C582" s="337"/>
      <c r="D582">
        <v>16641.8</v>
      </c>
      <c r="E582">
        <v>2790.25</v>
      </c>
      <c r="G582" s="338">
        <f t="shared" si="16"/>
        <v>9.5821061220528417E-3</v>
      </c>
      <c r="H582" s="338">
        <f t="shared" si="17"/>
        <v>-1.1317452049649405E-2</v>
      </c>
    </row>
    <row r="583" spans="2:8" ht="14.25" customHeight="1" x14ac:dyDescent="0.35">
      <c r="B583" s="337">
        <v>44770</v>
      </c>
      <c r="C583" s="337"/>
      <c r="D583">
        <v>16929.599999999999</v>
      </c>
      <c r="E583">
        <v>2780.43</v>
      </c>
      <c r="G583" s="338">
        <f t="shared" ref="G583:G646" si="18">(D583-D582)/D582</f>
        <v>1.7293802353110798E-2</v>
      </c>
      <c r="H583" s="338">
        <f t="shared" ref="H583:H646" si="19">(E583-E582)/E582</f>
        <v>-3.5193979034137315E-3</v>
      </c>
    </row>
    <row r="584" spans="2:8" ht="14.25" customHeight="1" x14ac:dyDescent="0.35">
      <c r="B584" s="337">
        <v>44771</v>
      </c>
      <c r="C584" s="337"/>
      <c r="D584">
        <v>17158.25</v>
      </c>
      <c r="E584">
        <v>2732.8</v>
      </c>
      <c r="G584" s="338">
        <f t="shared" si="18"/>
        <v>1.3505930441357237E-2</v>
      </c>
      <c r="H584" s="338">
        <f t="shared" si="19"/>
        <v>-1.7130443852209788E-2</v>
      </c>
    </row>
    <row r="585" spans="2:8" ht="14.25" customHeight="1" x14ac:dyDescent="0.35">
      <c r="B585" s="337">
        <v>44774</v>
      </c>
      <c r="C585" s="337"/>
      <c r="D585">
        <v>17340.05</v>
      </c>
      <c r="E585">
        <v>2684.11</v>
      </c>
      <c r="G585" s="338">
        <f t="shared" si="18"/>
        <v>1.0595486136406642E-2</v>
      </c>
      <c r="H585" s="338">
        <f t="shared" si="19"/>
        <v>-1.7816891100702593E-2</v>
      </c>
    </row>
    <row r="586" spans="2:8" ht="14.25" customHeight="1" x14ac:dyDescent="0.35">
      <c r="B586" s="337">
        <v>44775</v>
      </c>
      <c r="C586" s="337"/>
      <c r="D586">
        <v>17345.45</v>
      </c>
      <c r="E586">
        <v>2700.31</v>
      </c>
      <c r="G586" s="338">
        <f t="shared" si="18"/>
        <v>3.114177871460264E-4</v>
      </c>
      <c r="H586" s="338">
        <f t="shared" si="19"/>
        <v>6.0355201537939272E-3</v>
      </c>
    </row>
    <row r="587" spans="2:8" ht="14.25" customHeight="1" x14ac:dyDescent="0.35">
      <c r="B587" s="337">
        <v>44776</v>
      </c>
      <c r="C587" s="337"/>
      <c r="D587">
        <v>17388.150000000001</v>
      </c>
      <c r="E587">
        <v>2785.52</v>
      </c>
      <c r="G587" s="338">
        <f t="shared" si="18"/>
        <v>2.461740687039006E-3</v>
      </c>
      <c r="H587" s="338">
        <f t="shared" si="19"/>
        <v>3.1555636204732063E-2</v>
      </c>
    </row>
    <row r="588" spans="2:8" ht="14.25" customHeight="1" x14ac:dyDescent="0.35">
      <c r="B588" s="337">
        <v>44777</v>
      </c>
      <c r="C588" s="337"/>
      <c r="D588">
        <v>17382</v>
      </c>
      <c r="E588">
        <v>2977.01</v>
      </c>
      <c r="G588" s="338">
        <f t="shared" si="18"/>
        <v>-3.5368915036973193E-4</v>
      </c>
      <c r="H588" s="338">
        <f t="shared" si="19"/>
        <v>6.8744794508745308E-2</v>
      </c>
    </row>
    <row r="589" spans="2:8" ht="14.25" customHeight="1" x14ac:dyDescent="0.35">
      <c r="B589" s="337">
        <v>44778</v>
      </c>
      <c r="C589" s="337"/>
      <c r="D589">
        <v>17397.5</v>
      </c>
      <c r="E589">
        <v>3132.14</v>
      </c>
      <c r="G589" s="338">
        <f t="shared" si="18"/>
        <v>8.9172707398458174E-4</v>
      </c>
      <c r="H589" s="338">
        <f t="shared" si="19"/>
        <v>5.2109331174567654E-2</v>
      </c>
    </row>
    <row r="590" spans="2:8" ht="14.25" customHeight="1" x14ac:dyDescent="0.35">
      <c r="B590" s="337">
        <v>44781</v>
      </c>
      <c r="C590" s="337"/>
      <c r="D590">
        <v>17525.099999999999</v>
      </c>
      <c r="E590">
        <v>3124.51</v>
      </c>
      <c r="G590" s="338">
        <f t="shared" si="18"/>
        <v>7.3343871245867822E-3</v>
      </c>
      <c r="H590" s="338">
        <f t="shared" si="19"/>
        <v>-2.4360341491758523E-3</v>
      </c>
    </row>
    <row r="591" spans="2:8" ht="14.25" customHeight="1" x14ac:dyDescent="0.35">
      <c r="B591" s="337">
        <v>44783</v>
      </c>
      <c r="C591" s="337"/>
      <c r="D591">
        <v>17534.75</v>
      </c>
      <c r="E591">
        <v>3183.16</v>
      </c>
      <c r="G591" s="338">
        <f t="shared" si="18"/>
        <v>5.5063879806685587E-4</v>
      </c>
      <c r="H591" s="338">
        <f t="shared" si="19"/>
        <v>1.8770943283906799E-2</v>
      </c>
    </row>
    <row r="592" spans="2:8" ht="14.25" customHeight="1" x14ac:dyDescent="0.35">
      <c r="B592" s="337">
        <v>44784</v>
      </c>
      <c r="C592" s="337"/>
      <c r="D592">
        <v>17659</v>
      </c>
      <c r="E592">
        <v>3209.57</v>
      </c>
      <c r="G592" s="338">
        <f t="shared" si="18"/>
        <v>7.0859293688247619E-3</v>
      </c>
      <c r="H592" s="338">
        <f t="shared" si="19"/>
        <v>8.2967868407495416E-3</v>
      </c>
    </row>
    <row r="593" spans="2:8" ht="14.25" customHeight="1" x14ac:dyDescent="0.35">
      <c r="B593" s="337">
        <v>44785</v>
      </c>
      <c r="C593" s="337"/>
      <c r="D593">
        <v>17698.150000000001</v>
      </c>
      <c r="E593">
        <v>3152.42</v>
      </c>
      <c r="G593" s="338">
        <f t="shared" si="18"/>
        <v>2.2169998301150378E-3</v>
      </c>
      <c r="H593" s="338">
        <f t="shared" si="19"/>
        <v>-1.7806123561723248E-2</v>
      </c>
    </row>
    <row r="594" spans="2:8" ht="14.25" customHeight="1" x14ac:dyDescent="0.35">
      <c r="B594" s="337">
        <v>44789</v>
      </c>
      <c r="C594" s="337"/>
      <c r="D594">
        <v>17825.25</v>
      </c>
      <c r="E594">
        <v>3291.74</v>
      </c>
      <c r="G594" s="338">
        <f t="shared" si="18"/>
        <v>7.181541573554215E-3</v>
      </c>
      <c r="H594" s="338">
        <f t="shared" si="19"/>
        <v>4.4194618737350894E-2</v>
      </c>
    </row>
    <row r="595" spans="2:8" ht="14.25" customHeight="1" x14ac:dyDescent="0.35">
      <c r="B595" s="337">
        <v>44790</v>
      </c>
      <c r="C595" s="337"/>
      <c r="D595">
        <v>17944.25</v>
      </c>
      <c r="E595">
        <v>3287.71</v>
      </c>
      <c r="G595" s="338">
        <f t="shared" si="18"/>
        <v>6.675923198833116E-3</v>
      </c>
      <c r="H595" s="338">
        <f t="shared" si="19"/>
        <v>-1.2242765224470176E-3</v>
      </c>
    </row>
    <row r="596" spans="2:8" ht="14.25" customHeight="1" x14ac:dyDescent="0.35">
      <c r="B596" s="337">
        <v>44791</v>
      </c>
      <c r="C596" s="337"/>
      <c r="D596">
        <v>17956.5</v>
      </c>
      <c r="E596">
        <v>3374.91</v>
      </c>
      <c r="G596" s="338">
        <f t="shared" si="18"/>
        <v>6.8266993605193866E-4</v>
      </c>
      <c r="H596" s="338">
        <f t="shared" si="19"/>
        <v>2.6523020582715572E-2</v>
      </c>
    </row>
    <row r="597" spans="2:8" ht="14.25" customHeight="1" x14ac:dyDescent="0.35">
      <c r="B597" s="337">
        <v>44792</v>
      </c>
      <c r="C597" s="337"/>
      <c r="D597">
        <v>17758.45</v>
      </c>
      <c r="E597">
        <v>3407.05</v>
      </c>
      <c r="G597" s="338">
        <f t="shared" si="18"/>
        <v>-1.102943223902204E-2</v>
      </c>
      <c r="H597" s="338">
        <f t="shared" si="19"/>
        <v>9.5232169154141379E-3</v>
      </c>
    </row>
    <row r="598" spans="2:8" ht="14.25" customHeight="1" x14ac:dyDescent="0.35">
      <c r="B598" s="337">
        <v>44795</v>
      </c>
      <c r="C598" s="337"/>
      <c r="D598">
        <v>17490.7</v>
      </c>
      <c r="E598">
        <v>3408.4</v>
      </c>
      <c r="G598" s="338">
        <f t="shared" si="18"/>
        <v>-1.507732938403971E-2</v>
      </c>
      <c r="H598" s="338">
        <f t="shared" si="19"/>
        <v>3.9623721401209523E-4</v>
      </c>
    </row>
    <row r="599" spans="2:8" ht="14.25" customHeight="1" x14ac:dyDescent="0.35">
      <c r="B599" s="337">
        <v>44796</v>
      </c>
      <c r="C599" s="337"/>
      <c r="D599">
        <v>17577.5</v>
      </c>
      <c r="E599">
        <v>3398.13</v>
      </c>
      <c r="G599" s="338">
        <f t="shared" si="18"/>
        <v>4.9626372872440365E-3</v>
      </c>
      <c r="H599" s="338">
        <f t="shared" si="19"/>
        <v>-3.0131439971834238E-3</v>
      </c>
    </row>
    <row r="600" spans="2:8" ht="14.25" customHeight="1" x14ac:dyDescent="0.35">
      <c r="B600" s="337">
        <v>44797</v>
      </c>
      <c r="C600" s="337"/>
      <c r="D600">
        <v>17604.95</v>
      </c>
      <c r="E600">
        <v>3428.13</v>
      </c>
      <c r="G600" s="338">
        <f t="shared" si="18"/>
        <v>1.5616555255298381E-3</v>
      </c>
      <c r="H600" s="338">
        <f t="shared" si="19"/>
        <v>8.8283850235276462E-3</v>
      </c>
    </row>
    <row r="601" spans="2:8" ht="14.25" customHeight="1" x14ac:dyDescent="0.35">
      <c r="B601" s="337">
        <v>44798</v>
      </c>
      <c r="C601" s="337"/>
      <c r="D601">
        <v>17522.45</v>
      </c>
      <c r="E601">
        <v>3419.06</v>
      </c>
      <c r="G601" s="338">
        <f t="shared" si="18"/>
        <v>-4.6861820113093195E-3</v>
      </c>
      <c r="H601" s="338">
        <f t="shared" si="19"/>
        <v>-2.645757307920109E-3</v>
      </c>
    </row>
    <row r="602" spans="2:8" ht="14.25" customHeight="1" x14ac:dyDescent="0.35">
      <c r="B602" s="337">
        <v>44799</v>
      </c>
      <c r="C602" s="337"/>
      <c r="D602">
        <v>17558.900000000001</v>
      </c>
      <c r="E602">
        <v>3334.6</v>
      </c>
      <c r="G602" s="338">
        <f t="shared" si="18"/>
        <v>2.0801885581069272E-3</v>
      </c>
      <c r="H602" s="338">
        <f t="shared" si="19"/>
        <v>-2.4702696062660508E-2</v>
      </c>
    </row>
    <row r="603" spans="2:8" ht="14.25" customHeight="1" x14ac:dyDescent="0.35">
      <c r="B603" s="337">
        <v>44802</v>
      </c>
      <c r="C603" s="337"/>
      <c r="D603">
        <v>17312.900000000001</v>
      </c>
      <c r="E603">
        <v>3289.2</v>
      </c>
      <c r="G603" s="338">
        <f t="shared" si="18"/>
        <v>-1.4009989236227781E-2</v>
      </c>
      <c r="H603" s="338">
        <f t="shared" si="19"/>
        <v>-1.3614826365980956E-2</v>
      </c>
    </row>
    <row r="604" spans="2:8" ht="14.25" customHeight="1" x14ac:dyDescent="0.35">
      <c r="B604" s="337">
        <v>44803</v>
      </c>
      <c r="C604" s="337"/>
      <c r="D604">
        <v>17759.3</v>
      </c>
      <c r="E604">
        <v>3320.59</v>
      </c>
      <c r="G604" s="338">
        <f t="shared" si="18"/>
        <v>2.5784241808131381E-2</v>
      </c>
      <c r="H604" s="338">
        <f t="shared" si="19"/>
        <v>9.5433540070534867E-3</v>
      </c>
    </row>
    <row r="605" spans="2:8" ht="14.25" customHeight="1" x14ac:dyDescent="0.35">
      <c r="B605" s="337">
        <v>44805</v>
      </c>
      <c r="C605" s="337"/>
      <c r="D605">
        <v>17542.8</v>
      </c>
      <c r="E605">
        <v>3315.31</v>
      </c>
      <c r="G605" s="338">
        <f t="shared" si="18"/>
        <v>-1.219079580839335E-2</v>
      </c>
      <c r="H605" s="338">
        <f t="shared" si="19"/>
        <v>-1.5900788715259035E-3</v>
      </c>
    </row>
    <row r="606" spans="2:8" ht="14.25" customHeight="1" x14ac:dyDescent="0.35">
      <c r="B606" s="337">
        <v>44806</v>
      </c>
      <c r="C606" s="337"/>
      <c r="D606">
        <v>17539.45</v>
      </c>
      <c r="E606">
        <v>3322.79</v>
      </c>
      <c r="G606" s="338">
        <f t="shared" si="18"/>
        <v>-1.909615340765753E-4</v>
      </c>
      <c r="H606" s="338">
        <f t="shared" si="19"/>
        <v>2.2561992694499211E-3</v>
      </c>
    </row>
    <row r="607" spans="2:8" ht="14.25" customHeight="1" x14ac:dyDescent="0.35">
      <c r="B607" s="337">
        <v>44809</v>
      </c>
      <c r="C607" s="337"/>
      <c r="D607">
        <v>17665.8</v>
      </c>
      <c r="E607">
        <v>3482.69</v>
      </c>
      <c r="G607" s="338">
        <f t="shared" si="18"/>
        <v>7.2037606652431254E-3</v>
      </c>
      <c r="H607" s="338">
        <f t="shared" si="19"/>
        <v>4.8122210551975929E-2</v>
      </c>
    </row>
    <row r="608" spans="2:8" ht="14.25" customHeight="1" x14ac:dyDescent="0.35">
      <c r="B608" s="337">
        <v>44810</v>
      </c>
      <c r="C608" s="337"/>
      <c r="D608">
        <v>17655.599999999999</v>
      </c>
      <c r="E608">
        <v>3455.24</v>
      </c>
      <c r="G608" s="338">
        <f t="shared" si="18"/>
        <v>-5.7738681520229645E-4</v>
      </c>
      <c r="H608" s="338">
        <f t="shared" si="19"/>
        <v>-7.8818384639460504E-3</v>
      </c>
    </row>
    <row r="609" spans="2:8" ht="14.25" customHeight="1" x14ac:dyDescent="0.35">
      <c r="B609" s="337">
        <v>44811</v>
      </c>
      <c r="C609" s="337"/>
      <c r="D609">
        <v>17624.400000000001</v>
      </c>
      <c r="E609">
        <v>3440.34</v>
      </c>
      <c r="G609" s="338">
        <f t="shared" si="18"/>
        <v>-1.7671447019640845E-3</v>
      </c>
      <c r="H609" s="338">
        <f t="shared" si="19"/>
        <v>-4.3122908973037E-3</v>
      </c>
    </row>
    <row r="610" spans="2:8" ht="14.25" customHeight="1" x14ac:dyDescent="0.35">
      <c r="B610" s="337">
        <v>44812</v>
      </c>
      <c r="C610" s="337"/>
      <c r="D610">
        <v>17798.75</v>
      </c>
      <c r="E610">
        <v>3462.71</v>
      </c>
      <c r="G610" s="338">
        <f t="shared" si="18"/>
        <v>9.8925353487210078E-3</v>
      </c>
      <c r="H610" s="338">
        <f t="shared" si="19"/>
        <v>6.5022643110855E-3</v>
      </c>
    </row>
    <row r="611" spans="2:8" ht="14.25" customHeight="1" x14ac:dyDescent="0.35">
      <c r="B611" s="337">
        <v>44813</v>
      </c>
      <c r="C611" s="337"/>
      <c r="D611">
        <v>17833.349999999999</v>
      </c>
      <c r="E611">
        <v>3537.01</v>
      </c>
      <c r="G611" s="338">
        <f t="shared" si="18"/>
        <v>1.9439567385349278E-3</v>
      </c>
      <c r="H611" s="338">
        <f t="shared" si="19"/>
        <v>2.1457182380274463E-2</v>
      </c>
    </row>
    <row r="612" spans="2:8" ht="14.25" customHeight="1" x14ac:dyDescent="0.35">
      <c r="B612" s="337">
        <v>44816</v>
      </c>
      <c r="C612" s="337"/>
      <c r="D612">
        <v>17936.349999999999</v>
      </c>
      <c r="E612">
        <v>3522.81</v>
      </c>
      <c r="G612" s="338">
        <f t="shared" si="18"/>
        <v>5.775695536733144E-3</v>
      </c>
      <c r="H612" s="338">
        <f t="shared" si="19"/>
        <v>-4.0146903740730933E-3</v>
      </c>
    </row>
    <row r="613" spans="2:8" ht="14.25" customHeight="1" x14ac:dyDescent="0.35">
      <c r="B613" s="337">
        <v>44817</v>
      </c>
      <c r="C613" s="337"/>
      <c r="D613">
        <v>18070.05</v>
      </c>
      <c r="E613">
        <v>3553.8</v>
      </c>
      <c r="G613" s="338">
        <f t="shared" si="18"/>
        <v>7.4541364324403094E-3</v>
      </c>
      <c r="H613" s="338">
        <f t="shared" si="19"/>
        <v>8.7969547037734762E-3</v>
      </c>
    </row>
    <row r="614" spans="2:8" ht="14.25" customHeight="1" x14ac:dyDescent="0.35">
      <c r="B614" s="337">
        <v>44818</v>
      </c>
      <c r="C614" s="337"/>
      <c r="D614">
        <v>18003.75</v>
      </c>
      <c r="E614">
        <v>3537.41</v>
      </c>
      <c r="G614" s="338">
        <f t="shared" si="18"/>
        <v>-3.6690545958643875E-3</v>
      </c>
      <c r="H614" s="338">
        <f t="shared" si="19"/>
        <v>-4.6119646575497573E-3</v>
      </c>
    </row>
    <row r="615" spans="2:8" ht="14.25" customHeight="1" x14ac:dyDescent="0.35">
      <c r="B615" s="337">
        <v>44819</v>
      </c>
      <c r="C615" s="337"/>
      <c r="D615">
        <v>17877.400000000001</v>
      </c>
      <c r="E615">
        <v>3545.28</v>
      </c>
      <c r="G615" s="338">
        <f t="shared" si="18"/>
        <v>-7.0179823647850336E-3</v>
      </c>
      <c r="H615" s="338">
        <f t="shared" si="19"/>
        <v>2.2247915848036689E-3</v>
      </c>
    </row>
    <row r="616" spans="2:8" ht="14.25" customHeight="1" x14ac:dyDescent="0.35">
      <c r="B616" s="337">
        <v>44820</v>
      </c>
      <c r="C616" s="337"/>
      <c r="D616">
        <v>17530.849999999999</v>
      </c>
      <c r="E616">
        <v>3566.61</v>
      </c>
      <c r="G616" s="338">
        <f t="shared" si="18"/>
        <v>-1.9384809871681726E-2</v>
      </c>
      <c r="H616" s="338">
        <f t="shared" si="19"/>
        <v>6.0164500406173632E-3</v>
      </c>
    </row>
    <row r="617" spans="2:8" ht="14.25" customHeight="1" x14ac:dyDescent="0.35">
      <c r="B617" s="337">
        <v>44823</v>
      </c>
      <c r="C617" s="337"/>
      <c r="D617">
        <v>17622.25</v>
      </c>
      <c r="E617">
        <v>3631.59</v>
      </c>
      <c r="G617" s="338">
        <f t="shared" si="18"/>
        <v>5.2136661941663675E-3</v>
      </c>
      <c r="H617" s="338">
        <f t="shared" si="19"/>
        <v>1.8218981049231628E-2</v>
      </c>
    </row>
    <row r="618" spans="2:8" ht="14.25" customHeight="1" x14ac:dyDescent="0.35">
      <c r="B618" s="337">
        <v>44824</v>
      </c>
      <c r="C618" s="337"/>
      <c r="D618">
        <v>17816.25</v>
      </c>
      <c r="E618">
        <v>3838.38</v>
      </c>
      <c r="G618" s="338">
        <f t="shared" si="18"/>
        <v>1.1008809885230319E-2</v>
      </c>
      <c r="H618" s="338">
        <f t="shared" si="19"/>
        <v>5.6942000611302473E-2</v>
      </c>
    </row>
    <row r="619" spans="2:8" ht="14.25" customHeight="1" x14ac:dyDescent="0.35">
      <c r="B619" s="337">
        <v>44825</v>
      </c>
      <c r="C619" s="337"/>
      <c r="D619">
        <v>17718.349999999999</v>
      </c>
      <c r="E619">
        <v>3838.83</v>
      </c>
      <c r="G619" s="338">
        <f t="shared" si="18"/>
        <v>-5.4949835122431179E-3</v>
      </c>
      <c r="H619" s="338">
        <f t="shared" si="19"/>
        <v>1.172369593421751E-4</v>
      </c>
    </row>
    <row r="620" spans="2:8" ht="14.25" customHeight="1" x14ac:dyDescent="0.35">
      <c r="B620" s="337">
        <v>44826</v>
      </c>
      <c r="C620" s="337"/>
      <c r="D620">
        <v>17629.8</v>
      </c>
      <c r="E620">
        <v>3801.21</v>
      </c>
      <c r="G620" s="338">
        <f t="shared" si="18"/>
        <v>-4.997643685783342E-3</v>
      </c>
      <c r="H620" s="338">
        <f t="shared" si="19"/>
        <v>-9.799860895116452E-3</v>
      </c>
    </row>
    <row r="621" spans="2:8" ht="14.25" customHeight="1" x14ac:dyDescent="0.35">
      <c r="B621" s="337">
        <v>44827</v>
      </c>
      <c r="C621" s="337"/>
      <c r="D621">
        <v>17327.349999999999</v>
      </c>
      <c r="E621">
        <v>3684.11</v>
      </c>
      <c r="G621" s="338">
        <f t="shared" si="18"/>
        <v>-1.7155611521401305E-2</v>
      </c>
      <c r="H621" s="338">
        <f t="shared" si="19"/>
        <v>-3.0805980201041222E-2</v>
      </c>
    </row>
    <row r="622" spans="2:8" ht="14.25" customHeight="1" x14ac:dyDescent="0.35">
      <c r="B622" s="337">
        <v>44830</v>
      </c>
      <c r="C622" s="337"/>
      <c r="D622">
        <v>17016.3</v>
      </c>
      <c r="E622">
        <v>3430.17</v>
      </c>
      <c r="G622" s="338">
        <f t="shared" si="18"/>
        <v>-1.7951388989083692E-2</v>
      </c>
      <c r="H622" s="338">
        <f t="shared" si="19"/>
        <v>-6.8928452190624073E-2</v>
      </c>
    </row>
    <row r="623" spans="2:8" ht="14.25" customHeight="1" x14ac:dyDescent="0.35">
      <c r="B623" s="337">
        <v>44831</v>
      </c>
      <c r="C623" s="337"/>
      <c r="D623">
        <v>17007.400000000001</v>
      </c>
      <c r="E623">
        <v>3583.2</v>
      </c>
      <c r="G623" s="338">
        <f t="shared" si="18"/>
        <v>-5.2302792028806604E-4</v>
      </c>
      <c r="H623" s="338">
        <f t="shared" si="19"/>
        <v>4.4612949212429628E-2</v>
      </c>
    </row>
    <row r="624" spans="2:8" ht="14.25" customHeight="1" x14ac:dyDescent="0.35">
      <c r="B624" s="337">
        <v>44832</v>
      </c>
      <c r="C624" s="337"/>
      <c r="D624">
        <v>16858.599999999999</v>
      </c>
      <c r="E624">
        <v>3635.22</v>
      </c>
      <c r="G624" s="338">
        <f t="shared" si="18"/>
        <v>-8.7491327304586759E-3</v>
      </c>
      <c r="H624" s="338">
        <f t="shared" si="19"/>
        <v>1.4517749497655722E-2</v>
      </c>
    </row>
    <row r="625" spans="2:8" ht="14.25" customHeight="1" x14ac:dyDescent="0.35">
      <c r="B625" s="337">
        <v>44833</v>
      </c>
      <c r="C625" s="337"/>
      <c r="D625">
        <v>16818.099999999999</v>
      </c>
      <c r="E625">
        <v>3732.59</v>
      </c>
      <c r="G625" s="338">
        <f t="shared" si="18"/>
        <v>-2.4023347134400248E-3</v>
      </c>
      <c r="H625" s="338">
        <f t="shared" si="19"/>
        <v>2.6785173937203349E-2</v>
      </c>
    </row>
    <row r="626" spans="2:8" ht="14.25" customHeight="1" x14ac:dyDescent="0.35">
      <c r="B626" s="337">
        <v>44834</v>
      </c>
      <c r="C626" s="337"/>
      <c r="D626">
        <v>17094.349999999999</v>
      </c>
      <c r="E626">
        <v>3903.51</v>
      </c>
      <c r="G626" s="338">
        <f t="shared" si="18"/>
        <v>1.6425755584756899E-2</v>
      </c>
      <c r="H626" s="338">
        <f t="shared" si="19"/>
        <v>4.5791260224133927E-2</v>
      </c>
    </row>
    <row r="627" spans="2:8" ht="14.25" customHeight="1" x14ac:dyDescent="0.35">
      <c r="B627" s="337">
        <v>44837</v>
      </c>
      <c r="C627" s="337"/>
      <c r="D627">
        <v>16887.349999999999</v>
      </c>
      <c r="E627">
        <v>3959.07</v>
      </c>
      <c r="G627" s="338">
        <f t="shared" si="18"/>
        <v>-1.2109264172080249E-2</v>
      </c>
      <c r="H627" s="338">
        <f t="shared" si="19"/>
        <v>1.4233343836700801E-2</v>
      </c>
    </row>
    <row r="628" spans="2:8" ht="14.25" customHeight="1" x14ac:dyDescent="0.35">
      <c r="B628" s="337">
        <v>44838</v>
      </c>
      <c r="C628" s="337"/>
      <c r="D628">
        <v>17274.3</v>
      </c>
      <c r="E628">
        <v>3983.64</v>
      </c>
      <c r="G628" s="338">
        <f t="shared" si="18"/>
        <v>2.2913601009039355E-2</v>
      </c>
      <c r="H628" s="338">
        <f t="shared" si="19"/>
        <v>6.2060029249292655E-3</v>
      </c>
    </row>
    <row r="629" spans="2:8" ht="14.25" customHeight="1" x14ac:dyDescent="0.35">
      <c r="B629" s="337">
        <v>44840</v>
      </c>
      <c r="C629" s="337"/>
      <c r="D629">
        <v>17331.8</v>
      </c>
      <c r="E629">
        <v>4049.51</v>
      </c>
      <c r="G629" s="338">
        <f t="shared" si="18"/>
        <v>3.3286442865991675E-3</v>
      </c>
      <c r="H629" s="338">
        <f t="shared" si="19"/>
        <v>1.6535128676286096E-2</v>
      </c>
    </row>
    <row r="630" spans="2:8" ht="14.25" customHeight="1" x14ac:dyDescent="0.35">
      <c r="B630" s="337">
        <v>44841</v>
      </c>
      <c r="C630" s="337"/>
      <c r="D630">
        <v>17314.650000000001</v>
      </c>
      <c r="E630">
        <v>4125.25</v>
      </c>
      <c r="G630" s="338">
        <f t="shared" si="18"/>
        <v>-9.8951061055388466E-4</v>
      </c>
      <c r="H630" s="338">
        <f t="shared" si="19"/>
        <v>1.8703497460186486E-2</v>
      </c>
    </row>
    <row r="631" spans="2:8" ht="14.25" customHeight="1" x14ac:dyDescent="0.35">
      <c r="B631" s="337">
        <v>44844</v>
      </c>
      <c r="C631" s="337"/>
      <c r="D631">
        <v>17241</v>
      </c>
      <c r="E631">
        <v>3998.09</v>
      </c>
      <c r="G631" s="338">
        <f t="shared" si="18"/>
        <v>-4.2536233767359695E-3</v>
      </c>
      <c r="H631" s="338">
        <f t="shared" si="19"/>
        <v>-3.0824798497060747E-2</v>
      </c>
    </row>
    <row r="632" spans="2:8" ht="14.25" customHeight="1" x14ac:dyDescent="0.35">
      <c r="B632" s="337">
        <v>44845</v>
      </c>
      <c r="C632" s="337"/>
      <c r="D632">
        <v>16983.55</v>
      </c>
      <c r="E632">
        <v>3853.63</v>
      </c>
      <c r="G632" s="338">
        <f t="shared" si="18"/>
        <v>-1.4932428513427338E-2</v>
      </c>
      <c r="H632" s="338">
        <f t="shared" si="19"/>
        <v>-3.6132253150879555E-2</v>
      </c>
    </row>
    <row r="633" spans="2:8" ht="14.25" customHeight="1" x14ac:dyDescent="0.35">
      <c r="B633" s="337">
        <v>44846</v>
      </c>
      <c r="C633" s="337"/>
      <c r="D633">
        <v>17123.599999999999</v>
      </c>
      <c r="E633">
        <v>3842.52</v>
      </c>
      <c r="G633" s="338">
        <f t="shared" si="18"/>
        <v>8.2462147195373914E-3</v>
      </c>
      <c r="H633" s="338">
        <f t="shared" si="19"/>
        <v>-2.8829960323124241E-3</v>
      </c>
    </row>
    <row r="634" spans="2:8" ht="14.25" customHeight="1" x14ac:dyDescent="0.35">
      <c r="B634" s="337">
        <v>44847</v>
      </c>
      <c r="C634" s="337"/>
      <c r="D634">
        <v>17014.349999999999</v>
      </c>
      <c r="E634">
        <v>3814.26</v>
      </c>
      <c r="G634" s="338">
        <f t="shared" si="18"/>
        <v>-6.3800836272746393E-3</v>
      </c>
      <c r="H634" s="338">
        <f t="shared" si="19"/>
        <v>-7.3545485774959571E-3</v>
      </c>
    </row>
    <row r="635" spans="2:8" ht="14.25" customHeight="1" x14ac:dyDescent="0.35">
      <c r="B635" s="337">
        <v>44848</v>
      </c>
      <c r="C635" s="337"/>
      <c r="D635">
        <v>17185.7</v>
      </c>
      <c r="E635">
        <v>3834.45</v>
      </c>
      <c r="G635" s="338">
        <f t="shared" si="18"/>
        <v>1.0070910731235821E-2</v>
      </c>
      <c r="H635" s="338">
        <f t="shared" si="19"/>
        <v>5.2932941120950325E-3</v>
      </c>
    </row>
    <row r="636" spans="2:8" ht="14.25" customHeight="1" x14ac:dyDescent="0.35">
      <c r="B636" s="337">
        <v>44851</v>
      </c>
      <c r="C636" s="337"/>
      <c r="D636">
        <v>17311.8</v>
      </c>
      <c r="E636">
        <v>3865.84</v>
      </c>
      <c r="G636" s="338">
        <f t="shared" si="18"/>
        <v>7.3374957086414019E-3</v>
      </c>
      <c r="H636" s="338">
        <f t="shared" si="19"/>
        <v>8.1863109442032959E-3</v>
      </c>
    </row>
    <row r="637" spans="2:8" ht="14.25" customHeight="1" x14ac:dyDescent="0.35">
      <c r="B637" s="337">
        <v>44852</v>
      </c>
      <c r="C637" s="337"/>
      <c r="D637">
        <v>17486.95</v>
      </c>
      <c r="E637">
        <v>3884.92</v>
      </c>
      <c r="G637" s="338">
        <f t="shared" si="18"/>
        <v>1.0117376587067866E-2</v>
      </c>
      <c r="H637" s="338">
        <f t="shared" si="19"/>
        <v>4.9355379425946051E-3</v>
      </c>
    </row>
    <row r="638" spans="2:8" ht="14.25" customHeight="1" x14ac:dyDescent="0.35">
      <c r="B638" s="337">
        <v>44853</v>
      </c>
      <c r="C638" s="337"/>
      <c r="D638">
        <v>17512.25</v>
      </c>
      <c r="E638">
        <v>3921.7</v>
      </c>
      <c r="G638" s="338">
        <f t="shared" si="18"/>
        <v>1.4467931800570867E-3</v>
      </c>
      <c r="H638" s="338">
        <f t="shared" si="19"/>
        <v>9.4673764195915867E-3</v>
      </c>
    </row>
    <row r="639" spans="2:8" ht="14.25" customHeight="1" x14ac:dyDescent="0.35">
      <c r="B639" s="337">
        <v>44854</v>
      </c>
      <c r="C639" s="337"/>
      <c r="D639">
        <v>17563.95</v>
      </c>
      <c r="E639">
        <v>3897.13</v>
      </c>
      <c r="G639" s="338">
        <f t="shared" si="18"/>
        <v>2.9522191608731445E-3</v>
      </c>
      <c r="H639" s="338">
        <f t="shared" si="19"/>
        <v>-6.2651401178059792E-3</v>
      </c>
    </row>
    <row r="640" spans="2:8" ht="14.25" customHeight="1" x14ac:dyDescent="0.35">
      <c r="B640" s="337">
        <v>44855</v>
      </c>
      <c r="C640" s="337"/>
      <c r="D640">
        <v>17576.3</v>
      </c>
      <c r="E640">
        <v>3857.07</v>
      </c>
      <c r="G640" s="338">
        <f t="shared" si="18"/>
        <v>7.0314479373936639E-4</v>
      </c>
      <c r="H640" s="338">
        <f t="shared" si="19"/>
        <v>-1.0279359426039148E-2</v>
      </c>
    </row>
    <row r="641" spans="2:8" ht="14.25" customHeight="1" x14ac:dyDescent="0.35">
      <c r="B641" s="337">
        <v>44858</v>
      </c>
      <c r="C641" s="337"/>
      <c r="D641">
        <v>17730.75</v>
      </c>
      <c r="E641">
        <v>3973.22</v>
      </c>
      <c r="G641" s="338">
        <f t="shared" si="18"/>
        <v>8.7874012164107767E-3</v>
      </c>
      <c r="H641" s="338">
        <f t="shared" si="19"/>
        <v>3.0113531774118601E-2</v>
      </c>
    </row>
    <row r="642" spans="2:8" ht="14.25" customHeight="1" x14ac:dyDescent="0.35">
      <c r="B642" s="337">
        <v>44859</v>
      </c>
      <c r="C642" s="337"/>
      <c r="D642">
        <v>17656.349999999999</v>
      </c>
      <c r="E642">
        <v>3873.11</v>
      </c>
      <c r="G642" s="338">
        <f t="shared" si="18"/>
        <v>-4.1960999957701426E-3</v>
      </c>
      <c r="H642" s="338">
        <f t="shared" si="19"/>
        <v>-2.5196188481886147E-2</v>
      </c>
    </row>
    <row r="643" spans="2:8" ht="14.25" customHeight="1" x14ac:dyDescent="0.35">
      <c r="B643" s="337">
        <v>44861</v>
      </c>
      <c r="C643" s="337"/>
      <c r="D643">
        <v>17736.95</v>
      </c>
      <c r="E643">
        <v>3892.7</v>
      </c>
      <c r="G643" s="338">
        <f t="shared" si="18"/>
        <v>4.564929897742296E-3</v>
      </c>
      <c r="H643" s="338">
        <f t="shared" si="19"/>
        <v>5.0579508457027269E-3</v>
      </c>
    </row>
    <row r="644" spans="2:8" ht="14.25" customHeight="1" x14ac:dyDescent="0.35">
      <c r="B644" s="337">
        <v>44862</v>
      </c>
      <c r="C644" s="337"/>
      <c r="D644">
        <v>17786.8</v>
      </c>
      <c r="E644">
        <v>3892.55</v>
      </c>
      <c r="G644" s="338">
        <f t="shared" si="18"/>
        <v>2.8105170280120621E-3</v>
      </c>
      <c r="H644" s="338">
        <f t="shared" si="19"/>
        <v>-3.853366557906754E-5</v>
      </c>
    </row>
    <row r="645" spans="2:8" ht="14.25" customHeight="1" x14ac:dyDescent="0.35">
      <c r="B645" s="337">
        <v>44865</v>
      </c>
      <c r="C645" s="337"/>
      <c r="D645">
        <v>18012.2</v>
      </c>
      <c r="E645">
        <v>3888.61</v>
      </c>
      <c r="G645" s="338">
        <f t="shared" si="18"/>
        <v>1.2672318798209991E-2</v>
      </c>
      <c r="H645" s="338">
        <f t="shared" si="19"/>
        <v>-1.0121899526017789E-3</v>
      </c>
    </row>
    <row r="646" spans="2:8" ht="14.25" customHeight="1" x14ac:dyDescent="0.35">
      <c r="B646" s="337">
        <v>44866</v>
      </c>
      <c r="C646" s="337"/>
      <c r="D646">
        <v>18145.400000000001</v>
      </c>
      <c r="E646">
        <v>3942.38</v>
      </c>
      <c r="G646" s="338">
        <f t="shared" si="18"/>
        <v>7.3949878415740843E-3</v>
      </c>
      <c r="H646" s="338">
        <f t="shared" si="19"/>
        <v>1.3827563062379611E-2</v>
      </c>
    </row>
    <row r="647" spans="2:8" ht="14.25" customHeight="1" x14ac:dyDescent="0.35">
      <c r="B647" s="337">
        <v>44867</v>
      </c>
      <c r="C647" s="337"/>
      <c r="D647">
        <v>18082.849999999999</v>
      </c>
      <c r="E647">
        <v>3950.1</v>
      </c>
      <c r="G647" s="338">
        <f t="shared" ref="G647:G710" si="20">(D647-D646)/D646</f>
        <v>-3.4471546507656432E-3</v>
      </c>
      <c r="H647" s="338">
        <f t="shared" ref="H647:H710" si="21">(E647-E646)/E646</f>
        <v>1.9582079860388396E-3</v>
      </c>
    </row>
    <row r="648" spans="2:8" ht="14.25" customHeight="1" x14ac:dyDescent="0.35">
      <c r="B648" s="337">
        <v>44868</v>
      </c>
      <c r="C648" s="337"/>
      <c r="D648">
        <v>18052.7</v>
      </c>
      <c r="E648">
        <v>3970.33</v>
      </c>
      <c r="G648" s="338">
        <f t="shared" si="20"/>
        <v>-1.6673256704555874E-3</v>
      </c>
      <c r="H648" s="338">
        <f t="shared" si="21"/>
        <v>5.1213893319156526E-3</v>
      </c>
    </row>
    <row r="649" spans="2:8" ht="14.25" customHeight="1" x14ac:dyDescent="0.35">
      <c r="B649" s="337">
        <v>44869</v>
      </c>
      <c r="C649" s="337"/>
      <c r="D649">
        <v>18117.150000000001</v>
      </c>
      <c r="E649">
        <v>3995.05</v>
      </c>
      <c r="G649" s="338">
        <f t="shared" si="20"/>
        <v>3.5701030870728878E-3</v>
      </c>
      <c r="H649" s="338">
        <f t="shared" si="21"/>
        <v>6.2261827102533685E-3</v>
      </c>
    </row>
    <row r="650" spans="2:8" ht="14.25" customHeight="1" x14ac:dyDescent="0.35">
      <c r="B650" s="337">
        <v>44872</v>
      </c>
      <c r="C650" s="337"/>
      <c r="D650">
        <v>18202.8</v>
      </c>
      <c r="E650">
        <v>4074.03</v>
      </c>
      <c r="G650" s="338">
        <f t="shared" si="20"/>
        <v>4.7275647659812837E-3</v>
      </c>
      <c r="H650" s="338">
        <f t="shared" si="21"/>
        <v>1.9769464712581824E-2</v>
      </c>
    </row>
    <row r="651" spans="2:8" ht="14.25" customHeight="1" x14ac:dyDescent="0.35">
      <c r="B651" s="337">
        <v>44874</v>
      </c>
      <c r="C651" s="337"/>
      <c r="D651">
        <v>18157</v>
      </c>
      <c r="E651">
        <v>4153.5600000000004</v>
      </c>
      <c r="G651" s="338">
        <f t="shared" si="20"/>
        <v>-2.5160964247258263E-3</v>
      </c>
      <c r="H651" s="338">
        <f t="shared" si="21"/>
        <v>1.9521211184011948E-2</v>
      </c>
    </row>
    <row r="652" spans="2:8" ht="14.25" customHeight="1" x14ac:dyDescent="0.35">
      <c r="B652" s="337">
        <v>44875</v>
      </c>
      <c r="C652" s="337"/>
      <c r="D652">
        <v>18028.2</v>
      </c>
      <c r="E652">
        <v>4163.97</v>
      </c>
      <c r="G652" s="338">
        <f t="shared" si="20"/>
        <v>-7.0936828771272385E-3</v>
      </c>
      <c r="H652" s="338">
        <f t="shared" si="21"/>
        <v>2.5062837662149706E-3</v>
      </c>
    </row>
    <row r="653" spans="2:8" ht="14.25" customHeight="1" x14ac:dyDescent="0.35">
      <c r="B653" s="337">
        <v>44876</v>
      </c>
      <c r="C653" s="337"/>
      <c r="D653">
        <v>18349.7</v>
      </c>
      <c r="E653">
        <v>4131.93</v>
      </c>
      <c r="G653" s="338">
        <f t="shared" si="20"/>
        <v>1.7833172474234809E-2</v>
      </c>
      <c r="H653" s="338">
        <f t="shared" si="21"/>
        <v>-7.6945799321320668E-3</v>
      </c>
    </row>
    <row r="654" spans="2:8" ht="14.25" customHeight="1" x14ac:dyDescent="0.35">
      <c r="B654" s="337">
        <v>44879</v>
      </c>
      <c r="C654" s="337"/>
      <c r="D654">
        <v>18329.150000000001</v>
      </c>
      <c r="E654">
        <v>4037.35</v>
      </c>
      <c r="G654" s="338">
        <f t="shared" si="20"/>
        <v>-1.1199093173184995E-3</v>
      </c>
      <c r="H654" s="338">
        <f t="shared" si="21"/>
        <v>-2.2890029598759024E-2</v>
      </c>
    </row>
    <row r="655" spans="2:8" ht="14.25" customHeight="1" x14ac:dyDescent="0.35">
      <c r="B655" s="337">
        <v>44880</v>
      </c>
      <c r="C655" s="337"/>
      <c r="D655">
        <v>18403.400000000001</v>
      </c>
      <c r="E655">
        <v>4016.63</v>
      </c>
      <c r="G655" s="338">
        <f t="shared" si="20"/>
        <v>4.0509243472828796E-3</v>
      </c>
      <c r="H655" s="338">
        <f t="shared" si="21"/>
        <v>-5.1320792103730917E-3</v>
      </c>
    </row>
    <row r="656" spans="2:8" ht="14.25" customHeight="1" x14ac:dyDescent="0.35">
      <c r="B656" s="337">
        <v>44881</v>
      </c>
      <c r="C656" s="337"/>
      <c r="D656">
        <v>18409.650000000001</v>
      </c>
      <c r="E656">
        <v>4013.83</v>
      </c>
      <c r="G656" s="338">
        <f t="shared" si="20"/>
        <v>3.3961115880761162E-4</v>
      </c>
      <c r="H656" s="338">
        <f t="shared" si="21"/>
        <v>-6.9710179926958215E-4</v>
      </c>
    </row>
    <row r="657" spans="2:8" ht="14.25" customHeight="1" x14ac:dyDescent="0.35">
      <c r="B657" s="337">
        <v>44882</v>
      </c>
      <c r="C657" s="337"/>
      <c r="D657">
        <v>18343.900000000001</v>
      </c>
      <c r="E657">
        <v>3982.49</v>
      </c>
      <c r="G657" s="338">
        <f t="shared" si="20"/>
        <v>-3.571496470601016E-3</v>
      </c>
      <c r="H657" s="338">
        <f t="shared" si="21"/>
        <v>-7.8080038267689831E-3</v>
      </c>
    </row>
    <row r="658" spans="2:8" ht="14.25" customHeight="1" x14ac:dyDescent="0.35">
      <c r="B658" s="337">
        <v>44883</v>
      </c>
      <c r="C658" s="337"/>
      <c r="D658">
        <v>18307.650000000001</v>
      </c>
      <c r="E658">
        <v>3938.29</v>
      </c>
      <c r="G658" s="338">
        <f t="shared" si="20"/>
        <v>-1.9761337556353882E-3</v>
      </c>
      <c r="H658" s="338">
        <f t="shared" si="21"/>
        <v>-1.1098584051686211E-2</v>
      </c>
    </row>
    <row r="659" spans="2:8" ht="14.25" customHeight="1" x14ac:dyDescent="0.35">
      <c r="B659" s="337">
        <v>44886</v>
      </c>
      <c r="C659" s="337"/>
      <c r="D659">
        <v>18159.95</v>
      </c>
      <c r="E659">
        <v>3932.96</v>
      </c>
      <c r="G659" s="338">
        <f t="shared" si="20"/>
        <v>-8.0676657025888481E-3</v>
      </c>
      <c r="H659" s="338">
        <f t="shared" si="21"/>
        <v>-1.353379258510655E-3</v>
      </c>
    </row>
    <row r="660" spans="2:8" ht="14.25" customHeight="1" x14ac:dyDescent="0.35">
      <c r="B660" s="337">
        <v>44887</v>
      </c>
      <c r="C660" s="337"/>
      <c r="D660">
        <v>18244.2</v>
      </c>
      <c r="E660">
        <v>3838.18</v>
      </c>
      <c r="G660" s="338">
        <f t="shared" si="20"/>
        <v>4.6393299541022965E-3</v>
      </c>
      <c r="H660" s="338">
        <f t="shared" si="21"/>
        <v>-2.4098897522476761E-2</v>
      </c>
    </row>
    <row r="661" spans="2:8" ht="14.25" customHeight="1" x14ac:dyDescent="0.35">
      <c r="B661" s="337">
        <v>44888</v>
      </c>
      <c r="C661" s="337"/>
      <c r="D661">
        <v>18267.25</v>
      </c>
      <c r="E661">
        <v>3860.16</v>
      </c>
      <c r="G661" s="338">
        <f t="shared" si="20"/>
        <v>1.2634152223720016E-3</v>
      </c>
      <c r="H661" s="338">
        <f t="shared" si="21"/>
        <v>5.7266725375047598E-3</v>
      </c>
    </row>
    <row r="662" spans="2:8" ht="14.25" customHeight="1" x14ac:dyDescent="0.35">
      <c r="B662" s="337">
        <v>44889</v>
      </c>
      <c r="C662" s="337"/>
      <c r="D662">
        <v>18484.099999999999</v>
      </c>
      <c r="E662">
        <v>3873.01</v>
      </c>
      <c r="G662" s="338">
        <f t="shared" si="20"/>
        <v>1.1870971273727493E-2</v>
      </c>
      <c r="H662" s="338">
        <f t="shared" si="21"/>
        <v>3.328877559479494E-3</v>
      </c>
    </row>
    <row r="663" spans="2:8" ht="14.25" customHeight="1" x14ac:dyDescent="0.35">
      <c r="B663" s="337">
        <v>44890</v>
      </c>
      <c r="C663" s="337"/>
      <c r="D663">
        <v>18512.75</v>
      </c>
      <c r="E663">
        <v>3746.94</v>
      </c>
      <c r="G663" s="338">
        <f t="shared" si="20"/>
        <v>1.5499807943043728E-3</v>
      </c>
      <c r="H663" s="338">
        <f t="shared" si="21"/>
        <v>-3.2550910015724244E-2</v>
      </c>
    </row>
    <row r="664" spans="2:8" ht="14.25" customHeight="1" x14ac:dyDescent="0.35">
      <c r="B664" s="337">
        <v>44893</v>
      </c>
      <c r="C664" s="337"/>
      <c r="D664">
        <v>18562.75</v>
      </c>
      <c r="E664">
        <v>3732.39</v>
      </c>
      <c r="G664" s="338">
        <f t="shared" si="20"/>
        <v>2.7008413120687092E-3</v>
      </c>
      <c r="H664" s="338">
        <f t="shared" si="21"/>
        <v>-3.8831686656312036E-3</v>
      </c>
    </row>
    <row r="665" spans="2:8" ht="14.25" customHeight="1" x14ac:dyDescent="0.35">
      <c r="B665" s="337">
        <v>44894</v>
      </c>
      <c r="C665" s="337"/>
      <c r="D665">
        <v>18618.05</v>
      </c>
      <c r="E665">
        <v>3704.64</v>
      </c>
      <c r="G665" s="338">
        <f t="shared" si="20"/>
        <v>2.9790844567749537E-3</v>
      </c>
      <c r="H665" s="338">
        <f t="shared" si="21"/>
        <v>-7.434914357824343E-3</v>
      </c>
    </row>
    <row r="666" spans="2:8" ht="14.25" customHeight="1" x14ac:dyDescent="0.35">
      <c r="B666" s="337">
        <v>44895</v>
      </c>
      <c r="C666" s="337"/>
      <c r="D666">
        <v>18758.349999999999</v>
      </c>
      <c r="E666">
        <v>3864.59</v>
      </c>
      <c r="G666" s="338">
        <f t="shared" si="20"/>
        <v>7.5356978845797108E-3</v>
      </c>
      <c r="H666" s="338">
        <f t="shared" si="21"/>
        <v>4.3175585212058464E-2</v>
      </c>
    </row>
    <row r="667" spans="2:8" ht="14.25" customHeight="1" x14ac:dyDescent="0.35">
      <c r="B667" s="337">
        <v>44896</v>
      </c>
      <c r="C667" s="337"/>
      <c r="D667">
        <v>18812.5</v>
      </c>
      <c r="E667">
        <v>4064.71</v>
      </c>
      <c r="G667" s="338">
        <f t="shared" si="20"/>
        <v>2.8867144498317529E-3</v>
      </c>
      <c r="H667" s="338">
        <f t="shared" si="21"/>
        <v>5.178298344714443E-2</v>
      </c>
    </row>
    <row r="668" spans="2:8" ht="14.25" customHeight="1" x14ac:dyDescent="0.35">
      <c r="B668" s="337">
        <v>44897</v>
      </c>
      <c r="C668" s="337"/>
      <c r="D668">
        <v>18696.099999999999</v>
      </c>
      <c r="E668">
        <v>4072.34</v>
      </c>
      <c r="G668" s="338">
        <f t="shared" si="20"/>
        <v>-6.1873754152824692E-3</v>
      </c>
      <c r="H668" s="338">
        <f t="shared" si="21"/>
        <v>1.8771326859727039E-3</v>
      </c>
    </row>
    <row r="669" spans="2:8" ht="14.25" customHeight="1" x14ac:dyDescent="0.35">
      <c r="B669" s="337">
        <v>44900</v>
      </c>
      <c r="C669" s="337"/>
      <c r="D669">
        <v>18701.05</v>
      </c>
      <c r="E669">
        <v>4011.89</v>
      </c>
      <c r="G669" s="338">
        <f t="shared" si="20"/>
        <v>2.6476109990857601E-4</v>
      </c>
      <c r="H669" s="338">
        <f t="shared" si="21"/>
        <v>-1.4844045438249329E-2</v>
      </c>
    </row>
    <row r="670" spans="2:8" ht="14.25" customHeight="1" x14ac:dyDescent="0.35">
      <c r="B670" s="337">
        <v>44901</v>
      </c>
      <c r="C670" s="337"/>
      <c r="D670">
        <v>18642.75</v>
      </c>
      <c r="E670">
        <v>3995.05</v>
      </c>
      <c r="G670" s="338">
        <f t="shared" si="20"/>
        <v>-3.1174720136034756E-3</v>
      </c>
      <c r="H670" s="338">
        <f t="shared" si="21"/>
        <v>-4.1975228632887968E-3</v>
      </c>
    </row>
    <row r="671" spans="2:8" ht="14.25" customHeight="1" x14ac:dyDescent="0.35">
      <c r="B671" s="337">
        <v>44902</v>
      </c>
      <c r="C671" s="337"/>
      <c r="D671">
        <v>18560.5</v>
      </c>
      <c r="E671">
        <v>3992.61</v>
      </c>
      <c r="G671" s="338">
        <f t="shared" si="20"/>
        <v>-4.4119027503989484E-3</v>
      </c>
      <c r="H671" s="338">
        <f t="shared" si="21"/>
        <v>-6.1075581031527879E-4</v>
      </c>
    </row>
    <row r="672" spans="2:8" ht="14.25" customHeight="1" x14ac:dyDescent="0.35">
      <c r="B672" s="337">
        <v>44903</v>
      </c>
      <c r="C672" s="337"/>
      <c r="D672">
        <v>18609.349999999999</v>
      </c>
      <c r="E672">
        <v>4024.3</v>
      </c>
      <c r="G672" s="338">
        <f t="shared" si="20"/>
        <v>2.6319334069663286E-3</v>
      </c>
      <c r="H672" s="338">
        <f t="shared" si="21"/>
        <v>7.9371639103243373E-3</v>
      </c>
    </row>
    <row r="673" spans="2:8" ht="14.25" customHeight="1" x14ac:dyDescent="0.35">
      <c r="B673" s="337">
        <v>44904</v>
      </c>
      <c r="C673" s="337"/>
      <c r="D673">
        <v>18496.599999999999</v>
      </c>
      <c r="E673">
        <v>4018.72</v>
      </c>
      <c r="G673" s="338">
        <f t="shared" si="20"/>
        <v>-6.0587822788007112E-3</v>
      </c>
      <c r="H673" s="338">
        <f t="shared" si="21"/>
        <v>-1.3865765474741897E-3</v>
      </c>
    </row>
    <row r="674" spans="2:8" ht="14.25" customHeight="1" x14ac:dyDescent="0.35">
      <c r="B674" s="337">
        <v>44907</v>
      </c>
      <c r="C674" s="337"/>
      <c r="D674">
        <v>18497.150000000001</v>
      </c>
      <c r="E674">
        <v>4020.91</v>
      </c>
      <c r="G674" s="338">
        <f t="shared" si="20"/>
        <v>2.9735194576457857E-5</v>
      </c>
      <c r="H674" s="338">
        <f t="shared" si="21"/>
        <v>5.4494963570491468E-4</v>
      </c>
    </row>
    <row r="675" spans="2:8" ht="14.25" customHeight="1" x14ac:dyDescent="0.35">
      <c r="B675" s="337">
        <v>44908</v>
      </c>
      <c r="C675" s="337"/>
      <c r="D675">
        <v>18608</v>
      </c>
      <c r="E675">
        <v>4026.49</v>
      </c>
      <c r="G675" s="338">
        <f t="shared" si="20"/>
        <v>5.9928151093546055E-3</v>
      </c>
      <c r="H675" s="338">
        <f t="shared" si="21"/>
        <v>1.3877455600846394E-3</v>
      </c>
    </row>
    <row r="676" spans="2:8" ht="14.25" customHeight="1" x14ac:dyDescent="0.35">
      <c r="B676" s="337">
        <v>44909</v>
      </c>
      <c r="C676" s="337"/>
      <c r="D676">
        <v>18660.3</v>
      </c>
      <c r="E676">
        <v>4166.12</v>
      </c>
      <c r="G676" s="338">
        <f t="shared" si="20"/>
        <v>2.8106190885640193E-3</v>
      </c>
      <c r="H676" s="338">
        <f t="shared" si="21"/>
        <v>3.4677845965096182E-2</v>
      </c>
    </row>
    <row r="677" spans="2:8" ht="14.25" customHeight="1" x14ac:dyDescent="0.35">
      <c r="B677" s="337">
        <v>44910</v>
      </c>
      <c r="C677" s="337"/>
      <c r="D677">
        <v>18414.900000000001</v>
      </c>
      <c r="E677">
        <v>4197.46</v>
      </c>
      <c r="G677" s="338">
        <f t="shared" si="20"/>
        <v>-1.3150913972444056E-2</v>
      </c>
      <c r="H677" s="338">
        <f t="shared" si="21"/>
        <v>7.5225869634096346E-3</v>
      </c>
    </row>
    <row r="678" spans="2:8" ht="14.25" customHeight="1" x14ac:dyDescent="0.35">
      <c r="B678" s="337">
        <v>44911</v>
      </c>
      <c r="C678" s="337"/>
      <c r="D678">
        <v>18269</v>
      </c>
      <c r="E678">
        <v>4106.17</v>
      </c>
      <c r="G678" s="338">
        <f t="shared" si="20"/>
        <v>-7.9229319735649641E-3</v>
      </c>
      <c r="H678" s="338">
        <f t="shared" si="21"/>
        <v>-2.1748867172051659E-2</v>
      </c>
    </row>
    <row r="679" spans="2:8" ht="14.25" customHeight="1" x14ac:dyDescent="0.35">
      <c r="B679" s="337">
        <v>44914</v>
      </c>
      <c r="C679" s="337"/>
      <c r="D679">
        <v>18420.45</v>
      </c>
      <c r="E679">
        <v>4000.28</v>
      </c>
      <c r="G679" s="338">
        <f t="shared" si="20"/>
        <v>8.2899994526247044E-3</v>
      </c>
      <c r="H679" s="338">
        <f t="shared" si="21"/>
        <v>-2.5788021440904755E-2</v>
      </c>
    </row>
    <row r="680" spans="2:8" ht="14.25" customHeight="1" x14ac:dyDescent="0.35">
      <c r="B680" s="337">
        <v>44915</v>
      </c>
      <c r="C680" s="337"/>
      <c r="D680">
        <v>18385.3</v>
      </c>
      <c r="E680">
        <v>4137.8599999999997</v>
      </c>
      <c r="G680" s="338">
        <f t="shared" si="20"/>
        <v>-1.9082052827157562E-3</v>
      </c>
      <c r="H680" s="338">
        <f t="shared" si="21"/>
        <v>3.4392592518523571E-2</v>
      </c>
    </row>
    <row r="681" spans="2:8" ht="14.25" customHeight="1" x14ac:dyDescent="0.35">
      <c r="B681" s="337">
        <v>44916</v>
      </c>
      <c r="C681" s="337"/>
      <c r="D681">
        <v>18199.099999999999</v>
      </c>
      <c r="E681">
        <v>4016.33</v>
      </c>
      <c r="G681" s="338">
        <f t="shared" si="20"/>
        <v>-1.0127656334136551E-2</v>
      </c>
      <c r="H681" s="338">
        <f t="shared" si="21"/>
        <v>-2.9370254189363523E-2</v>
      </c>
    </row>
    <row r="682" spans="2:8" ht="14.25" customHeight="1" x14ac:dyDescent="0.35">
      <c r="B682" s="337">
        <v>44917</v>
      </c>
      <c r="C682" s="337"/>
      <c r="D682">
        <v>18127.349999999999</v>
      </c>
      <c r="E682">
        <v>4047.07</v>
      </c>
      <c r="G682" s="338">
        <f t="shared" si="20"/>
        <v>-3.9425026512300062E-3</v>
      </c>
      <c r="H682" s="338">
        <f t="shared" si="21"/>
        <v>7.6537535511275812E-3</v>
      </c>
    </row>
    <row r="683" spans="2:8" ht="14.25" customHeight="1" x14ac:dyDescent="0.35">
      <c r="B683" s="337">
        <v>44918</v>
      </c>
      <c r="C683" s="337"/>
      <c r="D683">
        <v>17806.8</v>
      </c>
      <c r="E683">
        <v>4022.75</v>
      </c>
      <c r="G683" s="338">
        <f t="shared" si="20"/>
        <v>-1.7683224519855319E-2</v>
      </c>
      <c r="H683" s="338">
        <f t="shared" si="21"/>
        <v>-6.0092857301702624E-3</v>
      </c>
    </row>
    <row r="684" spans="2:8" ht="14.25" customHeight="1" x14ac:dyDescent="0.35">
      <c r="B684" s="337">
        <v>44921</v>
      </c>
      <c r="C684" s="337"/>
      <c r="D684">
        <v>18014.599999999999</v>
      </c>
      <c r="E684">
        <v>4099.04</v>
      </c>
      <c r="G684" s="338">
        <f t="shared" si="20"/>
        <v>1.1669699216029792E-2</v>
      </c>
      <c r="H684" s="338">
        <f t="shared" si="21"/>
        <v>1.8964638617860907E-2</v>
      </c>
    </row>
    <row r="685" spans="2:8" ht="14.25" customHeight="1" x14ac:dyDescent="0.35">
      <c r="B685" s="337">
        <v>44922</v>
      </c>
      <c r="C685" s="337"/>
      <c r="D685">
        <v>18132.3</v>
      </c>
      <c r="E685">
        <v>4092.52</v>
      </c>
      <c r="G685" s="338">
        <f t="shared" si="20"/>
        <v>6.5335894219133777E-3</v>
      </c>
      <c r="H685" s="338">
        <f t="shared" si="21"/>
        <v>-1.5906163394355708E-3</v>
      </c>
    </row>
    <row r="686" spans="2:8" ht="14.25" customHeight="1" x14ac:dyDescent="0.35">
      <c r="B686" s="337">
        <v>44923</v>
      </c>
      <c r="C686" s="337"/>
      <c r="D686">
        <v>18122.5</v>
      </c>
      <c r="E686">
        <v>4133.2299999999996</v>
      </c>
      <c r="G686" s="338">
        <f t="shared" si="20"/>
        <v>-5.4047197542503008E-4</v>
      </c>
      <c r="H686" s="338">
        <f t="shared" si="21"/>
        <v>9.9474162618630041E-3</v>
      </c>
    </row>
    <row r="687" spans="2:8" ht="14.25" customHeight="1" x14ac:dyDescent="0.35">
      <c r="B687" s="337">
        <v>44924</v>
      </c>
      <c r="C687" s="337"/>
      <c r="D687">
        <v>18191</v>
      </c>
      <c r="E687">
        <v>4156.6000000000004</v>
      </c>
      <c r="G687" s="338">
        <f t="shared" si="20"/>
        <v>3.7798317009242652E-3</v>
      </c>
      <c r="H687" s="338">
        <f t="shared" si="21"/>
        <v>5.6541736124050201E-3</v>
      </c>
    </row>
    <row r="688" spans="2:8" ht="14.25" customHeight="1" x14ac:dyDescent="0.35">
      <c r="B688" s="337">
        <v>44925</v>
      </c>
      <c r="C688" s="337"/>
      <c r="D688">
        <v>18105.3</v>
      </c>
      <c r="E688">
        <v>4369.67</v>
      </c>
      <c r="G688" s="338">
        <f t="shared" si="20"/>
        <v>-4.7111208839536439E-3</v>
      </c>
      <c r="H688" s="338">
        <f t="shared" si="21"/>
        <v>5.1260645720059589E-2</v>
      </c>
    </row>
    <row r="689" spans="2:8" ht="14.25" customHeight="1" x14ac:dyDescent="0.35">
      <c r="B689" s="337">
        <v>44928</v>
      </c>
      <c r="C689" s="337"/>
      <c r="D689">
        <v>18197.45</v>
      </c>
      <c r="E689">
        <v>4419.1000000000004</v>
      </c>
      <c r="G689" s="338">
        <f t="shared" si="20"/>
        <v>5.0896698756718456E-3</v>
      </c>
      <c r="H689" s="338">
        <f t="shared" si="21"/>
        <v>1.1312067043964485E-2</v>
      </c>
    </row>
    <row r="690" spans="2:8" ht="14.25" customHeight="1" x14ac:dyDescent="0.35">
      <c r="B690" s="337">
        <v>44929</v>
      </c>
      <c r="C690" s="337"/>
      <c r="D690">
        <v>18232.55</v>
      </c>
      <c r="E690">
        <v>4481.09</v>
      </c>
      <c r="G690" s="338">
        <f t="shared" si="20"/>
        <v>1.9288416783669439E-3</v>
      </c>
      <c r="H690" s="338">
        <f t="shared" si="21"/>
        <v>1.4027743205630055E-2</v>
      </c>
    </row>
    <row r="691" spans="2:8" ht="14.25" customHeight="1" x14ac:dyDescent="0.35">
      <c r="B691" s="337">
        <v>44930</v>
      </c>
      <c r="C691" s="337"/>
      <c r="D691">
        <v>18042.95</v>
      </c>
      <c r="E691">
        <v>4444.7700000000004</v>
      </c>
      <c r="G691" s="338">
        <f t="shared" si="20"/>
        <v>-1.0398984234240332E-2</v>
      </c>
      <c r="H691" s="338">
        <f t="shared" si="21"/>
        <v>-8.1051708401303491E-3</v>
      </c>
    </row>
    <row r="692" spans="2:8" ht="14.25" customHeight="1" x14ac:dyDescent="0.35">
      <c r="B692" s="337">
        <v>44931</v>
      </c>
      <c r="C692" s="337"/>
      <c r="D692">
        <v>17992.150000000001</v>
      </c>
      <c r="E692">
        <v>4391.5</v>
      </c>
      <c r="G692" s="338">
        <f t="shared" si="20"/>
        <v>-2.8155041165662639E-3</v>
      </c>
      <c r="H692" s="338">
        <f t="shared" si="21"/>
        <v>-1.1984872108118178E-2</v>
      </c>
    </row>
    <row r="693" spans="2:8" ht="14.25" customHeight="1" x14ac:dyDescent="0.35">
      <c r="B693" s="337">
        <v>44932</v>
      </c>
      <c r="C693" s="337"/>
      <c r="D693">
        <v>17859.45</v>
      </c>
      <c r="E693">
        <v>4370.5200000000004</v>
      </c>
      <c r="G693" s="338">
        <f t="shared" si="20"/>
        <v>-7.3754387330030443E-3</v>
      </c>
      <c r="H693" s="338">
        <f t="shared" si="21"/>
        <v>-4.7774109074347178E-3</v>
      </c>
    </row>
    <row r="694" spans="2:8" ht="14.25" customHeight="1" x14ac:dyDescent="0.35">
      <c r="B694" s="337">
        <v>44935</v>
      </c>
      <c r="C694" s="337"/>
      <c r="D694">
        <v>18101.2</v>
      </c>
      <c r="E694">
        <v>4369.32</v>
      </c>
      <c r="G694" s="338">
        <f t="shared" si="20"/>
        <v>1.3536251116355766E-2</v>
      </c>
      <c r="H694" s="338">
        <f t="shared" si="21"/>
        <v>-2.7456687076154036E-4</v>
      </c>
    </row>
    <row r="695" spans="2:8" ht="14.25" customHeight="1" x14ac:dyDescent="0.35">
      <c r="B695" s="337">
        <v>44936</v>
      </c>
      <c r="C695" s="337"/>
      <c r="D695">
        <v>17914.150000000001</v>
      </c>
      <c r="E695">
        <v>4314.8100000000004</v>
      </c>
      <c r="G695" s="338">
        <f t="shared" si="20"/>
        <v>-1.0333569045146138E-2</v>
      </c>
      <c r="H695" s="338">
        <f t="shared" si="21"/>
        <v>-1.2475625497788972E-2</v>
      </c>
    </row>
    <row r="696" spans="2:8" ht="14.25" customHeight="1" x14ac:dyDescent="0.35">
      <c r="B696" s="337">
        <v>44937</v>
      </c>
      <c r="C696" s="337"/>
      <c r="D696">
        <v>17895.7</v>
      </c>
      <c r="E696">
        <v>4318.8500000000004</v>
      </c>
      <c r="G696" s="338">
        <f t="shared" si="20"/>
        <v>-1.0299121085845951E-3</v>
      </c>
      <c r="H696" s="338">
        <f t="shared" si="21"/>
        <v>9.3631005768503436E-4</v>
      </c>
    </row>
    <row r="697" spans="2:8" ht="14.25" customHeight="1" x14ac:dyDescent="0.35">
      <c r="B697" s="337">
        <v>44938</v>
      </c>
      <c r="C697" s="337"/>
      <c r="D697">
        <v>17858.2</v>
      </c>
      <c r="E697">
        <v>4328.51</v>
      </c>
      <c r="G697" s="338">
        <f t="shared" si="20"/>
        <v>-2.0954754494096348E-3</v>
      </c>
      <c r="H697" s="338">
        <f t="shared" si="21"/>
        <v>2.2367065306736406E-3</v>
      </c>
    </row>
    <row r="698" spans="2:8" ht="14.25" customHeight="1" x14ac:dyDescent="0.35">
      <c r="B698" s="337">
        <v>44939</v>
      </c>
      <c r="C698" s="337"/>
      <c r="D698">
        <v>17956.599999999999</v>
      </c>
      <c r="E698">
        <v>4279.7299999999996</v>
      </c>
      <c r="G698" s="338">
        <f t="shared" si="20"/>
        <v>5.5100738036307027E-3</v>
      </c>
      <c r="H698" s="338">
        <f t="shared" si="21"/>
        <v>-1.1269466860420942E-2</v>
      </c>
    </row>
    <row r="699" spans="2:8" ht="14.25" customHeight="1" x14ac:dyDescent="0.35">
      <c r="B699" s="337">
        <v>44942</v>
      </c>
      <c r="C699" s="337"/>
      <c r="D699">
        <v>17894.849999999999</v>
      </c>
      <c r="E699">
        <v>4274.45</v>
      </c>
      <c r="G699" s="338">
        <f t="shared" si="20"/>
        <v>-3.4388469977612692E-3</v>
      </c>
      <c r="H699" s="338">
        <f t="shared" si="21"/>
        <v>-1.2337226881134432E-3</v>
      </c>
    </row>
    <row r="700" spans="2:8" ht="14.25" customHeight="1" x14ac:dyDescent="0.35">
      <c r="B700" s="337">
        <v>44943</v>
      </c>
      <c r="C700" s="337"/>
      <c r="D700">
        <v>18053.3</v>
      </c>
      <c r="E700">
        <v>4267.87</v>
      </c>
      <c r="G700" s="338">
        <f t="shared" si="20"/>
        <v>8.8545028318203697E-3</v>
      </c>
      <c r="H700" s="338">
        <f t="shared" si="21"/>
        <v>-1.5393793353530693E-3</v>
      </c>
    </row>
    <row r="701" spans="2:8" ht="14.25" customHeight="1" x14ac:dyDescent="0.35">
      <c r="B701" s="337">
        <v>44944</v>
      </c>
      <c r="C701" s="337"/>
      <c r="D701">
        <v>18165.349999999999</v>
      </c>
      <c r="E701">
        <v>4230.2</v>
      </c>
      <c r="G701" s="338">
        <f t="shared" si="20"/>
        <v>6.2066215041017029E-3</v>
      </c>
      <c r="H701" s="338">
        <f t="shared" si="21"/>
        <v>-8.8264169246017512E-3</v>
      </c>
    </row>
    <row r="702" spans="2:8" ht="14.25" customHeight="1" x14ac:dyDescent="0.35">
      <c r="B702" s="337">
        <v>44945</v>
      </c>
      <c r="C702" s="337"/>
      <c r="D702">
        <v>18107.849999999999</v>
      </c>
      <c r="E702">
        <v>4323.13</v>
      </c>
      <c r="G702" s="338">
        <f t="shared" si="20"/>
        <v>-3.1653670311884994E-3</v>
      </c>
      <c r="H702" s="338">
        <f t="shared" si="21"/>
        <v>2.1968228452555503E-2</v>
      </c>
    </row>
    <row r="703" spans="2:8" ht="14.25" customHeight="1" x14ac:dyDescent="0.35">
      <c r="B703" s="337">
        <v>44946</v>
      </c>
      <c r="C703" s="337"/>
      <c r="D703">
        <v>18027.650000000001</v>
      </c>
      <c r="E703">
        <v>4234.93</v>
      </c>
      <c r="G703" s="338">
        <f t="shared" si="20"/>
        <v>-4.4290183539181681E-3</v>
      </c>
      <c r="H703" s="338">
        <f t="shared" si="21"/>
        <v>-2.0401884745543115E-2</v>
      </c>
    </row>
    <row r="704" spans="2:8" ht="14.25" customHeight="1" x14ac:dyDescent="0.35">
      <c r="B704" s="337">
        <v>44949</v>
      </c>
      <c r="C704" s="337"/>
      <c r="D704">
        <v>18118.55</v>
      </c>
      <c r="E704">
        <v>4070.84</v>
      </c>
      <c r="G704" s="338">
        <f t="shared" si="20"/>
        <v>5.0422545367808788E-3</v>
      </c>
      <c r="H704" s="338">
        <f t="shared" si="21"/>
        <v>-3.8746803371012065E-2</v>
      </c>
    </row>
    <row r="705" spans="2:8" ht="14.25" customHeight="1" x14ac:dyDescent="0.35">
      <c r="B705" s="337">
        <v>44950</v>
      </c>
      <c r="C705" s="337"/>
      <c r="D705">
        <v>18118.3</v>
      </c>
      <c r="E705">
        <v>4087.38</v>
      </c>
      <c r="G705" s="338">
        <f t="shared" si="20"/>
        <v>-1.3798013637956681E-5</v>
      </c>
      <c r="H705" s="338">
        <f t="shared" si="21"/>
        <v>4.0630434996216909E-3</v>
      </c>
    </row>
    <row r="706" spans="2:8" ht="14.25" customHeight="1" x14ac:dyDescent="0.35">
      <c r="B706" s="337">
        <v>44951</v>
      </c>
      <c r="C706" s="337"/>
      <c r="D706">
        <v>17891.95</v>
      </c>
      <c r="E706">
        <v>4053.55</v>
      </c>
      <c r="G706" s="338">
        <f t="shared" si="20"/>
        <v>-1.2492893924926652E-2</v>
      </c>
      <c r="H706" s="338">
        <f t="shared" si="21"/>
        <v>-8.276695584946819E-3</v>
      </c>
    </row>
    <row r="707" spans="2:8" ht="14.25" customHeight="1" x14ac:dyDescent="0.35">
      <c r="B707" s="337">
        <v>44953</v>
      </c>
      <c r="C707" s="337"/>
      <c r="D707">
        <v>17604.349999999999</v>
      </c>
      <c r="E707">
        <v>4090.28</v>
      </c>
      <c r="G707" s="338">
        <f t="shared" si="20"/>
        <v>-1.6074268036742903E-2</v>
      </c>
      <c r="H707" s="338">
        <f t="shared" si="21"/>
        <v>9.0611932750305334E-3</v>
      </c>
    </row>
    <row r="708" spans="2:8" ht="14.25" customHeight="1" x14ac:dyDescent="0.35">
      <c r="B708" s="337">
        <v>44956</v>
      </c>
      <c r="C708" s="337"/>
      <c r="D708">
        <v>17648.95</v>
      </c>
      <c r="E708">
        <v>4016.43</v>
      </c>
      <c r="G708" s="338">
        <f t="shared" si="20"/>
        <v>2.5334647402489832E-3</v>
      </c>
      <c r="H708" s="338">
        <f t="shared" si="21"/>
        <v>-1.8054998679797069E-2</v>
      </c>
    </row>
    <row r="709" spans="2:8" ht="14.25" customHeight="1" x14ac:dyDescent="0.35">
      <c r="B709" s="337">
        <v>44957</v>
      </c>
      <c r="C709" s="337"/>
      <c r="D709">
        <v>17662.150000000001</v>
      </c>
      <c r="E709">
        <v>3988.72</v>
      </c>
      <c r="G709" s="338">
        <f t="shared" si="20"/>
        <v>7.4791984792300546E-4</v>
      </c>
      <c r="H709" s="338">
        <f t="shared" si="21"/>
        <v>-6.8991616933445962E-3</v>
      </c>
    </row>
    <row r="710" spans="2:8" ht="14.25" customHeight="1" x14ac:dyDescent="0.35">
      <c r="B710" s="337">
        <v>44958</v>
      </c>
      <c r="C710" s="337"/>
      <c r="D710">
        <v>17616.3</v>
      </c>
      <c r="E710">
        <v>3931.02</v>
      </c>
      <c r="G710" s="338">
        <f t="shared" si="20"/>
        <v>-2.595946699580865E-3</v>
      </c>
      <c r="H710" s="338">
        <f t="shared" si="21"/>
        <v>-1.4465793537776484E-2</v>
      </c>
    </row>
    <row r="711" spans="2:8" ht="14.25" customHeight="1" x14ac:dyDescent="0.35">
      <c r="B711" s="337">
        <v>44959</v>
      </c>
      <c r="C711" s="337"/>
      <c r="D711">
        <v>17610.400000000001</v>
      </c>
      <c r="E711">
        <v>3925.44</v>
      </c>
      <c r="G711" s="338">
        <f t="shared" ref="G711:G774" si="22">(D711-D710)/D710</f>
        <v>-3.349170938277514E-4</v>
      </c>
      <c r="H711" s="338">
        <f t="shared" ref="H711:H774" si="23">(E711-E710)/E710</f>
        <v>-1.4194789138696642E-3</v>
      </c>
    </row>
    <row r="712" spans="2:8" ht="14.25" customHeight="1" x14ac:dyDescent="0.35">
      <c r="B712" s="337">
        <v>44960</v>
      </c>
      <c r="C712" s="337"/>
      <c r="D712">
        <v>17854.05</v>
      </c>
      <c r="E712">
        <v>3898.18</v>
      </c>
      <c r="G712" s="338">
        <f t="shared" si="22"/>
        <v>1.3835574433289295E-2</v>
      </c>
      <c r="H712" s="338">
        <f t="shared" si="23"/>
        <v>-6.9444444444444996E-3</v>
      </c>
    </row>
    <row r="713" spans="2:8" ht="14.25" customHeight="1" x14ac:dyDescent="0.35">
      <c r="B713" s="337">
        <v>44963</v>
      </c>
      <c r="C713" s="337"/>
      <c r="D713">
        <v>17764.599999999999</v>
      </c>
      <c r="E713">
        <v>3901.12</v>
      </c>
      <c r="G713" s="338">
        <f t="shared" si="22"/>
        <v>-5.0100677437332555E-3</v>
      </c>
      <c r="H713" s="338">
        <f t="shared" si="23"/>
        <v>7.5419811296555182E-4</v>
      </c>
    </row>
    <row r="714" spans="2:8" ht="14.25" customHeight="1" x14ac:dyDescent="0.35">
      <c r="B714" s="337">
        <v>44964</v>
      </c>
      <c r="C714" s="337"/>
      <c r="D714">
        <v>17721.5</v>
      </c>
      <c r="E714">
        <v>3852.63</v>
      </c>
      <c r="G714" s="338">
        <f t="shared" si="22"/>
        <v>-2.4261734010334345E-3</v>
      </c>
      <c r="H714" s="338">
        <f t="shared" si="23"/>
        <v>-1.2429763760150876E-2</v>
      </c>
    </row>
    <row r="715" spans="2:8" ht="14.25" customHeight="1" x14ac:dyDescent="0.35">
      <c r="B715" s="337">
        <v>44965</v>
      </c>
      <c r="C715" s="337"/>
      <c r="D715">
        <v>17871.7</v>
      </c>
      <c r="E715">
        <v>3878.6</v>
      </c>
      <c r="G715" s="338">
        <f t="shared" si="22"/>
        <v>8.4755805095505874E-3</v>
      </c>
      <c r="H715" s="338">
        <f t="shared" si="23"/>
        <v>6.7408497571788102E-3</v>
      </c>
    </row>
    <row r="716" spans="2:8" ht="14.25" customHeight="1" x14ac:dyDescent="0.35">
      <c r="B716" s="337">
        <v>44966</v>
      </c>
      <c r="C716" s="337"/>
      <c r="D716">
        <v>17893.45</v>
      </c>
      <c r="E716">
        <v>3846.95</v>
      </c>
      <c r="G716" s="338">
        <f t="shared" si="22"/>
        <v>1.2170078951638623E-3</v>
      </c>
      <c r="H716" s="338">
        <f t="shared" si="23"/>
        <v>-8.1601608827927847E-3</v>
      </c>
    </row>
    <row r="717" spans="2:8" ht="14.25" customHeight="1" x14ac:dyDescent="0.35">
      <c r="B717" s="337">
        <v>44967</v>
      </c>
      <c r="C717" s="337"/>
      <c r="D717">
        <v>17856.5</v>
      </c>
      <c r="E717">
        <v>3774.95</v>
      </c>
      <c r="G717" s="338">
        <f t="shared" si="22"/>
        <v>-2.0650014390741151E-3</v>
      </c>
      <c r="H717" s="338">
        <f t="shared" si="23"/>
        <v>-1.8716125761967274E-2</v>
      </c>
    </row>
    <row r="718" spans="2:8" ht="14.25" customHeight="1" x14ac:dyDescent="0.35">
      <c r="B718" s="337">
        <v>44970</v>
      </c>
      <c r="C718" s="337"/>
      <c r="D718">
        <v>17770.900000000001</v>
      </c>
      <c r="E718">
        <v>3717.84</v>
      </c>
      <c r="G718" s="338">
        <f t="shared" si="22"/>
        <v>-4.7937725758126475E-3</v>
      </c>
      <c r="H718" s="338">
        <f t="shared" si="23"/>
        <v>-1.5128677201022444E-2</v>
      </c>
    </row>
    <row r="719" spans="2:8" ht="14.25" customHeight="1" x14ac:dyDescent="0.35">
      <c r="B719" s="337">
        <v>44971</v>
      </c>
      <c r="C719" s="337"/>
      <c r="D719">
        <v>17929.849999999999</v>
      </c>
      <c r="E719">
        <v>3653.41</v>
      </c>
      <c r="G719" s="338">
        <f t="shared" si="22"/>
        <v>8.9443978639234412E-3</v>
      </c>
      <c r="H719" s="338">
        <f t="shared" si="23"/>
        <v>-1.7329955027650543E-2</v>
      </c>
    </row>
    <row r="720" spans="2:8" ht="14.25" customHeight="1" x14ac:dyDescent="0.35">
      <c r="B720" s="337">
        <v>44972</v>
      </c>
      <c r="C720" s="337"/>
      <c r="D720">
        <v>18015.849999999999</v>
      </c>
      <c r="E720">
        <v>3652.22</v>
      </c>
      <c r="G720" s="338">
        <f t="shared" si="22"/>
        <v>4.7964706899388454E-3</v>
      </c>
      <c r="H720" s="338">
        <f t="shared" si="23"/>
        <v>-3.2572309157747269E-4</v>
      </c>
    </row>
    <row r="721" spans="2:8" ht="14.25" customHeight="1" x14ac:dyDescent="0.35">
      <c r="B721" s="337">
        <v>44973</v>
      </c>
      <c r="C721" s="337"/>
      <c r="D721">
        <v>18035.849999999999</v>
      </c>
      <c r="E721">
        <v>3928.33</v>
      </c>
      <c r="G721" s="338">
        <f t="shared" si="22"/>
        <v>1.1101335768226312E-3</v>
      </c>
      <c r="H721" s="338">
        <f t="shared" si="23"/>
        <v>7.5600593611556841E-2</v>
      </c>
    </row>
    <row r="722" spans="2:8" ht="14.25" customHeight="1" x14ac:dyDescent="0.35">
      <c r="B722" s="337">
        <v>44974</v>
      </c>
      <c r="C722" s="337"/>
      <c r="D722">
        <v>17944.2</v>
      </c>
      <c r="E722">
        <v>4014.08</v>
      </c>
      <c r="G722" s="338">
        <f t="shared" si="22"/>
        <v>-5.0815459210404737E-3</v>
      </c>
      <c r="H722" s="338">
        <f t="shared" si="23"/>
        <v>2.1828614194835973E-2</v>
      </c>
    </row>
    <row r="723" spans="2:8" ht="14.25" customHeight="1" x14ac:dyDescent="0.35">
      <c r="B723" s="337">
        <v>44977</v>
      </c>
      <c r="C723" s="337"/>
      <c r="D723">
        <v>17844.599999999999</v>
      </c>
      <c r="E723">
        <v>3958.37</v>
      </c>
      <c r="G723" s="338">
        <f t="shared" si="22"/>
        <v>-5.5505400073562585E-3</v>
      </c>
      <c r="H723" s="338">
        <f t="shared" si="23"/>
        <v>-1.3878647161989804E-2</v>
      </c>
    </row>
    <row r="724" spans="2:8" ht="14.25" customHeight="1" x14ac:dyDescent="0.35">
      <c r="B724" s="337">
        <v>44978</v>
      </c>
      <c r="C724" s="337"/>
      <c r="D724">
        <v>17826.7</v>
      </c>
      <c r="E724">
        <v>3981.94</v>
      </c>
      <c r="G724" s="338">
        <f t="shared" si="22"/>
        <v>-1.0031045806573316E-3</v>
      </c>
      <c r="H724" s="338">
        <f t="shared" si="23"/>
        <v>5.9544711585829933E-3</v>
      </c>
    </row>
    <row r="725" spans="2:8" ht="14.25" customHeight="1" x14ac:dyDescent="0.35">
      <c r="B725" s="337">
        <v>44979</v>
      </c>
      <c r="C725" s="337"/>
      <c r="D725">
        <v>17554.3</v>
      </c>
      <c r="E725">
        <v>3945.02</v>
      </c>
      <c r="G725" s="338">
        <f t="shared" si="22"/>
        <v>-1.5280450111349909E-2</v>
      </c>
      <c r="H725" s="338">
        <f t="shared" si="23"/>
        <v>-9.2718624590024147E-3</v>
      </c>
    </row>
    <row r="726" spans="2:8" ht="14.25" customHeight="1" x14ac:dyDescent="0.35">
      <c r="B726" s="337">
        <v>44980</v>
      </c>
      <c r="C726" s="337"/>
      <c r="D726">
        <v>17511.25</v>
      </c>
      <c r="E726">
        <v>3849.54</v>
      </c>
      <c r="G726" s="338">
        <f t="shared" si="22"/>
        <v>-2.4523905823643937E-3</v>
      </c>
      <c r="H726" s="338">
        <f t="shared" si="23"/>
        <v>-2.420266563921096E-2</v>
      </c>
    </row>
    <row r="727" spans="2:8" ht="14.25" customHeight="1" x14ac:dyDescent="0.35">
      <c r="B727" s="337">
        <v>44981</v>
      </c>
      <c r="C727" s="337"/>
      <c r="D727">
        <v>17465.8</v>
      </c>
      <c r="E727">
        <v>3790.15</v>
      </c>
      <c r="G727" s="338">
        <f t="shared" si="22"/>
        <v>-2.5954743379256609E-3</v>
      </c>
      <c r="H727" s="338">
        <f t="shared" si="23"/>
        <v>-1.5427817349605374E-2</v>
      </c>
    </row>
    <row r="728" spans="2:8" ht="14.25" customHeight="1" x14ac:dyDescent="0.35">
      <c r="B728" s="337">
        <v>44984</v>
      </c>
      <c r="C728" s="337"/>
      <c r="D728">
        <v>17392.7</v>
      </c>
      <c r="E728">
        <v>3723.42</v>
      </c>
      <c r="G728" s="338">
        <f t="shared" si="22"/>
        <v>-4.1853221724741235E-3</v>
      </c>
      <c r="H728" s="338">
        <f t="shared" si="23"/>
        <v>-1.7606163344458668E-2</v>
      </c>
    </row>
    <row r="729" spans="2:8" ht="14.25" customHeight="1" x14ac:dyDescent="0.35">
      <c r="B729" s="337">
        <v>44985</v>
      </c>
      <c r="C729" s="337"/>
      <c r="D729">
        <v>17303.95</v>
      </c>
      <c r="E729">
        <v>3906.55</v>
      </c>
      <c r="G729" s="338">
        <f t="shared" si="22"/>
        <v>-5.1027155070805562E-3</v>
      </c>
      <c r="H729" s="338">
        <f t="shared" si="23"/>
        <v>4.918327773928273E-2</v>
      </c>
    </row>
    <row r="730" spans="2:8" ht="14.25" customHeight="1" x14ac:dyDescent="0.35">
      <c r="B730" s="337">
        <v>44986</v>
      </c>
      <c r="C730" s="337"/>
      <c r="D730">
        <v>17450.900000000001</v>
      </c>
      <c r="E730">
        <v>3893.05</v>
      </c>
      <c r="G730" s="338">
        <f t="shared" si="22"/>
        <v>8.4922806642414427E-3</v>
      </c>
      <c r="H730" s="338">
        <f t="shared" si="23"/>
        <v>-3.4557345995827517E-3</v>
      </c>
    </row>
    <row r="731" spans="2:8" ht="14.25" customHeight="1" x14ac:dyDescent="0.35">
      <c r="B731" s="337">
        <v>44987</v>
      </c>
      <c r="C731" s="337"/>
      <c r="D731">
        <v>17321.900000000001</v>
      </c>
      <c r="E731">
        <v>3848.5</v>
      </c>
      <c r="G731" s="338">
        <f t="shared" si="22"/>
        <v>-7.392168885272392E-3</v>
      </c>
      <c r="H731" s="338">
        <f t="shared" si="23"/>
        <v>-1.1443469773057161E-2</v>
      </c>
    </row>
    <row r="732" spans="2:8" ht="14.25" customHeight="1" x14ac:dyDescent="0.35">
      <c r="B732" s="337">
        <v>44988</v>
      </c>
      <c r="C732" s="337"/>
      <c r="D732">
        <v>17594.349999999999</v>
      </c>
      <c r="E732">
        <v>3788.95</v>
      </c>
      <c r="G732" s="338">
        <f t="shared" si="22"/>
        <v>1.5728644086387581E-2</v>
      </c>
      <c r="H732" s="338">
        <f t="shared" si="23"/>
        <v>-1.5473561127712143E-2</v>
      </c>
    </row>
    <row r="733" spans="2:8" ht="14.25" customHeight="1" x14ac:dyDescent="0.35">
      <c r="B733" s="337">
        <v>44991</v>
      </c>
      <c r="C733" s="337"/>
      <c r="D733">
        <v>17711.45</v>
      </c>
      <c r="E733">
        <v>3752.18</v>
      </c>
      <c r="G733" s="338">
        <f t="shared" si="22"/>
        <v>6.6555456723324359E-3</v>
      </c>
      <c r="H733" s="338">
        <f t="shared" si="23"/>
        <v>-9.7045355573443792E-3</v>
      </c>
    </row>
    <row r="734" spans="2:8" ht="14.25" customHeight="1" x14ac:dyDescent="0.35">
      <c r="B734" s="337">
        <v>44993</v>
      </c>
      <c r="C734" s="337"/>
      <c r="D734">
        <v>17754.400000000001</v>
      </c>
      <c r="E734">
        <v>3809.28</v>
      </c>
      <c r="G734" s="338">
        <f t="shared" si="22"/>
        <v>2.4249849673516695E-3</v>
      </c>
      <c r="H734" s="338">
        <f t="shared" si="23"/>
        <v>1.5217820040616486E-2</v>
      </c>
    </row>
    <row r="735" spans="2:8" ht="14.25" customHeight="1" x14ac:dyDescent="0.35">
      <c r="B735" s="337">
        <v>44994</v>
      </c>
      <c r="C735" s="337"/>
      <c r="D735">
        <v>17589.599999999999</v>
      </c>
      <c r="E735">
        <v>3771.81</v>
      </c>
      <c r="G735" s="338">
        <f t="shared" si="22"/>
        <v>-9.2822061010230088E-3</v>
      </c>
      <c r="H735" s="338">
        <f t="shared" si="23"/>
        <v>-9.8365045362903882E-3</v>
      </c>
    </row>
    <row r="736" spans="2:8" ht="14.25" customHeight="1" x14ac:dyDescent="0.35">
      <c r="B736" s="337">
        <v>44995</v>
      </c>
      <c r="C736" s="337"/>
      <c r="D736">
        <v>17412.900000000001</v>
      </c>
      <c r="E736">
        <v>3756.51</v>
      </c>
      <c r="G736" s="338">
        <f t="shared" si="22"/>
        <v>-1.004570882794362E-2</v>
      </c>
      <c r="H736" s="338">
        <f t="shared" si="23"/>
        <v>-4.0564079314704951E-3</v>
      </c>
    </row>
    <row r="737" spans="2:8" ht="14.25" customHeight="1" x14ac:dyDescent="0.35">
      <c r="B737" s="337">
        <v>44998</v>
      </c>
      <c r="C737" s="337"/>
      <c r="D737">
        <v>17154.3</v>
      </c>
      <c r="E737">
        <v>3778.24</v>
      </c>
      <c r="G737" s="338">
        <f t="shared" si="22"/>
        <v>-1.4851058697862055E-2</v>
      </c>
      <c r="H737" s="338">
        <f t="shared" si="23"/>
        <v>5.78462455843311E-3</v>
      </c>
    </row>
    <row r="738" spans="2:8" ht="14.25" customHeight="1" x14ac:dyDescent="0.35">
      <c r="B738" s="337">
        <v>44999</v>
      </c>
      <c r="C738" s="337"/>
      <c r="D738">
        <v>17043.3</v>
      </c>
      <c r="E738">
        <v>3734.93</v>
      </c>
      <c r="G738" s="338">
        <f t="shared" si="22"/>
        <v>-6.4706808205522819E-3</v>
      </c>
      <c r="H738" s="338">
        <f t="shared" si="23"/>
        <v>-1.1463009231811623E-2</v>
      </c>
    </row>
    <row r="739" spans="2:8" ht="14.25" customHeight="1" x14ac:dyDescent="0.35">
      <c r="B739" s="337">
        <v>45000</v>
      </c>
      <c r="C739" s="337"/>
      <c r="D739">
        <v>16972.150000000001</v>
      </c>
      <c r="E739">
        <v>3788.55</v>
      </c>
      <c r="G739" s="338">
        <f t="shared" si="22"/>
        <v>-4.1746610104849311E-3</v>
      </c>
      <c r="H739" s="338">
        <f t="shared" si="23"/>
        <v>1.4356360092424851E-2</v>
      </c>
    </row>
    <row r="740" spans="2:8" ht="14.25" customHeight="1" x14ac:dyDescent="0.35">
      <c r="B740" s="337">
        <v>45001</v>
      </c>
      <c r="C740" s="337"/>
      <c r="D740">
        <v>16985.599999999999</v>
      </c>
      <c r="E740">
        <v>3740.57</v>
      </c>
      <c r="G740" s="338">
        <f t="shared" si="22"/>
        <v>7.9247473066153013E-4</v>
      </c>
      <c r="H740" s="338">
        <f t="shared" si="23"/>
        <v>-1.266447585487852E-2</v>
      </c>
    </row>
    <row r="741" spans="2:8" ht="14.25" customHeight="1" x14ac:dyDescent="0.35">
      <c r="B741" s="337">
        <v>45002</v>
      </c>
      <c r="C741" s="337"/>
      <c r="D741">
        <v>17100.05</v>
      </c>
      <c r="E741">
        <v>3893.84</v>
      </c>
      <c r="G741" s="338">
        <f t="shared" si="22"/>
        <v>6.7380604747551299E-3</v>
      </c>
      <c r="H741" s="338">
        <f t="shared" si="23"/>
        <v>4.0975038563641361E-2</v>
      </c>
    </row>
    <row r="742" spans="2:8" ht="14.25" customHeight="1" x14ac:dyDescent="0.35">
      <c r="B742" s="337">
        <v>45005</v>
      </c>
      <c r="C742" s="337"/>
      <c r="D742">
        <v>16988.400000000001</v>
      </c>
      <c r="E742">
        <v>3803.4</v>
      </c>
      <c r="G742" s="338">
        <f t="shared" si="22"/>
        <v>-6.5292206747932209E-3</v>
      </c>
      <c r="H742" s="338">
        <f t="shared" si="23"/>
        <v>-2.3226429437265026E-2</v>
      </c>
    </row>
    <row r="743" spans="2:8" ht="14.25" customHeight="1" x14ac:dyDescent="0.35">
      <c r="B743" s="337">
        <v>45006</v>
      </c>
      <c r="C743" s="337"/>
      <c r="D743">
        <v>17107.5</v>
      </c>
      <c r="E743">
        <v>3875.16</v>
      </c>
      <c r="G743" s="338">
        <f t="shared" si="22"/>
        <v>7.0106661015751064E-3</v>
      </c>
      <c r="H743" s="338">
        <f t="shared" si="23"/>
        <v>1.8867329231739959E-2</v>
      </c>
    </row>
    <row r="744" spans="2:8" ht="14.25" customHeight="1" x14ac:dyDescent="0.35">
      <c r="B744" s="337">
        <v>45007</v>
      </c>
      <c r="C744" s="337"/>
      <c r="D744">
        <v>17151.900000000001</v>
      </c>
      <c r="E744">
        <v>3807.74</v>
      </c>
      <c r="G744" s="338">
        <f t="shared" si="22"/>
        <v>2.5953529153880726E-3</v>
      </c>
      <c r="H744" s="338">
        <f t="shared" si="23"/>
        <v>-1.7397991308745982E-2</v>
      </c>
    </row>
    <row r="745" spans="2:8" ht="14.25" customHeight="1" x14ac:dyDescent="0.35">
      <c r="B745" s="337">
        <v>45008</v>
      </c>
      <c r="C745" s="337"/>
      <c r="D745">
        <v>17076.900000000001</v>
      </c>
      <c r="E745">
        <v>3798.52</v>
      </c>
      <c r="G745" s="338">
        <f t="shared" si="22"/>
        <v>-4.3726934042292685E-3</v>
      </c>
      <c r="H745" s="338">
        <f t="shared" si="23"/>
        <v>-2.4213838129703712E-3</v>
      </c>
    </row>
    <row r="746" spans="2:8" ht="14.25" customHeight="1" x14ac:dyDescent="0.35">
      <c r="B746" s="337">
        <v>45009</v>
      </c>
      <c r="C746" s="337"/>
      <c r="D746">
        <v>16945.05</v>
      </c>
      <c r="E746">
        <v>3824.58</v>
      </c>
      <c r="G746" s="338">
        <f t="shared" si="22"/>
        <v>-7.7209563796709103E-3</v>
      </c>
      <c r="H746" s="338">
        <f t="shared" si="23"/>
        <v>6.8605667470488362E-3</v>
      </c>
    </row>
    <row r="747" spans="2:8" ht="14.25" customHeight="1" x14ac:dyDescent="0.35">
      <c r="B747" s="337">
        <v>45012</v>
      </c>
      <c r="C747" s="337"/>
      <c r="D747">
        <v>16985.7</v>
      </c>
      <c r="E747">
        <v>3739.87</v>
      </c>
      <c r="G747" s="338">
        <f t="shared" si="22"/>
        <v>2.3989306611666215E-3</v>
      </c>
      <c r="H747" s="338">
        <f t="shared" si="23"/>
        <v>-2.2148837257947286E-2</v>
      </c>
    </row>
    <row r="748" spans="2:8" ht="14.25" customHeight="1" x14ac:dyDescent="0.35">
      <c r="B748" s="337">
        <v>45013</v>
      </c>
      <c r="C748" s="337"/>
      <c r="D748">
        <v>16951.7</v>
      </c>
      <c r="E748">
        <v>3642.2</v>
      </c>
      <c r="G748" s="338">
        <f t="shared" si="22"/>
        <v>-2.0016837692882834E-3</v>
      </c>
      <c r="H748" s="338">
        <f t="shared" si="23"/>
        <v>-2.6115881033297969E-2</v>
      </c>
    </row>
    <row r="749" spans="2:8" ht="14.25" customHeight="1" x14ac:dyDescent="0.35">
      <c r="B749" s="337">
        <v>45014</v>
      </c>
      <c r="C749" s="337"/>
      <c r="D749">
        <v>17080.7</v>
      </c>
      <c r="E749">
        <v>3766.63</v>
      </c>
      <c r="G749" s="338">
        <f t="shared" si="22"/>
        <v>7.6098562386073369E-3</v>
      </c>
      <c r="H749" s="338">
        <f t="shared" si="23"/>
        <v>3.4163417714568198E-2</v>
      </c>
    </row>
    <row r="750" spans="2:8" ht="14.25" customHeight="1" x14ac:dyDescent="0.35">
      <c r="B750" s="337">
        <v>45016</v>
      </c>
      <c r="C750" s="337"/>
      <c r="D750">
        <v>17359.75</v>
      </c>
      <c r="E750">
        <v>3779.63</v>
      </c>
      <c r="G750" s="338">
        <f t="shared" si="22"/>
        <v>1.6337152458622845E-2</v>
      </c>
      <c r="H750" s="338">
        <f t="shared" si="23"/>
        <v>3.4513610309480887E-3</v>
      </c>
    </row>
    <row r="751" spans="2:8" ht="14.25" customHeight="1" x14ac:dyDescent="0.35">
      <c r="B751" s="337">
        <v>45019</v>
      </c>
      <c r="C751" s="337"/>
      <c r="D751">
        <v>17398.05</v>
      </c>
      <c r="E751">
        <v>3724.52</v>
      </c>
      <c r="G751" s="338">
        <f t="shared" si="22"/>
        <v>2.2062529702328243E-3</v>
      </c>
      <c r="H751" s="338">
        <f t="shared" si="23"/>
        <v>-1.4580792299775408E-2</v>
      </c>
    </row>
    <row r="752" spans="2:8" ht="14.25" customHeight="1" x14ac:dyDescent="0.35">
      <c r="B752" s="337">
        <v>45021</v>
      </c>
      <c r="C752" s="337"/>
      <c r="D752">
        <v>17557.05</v>
      </c>
      <c r="E752">
        <v>3698.16</v>
      </c>
      <c r="G752" s="338">
        <f t="shared" si="22"/>
        <v>9.1389552277410403E-3</v>
      </c>
      <c r="H752" s="338">
        <f t="shared" si="23"/>
        <v>-7.0774220570704758E-3</v>
      </c>
    </row>
    <row r="753" spans="2:8" ht="14.25" customHeight="1" x14ac:dyDescent="0.35">
      <c r="B753" s="337">
        <v>45022</v>
      </c>
      <c r="C753" s="337"/>
      <c r="D753">
        <v>17599.150000000001</v>
      </c>
      <c r="E753">
        <v>3752.23</v>
      </c>
      <c r="G753" s="338">
        <f t="shared" si="22"/>
        <v>2.3978971410346375E-3</v>
      </c>
      <c r="H753" s="338">
        <f t="shared" si="23"/>
        <v>1.4620784390075109E-2</v>
      </c>
    </row>
    <row r="754" spans="2:8" ht="14.25" customHeight="1" x14ac:dyDescent="0.35">
      <c r="B754" s="337">
        <v>45026</v>
      </c>
      <c r="C754" s="337"/>
      <c r="D754">
        <v>17624.05</v>
      </c>
      <c r="E754">
        <v>3711.71</v>
      </c>
      <c r="G754" s="338">
        <f t="shared" si="22"/>
        <v>1.4148410576645925E-3</v>
      </c>
      <c r="H754" s="338">
        <f t="shared" si="23"/>
        <v>-1.0798911580580077E-2</v>
      </c>
    </row>
    <row r="755" spans="2:8" ht="14.25" customHeight="1" x14ac:dyDescent="0.35">
      <c r="B755" s="337">
        <v>45027</v>
      </c>
      <c r="C755" s="337"/>
      <c r="D755">
        <v>17722.3</v>
      </c>
      <c r="E755">
        <v>3771.46</v>
      </c>
      <c r="G755" s="338">
        <f t="shared" si="22"/>
        <v>5.5747685690859935E-3</v>
      </c>
      <c r="H755" s="338">
        <f t="shared" si="23"/>
        <v>1.6097701598454622E-2</v>
      </c>
    </row>
    <row r="756" spans="2:8" ht="14.25" customHeight="1" x14ac:dyDescent="0.35">
      <c r="B756" s="337">
        <v>45028</v>
      </c>
      <c r="C756" s="337"/>
      <c r="D756">
        <v>17812.400000000001</v>
      </c>
      <c r="E756">
        <v>3800.91</v>
      </c>
      <c r="G756" s="338">
        <f t="shared" si="22"/>
        <v>5.0839902270022616E-3</v>
      </c>
      <c r="H756" s="338">
        <f t="shared" si="23"/>
        <v>7.80864704915333E-3</v>
      </c>
    </row>
    <row r="757" spans="2:8" ht="14.25" customHeight="1" x14ac:dyDescent="0.35">
      <c r="B757" s="337">
        <v>45029</v>
      </c>
      <c r="C757" s="337"/>
      <c r="D757">
        <v>17828</v>
      </c>
      <c r="E757">
        <v>3786.26</v>
      </c>
      <c r="G757" s="338">
        <f t="shared" si="22"/>
        <v>8.7579439042456621E-4</v>
      </c>
      <c r="H757" s="338">
        <f t="shared" si="23"/>
        <v>-3.8543401448599512E-3</v>
      </c>
    </row>
    <row r="758" spans="2:8" ht="14.25" customHeight="1" x14ac:dyDescent="0.35">
      <c r="B758" s="337">
        <v>45033</v>
      </c>
      <c r="C758" s="337"/>
      <c r="D758">
        <v>17706.849999999999</v>
      </c>
      <c r="E758">
        <v>3840.87</v>
      </c>
      <c r="G758" s="338">
        <f t="shared" si="22"/>
        <v>-6.7954902400718786E-3</v>
      </c>
      <c r="H758" s="338">
        <f t="shared" si="23"/>
        <v>1.4423203900418796E-2</v>
      </c>
    </row>
    <row r="759" spans="2:8" ht="14.25" customHeight="1" x14ac:dyDescent="0.35">
      <c r="B759" s="337">
        <v>45034</v>
      </c>
      <c r="C759" s="337"/>
      <c r="D759">
        <v>17660.150000000001</v>
      </c>
      <c r="E759">
        <v>3848.05</v>
      </c>
      <c r="G759" s="338">
        <f t="shared" si="22"/>
        <v>-2.637397391404857E-3</v>
      </c>
      <c r="H759" s="338">
        <f t="shared" si="23"/>
        <v>1.8693681379479887E-3</v>
      </c>
    </row>
    <row r="760" spans="2:8" ht="14.25" customHeight="1" x14ac:dyDescent="0.35">
      <c r="B760" s="337">
        <v>45035</v>
      </c>
      <c r="C760" s="337"/>
      <c r="D760">
        <v>17618.75</v>
      </c>
      <c r="E760">
        <v>3831.56</v>
      </c>
      <c r="G760" s="338">
        <f t="shared" si="22"/>
        <v>-2.3442609490860185E-3</v>
      </c>
      <c r="H760" s="338">
        <f t="shared" si="23"/>
        <v>-4.285287353334867E-3</v>
      </c>
    </row>
    <row r="761" spans="2:8" ht="14.25" customHeight="1" x14ac:dyDescent="0.35">
      <c r="B761" s="337">
        <v>45036</v>
      </c>
      <c r="C761" s="337"/>
      <c r="D761">
        <v>17624.45</v>
      </c>
      <c r="E761">
        <v>3744.85</v>
      </c>
      <c r="G761" s="338">
        <f t="shared" si="22"/>
        <v>3.2351897836116228E-4</v>
      </c>
      <c r="H761" s="338">
        <f t="shared" si="23"/>
        <v>-2.2630469051770047E-2</v>
      </c>
    </row>
    <row r="762" spans="2:8" ht="14.25" customHeight="1" x14ac:dyDescent="0.35">
      <c r="B762" s="337">
        <v>45037</v>
      </c>
      <c r="C762" s="337"/>
      <c r="D762">
        <v>17624.05</v>
      </c>
      <c r="E762">
        <v>3818.8</v>
      </c>
      <c r="G762" s="338">
        <f t="shared" si="22"/>
        <v>-2.2695743697048997E-5</v>
      </c>
      <c r="H762" s="338">
        <f t="shared" si="23"/>
        <v>1.9747119377278202E-2</v>
      </c>
    </row>
    <row r="763" spans="2:8" ht="14.25" customHeight="1" x14ac:dyDescent="0.35">
      <c r="B763" s="337">
        <v>45040</v>
      </c>
      <c r="C763" s="337"/>
      <c r="D763">
        <v>17743.400000000001</v>
      </c>
      <c r="E763">
        <v>3843.76</v>
      </c>
      <c r="G763" s="338">
        <f t="shared" si="22"/>
        <v>6.7719962210730329E-3</v>
      </c>
      <c r="H763" s="338">
        <f t="shared" si="23"/>
        <v>6.536084633916423E-3</v>
      </c>
    </row>
    <row r="764" spans="2:8" ht="14.25" customHeight="1" x14ac:dyDescent="0.35">
      <c r="B764" s="337">
        <v>45041</v>
      </c>
      <c r="C764" s="337"/>
      <c r="D764">
        <v>17769.25</v>
      </c>
      <c r="E764">
        <v>3766.18</v>
      </c>
      <c r="G764" s="338">
        <f t="shared" si="22"/>
        <v>1.4568797411994624E-3</v>
      </c>
      <c r="H764" s="338">
        <f t="shared" si="23"/>
        <v>-2.0183362124586442E-2</v>
      </c>
    </row>
    <row r="765" spans="2:8" ht="14.25" customHeight="1" x14ac:dyDescent="0.35">
      <c r="B765" s="337">
        <v>45042</v>
      </c>
      <c r="C765" s="337"/>
      <c r="D765">
        <v>17813.599999999999</v>
      </c>
      <c r="E765">
        <v>3751.53</v>
      </c>
      <c r="G765" s="338">
        <f t="shared" si="22"/>
        <v>2.495884744713398E-3</v>
      </c>
      <c r="H765" s="338">
        <f t="shared" si="23"/>
        <v>-3.8898831176416519E-3</v>
      </c>
    </row>
    <row r="766" spans="2:8" ht="14.25" customHeight="1" x14ac:dyDescent="0.35">
      <c r="B766" s="337">
        <v>45043</v>
      </c>
      <c r="C766" s="337"/>
      <c r="D766">
        <v>17915.05</v>
      </c>
      <c r="E766">
        <v>3764.68</v>
      </c>
      <c r="G766" s="338">
        <f t="shared" si="22"/>
        <v>5.6950868998967494E-3</v>
      </c>
      <c r="H766" s="338">
        <f t="shared" si="23"/>
        <v>3.5052365301622632E-3</v>
      </c>
    </row>
    <row r="767" spans="2:8" ht="14.25" customHeight="1" x14ac:dyDescent="0.35">
      <c r="B767" s="337">
        <v>45044</v>
      </c>
      <c r="C767" s="337"/>
      <c r="D767">
        <v>18065</v>
      </c>
      <c r="E767">
        <v>3810.83</v>
      </c>
      <c r="G767" s="338">
        <f t="shared" si="22"/>
        <v>8.37005757728841E-3</v>
      </c>
      <c r="H767" s="338">
        <f t="shared" si="23"/>
        <v>1.225867802841147E-2</v>
      </c>
    </row>
    <row r="768" spans="2:8" ht="14.25" customHeight="1" x14ac:dyDescent="0.35">
      <c r="B768" s="337">
        <v>45048</v>
      </c>
      <c r="C768" s="337"/>
      <c r="D768">
        <v>18147.650000000001</v>
      </c>
      <c r="E768">
        <v>3825.87</v>
      </c>
      <c r="G768" s="338">
        <f t="shared" si="22"/>
        <v>4.5751453086078859E-3</v>
      </c>
      <c r="H768" s="338">
        <f t="shared" si="23"/>
        <v>3.946646793480676E-3</v>
      </c>
    </row>
    <row r="769" spans="2:8" ht="14.25" customHeight="1" x14ac:dyDescent="0.35">
      <c r="B769" s="337">
        <v>45049</v>
      </c>
      <c r="C769" s="337"/>
      <c r="D769">
        <v>18089.849999999999</v>
      </c>
      <c r="E769">
        <v>3812.77</v>
      </c>
      <c r="G769" s="338">
        <f t="shared" si="22"/>
        <v>-3.1849853837826333E-3</v>
      </c>
      <c r="H769" s="338">
        <f t="shared" si="23"/>
        <v>-3.4240577960045451E-3</v>
      </c>
    </row>
    <row r="770" spans="2:8" ht="14.25" customHeight="1" x14ac:dyDescent="0.35">
      <c r="B770" s="337">
        <v>45050</v>
      </c>
      <c r="C770" s="337"/>
      <c r="D770">
        <v>18255.8</v>
      </c>
      <c r="E770">
        <v>3834.59</v>
      </c>
      <c r="G770" s="338">
        <f t="shared" si="22"/>
        <v>9.1736526284076844E-3</v>
      </c>
      <c r="H770" s="338">
        <f t="shared" si="23"/>
        <v>5.7228733965070441E-3</v>
      </c>
    </row>
    <row r="771" spans="2:8" ht="14.25" customHeight="1" x14ac:dyDescent="0.35">
      <c r="B771" s="337">
        <v>45051</v>
      </c>
      <c r="C771" s="337"/>
      <c r="D771">
        <v>18069</v>
      </c>
      <c r="E771">
        <v>3790.59</v>
      </c>
      <c r="G771" s="338">
        <f t="shared" si="22"/>
        <v>-1.0232364508813598E-2</v>
      </c>
      <c r="H771" s="338">
        <f t="shared" si="23"/>
        <v>-1.1474499229383062E-2</v>
      </c>
    </row>
    <row r="772" spans="2:8" ht="14.25" customHeight="1" x14ac:dyDescent="0.35">
      <c r="B772" s="337">
        <v>45054</v>
      </c>
      <c r="C772" s="337"/>
      <c r="D772">
        <v>18264.400000000001</v>
      </c>
      <c r="E772">
        <v>3770.71</v>
      </c>
      <c r="G772" s="338">
        <f t="shared" si="22"/>
        <v>1.0814101499806378E-2</v>
      </c>
      <c r="H772" s="338">
        <f t="shared" si="23"/>
        <v>-5.2445661493329817E-3</v>
      </c>
    </row>
    <row r="773" spans="2:8" ht="14.25" customHeight="1" x14ac:dyDescent="0.35">
      <c r="B773" s="337">
        <v>45055</v>
      </c>
      <c r="C773" s="337"/>
      <c r="D773">
        <v>18265.95</v>
      </c>
      <c r="E773">
        <v>3763.84</v>
      </c>
      <c r="G773" s="338">
        <f t="shared" si="22"/>
        <v>8.4864545235500337E-5</v>
      </c>
      <c r="H773" s="338">
        <f t="shared" si="23"/>
        <v>-1.8219380434984103E-3</v>
      </c>
    </row>
    <row r="774" spans="2:8" ht="14.25" customHeight="1" x14ac:dyDescent="0.35">
      <c r="B774" s="337">
        <v>45056</v>
      </c>
      <c r="C774" s="337"/>
      <c r="D774">
        <v>18315.099999999999</v>
      </c>
      <c r="E774">
        <v>3706.73</v>
      </c>
      <c r="G774" s="338">
        <f t="shared" si="22"/>
        <v>2.690799000325623E-3</v>
      </c>
      <c r="H774" s="338">
        <f t="shared" si="23"/>
        <v>-1.5173333616731881E-2</v>
      </c>
    </row>
    <row r="775" spans="2:8" ht="14.25" customHeight="1" x14ac:dyDescent="0.35">
      <c r="B775" s="337">
        <v>45057</v>
      </c>
      <c r="C775" s="337"/>
      <c r="D775">
        <v>18297</v>
      </c>
      <c r="E775">
        <v>3692.38</v>
      </c>
      <c r="G775" s="338">
        <f t="shared" ref="G775:G838" si="24">(D775-D774)/D774</f>
        <v>-9.8825559237997857E-4</v>
      </c>
      <c r="H775" s="338">
        <f t="shared" ref="H775:H838" si="25">(E775-E774)/E774</f>
        <v>-3.8713367307572737E-3</v>
      </c>
    </row>
    <row r="776" spans="2:8" ht="14.25" customHeight="1" x14ac:dyDescent="0.35">
      <c r="B776" s="337">
        <v>45058</v>
      </c>
      <c r="C776" s="337"/>
      <c r="D776">
        <v>18314.8</v>
      </c>
      <c r="E776">
        <v>3714.11</v>
      </c>
      <c r="G776" s="338">
        <f t="shared" si="24"/>
        <v>9.7283707711642744E-4</v>
      </c>
      <c r="H776" s="338">
        <f t="shared" si="25"/>
        <v>5.8850930835937848E-3</v>
      </c>
    </row>
    <row r="777" spans="2:8" ht="14.25" customHeight="1" x14ac:dyDescent="0.35">
      <c r="B777" s="337">
        <v>45061</v>
      </c>
      <c r="C777" s="337"/>
      <c r="D777">
        <v>18398.849999999999</v>
      </c>
      <c r="E777">
        <v>3733.29</v>
      </c>
      <c r="G777" s="338">
        <f t="shared" si="24"/>
        <v>4.5891847030816212E-3</v>
      </c>
      <c r="H777" s="338">
        <f t="shared" si="25"/>
        <v>5.1640904550484057E-3</v>
      </c>
    </row>
    <row r="778" spans="2:8" ht="14.25" customHeight="1" x14ac:dyDescent="0.35">
      <c r="B778" s="337">
        <v>45062</v>
      </c>
      <c r="C778" s="337"/>
      <c r="D778">
        <v>18286.5</v>
      </c>
      <c r="E778">
        <v>3751.48</v>
      </c>
      <c r="G778" s="338">
        <f t="shared" si="24"/>
        <v>-6.1063599083637597E-3</v>
      </c>
      <c r="H778" s="338">
        <f t="shared" si="25"/>
        <v>4.8723779829587454E-3</v>
      </c>
    </row>
    <row r="779" spans="2:8" ht="14.25" customHeight="1" x14ac:dyDescent="0.35">
      <c r="B779" s="337">
        <v>45063</v>
      </c>
      <c r="C779" s="337"/>
      <c r="D779">
        <v>18181.75</v>
      </c>
      <c r="E779">
        <v>3730.65</v>
      </c>
      <c r="G779" s="338">
        <f t="shared" si="24"/>
        <v>-5.7282694884204198E-3</v>
      </c>
      <c r="H779" s="338">
        <f t="shared" si="25"/>
        <v>-5.5524752897522919E-3</v>
      </c>
    </row>
    <row r="780" spans="2:8" ht="14.25" customHeight="1" x14ac:dyDescent="0.35">
      <c r="B780" s="337">
        <v>45064</v>
      </c>
      <c r="C780" s="337"/>
      <c r="D780">
        <v>18129.95</v>
      </c>
      <c r="E780">
        <v>3749.88</v>
      </c>
      <c r="G780" s="338">
        <f t="shared" si="24"/>
        <v>-2.8490106837900241E-3</v>
      </c>
      <c r="H780" s="338">
        <f t="shared" si="25"/>
        <v>5.1545977242571719E-3</v>
      </c>
    </row>
    <row r="781" spans="2:8" ht="14.25" customHeight="1" x14ac:dyDescent="0.35">
      <c r="B781" s="337">
        <v>45065</v>
      </c>
      <c r="C781" s="337"/>
      <c r="D781">
        <v>18203.400000000001</v>
      </c>
      <c r="E781">
        <v>3787.56</v>
      </c>
      <c r="G781" s="338">
        <f t="shared" si="24"/>
        <v>4.0513073670915105E-3</v>
      </c>
      <c r="H781" s="338">
        <f t="shared" si="25"/>
        <v>1.0048321546289438E-2</v>
      </c>
    </row>
    <row r="782" spans="2:8" ht="14.25" customHeight="1" x14ac:dyDescent="0.35">
      <c r="B782" s="337">
        <v>45068</v>
      </c>
      <c r="C782" s="337"/>
      <c r="D782">
        <v>18314.400000000001</v>
      </c>
      <c r="E782">
        <v>3801.16</v>
      </c>
      <c r="G782" s="338">
        <f t="shared" si="24"/>
        <v>6.0977619565575659E-3</v>
      </c>
      <c r="H782" s="338">
        <f t="shared" si="25"/>
        <v>3.5907021934965806E-3</v>
      </c>
    </row>
    <row r="783" spans="2:8" ht="14.25" customHeight="1" x14ac:dyDescent="0.35">
      <c r="B783" s="337">
        <v>45069</v>
      </c>
      <c r="C783" s="337"/>
      <c r="D783">
        <v>18348</v>
      </c>
      <c r="E783">
        <v>3808.09</v>
      </c>
      <c r="G783" s="338">
        <f t="shared" si="24"/>
        <v>1.8346219368365079E-3</v>
      </c>
      <c r="H783" s="338">
        <f t="shared" si="25"/>
        <v>1.8231276768145227E-3</v>
      </c>
    </row>
    <row r="784" spans="2:8" ht="14.25" customHeight="1" x14ac:dyDescent="0.35">
      <c r="B784" s="337">
        <v>45070</v>
      </c>
      <c r="C784" s="337"/>
      <c r="D784">
        <v>18285.400000000001</v>
      </c>
      <c r="E784">
        <v>3782.22</v>
      </c>
      <c r="G784" s="338">
        <f t="shared" si="24"/>
        <v>-3.4118160017439802E-3</v>
      </c>
      <c r="H784" s="338">
        <f t="shared" si="25"/>
        <v>-6.7934318779231439E-3</v>
      </c>
    </row>
    <row r="785" spans="2:8" ht="14.25" customHeight="1" x14ac:dyDescent="0.35">
      <c r="B785" s="337">
        <v>45071</v>
      </c>
      <c r="C785" s="337"/>
      <c r="D785">
        <v>18321.150000000001</v>
      </c>
      <c r="E785">
        <v>3772.36</v>
      </c>
      <c r="G785" s="338">
        <f t="shared" si="24"/>
        <v>1.9551117284828333E-3</v>
      </c>
      <c r="H785" s="338">
        <f t="shared" si="25"/>
        <v>-2.6069345516653375E-3</v>
      </c>
    </row>
    <row r="786" spans="2:8" ht="14.25" customHeight="1" x14ac:dyDescent="0.35">
      <c r="B786" s="337">
        <v>45072</v>
      </c>
      <c r="C786" s="337"/>
      <c r="D786">
        <v>18499.349999999999</v>
      </c>
      <c r="E786">
        <v>3785.66</v>
      </c>
      <c r="G786" s="338">
        <f t="shared" si="24"/>
        <v>9.7264636772253412E-3</v>
      </c>
      <c r="H786" s="338">
        <f t="shared" si="25"/>
        <v>3.5256444241800163E-3</v>
      </c>
    </row>
    <row r="787" spans="2:8" ht="14.25" customHeight="1" x14ac:dyDescent="0.35">
      <c r="B787" s="337">
        <v>45075</v>
      </c>
      <c r="C787" s="337"/>
      <c r="D787">
        <v>18598.650000000001</v>
      </c>
      <c r="E787">
        <v>3784.47</v>
      </c>
      <c r="G787" s="338">
        <f t="shared" si="24"/>
        <v>5.3677561644059337E-3</v>
      </c>
      <c r="H787" s="338">
        <f t="shared" si="25"/>
        <v>-3.1434413021773073E-4</v>
      </c>
    </row>
    <row r="788" spans="2:8" ht="14.25" customHeight="1" x14ac:dyDescent="0.35">
      <c r="B788" s="337">
        <v>45076</v>
      </c>
      <c r="C788" s="337"/>
      <c r="D788">
        <v>18633.849999999999</v>
      </c>
      <c r="E788">
        <v>3776.89</v>
      </c>
      <c r="G788" s="338">
        <f t="shared" si="24"/>
        <v>1.8926104851694659E-3</v>
      </c>
      <c r="H788" s="338">
        <f t="shared" si="25"/>
        <v>-2.0029224699891737E-3</v>
      </c>
    </row>
    <row r="789" spans="2:8" ht="14.25" customHeight="1" x14ac:dyDescent="0.35">
      <c r="B789" s="337">
        <v>45077</v>
      </c>
      <c r="C789" s="337"/>
      <c r="D789">
        <v>18534.400000000001</v>
      </c>
      <c r="E789">
        <v>3739.67</v>
      </c>
      <c r="G789" s="338">
        <f t="shared" si="24"/>
        <v>-5.3370613158309791E-3</v>
      </c>
      <c r="H789" s="338">
        <f t="shared" si="25"/>
        <v>-9.8546687883416789E-3</v>
      </c>
    </row>
    <row r="790" spans="2:8" ht="14.25" customHeight="1" x14ac:dyDescent="0.35">
      <c r="B790" s="337">
        <v>45078</v>
      </c>
      <c r="C790" s="337"/>
      <c r="D790">
        <v>18487.75</v>
      </c>
      <c r="E790">
        <v>3753.12</v>
      </c>
      <c r="G790" s="338">
        <f t="shared" si="24"/>
        <v>-2.5169414709945537E-3</v>
      </c>
      <c r="H790" s="338">
        <f t="shared" si="25"/>
        <v>3.5965740292592174E-3</v>
      </c>
    </row>
    <row r="791" spans="2:8" ht="14.25" customHeight="1" x14ac:dyDescent="0.35">
      <c r="B791" s="337">
        <v>45079</v>
      </c>
      <c r="C791" s="337"/>
      <c r="D791">
        <v>18534.099999999999</v>
      </c>
      <c r="E791">
        <v>3770.46</v>
      </c>
      <c r="G791" s="338">
        <f t="shared" si="24"/>
        <v>2.5070654893104105E-3</v>
      </c>
      <c r="H791" s="338">
        <f t="shared" si="25"/>
        <v>4.6201560301829267E-3</v>
      </c>
    </row>
    <row r="792" spans="2:8" ht="14.25" customHeight="1" x14ac:dyDescent="0.35">
      <c r="B792" s="337">
        <v>45082</v>
      </c>
      <c r="C792" s="337"/>
      <c r="D792">
        <v>18593.849999999999</v>
      </c>
      <c r="E792">
        <v>3818.45</v>
      </c>
      <c r="G792" s="338">
        <f t="shared" si="24"/>
        <v>3.2237875051931309E-3</v>
      </c>
      <c r="H792" s="338">
        <f t="shared" si="25"/>
        <v>1.2727889965680523E-2</v>
      </c>
    </row>
    <row r="793" spans="2:8" ht="14.25" customHeight="1" x14ac:dyDescent="0.35">
      <c r="B793" s="337">
        <v>45083</v>
      </c>
      <c r="C793" s="337"/>
      <c r="D793">
        <v>18599</v>
      </c>
      <c r="E793">
        <v>3833.95</v>
      </c>
      <c r="G793" s="338">
        <f t="shared" si="24"/>
        <v>2.7697330031174045E-4</v>
      </c>
      <c r="H793" s="338">
        <f t="shared" si="25"/>
        <v>4.0592386963296629E-3</v>
      </c>
    </row>
    <row r="794" spans="2:8" ht="14.25" customHeight="1" x14ac:dyDescent="0.35">
      <c r="B794" s="337">
        <v>45084</v>
      </c>
      <c r="C794" s="337"/>
      <c r="D794">
        <v>18726.400000000001</v>
      </c>
      <c r="E794">
        <v>3873.71</v>
      </c>
      <c r="G794" s="338">
        <f t="shared" si="24"/>
        <v>6.8498306360557804E-3</v>
      </c>
      <c r="H794" s="338">
        <f t="shared" si="25"/>
        <v>1.0370505614314277E-2</v>
      </c>
    </row>
    <row r="795" spans="2:8" ht="14.25" customHeight="1" x14ac:dyDescent="0.35">
      <c r="B795" s="337">
        <v>45085</v>
      </c>
      <c r="C795" s="337"/>
      <c r="D795">
        <v>18634.55</v>
      </c>
      <c r="E795">
        <v>3875.41</v>
      </c>
      <c r="G795" s="338">
        <f t="shared" si="24"/>
        <v>-4.9048402255640264E-3</v>
      </c>
      <c r="H795" s="338">
        <f t="shared" si="25"/>
        <v>4.3885577392211036E-4</v>
      </c>
    </row>
    <row r="796" spans="2:8" ht="14.25" customHeight="1" x14ac:dyDescent="0.35">
      <c r="B796" s="337">
        <v>45086</v>
      </c>
      <c r="C796" s="337"/>
      <c r="D796">
        <v>18563.400000000001</v>
      </c>
      <c r="E796">
        <v>3878.8</v>
      </c>
      <c r="G796" s="338">
        <f t="shared" si="24"/>
        <v>-3.8181764518058028E-3</v>
      </c>
      <c r="H796" s="338">
        <f t="shared" si="25"/>
        <v>8.7474615589068711E-4</v>
      </c>
    </row>
    <row r="797" spans="2:8" ht="14.25" customHeight="1" x14ac:dyDescent="0.35">
      <c r="B797" s="337">
        <v>45089</v>
      </c>
      <c r="C797" s="337"/>
      <c r="D797">
        <v>18601.5</v>
      </c>
      <c r="E797">
        <v>3876.55</v>
      </c>
      <c r="G797" s="338">
        <f t="shared" si="24"/>
        <v>2.0524257409740964E-3</v>
      </c>
      <c r="H797" s="338">
        <f t="shared" si="25"/>
        <v>-5.8007631226152415E-4</v>
      </c>
    </row>
    <row r="798" spans="2:8" ht="14.25" customHeight="1" x14ac:dyDescent="0.35">
      <c r="B798" s="337">
        <v>45090</v>
      </c>
      <c r="C798" s="337"/>
      <c r="D798">
        <v>18716.150000000001</v>
      </c>
      <c r="E798">
        <v>3866.52</v>
      </c>
      <c r="G798" s="338">
        <f t="shared" si="24"/>
        <v>6.1634814396689221E-3</v>
      </c>
      <c r="H798" s="338">
        <f t="shared" si="25"/>
        <v>-2.5873521559118804E-3</v>
      </c>
    </row>
    <row r="799" spans="2:8" ht="14.25" customHeight="1" x14ac:dyDescent="0.35">
      <c r="B799" s="337">
        <v>45091</v>
      </c>
      <c r="C799" s="337"/>
      <c r="D799">
        <v>18755.900000000001</v>
      </c>
      <c r="E799">
        <v>3863.57</v>
      </c>
      <c r="G799" s="338">
        <f t="shared" si="24"/>
        <v>2.1238342287275961E-3</v>
      </c>
      <c r="H799" s="338">
        <f t="shared" si="25"/>
        <v>-7.6295997434380736E-4</v>
      </c>
    </row>
    <row r="800" spans="2:8" ht="14.25" customHeight="1" x14ac:dyDescent="0.35">
      <c r="B800" s="337">
        <v>45092</v>
      </c>
      <c r="C800" s="337"/>
      <c r="D800">
        <v>18688.099999999999</v>
      </c>
      <c r="E800">
        <v>3840.3</v>
      </c>
      <c r="G800" s="338">
        <f t="shared" si="24"/>
        <v>-3.6148625232595025E-3</v>
      </c>
      <c r="H800" s="338">
        <f t="shared" si="25"/>
        <v>-6.0229269820399221E-3</v>
      </c>
    </row>
    <row r="801" spans="2:8" ht="14.25" customHeight="1" x14ac:dyDescent="0.35">
      <c r="B801" s="337">
        <v>45093</v>
      </c>
      <c r="C801" s="337"/>
      <c r="D801">
        <v>18826</v>
      </c>
      <c r="E801">
        <v>3794.07</v>
      </c>
      <c r="G801" s="338">
        <f t="shared" si="24"/>
        <v>7.3790272954447735E-3</v>
      </c>
      <c r="H801" s="338">
        <f t="shared" si="25"/>
        <v>-1.2038122021717057E-2</v>
      </c>
    </row>
    <row r="802" spans="2:8" ht="14.25" customHeight="1" x14ac:dyDescent="0.35">
      <c r="B802" s="337">
        <v>45096</v>
      </c>
      <c r="C802" s="337"/>
      <c r="D802">
        <v>18755.45</v>
      </c>
      <c r="E802">
        <v>3828.67</v>
      </c>
      <c r="G802" s="338">
        <f t="shared" si="24"/>
        <v>-3.7474768936576687E-3</v>
      </c>
      <c r="H802" s="338">
        <f t="shared" si="25"/>
        <v>9.1194943688439872E-3</v>
      </c>
    </row>
    <row r="803" spans="2:8" ht="14.25" customHeight="1" x14ac:dyDescent="0.35">
      <c r="B803" s="337">
        <v>45097</v>
      </c>
      <c r="C803" s="337"/>
      <c r="D803">
        <v>18816.7</v>
      </c>
      <c r="E803">
        <v>3806.25</v>
      </c>
      <c r="G803" s="338">
        <f t="shared" si="24"/>
        <v>3.2657174314665869E-3</v>
      </c>
      <c r="H803" s="338">
        <f t="shared" si="25"/>
        <v>-5.8558193837546912E-3</v>
      </c>
    </row>
    <row r="804" spans="2:8" ht="14.25" customHeight="1" x14ac:dyDescent="0.35">
      <c r="B804" s="337">
        <v>45098</v>
      </c>
      <c r="C804" s="337"/>
      <c r="D804">
        <v>18856.849999999999</v>
      </c>
      <c r="E804">
        <v>3843.9</v>
      </c>
      <c r="G804" s="338">
        <f t="shared" si="24"/>
        <v>2.1337428985952808E-3</v>
      </c>
      <c r="H804" s="338">
        <f t="shared" si="25"/>
        <v>9.8916256157635715E-3</v>
      </c>
    </row>
    <row r="805" spans="2:8" ht="14.25" customHeight="1" x14ac:dyDescent="0.35">
      <c r="B805" s="337">
        <v>45099</v>
      </c>
      <c r="C805" s="337"/>
      <c r="D805">
        <v>18771.25</v>
      </c>
      <c r="E805">
        <v>3827.47</v>
      </c>
      <c r="G805" s="338">
        <f t="shared" si="24"/>
        <v>-4.5394644386521901E-3</v>
      </c>
      <c r="H805" s="338">
        <f t="shared" si="25"/>
        <v>-4.2743047425792269E-3</v>
      </c>
    </row>
    <row r="806" spans="2:8" ht="14.25" customHeight="1" x14ac:dyDescent="0.35">
      <c r="B806" s="337">
        <v>45100</v>
      </c>
      <c r="C806" s="337"/>
      <c r="D806">
        <v>18665.5</v>
      </c>
      <c r="E806">
        <v>3741.04</v>
      </c>
      <c r="G806" s="338">
        <f t="shared" si="24"/>
        <v>-5.6336152360657917E-3</v>
      </c>
      <c r="H806" s="338">
        <f t="shared" si="25"/>
        <v>-2.2581496393178743E-2</v>
      </c>
    </row>
    <row r="807" spans="2:8" ht="14.25" customHeight="1" x14ac:dyDescent="0.35">
      <c r="B807" s="337">
        <v>45103</v>
      </c>
      <c r="C807" s="337"/>
      <c r="D807">
        <v>18691.2</v>
      </c>
      <c r="E807">
        <v>3748.18</v>
      </c>
      <c r="G807" s="338">
        <f t="shared" si="24"/>
        <v>1.3768717687713014E-3</v>
      </c>
      <c r="H807" s="338">
        <f t="shared" si="25"/>
        <v>1.908560186472177E-3</v>
      </c>
    </row>
    <row r="808" spans="2:8" ht="14.25" customHeight="1" x14ac:dyDescent="0.35">
      <c r="B808" s="337">
        <v>45104</v>
      </c>
      <c r="C808" s="337"/>
      <c r="D808">
        <v>18817.400000000001</v>
      </c>
      <c r="E808">
        <v>3740.19</v>
      </c>
      <c r="G808" s="338">
        <f t="shared" si="24"/>
        <v>6.7518404382811547E-3</v>
      </c>
      <c r="H808" s="338">
        <f t="shared" si="25"/>
        <v>-2.1317012523410779E-3</v>
      </c>
    </row>
    <row r="809" spans="2:8" ht="14.25" customHeight="1" x14ac:dyDescent="0.35">
      <c r="B809" s="337">
        <v>45105</v>
      </c>
      <c r="C809" s="337"/>
      <c r="D809">
        <v>18972.099999999999</v>
      </c>
      <c r="E809">
        <v>3837.86</v>
      </c>
      <c r="G809" s="338">
        <f t="shared" si="24"/>
        <v>8.2211145004090404E-3</v>
      </c>
      <c r="H809" s="338">
        <f t="shared" si="25"/>
        <v>2.6113646632925085E-2</v>
      </c>
    </row>
    <row r="810" spans="2:8" ht="14.25" customHeight="1" x14ac:dyDescent="0.35">
      <c r="B810" s="337">
        <v>45107</v>
      </c>
      <c r="C810" s="337"/>
      <c r="D810">
        <v>19189.05</v>
      </c>
      <c r="E810">
        <v>3735.29</v>
      </c>
      <c r="G810" s="338">
        <f t="shared" si="24"/>
        <v>1.1435212759789414E-2</v>
      </c>
      <c r="H810" s="338">
        <f t="shared" si="25"/>
        <v>-2.6725831583226112E-2</v>
      </c>
    </row>
    <row r="811" spans="2:8" ht="14.25" customHeight="1" x14ac:dyDescent="0.35">
      <c r="B811" s="337">
        <v>45110</v>
      </c>
      <c r="C811" s="337"/>
      <c r="D811">
        <v>19322.55</v>
      </c>
      <c r="E811">
        <v>3719.62</v>
      </c>
      <c r="G811" s="338">
        <f t="shared" si="24"/>
        <v>6.9570927169401303E-3</v>
      </c>
      <c r="H811" s="338">
        <f t="shared" si="25"/>
        <v>-4.1951227347809868E-3</v>
      </c>
    </row>
    <row r="812" spans="2:8" ht="14.25" customHeight="1" x14ac:dyDescent="0.35">
      <c r="B812" s="337">
        <v>45111</v>
      </c>
      <c r="C812" s="337"/>
      <c r="D812">
        <v>19389</v>
      </c>
      <c r="E812">
        <v>3722.11</v>
      </c>
      <c r="G812" s="338">
        <f t="shared" si="24"/>
        <v>3.4389870902132862E-3</v>
      </c>
      <c r="H812" s="338">
        <f t="shared" si="25"/>
        <v>6.6942322065163557E-4</v>
      </c>
    </row>
    <row r="813" spans="2:8" ht="14.25" customHeight="1" x14ac:dyDescent="0.35">
      <c r="B813" s="337">
        <v>45112</v>
      </c>
      <c r="C813" s="337"/>
      <c r="D813">
        <v>19398.5</v>
      </c>
      <c r="E813">
        <v>3703.04</v>
      </c>
      <c r="G813" s="338">
        <f t="shared" si="24"/>
        <v>4.8996853886224153E-4</v>
      </c>
      <c r="H813" s="338">
        <f t="shared" si="25"/>
        <v>-5.1234380499233399E-3</v>
      </c>
    </row>
    <row r="814" spans="2:8" ht="14.25" customHeight="1" x14ac:dyDescent="0.35">
      <c r="B814" s="337">
        <v>45113</v>
      </c>
      <c r="C814" s="337"/>
      <c r="D814">
        <v>19497.3</v>
      </c>
      <c r="E814">
        <v>3697.64</v>
      </c>
      <c r="G814" s="338">
        <f t="shared" si="24"/>
        <v>5.0931773075237399E-3</v>
      </c>
      <c r="H814" s="338">
        <f t="shared" si="25"/>
        <v>-1.4582613204286454E-3</v>
      </c>
    </row>
    <row r="815" spans="2:8" ht="14.25" customHeight="1" x14ac:dyDescent="0.35">
      <c r="B815" s="337">
        <v>45114</v>
      </c>
      <c r="C815" s="337"/>
      <c r="D815">
        <v>19331.8</v>
      </c>
      <c r="E815">
        <v>3662.29</v>
      </c>
      <c r="G815" s="338">
        <f t="shared" si="24"/>
        <v>-8.4883547978438049E-3</v>
      </c>
      <c r="H815" s="338">
        <f t="shared" si="25"/>
        <v>-9.5601518806589913E-3</v>
      </c>
    </row>
    <row r="816" spans="2:8" ht="14.25" customHeight="1" x14ac:dyDescent="0.35">
      <c r="B816" s="337">
        <v>45117</v>
      </c>
      <c r="C816" s="337"/>
      <c r="D816">
        <v>19355.900000000001</v>
      </c>
      <c r="E816">
        <v>3545.65</v>
      </c>
      <c r="G816" s="338">
        <f t="shared" si="24"/>
        <v>1.2466505964267261E-3</v>
      </c>
      <c r="H816" s="338">
        <f t="shared" si="25"/>
        <v>-3.1848925126082277E-2</v>
      </c>
    </row>
    <row r="817" spans="2:8" ht="14.25" customHeight="1" x14ac:dyDescent="0.35">
      <c r="B817" s="337">
        <v>45118</v>
      </c>
      <c r="C817" s="337"/>
      <c r="D817">
        <v>19439.400000000001</v>
      </c>
      <c r="E817">
        <v>3539.11</v>
      </c>
      <c r="G817" s="338">
        <f t="shared" si="24"/>
        <v>4.3139301194984473E-3</v>
      </c>
      <c r="H817" s="338">
        <f t="shared" si="25"/>
        <v>-1.8445136998857653E-3</v>
      </c>
    </row>
    <row r="818" spans="2:8" ht="14.25" customHeight="1" x14ac:dyDescent="0.35">
      <c r="B818" s="337">
        <v>45119</v>
      </c>
      <c r="C818" s="337"/>
      <c r="D818">
        <v>19384.3</v>
      </c>
      <c r="E818">
        <v>3598.18</v>
      </c>
      <c r="G818" s="338">
        <f t="shared" si="24"/>
        <v>-2.8344496229308611E-3</v>
      </c>
      <c r="H818" s="338">
        <f t="shared" si="25"/>
        <v>1.6690636911539825E-2</v>
      </c>
    </row>
    <row r="819" spans="2:8" ht="14.25" customHeight="1" x14ac:dyDescent="0.35">
      <c r="B819" s="337">
        <v>45120</v>
      </c>
      <c r="C819" s="337"/>
      <c r="D819">
        <v>19413.75</v>
      </c>
      <c r="E819">
        <v>3660.49</v>
      </c>
      <c r="G819" s="338">
        <f t="shared" si="24"/>
        <v>1.5192707500400185E-3</v>
      </c>
      <c r="H819" s="338">
        <f t="shared" si="25"/>
        <v>1.7317088083419935E-2</v>
      </c>
    </row>
    <row r="820" spans="2:8" ht="14.25" customHeight="1" x14ac:dyDescent="0.35">
      <c r="B820" s="337">
        <v>45121</v>
      </c>
      <c r="C820" s="337"/>
      <c r="D820">
        <v>19564.5</v>
      </c>
      <c r="E820">
        <v>3679.32</v>
      </c>
      <c r="G820" s="338">
        <f t="shared" si="24"/>
        <v>7.7651149314274673E-3</v>
      </c>
      <c r="H820" s="338">
        <f t="shared" si="25"/>
        <v>5.1441200495016739E-3</v>
      </c>
    </row>
    <row r="821" spans="2:8" ht="14.25" customHeight="1" x14ac:dyDescent="0.35">
      <c r="B821" s="337">
        <v>45124</v>
      </c>
      <c r="C821" s="337"/>
      <c r="D821">
        <v>19711.45</v>
      </c>
      <c r="E821">
        <v>3676.47</v>
      </c>
      <c r="G821" s="338">
        <f t="shared" si="24"/>
        <v>7.511053183061194E-3</v>
      </c>
      <c r="H821" s="338">
        <f t="shared" si="25"/>
        <v>-7.7459965428404258E-4</v>
      </c>
    </row>
    <row r="822" spans="2:8" ht="14.25" customHeight="1" x14ac:dyDescent="0.35">
      <c r="B822" s="337">
        <v>45125</v>
      </c>
      <c r="C822" s="337"/>
      <c r="D822">
        <v>19749.25</v>
      </c>
      <c r="E822">
        <v>3681.12</v>
      </c>
      <c r="G822" s="338">
        <f t="shared" si="24"/>
        <v>1.9176671427012864E-3</v>
      </c>
      <c r="H822" s="338">
        <f t="shared" si="25"/>
        <v>1.2648002023680572E-3</v>
      </c>
    </row>
    <row r="823" spans="2:8" ht="14.25" customHeight="1" x14ac:dyDescent="0.35">
      <c r="B823" s="337">
        <v>45126</v>
      </c>
      <c r="C823" s="337"/>
      <c r="D823">
        <v>19833.150000000001</v>
      </c>
      <c r="E823">
        <v>3694.6</v>
      </c>
      <c r="G823" s="338">
        <f t="shared" si="24"/>
        <v>4.248262592250412E-3</v>
      </c>
      <c r="H823" s="338">
        <f t="shared" si="25"/>
        <v>3.6619289781370939E-3</v>
      </c>
    </row>
    <row r="824" spans="2:8" ht="14.25" customHeight="1" x14ac:dyDescent="0.35">
      <c r="B824" s="337">
        <v>45127</v>
      </c>
      <c r="C824" s="337"/>
      <c r="D824">
        <v>19979.150000000001</v>
      </c>
      <c r="E824">
        <v>3741.39</v>
      </c>
      <c r="G824" s="338">
        <f t="shared" si="24"/>
        <v>7.3614125844860745E-3</v>
      </c>
      <c r="H824" s="338">
        <f t="shared" si="25"/>
        <v>1.2664429166892211E-2</v>
      </c>
    </row>
    <row r="825" spans="2:8" ht="14.25" customHeight="1" x14ac:dyDescent="0.35">
      <c r="B825" s="337">
        <v>45128</v>
      </c>
      <c r="C825" s="337"/>
      <c r="D825">
        <v>19745</v>
      </c>
      <c r="E825">
        <v>3770.9</v>
      </c>
      <c r="G825" s="338">
        <f t="shared" si="24"/>
        <v>-1.1719717805812631E-2</v>
      </c>
      <c r="H825" s="338">
        <f t="shared" si="25"/>
        <v>7.8874429022369272E-3</v>
      </c>
    </row>
    <row r="826" spans="2:8" ht="14.25" customHeight="1" x14ac:dyDescent="0.35">
      <c r="B826" s="337">
        <v>45131</v>
      </c>
      <c r="C826" s="337"/>
      <c r="D826">
        <v>19672.349999999999</v>
      </c>
      <c r="E826">
        <v>3759.31</v>
      </c>
      <c r="G826" s="338">
        <f t="shared" si="24"/>
        <v>-3.6794125094961488E-3</v>
      </c>
      <c r="H826" s="338">
        <f t="shared" si="25"/>
        <v>-3.073536821448499E-3</v>
      </c>
    </row>
    <row r="827" spans="2:8" ht="14.25" customHeight="1" x14ac:dyDescent="0.35">
      <c r="B827" s="337">
        <v>45132</v>
      </c>
      <c r="C827" s="337"/>
      <c r="D827">
        <v>19680.599999999999</v>
      </c>
      <c r="E827">
        <v>3774.59</v>
      </c>
      <c r="G827" s="338">
        <f t="shared" si="24"/>
        <v>4.1937033450502868E-4</v>
      </c>
      <c r="H827" s="338">
        <f t="shared" si="25"/>
        <v>4.0645756801115634E-3</v>
      </c>
    </row>
    <row r="828" spans="2:8" ht="14.25" customHeight="1" x14ac:dyDescent="0.35">
      <c r="B828" s="337">
        <v>45133</v>
      </c>
      <c r="C828" s="337"/>
      <c r="D828">
        <v>19778.3</v>
      </c>
      <c r="E828">
        <v>3826.32</v>
      </c>
      <c r="G828" s="338">
        <f t="shared" si="24"/>
        <v>4.9642795443228726E-3</v>
      </c>
      <c r="H828" s="338">
        <f t="shared" si="25"/>
        <v>1.3704799726592826E-2</v>
      </c>
    </row>
    <row r="829" spans="2:8" ht="14.25" customHeight="1" x14ac:dyDescent="0.35">
      <c r="B829" s="337">
        <v>45134</v>
      </c>
      <c r="C829" s="337"/>
      <c r="D829">
        <v>19659.900000000001</v>
      </c>
      <c r="E829">
        <v>3835.41</v>
      </c>
      <c r="G829" s="338">
        <f t="shared" si="24"/>
        <v>-5.9863587871555098E-3</v>
      </c>
      <c r="H829" s="338">
        <f t="shared" si="25"/>
        <v>2.3756507558175192E-3</v>
      </c>
    </row>
    <row r="830" spans="2:8" ht="14.25" customHeight="1" x14ac:dyDescent="0.35">
      <c r="B830" s="337">
        <v>45135</v>
      </c>
      <c r="C830" s="337"/>
      <c r="D830">
        <v>19646.05</v>
      </c>
      <c r="E830">
        <v>3809.84</v>
      </c>
      <c r="G830" s="338">
        <f t="shared" si="24"/>
        <v>-7.0447967690589379E-4</v>
      </c>
      <c r="H830" s="338">
        <f t="shared" si="25"/>
        <v>-6.6668231036576819E-3</v>
      </c>
    </row>
    <row r="831" spans="2:8" ht="14.25" customHeight="1" x14ac:dyDescent="0.35">
      <c r="B831" s="337">
        <v>45138</v>
      </c>
      <c r="C831" s="337"/>
      <c r="D831">
        <v>19753.8</v>
      </c>
      <c r="E831">
        <v>3795.46</v>
      </c>
      <c r="G831" s="338">
        <f t="shared" si="24"/>
        <v>5.4845630546598431E-3</v>
      </c>
      <c r="H831" s="338">
        <f t="shared" si="25"/>
        <v>-3.7744367217521233E-3</v>
      </c>
    </row>
    <row r="832" spans="2:8" ht="14.25" customHeight="1" x14ac:dyDescent="0.35">
      <c r="B832" s="337">
        <v>45139</v>
      </c>
      <c r="C832" s="337"/>
      <c r="D832">
        <v>19733.55</v>
      </c>
      <c r="E832">
        <v>3843.4</v>
      </c>
      <c r="G832" s="338">
        <f t="shared" si="24"/>
        <v>-1.0251192175682654E-3</v>
      </c>
      <c r="H832" s="338">
        <f t="shared" si="25"/>
        <v>1.263088005142988E-2</v>
      </c>
    </row>
    <row r="833" spans="2:8" ht="14.25" customHeight="1" x14ac:dyDescent="0.35">
      <c r="B833" s="337">
        <v>45140</v>
      </c>
      <c r="C833" s="337"/>
      <c r="D833">
        <v>19526.55</v>
      </c>
      <c r="E833">
        <v>3873.81</v>
      </c>
      <c r="G833" s="338">
        <f t="shared" si="24"/>
        <v>-1.0489749690248334E-2</v>
      </c>
      <c r="H833" s="338">
        <f t="shared" si="25"/>
        <v>7.9122651818701803E-3</v>
      </c>
    </row>
    <row r="834" spans="2:8" ht="14.25" customHeight="1" x14ac:dyDescent="0.35">
      <c r="B834" s="337">
        <v>45141</v>
      </c>
      <c r="C834" s="337"/>
      <c r="D834">
        <v>19381.650000000001</v>
      </c>
      <c r="E834">
        <v>3792.87</v>
      </c>
      <c r="G834" s="338">
        <f t="shared" si="24"/>
        <v>-7.4206657089961013E-3</v>
      </c>
      <c r="H834" s="338">
        <f t="shared" si="25"/>
        <v>-2.0894158464147713E-2</v>
      </c>
    </row>
    <row r="835" spans="2:8" ht="14.25" customHeight="1" x14ac:dyDescent="0.35">
      <c r="B835" s="337">
        <v>45142</v>
      </c>
      <c r="C835" s="337"/>
      <c r="D835">
        <v>19517</v>
      </c>
      <c r="E835">
        <v>3846.69</v>
      </c>
      <c r="G835" s="338">
        <f t="shared" si="24"/>
        <v>6.9834095652330187E-3</v>
      </c>
      <c r="H835" s="338">
        <f t="shared" si="25"/>
        <v>1.4189782407517306E-2</v>
      </c>
    </row>
    <row r="836" spans="2:8" ht="14.25" customHeight="1" x14ac:dyDescent="0.35">
      <c r="B836" s="337">
        <v>45145</v>
      </c>
      <c r="C836" s="337"/>
      <c r="D836">
        <v>19597.3</v>
      </c>
      <c r="E836">
        <v>3874.91</v>
      </c>
      <c r="G836" s="338">
        <f t="shared" si="24"/>
        <v>4.1143618383972574E-3</v>
      </c>
      <c r="H836" s="338">
        <f t="shared" si="25"/>
        <v>7.336177336879187E-3</v>
      </c>
    </row>
    <row r="837" spans="2:8" ht="14.25" customHeight="1" x14ac:dyDescent="0.35">
      <c r="B837" s="337">
        <v>45146</v>
      </c>
      <c r="C837" s="337"/>
      <c r="D837">
        <v>19570.849999999999</v>
      </c>
      <c r="E837">
        <v>3886.29</v>
      </c>
      <c r="G837" s="338">
        <f t="shared" si="24"/>
        <v>-1.3496757206350226E-3</v>
      </c>
      <c r="H837" s="338">
        <f t="shared" si="25"/>
        <v>2.9368424040816716E-3</v>
      </c>
    </row>
    <row r="838" spans="2:8" ht="14.25" customHeight="1" x14ac:dyDescent="0.35">
      <c r="B838" s="337">
        <v>45147</v>
      </c>
      <c r="C838" s="337"/>
      <c r="D838">
        <v>19632.55</v>
      </c>
      <c r="E838">
        <v>3950.36</v>
      </c>
      <c r="G838" s="338">
        <f t="shared" si="24"/>
        <v>3.1526479432421551E-3</v>
      </c>
      <c r="H838" s="338">
        <f t="shared" si="25"/>
        <v>1.6486160322569898E-2</v>
      </c>
    </row>
    <row r="839" spans="2:8" ht="14.25" customHeight="1" x14ac:dyDescent="0.35">
      <c r="B839" s="337">
        <v>45148</v>
      </c>
      <c r="C839" s="337"/>
      <c r="D839">
        <v>19543.099999999999</v>
      </c>
      <c r="E839">
        <v>4101.95</v>
      </c>
      <c r="G839" s="338">
        <f t="shared" ref="G839:G902" si="26">(D839-D838)/D838</f>
        <v>-4.5562089489139587E-3</v>
      </c>
      <c r="H839" s="338">
        <f t="shared" ref="H839:H902" si="27">(E839-E838)/E838</f>
        <v>3.8373717838374143E-2</v>
      </c>
    </row>
    <row r="840" spans="2:8" ht="14.25" customHeight="1" x14ac:dyDescent="0.35">
      <c r="B840" s="337">
        <v>45149</v>
      </c>
      <c r="C840" s="337"/>
      <c r="D840">
        <v>19428.3</v>
      </c>
      <c r="E840">
        <v>4068.2</v>
      </c>
      <c r="G840" s="338">
        <f t="shared" si="26"/>
        <v>-5.8741960077981119E-3</v>
      </c>
      <c r="H840" s="338">
        <f t="shared" si="27"/>
        <v>-8.2277940979290348E-3</v>
      </c>
    </row>
    <row r="841" spans="2:8" ht="14.25" customHeight="1" x14ac:dyDescent="0.35">
      <c r="B841" s="337">
        <v>45152</v>
      </c>
      <c r="C841" s="337"/>
      <c r="D841">
        <v>19434.55</v>
      </c>
      <c r="E841">
        <v>4156.68</v>
      </c>
      <c r="G841" s="338">
        <f t="shared" si="26"/>
        <v>3.2169567074834135E-4</v>
      </c>
      <c r="H841" s="338">
        <f t="shared" si="27"/>
        <v>2.1749176539993236E-2</v>
      </c>
    </row>
    <row r="842" spans="2:8" ht="14.25" customHeight="1" x14ac:dyDescent="0.35">
      <c r="B842" s="337">
        <v>45154</v>
      </c>
      <c r="C842" s="337"/>
      <c r="D842">
        <v>19465</v>
      </c>
      <c r="E842">
        <v>4258.84</v>
      </c>
      <c r="G842" s="338">
        <f t="shared" si="26"/>
        <v>1.5667972759853318E-3</v>
      </c>
      <c r="H842" s="338">
        <f t="shared" si="27"/>
        <v>2.4577306889151884E-2</v>
      </c>
    </row>
    <row r="843" spans="2:8" ht="14.25" customHeight="1" x14ac:dyDescent="0.35">
      <c r="B843" s="337">
        <v>45155</v>
      </c>
      <c r="C843" s="337"/>
      <c r="D843">
        <v>19365.25</v>
      </c>
      <c r="E843">
        <v>4338.6400000000003</v>
      </c>
      <c r="G843" s="338">
        <f t="shared" si="26"/>
        <v>-5.124582584125353E-3</v>
      </c>
      <c r="H843" s="338">
        <f t="shared" si="27"/>
        <v>1.8737496595317076E-2</v>
      </c>
    </row>
    <row r="844" spans="2:8" ht="14.25" customHeight="1" x14ac:dyDescent="0.35">
      <c r="B844" s="337">
        <v>45156</v>
      </c>
      <c r="C844" s="337"/>
      <c r="D844">
        <v>19310.150000000001</v>
      </c>
      <c r="E844">
        <v>4342.83</v>
      </c>
      <c r="G844" s="338">
        <f t="shared" si="26"/>
        <v>-2.8453027975367498E-3</v>
      </c>
      <c r="H844" s="338">
        <f t="shared" si="27"/>
        <v>9.6574041635157548E-4</v>
      </c>
    </row>
    <row r="845" spans="2:8" ht="14.25" customHeight="1" x14ac:dyDescent="0.35">
      <c r="B845" s="337">
        <v>45159</v>
      </c>
      <c r="C845" s="337"/>
      <c r="D845">
        <v>19393.599999999999</v>
      </c>
      <c r="E845">
        <v>4358.26</v>
      </c>
      <c r="G845" s="338">
        <f t="shared" si="26"/>
        <v>4.3215614586109936E-3</v>
      </c>
      <c r="H845" s="338">
        <f t="shared" si="27"/>
        <v>3.5529827324579343E-3</v>
      </c>
    </row>
    <row r="846" spans="2:8" ht="14.25" customHeight="1" x14ac:dyDescent="0.35">
      <c r="B846" s="337">
        <v>45160</v>
      </c>
      <c r="C846" s="337"/>
      <c r="D846">
        <v>19396.45</v>
      </c>
      <c r="E846">
        <v>4353.5600000000004</v>
      </c>
      <c r="G846" s="338">
        <f t="shared" si="26"/>
        <v>1.4695569672480525E-4</v>
      </c>
      <c r="H846" s="338">
        <f t="shared" si="27"/>
        <v>-1.0784120268180002E-3</v>
      </c>
    </row>
    <row r="847" spans="2:8" ht="14.25" customHeight="1" x14ac:dyDescent="0.35">
      <c r="B847" s="337">
        <v>45161</v>
      </c>
      <c r="C847" s="337"/>
      <c r="D847">
        <v>19444</v>
      </c>
      <c r="E847">
        <v>4364.8999999999996</v>
      </c>
      <c r="G847" s="338">
        <f t="shared" si="26"/>
        <v>2.4514795233147959E-3</v>
      </c>
      <c r="H847" s="338">
        <f t="shared" si="27"/>
        <v>2.6047648361339306E-3</v>
      </c>
    </row>
    <row r="848" spans="2:8" ht="14.25" customHeight="1" x14ac:dyDescent="0.35">
      <c r="B848" s="337">
        <v>45162</v>
      </c>
      <c r="C848" s="337"/>
      <c r="D848">
        <v>19386.7</v>
      </c>
      <c r="E848">
        <v>4499.5200000000004</v>
      </c>
      <c r="G848" s="338">
        <f t="shared" si="26"/>
        <v>-2.9469245011314168E-3</v>
      </c>
      <c r="H848" s="338">
        <f t="shared" si="27"/>
        <v>3.0841485486494721E-2</v>
      </c>
    </row>
    <row r="849" spans="2:8" ht="14.25" customHeight="1" x14ac:dyDescent="0.35">
      <c r="B849" s="337">
        <v>45163</v>
      </c>
      <c r="C849" s="337"/>
      <c r="D849">
        <v>19265.8</v>
      </c>
      <c r="E849">
        <v>4591.25</v>
      </c>
      <c r="G849" s="338">
        <f t="shared" si="26"/>
        <v>-6.2362341192674078E-3</v>
      </c>
      <c r="H849" s="338">
        <f t="shared" si="27"/>
        <v>2.0386619017139507E-2</v>
      </c>
    </row>
    <row r="850" spans="2:8" ht="14.25" customHeight="1" x14ac:dyDescent="0.35">
      <c r="B850" s="337">
        <v>45166</v>
      </c>
      <c r="C850" s="337"/>
      <c r="D850">
        <v>19306.05</v>
      </c>
      <c r="E850">
        <v>4883.3599999999997</v>
      </c>
      <c r="G850" s="338">
        <f t="shared" si="26"/>
        <v>2.0891943236200938E-3</v>
      </c>
      <c r="H850" s="338">
        <f t="shared" si="27"/>
        <v>6.3623196297304591E-2</v>
      </c>
    </row>
    <row r="851" spans="2:8" ht="14.25" customHeight="1" x14ac:dyDescent="0.35">
      <c r="B851" s="337">
        <v>45167</v>
      </c>
      <c r="C851" s="337"/>
      <c r="D851">
        <v>19342.650000000001</v>
      </c>
      <c r="E851">
        <v>4887.3</v>
      </c>
      <c r="G851" s="338">
        <f t="shared" si="26"/>
        <v>1.8957787843708156E-3</v>
      </c>
      <c r="H851" s="338">
        <f t="shared" si="27"/>
        <v>8.068215327152841E-4</v>
      </c>
    </row>
    <row r="852" spans="2:8" ht="14.25" customHeight="1" x14ac:dyDescent="0.35">
      <c r="B852" s="337">
        <v>45168</v>
      </c>
      <c r="C852" s="337"/>
      <c r="D852">
        <v>19347.45</v>
      </c>
      <c r="E852">
        <v>4893.9399999999996</v>
      </c>
      <c r="G852" s="338">
        <f t="shared" si="26"/>
        <v>2.4815627641503477E-4</v>
      </c>
      <c r="H852" s="338">
        <f t="shared" si="27"/>
        <v>1.3586233707772017E-3</v>
      </c>
    </row>
    <row r="853" spans="2:8" ht="14.25" customHeight="1" x14ac:dyDescent="0.35">
      <c r="B853" s="337">
        <v>45169</v>
      </c>
      <c r="C853" s="337"/>
      <c r="D853">
        <v>19253.8</v>
      </c>
      <c r="E853">
        <v>4831.82</v>
      </c>
      <c r="G853" s="338">
        <f t="shared" si="26"/>
        <v>-4.8404311679317667E-3</v>
      </c>
      <c r="H853" s="338">
        <f t="shared" si="27"/>
        <v>-1.2693249202074382E-2</v>
      </c>
    </row>
    <row r="854" spans="2:8" ht="14.25" customHeight="1" x14ac:dyDescent="0.35">
      <c r="B854" s="337">
        <v>45170</v>
      </c>
      <c r="C854" s="337"/>
      <c r="D854">
        <v>19435.3</v>
      </c>
      <c r="E854">
        <v>4746.99</v>
      </c>
      <c r="G854" s="338">
        <f t="shared" si="26"/>
        <v>9.4267105714196681E-3</v>
      </c>
      <c r="H854" s="338">
        <f t="shared" si="27"/>
        <v>-1.7556531493308925E-2</v>
      </c>
    </row>
    <row r="855" spans="2:8" ht="14.25" customHeight="1" x14ac:dyDescent="0.35">
      <c r="B855" s="337">
        <v>45173</v>
      </c>
      <c r="C855" s="337"/>
      <c r="D855">
        <v>19528.8</v>
      </c>
      <c r="E855">
        <v>4682.62</v>
      </c>
      <c r="G855" s="338">
        <f t="shared" si="26"/>
        <v>4.8108338950260607E-3</v>
      </c>
      <c r="H855" s="338">
        <f t="shared" si="27"/>
        <v>-1.3560171814139042E-2</v>
      </c>
    </row>
    <row r="856" spans="2:8" ht="14.25" customHeight="1" x14ac:dyDescent="0.35">
      <c r="B856" s="337">
        <v>45174</v>
      </c>
      <c r="C856" s="337"/>
      <c r="D856">
        <v>19574.900000000001</v>
      </c>
      <c r="E856">
        <v>4661.1000000000004</v>
      </c>
      <c r="G856" s="338">
        <f t="shared" si="26"/>
        <v>2.3606161156856636E-3</v>
      </c>
      <c r="H856" s="338">
        <f t="shared" si="27"/>
        <v>-4.5957177819254021E-3</v>
      </c>
    </row>
    <row r="857" spans="2:8" ht="14.25" customHeight="1" x14ac:dyDescent="0.35">
      <c r="B857" s="337">
        <v>45175</v>
      </c>
      <c r="C857" s="337"/>
      <c r="D857">
        <v>19611.05</v>
      </c>
      <c r="E857">
        <v>4590.6000000000004</v>
      </c>
      <c r="G857" s="338">
        <f t="shared" si="26"/>
        <v>1.8467527292603187E-3</v>
      </c>
      <c r="H857" s="338">
        <f t="shared" si="27"/>
        <v>-1.512518504215743E-2</v>
      </c>
    </row>
    <row r="858" spans="2:8" ht="14.25" customHeight="1" x14ac:dyDescent="0.35">
      <c r="B858" s="337">
        <v>45176</v>
      </c>
      <c r="C858" s="337"/>
      <c r="D858">
        <v>19727.05</v>
      </c>
      <c r="E858">
        <v>4536.07</v>
      </c>
      <c r="G858" s="338">
        <f t="shared" si="26"/>
        <v>5.9150325964188559E-3</v>
      </c>
      <c r="H858" s="338">
        <f t="shared" si="27"/>
        <v>-1.1878621530954701E-2</v>
      </c>
    </row>
    <row r="859" spans="2:8" ht="14.25" customHeight="1" x14ac:dyDescent="0.35">
      <c r="B859" s="337">
        <v>45177</v>
      </c>
      <c r="C859" s="337"/>
      <c r="D859">
        <v>19819.95</v>
      </c>
      <c r="E859">
        <v>4635.54</v>
      </c>
      <c r="G859" s="338">
        <f t="shared" si="26"/>
        <v>4.709269759036524E-3</v>
      </c>
      <c r="H859" s="338">
        <f t="shared" si="27"/>
        <v>2.1928673940217028E-2</v>
      </c>
    </row>
    <row r="860" spans="2:8" ht="14.25" customHeight="1" x14ac:dyDescent="0.35">
      <c r="B860" s="337">
        <v>45180</v>
      </c>
      <c r="C860" s="337"/>
      <c r="D860">
        <v>19996.349999999999</v>
      </c>
      <c r="E860">
        <v>4666.7</v>
      </c>
      <c r="G860" s="338">
        <f t="shared" si="26"/>
        <v>8.9001233605532706E-3</v>
      </c>
      <c r="H860" s="338">
        <f t="shared" si="27"/>
        <v>6.7219784534271855E-3</v>
      </c>
    </row>
    <row r="861" spans="2:8" ht="14.25" customHeight="1" x14ac:dyDescent="0.35">
      <c r="B861" s="337">
        <v>45181</v>
      </c>
      <c r="C861" s="337"/>
      <c r="D861">
        <v>19993.2</v>
      </c>
      <c r="E861">
        <v>4516</v>
      </c>
      <c r="G861" s="338">
        <f t="shared" si="26"/>
        <v>-1.5752874899658276E-4</v>
      </c>
      <c r="H861" s="338">
        <f t="shared" si="27"/>
        <v>-3.229262648123938E-2</v>
      </c>
    </row>
    <row r="862" spans="2:8" ht="14.25" customHeight="1" x14ac:dyDescent="0.35">
      <c r="B862" s="337">
        <v>45182</v>
      </c>
      <c r="C862" s="337"/>
      <c r="D862">
        <v>20070</v>
      </c>
      <c r="E862">
        <v>4524.6899999999996</v>
      </c>
      <c r="G862" s="338">
        <f t="shared" si="26"/>
        <v>3.841306044054942E-3</v>
      </c>
      <c r="H862" s="338">
        <f t="shared" si="27"/>
        <v>1.9242692648360495E-3</v>
      </c>
    </row>
    <row r="863" spans="2:8" ht="14.25" customHeight="1" x14ac:dyDescent="0.35">
      <c r="B863" s="337">
        <v>45183</v>
      </c>
      <c r="C863" s="337"/>
      <c r="D863">
        <v>20103.099999999999</v>
      </c>
      <c r="E863">
        <v>4581.21</v>
      </c>
      <c r="G863" s="338">
        <f t="shared" si="26"/>
        <v>1.6492277030392898E-3</v>
      </c>
      <c r="H863" s="338">
        <f t="shared" si="27"/>
        <v>1.2491463503577138E-2</v>
      </c>
    </row>
    <row r="864" spans="2:8" ht="14.25" customHeight="1" x14ac:dyDescent="0.35">
      <c r="B864" s="337">
        <v>45184</v>
      </c>
      <c r="C864" s="337"/>
      <c r="D864">
        <v>20192.349999999999</v>
      </c>
      <c r="E864">
        <v>4639.88</v>
      </c>
      <c r="G864" s="338">
        <f t="shared" si="26"/>
        <v>4.4396137909078707E-3</v>
      </c>
      <c r="H864" s="338">
        <f t="shared" si="27"/>
        <v>1.2806660249148167E-2</v>
      </c>
    </row>
    <row r="865" spans="2:8" ht="14.25" customHeight="1" x14ac:dyDescent="0.35">
      <c r="B865" s="337">
        <v>45187</v>
      </c>
      <c r="C865" s="337"/>
      <c r="D865">
        <v>20133.3</v>
      </c>
      <c r="E865">
        <v>4607.18</v>
      </c>
      <c r="G865" s="338">
        <f t="shared" si="26"/>
        <v>-2.9243748251193782E-3</v>
      </c>
      <c r="H865" s="338">
        <f t="shared" si="27"/>
        <v>-7.0475960585187156E-3</v>
      </c>
    </row>
    <row r="866" spans="2:8" ht="14.25" customHeight="1" x14ac:dyDescent="0.35">
      <c r="B866" s="337">
        <v>45189</v>
      </c>
      <c r="C866" s="337"/>
      <c r="D866">
        <v>19901.400000000001</v>
      </c>
      <c r="E866">
        <v>4591.6499999999996</v>
      </c>
      <c r="G866" s="338">
        <f t="shared" si="26"/>
        <v>-1.1518230990448552E-2</v>
      </c>
      <c r="H866" s="338">
        <f t="shared" si="27"/>
        <v>-3.3708255375306919E-3</v>
      </c>
    </row>
    <row r="867" spans="2:8" ht="14.25" customHeight="1" x14ac:dyDescent="0.35">
      <c r="B867" s="337">
        <v>45190</v>
      </c>
      <c r="C867" s="337"/>
      <c r="D867">
        <v>19742.349999999999</v>
      </c>
      <c r="E867">
        <v>4585.8</v>
      </c>
      <c r="G867" s="338">
        <f t="shared" si="26"/>
        <v>-7.9919000673320927E-3</v>
      </c>
      <c r="H867" s="338">
        <f t="shared" si="27"/>
        <v>-1.2740518114402132E-3</v>
      </c>
    </row>
    <row r="868" spans="2:8" ht="14.25" customHeight="1" x14ac:dyDescent="0.35">
      <c r="B868" s="337">
        <v>45191</v>
      </c>
      <c r="C868" s="337"/>
      <c r="D868">
        <v>19674.25</v>
      </c>
      <c r="E868">
        <v>4614.5200000000004</v>
      </c>
      <c r="G868" s="338">
        <f t="shared" si="26"/>
        <v>-3.449437377009249E-3</v>
      </c>
      <c r="H868" s="338">
        <f t="shared" si="27"/>
        <v>6.2628112870164974E-3</v>
      </c>
    </row>
    <row r="869" spans="2:8" ht="14.25" customHeight="1" x14ac:dyDescent="0.35">
      <c r="B869" s="337">
        <v>45194</v>
      </c>
      <c r="C869" s="337"/>
      <c r="D869">
        <v>19674.55</v>
      </c>
      <c r="E869">
        <v>4606.38</v>
      </c>
      <c r="G869" s="338">
        <f t="shared" si="26"/>
        <v>1.5248357624777179E-5</v>
      </c>
      <c r="H869" s="338">
        <f t="shared" si="27"/>
        <v>-1.763997122127616E-3</v>
      </c>
    </row>
    <row r="870" spans="2:8" ht="14.25" customHeight="1" x14ac:dyDescent="0.35">
      <c r="B870" s="337">
        <v>45195</v>
      </c>
      <c r="C870" s="337"/>
      <c r="D870">
        <v>19664.7</v>
      </c>
      <c r="E870">
        <v>4595.1400000000003</v>
      </c>
      <c r="G870" s="338">
        <f t="shared" si="26"/>
        <v>-5.0064677464026089E-4</v>
      </c>
      <c r="H870" s="338">
        <f t="shared" si="27"/>
        <v>-2.440093956642696E-3</v>
      </c>
    </row>
    <row r="871" spans="2:8" ht="14.25" customHeight="1" x14ac:dyDescent="0.35">
      <c r="B871" s="337">
        <v>45196</v>
      </c>
      <c r="C871" s="337"/>
      <c r="D871">
        <v>19716.45</v>
      </c>
      <c r="E871">
        <v>4712.04</v>
      </c>
      <c r="G871" s="338">
        <f t="shared" si="26"/>
        <v>2.6316190941128009E-3</v>
      </c>
      <c r="H871" s="338">
        <f t="shared" si="27"/>
        <v>2.5439921308164633E-2</v>
      </c>
    </row>
    <row r="872" spans="2:8" ht="14.25" customHeight="1" x14ac:dyDescent="0.35">
      <c r="B872" s="337">
        <v>45197</v>
      </c>
      <c r="C872" s="337"/>
      <c r="D872">
        <v>19523.55</v>
      </c>
      <c r="E872">
        <v>4682.92</v>
      </c>
      <c r="G872" s="338">
        <f t="shared" si="26"/>
        <v>-9.7837085276508418E-3</v>
      </c>
      <c r="H872" s="338">
        <f t="shared" si="27"/>
        <v>-6.1799135830765215E-3</v>
      </c>
    </row>
    <row r="873" spans="2:8" ht="14.25" customHeight="1" x14ac:dyDescent="0.35">
      <c r="B873" s="337">
        <v>45198</v>
      </c>
      <c r="C873" s="337"/>
      <c r="D873">
        <v>19638.3</v>
      </c>
      <c r="E873">
        <v>4813.55</v>
      </c>
      <c r="G873" s="338">
        <f t="shared" si="26"/>
        <v>5.8775171523621477E-3</v>
      </c>
      <c r="H873" s="338">
        <f t="shared" si="27"/>
        <v>2.7894988596858392E-2</v>
      </c>
    </row>
    <row r="874" spans="2:8" ht="14.25" customHeight="1" x14ac:dyDescent="0.35">
      <c r="B874" s="337">
        <v>45202</v>
      </c>
      <c r="C874" s="337"/>
      <c r="D874">
        <v>19528.75</v>
      </c>
      <c r="E874">
        <v>4967.09</v>
      </c>
      <c r="G874" s="338">
        <f t="shared" si="26"/>
        <v>-5.578385094432781E-3</v>
      </c>
      <c r="H874" s="338">
        <f t="shared" si="27"/>
        <v>3.18974561394397E-2</v>
      </c>
    </row>
    <row r="875" spans="2:8" ht="14.25" customHeight="1" x14ac:dyDescent="0.35">
      <c r="B875" s="337">
        <v>45203</v>
      </c>
      <c r="C875" s="337"/>
      <c r="D875">
        <v>19436.099999999999</v>
      </c>
      <c r="E875">
        <v>4898.6400000000003</v>
      </c>
      <c r="G875" s="338">
        <f t="shared" si="26"/>
        <v>-4.744287268770477E-3</v>
      </c>
      <c r="H875" s="338">
        <f t="shared" si="27"/>
        <v>-1.3780704597661774E-2</v>
      </c>
    </row>
    <row r="876" spans="2:8" ht="14.25" customHeight="1" x14ac:dyDescent="0.35">
      <c r="B876" s="337">
        <v>45204</v>
      </c>
      <c r="C876" s="337"/>
      <c r="D876">
        <v>19545.75</v>
      </c>
      <c r="E876">
        <v>4970.6899999999996</v>
      </c>
      <c r="G876" s="338">
        <f t="shared" si="26"/>
        <v>5.6415638939911542E-3</v>
      </c>
      <c r="H876" s="338">
        <f t="shared" si="27"/>
        <v>1.4708163898551285E-2</v>
      </c>
    </row>
    <row r="877" spans="2:8" ht="14.25" customHeight="1" x14ac:dyDescent="0.35">
      <c r="B877" s="337">
        <v>45205</v>
      </c>
      <c r="C877" s="337"/>
      <c r="D877">
        <v>19653.5</v>
      </c>
      <c r="E877">
        <v>5141.0600000000004</v>
      </c>
      <c r="G877" s="338">
        <f t="shared" si="26"/>
        <v>5.512707366051443E-3</v>
      </c>
      <c r="H877" s="338">
        <f t="shared" si="27"/>
        <v>3.4274919578569742E-2</v>
      </c>
    </row>
    <row r="878" spans="2:8" ht="14.25" customHeight="1" x14ac:dyDescent="0.35">
      <c r="B878" s="337">
        <v>45208</v>
      </c>
      <c r="C878" s="337"/>
      <c r="D878">
        <v>19512.349999999999</v>
      </c>
      <c r="E878">
        <v>5156.59</v>
      </c>
      <c r="G878" s="338">
        <f t="shared" si="26"/>
        <v>-7.1819268832524208E-3</v>
      </c>
      <c r="H878" s="338">
        <f t="shared" si="27"/>
        <v>3.0207778162479612E-3</v>
      </c>
    </row>
    <row r="879" spans="2:8" ht="14.25" customHeight="1" x14ac:dyDescent="0.35">
      <c r="B879" s="337">
        <v>45209</v>
      </c>
      <c r="C879" s="337"/>
      <c r="D879">
        <v>19689.849999999999</v>
      </c>
      <c r="E879">
        <v>5204.2700000000004</v>
      </c>
      <c r="G879" s="338">
        <f t="shared" si="26"/>
        <v>9.0968027941278218E-3</v>
      </c>
      <c r="H879" s="338">
        <f t="shared" si="27"/>
        <v>9.2464205996599085E-3</v>
      </c>
    </row>
    <row r="880" spans="2:8" ht="14.25" customHeight="1" x14ac:dyDescent="0.35">
      <c r="B880" s="337">
        <v>45210</v>
      </c>
      <c r="C880" s="337"/>
      <c r="D880">
        <v>19811.349999999999</v>
      </c>
      <c r="E880">
        <v>5317.27</v>
      </c>
      <c r="G880" s="338">
        <f t="shared" si="26"/>
        <v>6.1706920062875037E-3</v>
      </c>
      <c r="H880" s="338">
        <f t="shared" si="27"/>
        <v>2.1712939566932536E-2</v>
      </c>
    </row>
    <row r="881" spans="2:8" ht="14.25" customHeight="1" x14ac:dyDescent="0.35">
      <c r="B881" s="337">
        <v>45211</v>
      </c>
      <c r="C881" s="337"/>
      <c r="D881">
        <v>19794</v>
      </c>
      <c r="E881">
        <v>5302.69</v>
      </c>
      <c r="G881" s="338">
        <f t="shared" si="26"/>
        <v>-8.7576061197235653E-4</v>
      </c>
      <c r="H881" s="338">
        <f t="shared" si="27"/>
        <v>-2.7420085871134692E-3</v>
      </c>
    </row>
    <row r="882" spans="2:8" ht="14.25" customHeight="1" x14ac:dyDescent="0.35">
      <c r="B882" s="337">
        <v>45212</v>
      </c>
      <c r="C882" s="337"/>
      <c r="D882">
        <v>19751.05</v>
      </c>
      <c r="E882">
        <v>5341.24</v>
      </c>
      <c r="G882" s="338">
        <f t="shared" si="26"/>
        <v>-2.1698494493281161E-3</v>
      </c>
      <c r="H882" s="338">
        <f t="shared" si="27"/>
        <v>7.2698950909821586E-3</v>
      </c>
    </row>
    <row r="883" spans="2:8" ht="14.25" customHeight="1" x14ac:dyDescent="0.35">
      <c r="B883" s="337">
        <v>45215</v>
      </c>
      <c r="C883" s="337"/>
      <c r="D883">
        <v>19731.75</v>
      </c>
      <c r="E883">
        <v>5243.27</v>
      </c>
      <c r="G883" s="338">
        <f t="shared" si="26"/>
        <v>-9.7716323942267751E-4</v>
      </c>
      <c r="H883" s="338">
        <f t="shared" si="27"/>
        <v>-1.8342182714126187E-2</v>
      </c>
    </row>
    <row r="884" spans="2:8" ht="14.25" customHeight="1" x14ac:dyDescent="0.35">
      <c r="B884" s="337">
        <v>45216</v>
      </c>
      <c r="C884" s="337"/>
      <c r="D884">
        <v>19811.5</v>
      </c>
      <c r="E884">
        <v>5179.3100000000004</v>
      </c>
      <c r="G884" s="338">
        <f t="shared" si="26"/>
        <v>4.0417094276990126E-3</v>
      </c>
      <c r="H884" s="338">
        <f t="shared" si="27"/>
        <v>-1.2198494450981931E-2</v>
      </c>
    </row>
    <row r="885" spans="2:8" ht="14.25" customHeight="1" x14ac:dyDescent="0.35">
      <c r="B885" s="337">
        <v>45217</v>
      </c>
      <c r="C885" s="337"/>
      <c r="D885">
        <v>19671.099999999999</v>
      </c>
      <c r="E885">
        <v>5167.08</v>
      </c>
      <c r="G885" s="338">
        <f t="shared" si="26"/>
        <v>-7.0867930242536634E-3</v>
      </c>
      <c r="H885" s="338">
        <f t="shared" si="27"/>
        <v>-2.3613183995552442E-3</v>
      </c>
    </row>
    <row r="886" spans="2:8" ht="14.25" customHeight="1" x14ac:dyDescent="0.35">
      <c r="B886" s="337">
        <v>45218</v>
      </c>
      <c r="C886" s="337"/>
      <c r="D886">
        <v>19624.7</v>
      </c>
      <c r="E886">
        <v>5198.28</v>
      </c>
      <c r="G886" s="338">
        <f t="shared" si="26"/>
        <v>-2.3587903065917931E-3</v>
      </c>
      <c r="H886" s="338">
        <f t="shared" si="27"/>
        <v>6.0382266192897764E-3</v>
      </c>
    </row>
    <row r="887" spans="2:8" ht="14.25" customHeight="1" x14ac:dyDescent="0.35">
      <c r="B887" s="337">
        <v>45219</v>
      </c>
      <c r="C887" s="337"/>
      <c r="D887">
        <v>19542.650000000001</v>
      </c>
      <c r="E887">
        <v>5262.2</v>
      </c>
      <c r="G887" s="338">
        <f t="shared" si="26"/>
        <v>-4.1809556324427519E-3</v>
      </c>
      <c r="H887" s="338">
        <f t="shared" si="27"/>
        <v>1.2296374954792754E-2</v>
      </c>
    </row>
    <row r="888" spans="2:8" ht="14.25" customHeight="1" x14ac:dyDescent="0.35">
      <c r="B888" s="337">
        <v>45222</v>
      </c>
      <c r="C888" s="337"/>
      <c r="D888">
        <v>19281.75</v>
      </c>
      <c r="E888">
        <v>5164.9799999999996</v>
      </c>
      <c r="G888" s="338">
        <f t="shared" si="26"/>
        <v>-1.335028770407296E-2</v>
      </c>
      <c r="H888" s="338">
        <f t="shared" si="27"/>
        <v>-1.847516247957133E-2</v>
      </c>
    </row>
    <row r="889" spans="2:8" ht="14.25" customHeight="1" x14ac:dyDescent="0.35">
      <c r="B889" s="337">
        <v>45224</v>
      </c>
      <c r="C889" s="337"/>
      <c r="D889">
        <v>19122.150000000001</v>
      </c>
      <c r="E889">
        <v>5090.93</v>
      </c>
      <c r="G889" s="338">
        <f t="shared" si="26"/>
        <v>-8.2772569917148875E-3</v>
      </c>
      <c r="H889" s="338">
        <f t="shared" si="27"/>
        <v>-1.4336938381174618E-2</v>
      </c>
    </row>
    <row r="890" spans="2:8" ht="14.25" customHeight="1" x14ac:dyDescent="0.35">
      <c r="B890" s="337">
        <v>45225</v>
      </c>
      <c r="C890" s="337"/>
      <c r="D890">
        <v>18857.25</v>
      </c>
      <c r="E890">
        <v>5270.29</v>
      </c>
      <c r="G890" s="338">
        <f t="shared" si="26"/>
        <v>-1.3853044767455618E-2</v>
      </c>
      <c r="H890" s="338">
        <f t="shared" si="27"/>
        <v>3.5231283871512607E-2</v>
      </c>
    </row>
    <row r="891" spans="2:8" ht="14.25" customHeight="1" x14ac:dyDescent="0.35">
      <c r="B891" s="337">
        <v>45226</v>
      </c>
      <c r="C891" s="337"/>
      <c r="D891">
        <v>19047.25</v>
      </c>
      <c r="E891">
        <v>5230.6899999999996</v>
      </c>
      <c r="G891" s="338">
        <f t="shared" si="26"/>
        <v>1.007570032746026E-2</v>
      </c>
      <c r="H891" s="338">
        <f t="shared" si="27"/>
        <v>-7.5138180251941283E-3</v>
      </c>
    </row>
    <row r="892" spans="2:8" ht="14.25" customHeight="1" x14ac:dyDescent="0.35">
      <c r="B892" s="337">
        <v>45229</v>
      </c>
      <c r="C892" s="337"/>
      <c r="D892">
        <v>19140.900000000001</v>
      </c>
      <c r="E892">
        <v>5301.84</v>
      </c>
      <c r="G892" s="338">
        <f t="shared" si="26"/>
        <v>4.9167202614551417E-3</v>
      </c>
      <c r="H892" s="338">
        <f t="shared" si="27"/>
        <v>1.3602411918886524E-2</v>
      </c>
    </row>
    <row r="893" spans="2:8" ht="14.25" customHeight="1" x14ac:dyDescent="0.35">
      <c r="B893" s="337">
        <v>45230</v>
      </c>
      <c r="C893" s="337"/>
      <c r="D893">
        <v>19079.599999999999</v>
      </c>
      <c r="E893">
        <v>5493.14</v>
      </c>
      <c r="G893" s="338">
        <f t="shared" si="26"/>
        <v>-3.2025662325179541E-3</v>
      </c>
      <c r="H893" s="338">
        <f t="shared" si="27"/>
        <v>3.6081813106393287E-2</v>
      </c>
    </row>
    <row r="894" spans="2:8" ht="14.25" customHeight="1" x14ac:dyDescent="0.35">
      <c r="B894" s="337">
        <v>45231</v>
      </c>
      <c r="C894" s="337"/>
      <c r="D894">
        <v>18989.150000000001</v>
      </c>
      <c r="E894">
        <v>5513.96</v>
      </c>
      <c r="G894" s="338">
        <f t="shared" si="26"/>
        <v>-4.7406654227550417E-3</v>
      </c>
      <c r="H894" s="338">
        <f t="shared" si="27"/>
        <v>3.7901819360146851E-3</v>
      </c>
    </row>
    <row r="895" spans="2:8" ht="14.25" customHeight="1" x14ac:dyDescent="0.35">
      <c r="B895" s="337">
        <v>45232</v>
      </c>
      <c r="C895" s="337"/>
      <c r="D895">
        <v>19133.25</v>
      </c>
      <c r="E895">
        <v>5311.38</v>
      </c>
      <c r="G895" s="338">
        <f t="shared" si="26"/>
        <v>7.5885439843278151E-3</v>
      </c>
      <c r="H895" s="338">
        <f t="shared" si="27"/>
        <v>-3.6739475803233959E-2</v>
      </c>
    </row>
    <row r="896" spans="2:8" ht="14.25" customHeight="1" x14ac:dyDescent="0.35">
      <c r="B896" s="337">
        <v>45233</v>
      </c>
      <c r="C896" s="337"/>
      <c r="D896">
        <v>19230.599999999999</v>
      </c>
      <c r="E896">
        <v>5570.04</v>
      </c>
      <c r="G896" s="338">
        <f t="shared" si="26"/>
        <v>5.0880012543607876E-3</v>
      </c>
      <c r="H896" s="338">
        <f t="shared" si="27"/>
        <v>4.8699208115405006E-2</v>
      </c>
    </row>
    <row r="897" spans="2:8" ht="14.25" customHeight="1" x14ac:dyDescent="0.35">
      <c r="B897" s="337">
        <v>45236</v>
      </c>
      <c r="C897" s="337"/>
      <c r="D897">
        <v>19411.75</v>
      </c>
      <c r="E897">
        <v>5578.27</v>
      </c>
      <c r="G897" s="338">
        <f t="shared" si="26"/>
        <v>9.4198828949695525E-3</v>
      </c>
      <c r="H897" s="338">
        <f t="shared" si="27"/>
        <v>1.477547737538774E-3</v>
      </c>
    </row>
    <row r="898" spans="2:8" ht="14.25" customHeight="1" x14ac:dyDescent="0.35">
      <c r="B898" s="337">
        <v>45237</v>
      </c>
      <c r="C898" s="337"/>
      <c r="D898">
        <v>19406.7</v>
      </c>
      <c r="E898">
        <v>5933.5</v>
      </c>
      <c r="G898" s="338">
        <f t="shared" si="26"/>
        <v>-2.6015171223610817E-4</v>
      </c>
      <c r="H898" s="338">
        <f t="shared" si="27"/>
        <v>6.3681033725509803E-2</v>
      </c>
    </row>
    <row r="899" spans="2:8" ht="14.25" customHeight="1" x14ac:dyDescent="0.35">
      <c r="B899" s="337">
        <v>45238</v>
      </c>
      <c r="C899" s="337"/>
      <c r="D899">
        <v>19443.5</v>
      </c>
      <c r="E899">
        <v>5985.73</v>
      </c>
      <c r="G899" s="338">
        <f t="shared" si="26"/>
        <v>1.8962523252278477E-3</v>
      </c>
      <c r="H899" s="338">
        <f t="shared" si="27"/>
        <v>8.8025617257941457E-3</v>
      </c>
    </row>
    <row r="900" spans="2:8" ht="14.25" customHeight="1" x14ac:dyDescent="0.35">
      <c r="B900" s="337">
        <v>45239</v>
      </c>
      <c r="C900" s="337"/>
      <c r="D900">
        <v>19395.3</v>
      </c>
      <c r="E900">
        <v>6161.04</v>
      </c>
      <c r="G900" s="338">
        <f t="shared" si="26"/>
        <v>-2.4789775503381967E-3</v>
      </c>
      <c r="H900" s="338">
        <f t="shared" si="27"/>
        <v>2.9287989936064678E-2</v>
      </c>
    </row>
    <row r="901" spans="2:8" ht="14.25" customHeight="1" x14ac:dyDescent="0.35">
      <c r="B901" s="337">
        <v>45240</v>
      </c>
      <c r="C901" s="337"/>
      <c r="D901">
        <v>19425.349999999999</v>
      </c>
      <c r="E901">
        <v>6096.38</v>
      </c>
      <c r="G901" s="338">
        <f t="shared" si="26"/>
        <v>1.5493444288048792E-3</v>
      </c>
      <c r="H901" s="338">
        <f t="shared" si="27"/>
        <v>-1.0494981366782207E-2</v>
      </c>
    </row>
    <row r="902" spans="2:8" ht="14.25" customHeight="1" x14ac:dyDescent="0.35">
      <c r="B902" s="337">
        <v>45243</v>
      </c>
      <c r="C902" s="337"/>
      <c r="D902">
        <v>19443.55</v>
      </c>
      <c r="E902">
        <v>6191</v>
      </c>
      <c r="G902" s="338">
        <f t="shared" si="26"/>
        <v>9.3692005549453317E-4</v>
      </c>
      <c r="H902" s="338">
        <f t="shared" si="27"/>
        <v>1.5520686046473463E-2</v>
      </c>
    </row>
    <row r="903" spans="2:8" ht="14.25" customHeight="1" x14ac:dyDescent="0.35">
      <c r="B903" s="337">
        <v>45245</v>
      </c>
      <c r="C903" s="337"/>
      <c r="D903">
        <v>19675.45</v>
      </c>
      <c r="E903">
        <v>6550.47</v>
      </c>
      <c r="G903" s="338">
        <f t="shared" ref="G903:G966" si="28">(D903-D902)/D902</f>
        <v>1.1926834348665828E-2</v>
      </c>
      <c r="H903" s="338">
        <f t="shared" ref="H903:H966" si="29">(E903-E902)/E902</f>
        <v>5.8063317719269952E-2</v>
      </c>
    </row>
    <row r="904" spans="2:8" ht="14.25" customHeight="1" x14ac:dyDescent="0.35">
      <c r="B904" s="337">
        <v>45246</v>
      </c>
      <c r="C904" s="337"/>
      <c r="D904">
        <v>19765.2</v>
      </c>
      <c r="E904">
        <v>6837.84</v>
      </c>
      <c r="G904" s="338">
        <f t="shared" si="28"/>
        <v>4.5615220998757337E-3</v>
      </c>
      <c r="H904" s="338">
        <f t="shared" si="29"/>
        <v>4.3870134509432127E-2</v>
      </c>
    </row>
    <row r="905" spans="2:8" ht="14.25" customHeight="1" x14ac:dyDescent="0.35">
      <c r="B905" s="337">
        <v>45247</v>
      </c>
      <c r="C905" s="337"/>
      <c r="D905">
        <v>19731.8</v>
      </c>
      <c r="E905">
        <v>7380.61</v>
      </c>
      <c r="G905" s="338">
        <f t="shared" si="28"/>
        <v>-1.6898387064133657E-3</v>
      </c>
      <c r="H905" s="338">
        <f t="shared" si="29"/>
        <v>7.937740573046452E-2</v>
      </c>
    </row>
    <row r="906" spans="2:8" ht="14.25" customHeight="1" x14ac:dyDescent="0.35">
      <c r="B906" s="337">
        <v>45250</v>
      </c>
      <c r="C906" s="337"/>
      <c r="D906">
        <v>19694</v>
      </c>
      <c r="E906">
        <v>6947.19</v>
      </c>
      <c r="G906" s="338">
        <f t="shared" si="28"/>
        <v>-1.9156893947840173E-3</v>
      </c>
      <c r="H906" s="338">
        <f t="shared" si="29"/>
        <v>-5.8724143397361477E-2</v>
      </c>
    </row>
    <row r="907" spans="2:8" ht="14.25" customHeight="1" x14ac:dyDescent="0.35">
      <c r="B907" s="337">
        <v>45251</v>
      </c>
      <c r="C907" s="337"/>
      <c r="D907">
        <v>19783.400000000001</v>
      </c>
      <c r="E907">
        <v>6934.81</v>
      </c>
      <c r="G907" s="338">
        <f t="shared" si="28"/>
        <v>4.5394536407028256E-3</v>
      </c>
      <c r="H907" s="338">
        <f t="shared" si="29"/>
        <v>-1.7820154623666836E-3</v>
      </c>
    </row>
    <row r="908" spans="2:8" ht="14.25" customHeight="1" x14ac:dyDescent="0.35">
      <c r="B908" s="337">
        <v>45252</v>
      </c>
      <c r="C908" s="337"/>
      <c r="D908">
        <v>19811.849999999999</v>
      </c>
      <c r="E908">
        <v>6640.35</v>
      </c>
      <c r="G908" s="338">
        <f t="shared" si="28"/>
        <v>1.4380743451579145E-3</v>
      </c>
      <c r="H908" s="338">
        <f t="shared" si="29"/>
        <v>-4.2461148899537268E-2</v>
      </c>
    </row>
    <row r="909" spans="2:8" ht="14.25" customHeight="1" x14ac:dyDescent="0.35">
      <c r="B909" s="337">
        <v>45253</v>
      </c>
      <c r="C909" s="337"/>
      <c r="D909">
        <v>19802</v>
      </c>
      <c r="E909">
        <v>6737.32</v>
      </c>
      <c r="G909" s="338">
        <f t="shared" si="28"/>
        <v>-4.9717719445677947E-4</v>
      </c>
      <c r="H909" s="338">
        <f t="shared" si="29"/>
        <v>1.4603145918513232E-2</v>
      </c>
    </row>
    <row r="910" spans="2:8" ht="14.25" customHeight="1" x14ac:dyDescent="0.35">
      <c r="B910" s="337">
        <v>45254</v>
      </c>
      <c r="C910" s="337"/>
      <c r="D910">
        <v>19794.7</v>
      </c>
      <c r="E910">
        <v>6777.32</v>
      </c>
      <c r="G910" s="338">
        <f t="shared" si="28"/>
        <v>-3.6864963135033191E-4</v>
      </c>
      <c r="H910" s="338">
        <f t="shared" si="29"/>
        <v>5.9370788384698961E-3</v>
      </c>
    </row>
    <row r="911" spans="2:8" ht="14.25" customHeight="1" x14ac:dyDescent="0.35">
      <c r="B911" s="337">
        <v>45258</v>
      </c>
      <c r="C911" s="337"/>
      <c r="D911">
        <v>19889.7</v>
      </c>
      <c r="E911">
        <v>6658.03</v>
      </c>
      <c r="G911" s="338">
        <f t="shared" si="28"/>
        <v>4.7992644495748861E-3</v>
      </c>
      <c r="H911" s="338">
        <f t="shared" si="29"/>
        <v>-1.7601352747103571E-2</v>
      </c>
    </row>
    <row r="912" spans="2:8" ht="14.25" customHeight="1" x14ac:dyDescent="0.35">
      <c r="B912" s="337">
        <v>45259</v>
      </c>
      <c r="C912" s="337"/>
      <c r="D912">
        <v>20096.599999999999</v>
      </c>
      <c r="E912">
        <v>6527.6</v>
      </c>
      <c r="G912" s="338">
        <f t="shared" si="28"/>
        <v>1.0402369065395546E-2</v>
      </c>
      <c r="H912" s="338">
        <f t="shared" si="29"/>
        <v>-1.9589878687840005E-2</v>
      </c>
    </row>
    <row r="913" spans="2:8" ht="14.25" customHeight="1" x14ac:dyDescent="0.35">
      <c r="B913" s="337">
        <v>45260</v>
      </c>
      <c r="C913" s="337"/>
      <c r="D913">
        <v>20133.150000000001</v>
      </c>
      <c r="E913">
        <v>6280.48</v>
      </c>
      <c r="G913" s="338">
        <f t="shared" si="28"/>
        <v>1.8187156036345905E-3</v>
      </c>
      <c r="H913" s="338">
        <f t="shared" si="29"/>
        <v>-3.7857711869599971E-2</v>
      </c>
    </row>
    <row r="914" spans="2:8" ht="14.25" customHeight="1" x14ac:dyDescent="0.35">
      <c r="B914" s="337">
        <v>45261</v>
      </c>
      <c r="C914" s="337"/>
      <c r="D914">
        <v>20267.900000000001</v>
      </c>
      <c r="E914">
        <v>6180.47</v>
      </c>
      <c r="G914" s="338">
        <f t="shared" si="28"/>
        <v>6.6929417403635292E-3</v>
      </c>
      <c r="H914" s="338">
        <f t="shared" si="29"/>
        <v>-1.5923942119073591E-2</v>
      </c>
    </row>
    <row r="915" spans="2:8" ht="14.25" customHeight="1" x14ac:dyDescent="0.35">
      <c r="B915" s="337">
        <v>45264</v>
      </c>
      <c r="C915" s="337"/>
      <c r="D915">
        <v>20686.8</v>
      </c>
      <c r="E915">
        <v>6025.03</v>
      </c>
      <c r="G915" s="338">
        <f t="shared" si="28"/>
        <v>2.0668150129021644E-2</v>
      </c>
      <c r="H915" s="338">
        <f t="shared" si="29"/>
        <v>-2.5150190843091301E-2</v>
      </c>
    </row>
    <row r="916" spans="2:8" ht="14.25" customHeight="1" x14ac:dyDescent="0.35">
      <c r="B916" s="337">
        <v>45265</v>
      </c>
      <c r="C916" s="337"/>
      <c r="D916">
        <v>20855.099999999999</v>
      </c>
      <c r="E916">
        <v>5929.7</v>
      </c>
      <c r="G916" s="338">
        <f t="shared" si="28"/>
        <v>8.1356227159347649E-3</v>
      </c>
      <c r="H916" s="338">
        <f t="shared" si="29"/>
        <v>-1.5822327855628922E-2</v>
      </c>
    </row>
    <row r="917" spans="2:8" ht="14.25" customHeight="1" x14ac:dyDescent="0.35">
      <c r="B917" s="337">
        <v>45266</v>
      </c>
      <c r="C917" s="337"/>
      <c r="D917">
        <v>20937.7</v>
      </c>
      <c r="E917">
        <v>6265.5</v>
      </c>
      <c r="G917" s="338">
        <f t="shared" si="28"/>
        <v>3.9606619004465184E-3</v>
      </c>
      <c r="H917" s="338">
        <f t="shared" si="29"/>
        <v>5.6630183651786799E-2</v>
      </c>
    </row>
    <row r="918" spans="2:8" ht="14.25" customHeight="1" x14ac:dyDescent="0.35">
      <c r="B918" s="337">
        <v>45267</v>
      </c>
      <c r="C918" s="337"/>
      <c r="D918">
        <v>20901.150000000001</v>
      </c>
      <c r="E918">
        <v>6285.78</v>
      </c>
      <c r="G918" s="338">
        <f t="shared" si="28"/>
        <v>-1.7456549668778934E-3</v>
      </c>
      <c r="H918" s="338">
        <f t="shared" si="29"/>
        <v>3.2367728034474095E-3</v>
      </c>
    </row>
    <row r="919" spans="2:8" ht="14.25" customHeight="1" x14ac:dyDescent="0.35">
      <c r="B919" s="337">
        <v>45268</v>
      </c>
      <c r="C919" s="337"/>
      <c r="D919">
        <v>20969.400000000001</v>
      </c>
      <c r="E919">
        <v>6290.12</v>
      </c>
      <c r="G919" s="338">
        <f t="shared" si="28"/>
        <v>3.2653705657344212E-3</v>
      </c>
      <c r="H919" s="338">
        <f t="shared" si="29"/>
        <v>6.9044732714160304E-4</v>
      </c>
    </row>
    <row r="920" spans="2:8" ht="14.25" customHeight="1" x14ac:dyDescent="0.35">
      <c r="B920" s="337">
        <v>45271</v>
      </c>
      <c r="C920" s="337"/>
      <c r="D920">
        <v>20997.1</v>
      </c>
      <c r="E920">
        <v>6596.36</v>
      </c>
      <c r="G920" s="338">
        <f t="shared" si="28"/>
        <v>1.3209724646388113E-3</v>
      </c>
      <c r="H920" s="338">
        <f t="shared" si="29"/>
        <v>4.8685875627174011E-2</v>
      </c>
    </row>
    <row r="921" spans="2:8" ht="14.25" customHeight="1" x14ac:dyDescent="0.35">
      <c r="B921" s="337">
        <v>45272</v>
      </c>
      <c r="C921" s="337"/>
      <c r="D921">
        <v>20906.400000000001</v>
      </c>
      <c r="E921">
        <v>6520.36</v>
      </c>
      <c r="G921" s="338">
        <f t="shared" si="28"/>
        <v>-4.3196441413336653E-3</v>
      </c>
      <c r="H921" s="338">
        <f t="shared" si="29"/>
        <v>-1.1521505800168579E-2</v>
      </c>
    </row>
    <row r="922" spans="2:8" ht="14.25" customHeight="1" x14ac:dyDescent="0.35">
      <c r="B922" s="337">
        <v>45273</v>
      </c>
      <c r="C922" s="337"/>
      <c r="D922">
        <v>20926.349999999999</v>
      </c>
      <c r="E922">
        <v>6482.01</v>
      </c>
      <c r="G922" s="338">
        <f t="shared" si="28"/>
        <v>9.5425324302591977E-4</v>
      </c>
      <c r="H922" s="338">
        <f t="shared" si="29"/>
        <v>-5.881577090835392E-3</v>
      </c>
    </row>
    <row r="923" spans="2:8" ht="14.25" customHeight="1" x14ac:dyDescent="0.35">
      <c r="B923" s="337">
        <v>45274</v>
      </c>
      <c r="C923" s="337"/>
      <c r="D923">
        <v>21182.7</v>
      </c>
      <c r="E923">
        <v>6787.7</v>
      </c>
      <c r="G923" s="338">
        <f t="shared" si="28"/>
        <v>1.2250105727945973E-2</v>
      </c>
      <c r="H923" s="338">
        <f t="shared" si="29"/>
        <v>4.7159754458879204E-2</v>
      </c>
    </row>
    <row r="924" spans="2:8" ht="14.25" customHeight="1" x14ac:dyDescent="0.35">
      <c r="B924" s="337">
        <v>45275</v>
      </c>
      <c r="C924" s="337"/>
      <c r="D924">
        <v>21456.65</v>
      </c>
      <c r="E924">
        <v>6875.69</v>
      </c>
      <c r="G924" s="338">
        <f t="shared" si="28"/>
        <v>1.2932723401643828E-2</v>
      </c>
      <c r="H924" s="338">
        <f t="shared" si="29"/>
        <v>1.2963153940215359E-2</v>
      </c>
    </row>
    <row r="925" spans="2:8" ht="14.25" customHeight="1" x14ac:dyDescent="0.35">
      <c r="B925" s="337">
        <v>45278</v>
      </c>
      <c r="C925" s="337"/>
      <c r="D925">
        <v>21418.65</v>
      </c>
      <c r="E925">
        <v>6852.62</v>
      </c>
      <c r="G925" s="338">
        <f t="shared" si="28"/>
        <v>-1.7710127163373592E-3</v>
      </c>
      <c r="H925" s="338">
        <f t="shared" si="29"/>
        <v>-3.3552996135660144E-3</v>
      </c>
    </row>
    <row r="926" spans="2:8" ht="14.25" customHeight="1" x14ac:dyDescent="0.35">
      <c r="B926" s="337">
        <v>45279</v>
      </c>
      <c r="C926" s="337"/>
      <c r="D926">
        <v>21453.1</v>
      </c>
      <c r="E926">
        <v>6752.85</v>
      </c>
      <c r="G926" s="338">
        <f t="shared" si="28"/>
        <v>1.6084113611267324E-3</v>
      </c>
      <c r="H926" s="338">
        <f t="shared" si="29"/>
        <v>-1.4559394800820639E-2</v>
      </c>
    </row>
    <row r="927" spans="2:8" ht="14.25" customHeight="1" x14ac:dyDescent="0.35">
      <c r="B927" s="337">
        <v>45280</v>
      </c>
      <c r="C927" s="337"/>
      <c r="D927">
        <v>21150.15</v>
      </c>
      <c r="E927">
        <v>6503.63</v>
      </c>
      <c r="G927" s="338">
        <f t="shared" si="28"/>
        <v>-1.4121502253753401E-2</v>
      </c>
      <c r="H927" s="338">
        <f t="shared" si="29"/>
        <v>-3.6905898990796514E-2</v>
      </c>
    </row>
    <row r="928" spans="2:8" ht="14.25" customHeight="1" x14ac:dyDescent="0.35">
      <c r="B928" s="337">
        <v>45281</v>
      </c>
      <c r="C928" s="337"/>
      <c r="D928">
        <v>21255.05</v>
      </c>
      <c r="E928">
        <v>6550.47</v>
      </c>
      <c r="G928" s="338">
        <f t="shared" si="28"/>
        <v>4.9597756989902108E-3</v>
      </c>
      <c r="H928" s="338">
        <f t="shared" si="29"/>
        <v>7.2021317325862855E-3</v>
      </c>
    </row>
    <row r="929" spans="2:8" ht="14.25" customHeight="1" x14ac:dyDescent="0.35">
      <c r="B929" s="337">
        <v>45282</v>
      </c>
      <c r="C929" s="337"/>
      <c r="D929">
        <v>21349.4</v>
      </c>
      <c r="E929">
        <v>6586.07</v>
      </c>
      <c r="G929" s="338">
        <f t="shared" si="28"/>
        <v>4.4389450977533424E-3</v>
      </c>
      <c r="H929" s="338">
        <f t="shared" si="29"/>
        <v>5.4347245312167608E-3</v>
      </c>
    </row>
    <row r="930" spans="2:8" ht="14.25" customHeight="1" x14ac:dyDescent="0.35">
      <c r="B930" s="337">
        <v>45286</v>
      </c>
      <c r="C930" s="337"/>
      <c r="D930">
        <v>21441.35</v>
      </c>
      <c r="E930">
        <v>6784.06</v>
      </c>
      <c r="G930" s="338">
        <f t="shared" si="28"/>
        <v>4.3069126064431357E-3</v>
      </c>
      <c r="H930" s="338">
        <f t="shared" si="29"/>
        <v>3.006193374804712E-2</v>
      </c>
    </row>
    <row r="931" spans="2:8" ht="14.25" customHeight="1" x14ac:dyDescent="0.35">
      <c r="B931" s="337">
        <v>45287</v>
      </c>
      <c r="C931" s="337"/>
      <c r="D931">
        <v>21654.75</v>
      </c>
      <c r="E931">
        <v>6746.16</v>
      </c>
      <c r="G931" s="338">
        <f t="shared" si="28"/>
        <v>9.9527315211029848E-3</v>
      </c>
      <c r="H931" s="338">
        <f t="shared" si="29"/>
        <v>-5.5866251182920762E-3</v>
      </c>
    </row>
    <row r="932" spans="2:8" ht="14.25" customHeight="1" x14ac:dyDescent="0.35">
      <c r="B932" s="337">
        <v>45288</v>
      </c>
      <c r="C932" s="337"/>
      <c r="D932">
        <v>21778.7</v>
      </c>
      <c r="E932">
        <v>6788.8</v>
      </c>
      <c r="G932" s="338">
        <f t="shared" si="28"/>
        <v>5.7239173853311969E-3</v>
      </c>
      <c r="H932" s="338">
        <f t="shared" si="29"/>
        <v>6.3206327747934122E-3</v>
      </c>
    </row>
    <row r="933" spans="2:8" ht="14.25" customHeight="1" x14ac:dyDescent="0.35">
      <c r="B933" s="337">
        <v>45289</v>
      </c>
      <c r="C933" s="337"/>
      <c r="D933">
        <v>21731.4</v>
      </c>
      <c r="E933">
        <v>6718.5</v>
      </c>
      <c r="G933" s="338">
        <f t="shared" si="28"/>
        <v>-2.1718468044465127E-3</v>
      </c>
      <c r="H933" s="338">
        <f t="shared" si="29"/>
        <v>-1.0355291067640847E-2</v>
      </c>
    </row>
    <row r="934" spans="2:8" ht="14.25" customHeight="1" x14ac:dyDescent="0.35">
      <c r="B934" s="337">
        <v>45292</v>
      </c>
      <c r="C934" s="337"/>
      <c r="D934">
        <v>21741.9</v>
      </c>
      <c r="E934">
        <v>6768.98</v>
      </c>
      <c r="G934" s="338">
        <f t="shared" si="28"/>
        <v>4.8317181589773318E-4</v>
      </c>
      <c r="H934" s="338">
        <f t="shared" si="29"/>
        <v>7.5135819007218227E-3</v>
      </c>
    </row>
    <row r="935" spans="2:8" ht="14.25" customHeight="1" x14ac:dyDescent="0.35">
      <c r="B935" s="337">
        <v>45293</v>
      </c>
      <c r="C935" s="337"/>
      <c r="D935">
        <v>21665.8</v>
      </c>
      <c r="E935">
        <v>6669.91</v>
      </c>
      <c r="G935" s="338">
        <f t="shared" si="28"/>
        <v>-3.5001540803702609E-3</v>
      </c>
      <c r="H935" s="338">
        <f t="shared" si="29"/>
        <v>-1.4635883102033056E-2</v>
      </c>
    </row>
    <row r="936" spans="2:8" ht="14.25" customHeight="1" x14ac:dyDescent="0.35">
      <c r="B936" s="337">
        <v>45294</v>
      </c>
      <c r="C936" s="337"/>
      <c r="D936">
        <v>21517.35</v>
      </c>
      <c r="E936">
        <v>6698.82</v>
      </c>
      <c r="G936" s="338">
        <f t="shared" si="28"/>
        <v>-6.8518125340398571E-3</v>
      </c>
      <c r="H936" s="338">
        <f t="shared" si="29"/>
        <v>4.3343913186234678E-3</v>
      </c>
    </row>
    <row r="937" spans="2:8" ht="14.25" customHeight="1" x14ac:dyDescent="0.35">
      <c r="B937" s="337">
        <v>45295</v>
      </c>
      <c r="C937" s="337"/>
      <c r="D937">
        <v>21658.6</v>
      </c>
      <c r="E937">
        <v>6724.69</v>
      </c>
      <c r="G937" s="338">
        <f t="shared" si="28"/>
        <v>6.5644700671783473E-3</v>
      </c>
      <c r="H937" s="338">
        <f t="shared" si="29"/>
        <v>3.8618741808258607E-3</v>
      </c>
    </row>
    <row r="938" spans="2:8" ht="14.25" customHeight="1" x14ac:dyDescent="0.35">
      <c r="B938" s="337">
        <v>45296</v>
      </c>
      <c r="C938" s="337"/>
      <c r="D938">
        <v>21710.799999999999</v>
      </c>
      <c r="E938">
        <v>6694.53</v>
      </c>
      <c r="G938" s="338">
        <f t="shared" si="28"/>
        <v>2.4101280784538581E-3</v>
      </c>
      <c r="H938" s="338">
        <f t="shared" si="29"/>
        <v>-4.4849651061981827E-3</v>
      </c>
    </row>
    <row r="939" spans="2:8" ht="14.25" customHeight="1" x14ac:dyDescent="0.35">
      <c r="B939" s="337">
        <v>45299</v>
      </c>
      <c r="C939" s="337"/>
      <c r="D939">
        <v>21513</v>
      </c>
      <c r="E939">
        <v>6613.24</v>
      </c>
      <c r="G939" s="338">
        <f t="shared" si="28"/>
        <v>-9.1106730290914789E-3</v>
      </c>
      <c r="H939" s="338">
        <f t="shared" si="29"/>
        <v>-1.2142749378970587E-2</v>
      </c>
    </row>
    <row r="940" spans="2:8" ht="14.25" customHeight="1" x14ac:dyDescent="0.35">
      <c r="B940" s="337">
        <v>45300</v>
      </c>
      <c r="C940" s="337"/>
      <c r="D940">
        <v>21544.85</v>
      </c>
      <c r="E940">
        <v>6811.97</v>
      </c>
      <c r="G940" s="338">
        <f t="shared" si="28"/>
        <v>1.4805001626922579E-3</v>
      </c>
      <c r="H940" s="338">
        <f t="shared" si="29"/>
        <v>3.0050323290852967E-2</v>
      </c>
    </row>
    <row r="941" spans="2:8" ht="14.25" customHeight="1" x14ac:dyDescent="0.35">
      <c r="B941" s="337">
        <v>45301</v>
      </c>
      <c r="C941" s="337"/>
      <c r="D941">
        <v>21618.7</v>
      </c>
      <c r="E941">
        <v>6866.55</v>
      </c>
      <c r="G941" s="338">
        <f t="shared" si="28"/>
        <v>3.4277333098166004E-3</v>
      </c>
      <c r="H941" s="338">
        <f t="shared" si="29"/>
        <v>8.012366466675561E-3</v>
      </c>
    </row>
    <row r="942" spans="2:8" ht="14.25" customHeight="1" x14ac:dyDescent="0.35">
      <c r="B942" s="337">
        <v>45302</v>
      </c>
      <c r="C942" s="337"/>
      <c r="D942">
        <v>21647.200000000001</v>
      </c>
      <c r="E942">
        <v>7337.22</v>
      </c>
      <c r="G942" s="338">
        <f t="shared" si="28"/>
        <v>1.3183031357112129E-3</v>
      </c>
      <c r="H942" s="338">
        <f t="shared" si="29"/>
        <v>6.8545339362561991E-2</v>
      </c>
    </row>
    <row r="943" spans="2:8" ht="14.25" customHeight="1" x14ac:dyDescent="0.35">
      <c r="B943" s="337">
        <v>45303</v>
      </c>
      <c r="C943" s="337"/>
      <c r="D943">
        <v>21894.55</v>
      </c>
      <c r="E943">
        <v>7299.72</v>
      </c>
      <c r="G943" s="338">
        <f t="shared" si="28"/>
        <v>1.1426420045086596E-2</v>
      </c>
      <c r="H943" s="338">
        <f t="shared" si="29"/>
        <v>-5.1109275720231913E-3</v>
      </c>
    </row>
    <row r="944" spans="2:8" ht="14.25" customHeight="1" x14ac:dyDescent="0.35">
      <c r="B944" s="337">
        <v>45306</v>
      </c>
      <c r="C944" s="337"/>
      <c r="D944">
        <v>22097.45</v>
      </c>
      <c r="E944">
        <v>7139.98</v>
      </c>
      <c r="G944" s="338">
        <f t="shared" si="28"/>
        <v>9.2671463903118111E-3</v>
      </c>
      <c r="H944" s="338">
        <f t="shared" si="29"/>
        <v>-2.1883031129961244E-2</v>
      </c>
    </row>
    <row r="945" spans="2:8" ht="14.25" customHeight="1" x14ac:dyDescent="0.35">
      <c r="B945" s="337">
        <v>45307</v>
      </c>
      <c r="C945" s="337"/>
      <c r="D945">
        <v>22032.3</v>
      </c>
      <c r="E945">
        <v>6954.03</v>
      </c>
      <c r="G945" s="338">
        <f t="shared" si="28"/>
        <v>-2.9483039898269463E-3</v>
      </c>
      <c r="H945" s="338">
        <f t="shared" si="29"/>
        <v>-2.6043490317900025E-2</v>
      </c>
    </row>
    <row r="946" spans="2:8" ht="14.25" customHeight="1" x14ac:dyDescent="0.35">
      <c r="B946" s="337">
        <v>45308</v>
      </c>
      <c r="C946" s="337"/>
      <c r="D946">
        <v>21571.95</v>
      </c>
      <c r="E946">
        <v>6767.98</v>
      </c>
      <c r="G946" s="338">
        <f t="shared" si="28"/>
        <v>-2.0894323334377189E-2</v>
      </c>
      <c r="H946" s="338">
        <f t="shared" si="29"/>
        <v>-2.6754270545280966E-2</v>
      </c>
    </row>
    <row r="947" spans="2:8" ht="14.25" customHeight="1" x14ac:dyDescent="0.35">
      <c r="B947" s="337">
        <v>45309</v>
      </c>
      <c r="C947" s="337"/>
      <c r="D947">
        <v>21462.25</v>
      </c>
      <c r="E947">
        <v>6904.55</v>
      </c>
      <c r="G947" s="338">
        <f t="shared" si="28"/>
        <v>-5.0853075405793511E-3</v>
      </c>
      <c r="H947" s="338">
        <f t="shared" si="29"/>
        <v>2.0178842136058413E-2</v>
      </c>
    </row>
    <row r="948" spans="2:8" ht="14.25" customHeight="1" x14ac:dyDescent="0.35">
      <c r="B948" s="337">
        <v>45310</v>
      </c>
      <c r="C948" s="337"/>
      <c r="D948">
        <v>21622.400000000001</v>
      </c>
      <c r="E948">
        <v>6928.71</v>
      </c>
      <c r="G948" s="338">
        <f t="shared" si="28"/>
        <v>7.4619389858939043E-3</v>
      </c>
      <c r="H948" s="338">
        <f t="shared" si="29"/>
        <v>3.4991418702159959E-3</v>
      </c>
    </row>
    <row r="949" spans="2:8" ht="14.25" customHeight="1" x14ac:dyDescent="0.35">
      <c r="B949" s="337">
        <v>45314</v>
      </c>
      <c r="C949" s="337"/>
      <c r="D949">
        <v>21238.799999999999</v>
      </c>
      <c r="E949">
        <v>6834.39</v>
      </c>
      <c r="G949" s="338">
        <f t="shared" si="28"/>
        <v>-1.7740861328992257E-2</v>
      </c>
      <c r="H949" s="338">
        <f t="shared" si="29"/>
        <v>-1.3612923617816261E-2</v>
      </c>
    </row>
    <row r="950" spans="2:8" ht="14.25" customHeight="1" x14ac:dyDescent="0.35">
      <c r="B950" s="337">
        <v>45315</v>
      </c>
      <c r="C950" s="337"/>
      <c r="D950">
        <v>21453.95</v>
      </c>
      <c r="E950">
        <v>6615.13</v>
      </c>
      <c r="G950" s="338">
        <f t="shared" si="28"/>
        <v>1.0130045011959313E-2</v>
      </c>
      <c r="H950" s="338">
        <f t="shared" si="29"/>
        <v>-3.2081868315972636E-2</v>
      </c>
    </row>
    <row r="951" spans="2:8" ht="14.25" customHeight="1" x14ac:dyDescent="0.35">
      <c r="B951" s="337">
        <v>45316</v>
      </c>
      <c r="C951" s="337"/>
      <c r="D951">
        <v>21352.6</v>
      </c>
      <c r="E951">
        <v>6499.44</v>
      </c>
      <c r="G951" s="338">
        <f t="shared" si="28"/>
        <v>-4.7240717909756563E-3</v>
      </c>
      <c r="H951" s="338">
        <f t="shared" si="29"/>
        <v>-1.7488696367267235E-2</v>
      </c>
    </row>
    <row r="952" spans="2:8" ht="14.25" customHeight="1" x14ac:dyDescent="0.35">
      <c r="B952" s="337">
        <v>45320</v>
      </c>
      <c r="C952" s="337"/>
      <c r="D952">
        <v>21737.599999999999</v>
      </c>
      <c r="E952">
        <v>6433.58</v>
      </c>
      <c r="G952" s="338">
        <f t="shared" si="28"/>
        <v>1.8030591122392591E-2</v>
      </c>
      <c r="H952" s="338">
        <f t="shared" si="29"/>
        <v>-1.0133180704799133E-2</v>
      </c>
    </row>
    <row r="953" spans="2:8" ht="14.25" customHeight="1" x14ac:dyDescent="0.35">
      <c r="B953" s="337">
        <v>45321</v>
      </c>
      <c r="C953" s="337"/>
      <c r="D953">
        <v>21522.1</v>
      </c>
      <c r="E953">
        <v>6346.99</v>
      </c>
      <c r="G953" s="338">
        <f t="shared" si="28"/>
        <v>-9.9136979243338742E-3</v>
      </c>
      <c r="H953" s="338">
        <f t="shared" si="29"/>
        <v>-1.3459069445005759E-2</v>
      </c>
    </row>
    <row r="954" spans="2:8" ht="14.25" customHeight="1" x14ac:dyDescent="0.35">
      <c r="B954" s="337">
        <v>45322</v>
      </c>
      <c r="C954" s="337"/>
      <c r="D954">
        <v>21725.7</v>
      </c>
      <c r="E954">
        <v>6448.71</v>
      </c>
      <c r="G954" s="338">
        <f t="shared" si="28"/>
        <v>9.460043397252229E-3</v>
      </c>
      <c r="H954" s="338">
        <f t="shared" si="29"/>
        <v>1.6026494448549668E-2</v>
      </c>
    </row>
    <row r="955" spans="2:8" ht="14.25" customHeight="1" x14ac:dyDescent="0.35">
      <c r="B955" s="337">
        <v>45323</v>
      </c>
      <c r="C955" s="337"/>
      <c r="D955">
        <v>21697.45</v>
      </c>
      <c r="E955">
        <v>6333.41</v>
      </c>
      <c r="G955" s="338">
        <f t="shared" si="28"/>
        <v>-1.3003033273956651E-3</v>
      </c>
      <c r="H955" s="338">
        <f t="shared" si="29"/>
        <v>-1.7879544901228336E-2</v>
      </c>
    </row>
    <row r="956" spans="2:8" ht="14.25" customHeight="1" x14ac:dyDescent="0.35">
      <c r="B956" s="337">
        <v>45324</v>
      </c>
      <c r="C956" s="337"/>
      <c r="D956">
        <v>21853.8</v>
      </c>
      <c r="E956">
        <v>6441.92</v>
      </c>
      <c r="G956" s="338">
        <f t="shared" si="28"/>
        <v>7.2059159025599107E-3</v>
      </c>
      <c r="H956" s="338">
        <f t="shared" si="29"/>
        <v>1.7132950495862453E-2</v>
      </c>
    </row>
    <row r="957" spans="2:8" ht="14.25" customHeight="1" x14ac:dyDescent="0.35">
      <c r="B957" s="337">
        <v>45327</v>
      </c>
      <c r="C957" s="337"/>
      <c r="D957">
        <v>21771.7</v>
      </c>
      <c r="E957">
        <v>6622.52</v>
      </c>
      <c r="G957" s="338">
        <f t="shared" si="28"/>
        <v>-3.7567837172481923E-3</v>
      </c>
      <c r="H957" s="338">
        <f t="shared" si="29"/>
        <v>2.8035119964234322E-2</v>
      </c>
    </row>
    <row r="958" spans="2:8" ht="14.25" customHeight="1" x14ac:dyDescent="0.35">
      <c r="B958" s="337">
        <v>45328</v>
      </c>
      <c r="C958" s="337"/>
      <c r="D958">
        <v>21929.4</v>
      </c>
      <c r="E958">
        <v>6722.24</v>
      </c>
      <c r="G958" s="338">
        <f t="shared" si="28"/>
        <v>7.2433480160024582E-3</v>
      </c>
      <c r="H958" s="338">
        <f t="shared" si="29"/>
        <v>1.5057712169989572E-2</v>
      </c>
    </row>
    <row r="959" spans="2:8" ht="14.25" customHeight="1" x14ac:dyDescent="0.35">
      <c r="B959" s="337">
        <v>45329</v>
      </c>
      <c r="C959" s="337"/>
      <c r="D959">
        <v>21930.5</v>
      </c>
      <c r="E959">
        <v>6899.2</v>
      </c>
      <c r="G959" s="338">
        <f t="shared" si="28"/>
        <v>5.016097111633445E-5</v>
      </c>
      <c r="H959" s="338">
        <f t="shared" si="29"/>
        <v>2.6324558480506504E-2</v>
      </c>
    </row>
    <row r="960" spans="2:8" ht="14.25" customHeight="1" x14ac:dyDescent="0.35">
      <c r="B960" s="337">
        <v>45330</v>
      </c>
      <c r="C960" s="337"/>
      <c r="D960">
        <v>21717.95</v>
      </c>
      <c r="E960">
        <v>6901.3</v>
      </c>
      <c r="G960" s="338">
        <f t="shared" si="28"/>
        <v>-9.6919814869701679E-3</v>
      </c>
      <c r="H960" s="338">
        <f t="shared" si="29"/>
        <v>3.0438311688316962E-4</v>
      </c>
    </row>
    <row r="961" spans="2:8" ht="14.25" customHeight="1" x14ac:dyDescent="0.35">
      <c r="B961" s="337">
        <v>45331</v>
      </c>
      <c r="C961" s="337"/>
      <c r="D961">
        <v>21782.5</v>
      </c>
      <c r="E961">
        <v>6881.48</v>
      </c>
      <c r="G961" s="338">
        <f t="shared" si="28"/>
        <v>2.9721958103780177E-3</v>
      </c>
      <c r="H961" s="338">
        <f t="shared" si="29"/>
        <v>-2.8719226812340599E-3</v>
      </c>
    </row>
    <row r="962" spans="2:8" ht="14.25" customHeight="1" x14ac:dyDescent="0.35">
      <c r="B962" s="337">
        <v>45334</v>
      </c>
      <c r="C962" s="337"/>
      <c r="D962">
        <v>21616.05</v>
      </c>
      <c r="E962">
        <v>6788.9</v>
      </c>
      <c r="G962" s="338">
        <f t="shared" si="28"/>
        <v>-7.6414552966831504E-3</v>
      </c>
      <c r="H962" s="338">
        <f t="shared" si="29"/>
        <v>-1.345350128170102E-2</v>
      </c>
    </row>
    <row r="963" spans="2:8" ht="14.25" customHeight="1" x14ac:dyDescent="0.35">
      <c r="B963" s="337">
        <v>45335</v>
      </c>
      <c r="C963" s="337"/>
      <c r="D963">
        <v>21743.25</v>
      </c>
      <c r="E963">
        <v>6916.73</v>
      </c>
      <c r="G963" s="338">
        <f t="shared" si="28"/>
        <v>5.8845163663111778E-3</v>
      </c>
      <c r="H963" s="338">
        <f t="shared" si="29"/>
        <v>1.8829265418550858E-2</v>
      </c>
    </row>
    <row r="964" spans="2:8" ht="14.25" customHeight="1" x14ac:dyDescent="0.35">
      <c r="B964" s="337">
        <v>45336</v>
      </c>
      <c r="C964" s="337"/>
      <c r="D964">
        <v>21840.05</v>
      </c>
      <c r="E964">
        <v>7010.7</v>
      </c>
      <c r="G964" s="338">
        <f t="shared" si="28"/>
        <v>4.4519563542708323E-3</v>
      </c>
      <c r="H964" s="338">
        <f t="shared" si="29"/>
        <v>1.3585899695376321E-2</v>
      </c>
    </row>
    <row r="965" spans="2:8" ht="14.25" customHeight="1" x14ac:dyDescent="0.35">
      <c r="B965" s="337">
        <v>45337</v>
      </c>
      <c r="C965" s="337"/>
      <c r="D965">
        <v>21910.75</v>
      </c>
      <c r="E965">
        <v>6756.74</v>
      </c>
      <c r="G965" s="338">
        <f t="shared" si="28"/>
        <v>3.2371720760712877E-3</v>
      </c>
      <c r="H965" s="338">
        <f t="shared" si="29"/>
        <v>-3.6224628068523834E-2</v>
      </c>
    </row>
    <row r="966" spans="2:8" ht="14.25" customHeight="1" x14ac:dyDescent="0.35">
      <c r="B966" s="337">
        <v>45338</v>
      </c>
      <c r="C966" s="337"/>
      <c r="D966">
        <v>22040.7</v>
      </c>
      <c r="E966">
        <v>6681.65</v>
      </c>
      <c r="G966" s="338">
        <f t="shared" si="28"/>
        <v>5.9308786782743964E-3</v>
      </c>
      <c r="H966" s="338">
        <f t="shared" si="29"/>
        <v>-1.1113347561101973E-2</v>
      </c>
    </row>
    <row r="967" spans="2:8" ht="14.25" customHeight="1" x14ac:dyDescent="0.35">
      <c r="B967" s="337">
        <v>45341</v>
      </c>
      <c r="C967" s="337"/>
      <c r="D967">
        <v>22122.25</v>
      </c>
      <c r="E967">
        <v>6617.33</v>
      </c>
      <c r="G967" s="338">
        <f t="shared" ref="G967:G1030" si="30">(D967-D966)/D966</f>
        <v>3.6999732313401693E-3</v>
      </c>
      <c r="H967" s="338">
        <f t="shared" ref="H967:H1030" si="31">(E967-E966)/E966</f>
        <v>-9.6263647452350404E-3</v>
      </c>
    </row>
    <row r="968" spans="2:8" ht="14.25" customHeight="1" x14ac:dyDescent="0.35">
      <c r="B968" s="337">
        <v>45342</v>
      </c>
      <c r="C968" s="337"/>
      <c r="D968">
        <v>22196.95</v>
      </c>
      <c r="E968">
        <v>6584.92</v>
      </c>
      <c r="G968" s="338">
        <f t="shared" si="30"/>
        <v>3.376690888133021E-3</v>
      </c>
      <c r="H968" s="338">
        <f t="shared" si="31"/>
        <v>-4.8977457675527525E-3</v>
      </c>
    </row>
    <row r="969" spans="2:8" ht="14.25" customHeight="1" x14ac:dyDescent="0.35">
      <c r="B969" s="337">
        <v>45343</v>
      </c>
      <c r="C969" s="337"/>
      <c r="D969">
        <v>22055.05</v>
      </c>
      <c r="E969">
        <v>6678.95</v>
      </c>
      <c r="G969" s="338">
        <f t="shared" si="30"/>
        <v>-6.3927701778848647E-3</v>
      </c>
      <c r="H969" s="338">
        <f t="shared" si="31"/>
        <v>1.4279596411194024E-2</v>
      </c>
    </row>
    <row r="970" spans="2:8" ht="14.25" customHeight="1" x14ac:dyDescent="0.35">
      <c r="B970" s="337">
        <v>45344</v>
      </c>
      <c r="C970" s="337"/>
      <c r="D970">
        <v>22217.45</v>
      </c>
      <c r="E970">
        <v>6821.71</v>
      </c>
      <c r="G970" s="338">
        <f t="shared" si="30"/>
        <v>7.3633929644231801E-3</v>
      </c>
      <c r="H970" s="338">
        <f t="shared" si="31"/>
        <v>2.1374617267684325E-2</v>
      </c>
    </row>
    <row r="971" spans="2:8" ht="14.25" customHeight="1" x14ac:dyDescent="0.35">
      <c r="B971" s="337">
        <v>45345</v>
      </c>
      <c r="C971" s="337"/>
      <c r="D971">
        <v>22212.7</v>
      </c>
      <c r="E971">
        <v>6863.25</v>
      </c>
      <c r="G971" s="338">
        <f t="shared" si="30"/>
        <v>-2.1379591267224637E-4</v>
      </c>
      <c r="H971" s="338">
        <f t="shared" si="31"/>
        <v>6.0893822809823294E-3</v>
      </c>
    </row>
    <row r="972" spans="2:8" ht="14.25" customHeight="1" x14ac:dyDescent="0.35">
      <c r="B972" s="337">
        <v>45348</v>
      </c>
      <c r="C972" s="337"/>
      <c r="D972">
        <v>22122.05</v>
      </c>
      <c r="E972">
        <v>6802.18</v>
      </c>
      <c r="G972" s="338">
        <f t="shared" si="30"/>
        <v>-4.08099870794642E-3</v>
      </c>
      <c r="H972" s="338">
        <f t="shared" si="31"/>
        <v>-8.8981167814081823E-3</v>
      </c>
    </row>
    <row r="973" spans="2:8" ht="14.25" customHeight="1" x14ac:dyDescent="0.35">
      <c r="B973" s="337">
        <v>45349</v>
      </c>
      <c r="C973" s="337"/>
      <c r="D973">
        <v>22198.35</v>
      </c>
      <c r="E973">
        <v>6841.08</v>
      </c>
      <c r="G973" s="338">
        <f t="shared" si="30"/>
        <v>3.449047443613918E-3</v>
      </c>
      <c r="H973" s="338">
        <f t="shared" si="31"/>
        <v>5.7187548697622869E-3</v>
      </c>
    </row>
    <row r="974" spans="2:8" ht="14.25" customHeight="1" x14ac:dyDescent="0.35">
      <c r="B974" s="337">
        <v>45350</v>
      </c>
      <c r="C974" s="337"/>
      <c r="D974">
        <v>21951.15</v>
      </c>
      <c r="E974">
        <v>6764.28</v>
      </c>
      <c r="G974" s="338">
        <f t="shared" si="30"/>
        <v>-1.1135962808046414E-2</v>
      </c>
      <c r="H974" s="338">
        <f t="shared" si="31"/>
        <v>-1.1226297602133024E-2</v>
      </c>
    </row>
    <row r="975" spans="2:8" ht="14.25" customHeight="1" x14ac:dyDescent="0.35">
      <c r="B975" s="337">
        <v>45351</v>
      </c>
      <c r="C975" s="337"/>
      <c r="D975">
        <v>21982.799999999999</v>
      </c>
      <c r="E975">
        <v>6721.24</v>
      </c>
      <c r="G975" s="338">
        <f t="shared" si="30"/>
        <v>1.4418378991532478E-3</v>
      </c>
      <c r="H975" s="338">
        <f t="shared" si="31"/>
        <v>-6.362835364591644E-3</v>
      </c>
    </row>
    <row r="976" spans="2:8" ht="14.25" customHeight="1" x14ac:dyDescent="0.35">
      <c r="B976" s="337">
        <v>45352</v>
      </c>
      <c r="C976" s="337"/>
      <c r="D976">
        <v>22338.75</v>
      </c>
      <c r="E976">
        <v>6868.44</v>
      </c>
      <c r="G976" s="338">
        <f t="shared" si="30"/>
        <v>1.6192204814673324E-2</v>
      </c>
      <c r="H976" s="338">
        <f t="shared" si="31"/>
        <v>2.1900720700346932E-2</v>
      </c>
    </row>
    <row r="977" spans="2:8" ht="14.25" customHeight="1" x14ac:dyDescent="0.35">
      <c r="B977" s="337">
        <v>45355</v>
      </c>
      <c r="C977" s="337"/>
      <c r="D977">
        <v>22405.599999999999</v>
      </c>
      <c r="E977">
        <v>7278.65</v>
      </c>
      <c r="G977" s="338">
        <f t="shared" si="30"/>
        <v>2.9925577751664057E-3</v>
      </c>
      <c r="H977" s="338">
        <f t="shared" si="31"/>
        <v>5.9723896547105318E-2</v>
      </c>
    </row>
    <row r="978" spans="2:8" ht="14.25" customHeight="1" x14ac:dyDescent="0.35">
      <c r="B978" s="337">
        <v>45356</v>
      </c>
      <c r="C978" s="337"/>
      <c r="D978">
        <v>22356.3</v>
      </c>
      <c r="E978">
        <v>7749.76</v>
      </c>
      <c r="G978" s="338">
        <f t="shared" si="30"/>
        <v>-2.2003427714499622E-3</v>
      </c>
      <c r="H978" s="338">
        <f t="shared" si="31"/>
        <v>6.4724914647633913E-2</v>
      </c>
    </row>
    <row r="979" spans="2:8" ht="14.25" customHeight="1" x14ac:dyDescent="0.35">
      <c r="B979" s="337">
        <v>45357</v>
      </c>
      <c r="C979" s="337"/>
      <c r="D979">
        <v>22474.05</v>
      </c>
      <c r="E979">
        <v>7208.64</v>
      </c>
      <c r="G979" s="338">
        <f t="shared" si="30"/>
        <v>5.2669717260906326E-3</v>
      </c>
      <c r="H979" s="338">
        <f t="shared" si="31"/>
        <v>-6.982409777851184E-2</v>
      </c>
    </row>
    <row r="980" spans="2:8" ht="14.25" customHeight="1" x14ac:dyDescent="0.35">
      <c r="B980" s="337">
        <v>45358</v>
      </c>
      <c r="C980" s="337"/>
      <c r="D980">
        <v>22493.55</v>
      </c>
      <c r="E980">
        <v>7503.04</v>
      </c>
      <c r="G980" s="338">
        <f t="shared" si="30"/>
        <v>8.6766737637408481E-4</v>
      </c>
      <c r="H980" s="338">
        <f t="shared" si="31"/>
        <v>4.0839881031650857E-2</v>
      </c>
    </row>
    <row r="981" spans="2:8" ht="14.25" customHeight="1" x14ac:dyDescent="0.35">
      <c r="B981" s="337">
        <v>45362</v>
      </c>
      <c r="C981" s="337"/>
      <c r="D981">
        <v>22332.65</v>
      </c>
      <c r="E981">
        <v>7721.05</v>
      </c>
      <c r="G981" s="338">
        <f t="shared" si="30"/>
        <v>-7.1531616841271307E-3</v>
      </c>
      <c r="H981" s="338">
        <f t="shared" si="31"/>
        <v>2.9056222544462006E-2</v>
      </c>
    </row>
    <row r="982" spans="2:8" ht="14.25" customHeight="1" x14ac:dyDescent="0.35">
      <c r="B982" s="337">
        <v>45363</v>
      </c>
      <c r="C982" s="337"/>
      <c r="D982">
        <v>22335.7</v>
      </c>
      <c r="E982">
        <v>7654.04</v>
      </c>
      <c r="G982" s="338">
        <f t="shared" si="30"/>
        <v>1.3657134285448758E-4</v>
      </c>
      <c r="H982" s="338">
        <f t="shared" si="31"/>
        <v>-8.6788713970250442E-3</v>
      </c>
    </row>
    <row r="983" spans="2:8" ht="14.25" customHeight="1" x14ac:dyDescent="0.35">
      <c r="B983" s="337">
        <v>45364</v>
      </c>
      <c r="C983" s="337"/>
      <c r="D983">
        <v>21997.7</v>
      </c>
      <c r="E983">
        <v>7336.42</v>
      </c>
      <c r="G983" s="338">
        <f t="shared" si="30"/>
        <v>-1.5132724741109523E-2</v>
      </c>
      <c r="H983" s="338">
        <f t="shared" si="31"/>
        <v>-4.1497039471965119E-2</v>
      </c>
    </row>
    <row r="984" spans="2:8" ht="14.25" customHeight="1" x14ac:dyDescent="0.35">
      <c r="B984" s="337">
        <v>45365</v>
      </c>
      <c r="C984" s="337"/>
      <c r="D984">
        <v>22146.65</v>
      </c>
      <c r="E984">
        <v>8133.95</v>
      </c>
      <c r="G984" s="338">
        <f t="shared" si="30"/>
        <v>6.7711624397096392E-3</v>
      </c>
      <c r="H984" s="338">
        <f t="shared" si="31"/>
        <v>0.10870833458280739</v>
      </c>
    </row>
    <row r="985" spans="2:8" ht="14.25" customHeight="1" x14ac:dyDescent="0.35">
      <c r="B985" s="337">
        <v>45366</v>
      </c>
      <c r="C985" s="337"/>
      <c r="D985">
        <v>22023.35</v>
      </c>
      <c r="E985">
        <v>8843.65</v>
      </c>
      <c r="G985" s="338">
        <f t="shared" si="30"/>
        <v>-5.5674334493028476E-3</v>
      </c>
      <c r="H985" s="338">
        <f t="shared" si="31"/>
        <v>8.7251581335021713E-2</v>
      </c>
    </row>
    <row r="986" spans="2:8" ht="14.25" customHeight="1" x14ac:dyDescent="0.35">
      <c r="B986" s="337">
        <v>45369</v>
      </c>
      <c r="C986" s="337"/>
      <c r="D986">
        <v>22055.7</v>
      </c>
      <c r="E986">
        <v>8532.7099999999991</v>
      </c>
      <c r="G986" s="338">
        <f t="shared" si="30"/>
        <v>1.468895513171347E-3</v>
      </c>
      <c r="H986" s="338">
        <f t="shared" si="31"/>
        <v>-3.515969085162806E-2</v>
      </c>
    </row>
    <row r="987" spans="2:8" ht="14.25" customHeight="1" x14ac:dyDescent="0.35">
      <c r="B987" s="337">
        <v>45370</v>
      </c>
      <c r="C987" s="337"/>
      <c r="D987">
        <v>21817.45</v>
      </c>
      <c r="E987">
        <v>8595.58</v>
      </c>
      <c r="G987" s="338">
        <f t="shared" si="30"/>
        <v>-1.080219625765675E-2</v>
      </c>
      <c r="H987" s="338">
        <f t="shared" si="31"/>
        <v>7.3681163428735777E-3</v>
      </c>
    </row>
    <row r="988" spans="2:8" ht="14.25" customHeight="1" x14ac:dyDescent="0.35">
      <c r="B988" s="337">
        <v>45371</v>
      </c>
      <c r="C988" s="337"/>
      <c r="D988">
        <v>21839.1</v>
      </c>
      <c r="E988">
        <v>8492.9699999999993</v>
      </c>
      <c r="G988" s="338">
        <f t="shared" si="30"/>
        <v>9.9232495089929458E-4</v>
      </c>
      <c r="H988" s="338">
        <f t="shared" si="31"/>
        <v>-1.193753068437506E-2</v>
      </c>
    </row>
    <row r="989" spans="2:8" ht="14.25" customHeight="1" x14ac:dyDescent="0.35">
      <c r="B989" s="337">
        <v>45372</v>
      </c>
      <c r="C989" s="337"/>
      <c r="D989">
        <v>22011.95</v>
      </c>
      <c r="E989">
        <v>8886.84</v>
      </c>
      <c r="G989" s="338">
        <f t="shared" si="30"/>
        <v>7.9147034447391244E-3</v>
      </c>
      <c r="H989" s="338">
        <f t="shared" si="31"/>
        <v>4.6376002741090668E-2</v>
      </c>
    </row>
    <row r="990" spans="2:8" ht="14.25" customHeight="1" x14ac:dyDescent="0.35">
      <c r="B990" s="337">
        <v>45373</v>
      </c>
      <c r="C990" s="337"/>
      <c r="D990">
        <v>22096.75</v>
      </c>
      <c r="E990">
        <v>9309.52</v>
      </c>
      <c r="G990" s="338">
        <f t="shared" si="30"/>
        <v>3.8524528721898457E-3</v>
      </c>
      <c r="H990" s="338">
        <f t="shared" si="31"/>
        <v>4.7562463147755592E-2</v>
      </c>
    </row>
    <row r="991" spans="2:8" ht="14.25" customHeight="1" x14ac:dyDescent="0.35">
      <c r="B991" s="337">
        <v>45377</v>
      </c>
      <c r="C991" s="337"/>
      <c r="D991">
        <v>22004.7</v>
      </c>
      <c r="E991">
        <v>9288.5</v>
      </c>
      <c r="G991" s="338">
        <f t="shared" si="30"/>
        <v>-4.1657709844207533E-3</v>
      </c>
      <c r="H991" s="338">
        <f t="shared" si="31"/>
        <v>-2.2579037372496579E-3</v>
      </c>
    </row>
    <row r="992" spans="2:8" ht="14.25" customHeight="1" x14ac:dyDescent="0.35">
      <c r="B992" s="337">
        <v>45378</v>
      </c>
      <c r="C992" s="337"/>
      <c r="D992">
        <v>22123.65</v>
      </c>
      <c r="E992">
        <v>8878.85</v>
      </c>
      <c r="G992" s="338">
        <f t="shared" si="30"/>
        <v>5.4056633355601636E-3</v>
      </c>
      <c r="H992" s="338">
        <f t="shared" si="31"/>
        <v>-4.4102922969263027E-2</v>
      </c>
    </row>
    <row r="993" spans="2:8" ht="14.25" customHeight="1" x14ac:dyDescent="0.35">
      <c r="B993" s="337">
        <v>45379</v>
      </c>
      <c r="C993" s="337"/>
      <c r="D993">
        <v>22326.9</v>
      </c>
      <c r="E993">
        <v>8770</v>
      </c>
      <c r="G993" s="338">
        <f t="shared" si="30"/>
        <v>9.1870012407536724E-3</v>
      </c>
      <c r="H993" s="338">
        <f t="shared" si="31"/>
        <v>-1.2259470539540634E-2</v>
      </c>
    </row>
    <row r="994" spans="2:8" ht="14.25" customHeight="1" x14ac:dyDescent="0.35">
      <c r="B994" s="337">
        <v>45383</v>
      </c>
      <c r="C994" s="337"/>
      <c r="D994">
        <v>22462</v>
      </c>
      <c r="E994">
        <v>8714.3700000000008</v>
      </c>
      <c r="G994" s="338">
        <f t="shared" si="30"/>
        <v>6.0509967796693017E-3</v>
      </c>
      <c r="H994" s="338">
        <f t="shared" si="31"/>
        <v>-6.3432155074115391E-3</v>
      </c>
    </row>
    <row r="995" spans="2:8" ht="14.25" customHeight="1" x14ac:dyDescent="0.35">
      <c r="B995" s="337">
        <v>45384</v>
      </c>
      <c r="C995" s="337"/>
      <c r="D995">
        <v>22453.3</v>
      </c>
      <c r="E995">
        <v>8806.4500000000007</v>
      </c>
      <c r="G995" s="338">
        <f t="shared" si="30"/>
        <v>-3.8732080847657055E-4</v>
      </c>
      <c r="H995" s="338">
        <f t="shared" si="31"/>
        <v>1.0566455176908936E-2</v>
      </c>
    </row>
    <row r="996" spans="2:8" ht="14.25" customHeight="1" x14ac:dyDescent="0.35">
      <c r="B996" s="337">
        <v>45385</v>
      </c>
      <c r="C996" s="337"/>
      <c r="D996">
        <v>22434.65</v>
      </c>
      <c r="E996">
        <v>8763.75</v>
      </c>
      <c r="G996" s="338">
        <f t="shared" si="30"/>
        <v>-8.3061287204989106E-4</v>
      </c>
      <c r="H996" s="338">
        <f t="shared" si="31"/>
        <v>-4.8487188367617737E-3</v>
      </c>
    </row>
    <row r="997" spans="2:8" ht="14.25" customHeight="1" x14ac:dyDescent="0.35">
      <c r="B997" s="337">
        <v>45386</v>
      </c>
      <c r="C997" s="337"/>
      <c r="D997">
        <v>22514.65</v>
      </c>
      <c r="E997">
        <v>8653.35</v>
      </c>
      <c r="G997" s="338">
        <f t="shared" si="30"/>
        <v>3.5659125504520907E-3</v>
      </c>
      <c r="H997" s="338">
        <f t="shared" si="31"/>
        <v>-1.2597347026101798E-2</v>
      </c>
    </row>
    <row r="998" spans="2:8" ht="14.25" customHeight="1" x14ac:dyDescent="0.35">
      <c r="B998" s="337">
        <v>45387</v>
      </c>
      <c r="C998" s="337"/>
      <c r="D998">
        <v>22513.7</v>
      </c>
      <c r="E998">
        <v>8646.81</v>
      </c>
      <c r="G998" s="338">
        <f t="shared" si="30"/>
        <v>-4.2194748752511256E-5</v>
      </c>
      <c r="H998" s="338">
        <f t="shared" si="31"/>
        <v>-7.5577666452886715E-4</v>
      </c>
    </row>
    <row r="999" spans="2:8" ht="14.25" customHeight="1" x14ac:dyDescent="0.35">
      <c r="B999" s="337">
        <v>45390</v>
      </c>
      <c r="C999" s="337"/>
      <c r="D999">
        <v>22666.3</v>
      </c>
      <c r="E999">
        <v>8713.32</v>
      </c>
      <c r="G999" s="338">
        <f t="shared" si="30"/>
        <v>6.7780951154185467E-3</v>
      </c>
      <c r="H999" s="338">
        <f t="shared" si="31"/>
        <v>7.6918539900842301E-3</v>
      </c>
    </row>
    <row r="1000" spans="2:8" ht="14.25" customHeight="1" x14ac:dyDescent="0.35">
      <c r="B1000" s="337">
        <v>45391</v>
      </c>
      <c r="C1000" s="337"/>
      <c r="D1000">
        <v>22642.75</v>
      </c>
      <c r="E1000">
        <v>8697.59</v>
      </c>
      <c r="G1000" s="338">
        <f t="shared" si="30"/>
        <v>-1.0389873953843051E-3</v>
      </c>
      <c r="H1000" s="338">
        <f t="shared" si="31"/>
        <v>-1.8052820279755091E-3</v>
      </c>
    </row>
    <row r="1001" spans="2:8" ht="14.25" customHeight="1" x14ac:dyDescent="0.35">
      <c r="B1001" s="337">
        <v>45392</v>
      </c>
      <c r="C1001" s="337"/>
      <c r="D1001">
        <v>22753.8</v>
      </c>
      <c r="E1001">
        <v>8622.64</v>
      </c>
      <c r="G1001" s="338">
        <f t="shared" si="30"/>
        <v>4.9044396109129531E-3</v>
      </c>
      <c r="H1001" s="338">
        <f t="shared" si="31"/>
        <v>-8.6173296280924634E-3</v>
      </c>
    </row>
    <row r="1002" spans="2:8" ht="14.25" customHeight="1" x14ac:dyDescent="0.35">
      <c r="B1002" s="337">
        <v>45394</v>
      </c>
      <c r="C1002" s="337"/>
      <c r="D1002">
        <v>22519.4</v>
      </c>
      <c r="E1002">
        <v>8516.7900000000009</v>
      </c>
      <c r="G1002" s="338">
        <f t="shared" si="30"/>
        <v>-1.030157600049213E-2</v>
      </c>
      <c r="H1002" s="338">
        <f t="shared" si="31"/>
        <v>-1.2275822717868142E-2</v>
      </c>
    </row>
    <row r="1003" spans="2:8" ht="14.25" customHeight="1" x14ac:dyDescent="0.35">
      <c r="B1003" s="337">
        <v>45397</v>
      </c>
      <c r="C1003" s="337"/>
      <c r="D1003">
        <v>22272.5</v>
      </c>
      <c r="E1003">
        <v>8591.09</v>
      </c>
      <c r="G1003" s="338">
        <f t="shared" si="30"/>
        <v>-1.0963880032327745E-2</v>
      </c>
      <c r="H1003" s="338">
        <f t="shared" si="31"/>
        <v>8.7239441150949205E-3</v>
      </c>
    </row>
    <row r="1004" spans="2:8" ht="14.25" customHeight="1" x14ac:dyDescent="0.35">
      <c r="B1004" s="337">
        <v>45398</v>
      </c>
      <c r="C1004" s="337"/>
      <c r="D1004">
        <v>22147.9</v>
      </c>
      <c r="E1004">
        <v>8451.3700000000008</v>
      </c>
      <c r="G1004" s="338">
        <f t="shared" si="30"/>
        <v>-5.594342799416255E-3</v>
      </c>
      <c r="H1004" s="338">
        <f t="shared" si="31"/>
        <v>-1.6263361226573035E-2</v>
      </c>
    </row>
    <row r="1005" spans="2:8" ht="14.25" customHeight="1" x14ac:dyDescent="0.35">
      <c r="B1005" s="337">
        <v>45400</v>
      </c>
      <c r="C1005" s="337"/>
      <c r="D1005">
        <v>21995.85</v>
      </c>
      <c r="E1005">
        <v>8497.81</v>
      </c>
      <c r="G1005" s="338">
        <f t="shared" si="30"/>
        <v>-6.865210697176838E-3</v>
      </c>
      <c r="H1005" s="338">
        <f t="shared" si="31"/>
        <v>5.4949670881760809E-3</v>
      </c>
    </row>
    <row r="1006" spans="2:8" ht="14.25" customHeight="1" x14ac:dyDescent="0.35">
      <c r="B1006" s="337">
        <v>45401</v>
      </c>
      <c r="C1006" s="337"/>
      <c r="D1006">
        <v>22147</v>
      </c>
      <c r="E1006">
        <v>8515.49</v>
      </c>
      <c r="G1006" s="338">
        <f t="shared" si="30"/>
        <v>6.8717508075387618E-3</v>
      </c>
      <c r="H1006" s="338">
        <f t="shared" si="31"/>
        <v>2.0805360439925453E-3</v>
      </c>
    </row>
    <row r="1007" spans="2:8" ht="14.25" customHeight="1" x14ac:dyDescent="0.35">
      <c r="B1007" s="337">
        <v>45404</v>
      </c>
      <c r="C1007" s="337"/>
      <c r="D1007">
        <v>22336.400000000001</v>
      </c>
      <c r="E1007">
        <v>8506.1</v>
      </c>
      <c r="G1007" s="338">
        <f t="shared" si="30"/>
        <v>8.5519483451483927E-3</v>
      </c>
      <c r="H1007" s="338">
        <f t="shared" si="31"/>
        <v>-1.1026963803608973E-3</v>
      </c>
    </row>
    <row r="1008" spans="2:8" ht="14.25" customHeight="1" x14ac:dyDescent="0.35">
      <c r="B1008" s="337">
        <v>45405</v>
      </c>
      <c r="C1008" s="337"/>
      <c r="D1008">
        <v>22368</v>
      </c>
      <c r="E1008">
        <v>8630.8799999999992</v>
      </c>
      <c r="G1008" s="338">
        <f t="shared" si="30"/>
        <v>1.4147311115487967E-3</v>
      </c>
      <c r="H1008" s="338">
        <f t="shared" si="31"/>
        <v>1.4669472496208466E-2</v>
      </c>
    </row>
    <row r="1009" spans="2:8" ht="14.25" customHeight="1" x14ac:dyDescent="0.35">
      <c r="B1009" s="337">
        <v>45406</v>
      </c>
      <c r="C1009" s="337"/>
      <c r="D1009">
        <v>22402.400000000001</v>
      </c>
      <c r="E1009">
        <v>8782.58</v>
      </c>
      <c r="G1009" s="338">
        <f t="shared" si="30"/>
        <v>1.5379113018598647E-3</v>
      </c>
      <c r="H1009" s="338">
        <f t="shared" si="31"/>
        <v>1.7576423261591024E-2</v>
      </c>
    </row>
    <row r="1010" spans="2:8" ht="14.25" customHeight="1" x14ac:dyDescent="0.35">
      <c r="B1010" s="337">
        <v>45407</v>
      </c>
      <c r="C1010" s="337"/>
      <c r="D1010">
        <v>22570.35</v>
      </c>
      <c r="E1010">
        <v>8789.82</v>
      </c>
      <c r="G1010" s="338">
        <f t="shared" si="30"/>
        <v>7.4969646109344125E-3</v>
      </c>
      <c r="H1010" s="338">
        <f t="shared" si="31"/>
        <v>8.2435912909415928E-4</v>
      </c>
    </row>
    <row r="1011" spans="2:8" ht="14.25" customHeight="1" x14ac:dyDescent="0.35">
      <c r="B1011" s="337">
        <v>45408</v>
      </c>
      <c r="C1011" s="337"/>
      <c r="D1011">
        <v>22419.95</v>
      </c>
      <c r="E1011">
        <v>8772.94</v>
      </c>
      <c r="G1011" s="338">
        <f t="shared" si="30"/>
        <v>-6.663609558557923E-3</v>
      </c>
      <c r="H1011" s="338">
        <f t="shared" si="31"/>
        <v>-1.9204033757231889E-3</v>
      </c>
    </row>
    <row r="1012" spans="2:8" ht="14.25" customHeight="1" x14ac:dyDescent="0.35">
      <c r="B1012" s="337">
        <v>45411</v>
      </c>
      <c r="C1012" s="337"/>
      <c r="D1012">
        <v>22643.4</v>
      </c>
      <c r="E1012">
        <v>8830.57</v>
      </c>
      <c r="G1012" s="338">
        <f t="shared" si="30"/>
        <v>9.9665699522077759E-3</v>
      </c>
      <c r="H1012" s="338">
        <f t="shared" si="31"/>
        <v>6.5690635066464826E-3</v>
      </c>
    </row>
    <row r="1013" spans="2:8" ht="14.25" customHeight="1" x14ac:dyDescent="0.35">
      <c r="B1013" s="337">
        <v>45412</v>
      </c>
      <c r="C1013" s="337"/>
      <c r="D1013">
        <v>22604.85</v>
      </c>
      <c r="E1013">
        <v>8956.15</v>
      </c>
      <c r="G1013" s="338">
        <f t="shared" si="30"/>
        <v>-1.7024828426827645E-3</v>
      </c>
      <c r="H1013" s="338">
        <f t="shared" si="31"/>
        <v>1.4221052548136749E-2</v>
      </c>
    </row>
    <row r="1014" spans="2:8" ht="14.25" customHeight="1" x14ac:dyDescent="0.35">
      <c r="B1014" s="337">
        <v>45414</v>
      </c>
      <c r="C1014" s="337"/>
      <c r="D1014">
        <v>22648.2</v>
      </c>
      <c r="E1014">
        <v>8865.92</v>
      </c>
      <c r="G1014" s="338">
        <f t="shared" si="30"/>
        <v>1.9177300446586545E-3</v>
      </c>
      <c r="H1014" s="338">
        <f t="shared" si="31"/>
        <v>-1.0074641447496924E-2</v>
      </c>
    </row>
    <row r="1015" spans="2:8" ht="14.25" customHeight="1" x14ac:dyDescent="0.35">
      <c r="B1015" s="337">
        <v>45415</v>
      </c>
      <c r="C1015" s="337"/>
      <c r="D1015">
        <v>22475.85</v>
      </c>
      <c r="E1015">
        <v>8987.85</v>
      </c>
      <c r="G1015" s="338">
        <f t="shared" si="30"/>
        <v>-7.6098762815588958E-3</v>
      </c>
      <c r="H1015" s="338">
        <f t="shared" si="31"/>
        <v>1.3752661878293543E-2</v>
      </c>
    </row>
    <row r="1016" spans="2:8" ht="14.25" customHeight="1" x14ac:dyDescent="0.35">
      <c r="B1016" s="337">
        <v>45418</v>
      </c>
      <c r="C1016" s="337"/>
      <c r="D1016">
        <v>22442.7</v>
      </c>
      <c r="E1016">
        <v>9014.32</v>
      </c>
      <c r="G1016" s="338">
        <f t="shared" si="30"/>
        <v>-1.4749164102802706E-3</v>
      </c>
      <c r="H1016" s="338">
        <f t="shared" si="31"/>
        <v>2.9450869785320566E-3</v>
      </c>
    </row>
    <row r="1017" spans="2:8" ht="14.25" customHeight="1" x14ac:dyDescent="0.35">
      <c r="B1017" s="337">
        <v>45419</v>
      </c>
      <c r="C1017" s="337"/>
      <c r="D1017">
        <v>22302.5</v>
      </c>
      <c r="E1017">
        <v>8639.17</v>
      </c>
      <c r="G1017" s="338">
        <f t="shared" si="30"/>
        <v>-6.2470201891929545E-3</v>
      </c>
      <c r="H1017" s="338">
        <f t="shared" si="31"/>
        <v>-4.1617115877847652E-2</v>
      </c>
    </row>
    <row r="1018" spans="2:8" ht="14.25" customHeight="1" x14ac:dyDescent="0.35">
      <c r="B1018" s="337">
        <v>45420</v>
      </c>
      <c r="C1018" s="337"/>
      <c r="D1018">
        <v>22302.5</v>
      </c>
      <c r="E1018">
        <v>8672.2800000000007</v>
      </c>
      <c r="G1018" s="338">
        <f t="shared" si="30"/>
        <v>0</v>
      </c>
      <c r="H1018" s="338">
        <f t="shared" si="31"/>
        <v>3.8325440985650916E-3</v>
      </c>
    </row>
    <row r="1019" spans="2:8" ht="14.25" customHeight="1" x14ac:dyDescent="0.35">
      <c r="B1019" s="337">
        <v>45421</v>
      </c>
      <c r="C1019" s="337"/>
      <c r="D1019">
        <v>21957.5</v>
      </c>
      <c r="E1019">
        <v>8701.19</v>
      </c>
      <c r="G1019" s="338">
        <f t="shared" si="30"/>
        <v>-1.5469117811904494E-2</v>
      </c>
      <c r="H1019" s="338">
        <f t="shared" si="31"/>
        <v>3.3336100771653881E-3</v>
      </c>
    </row>
    <row r="1020" spans="2:8" ht="14.25" customHeight="1" x14ac:dyDescent="0.35">
      <c r="B1020" s="337">
        <v>45422</v>
      </c>
      <c r="C1020" s="337"/>
      <c r="D1020">
        <v>22055.200000000001</v>
      </c>
      <c r="E1020">
        <v>8850.5400000000009</v>
      </c>
      <c r="G1020" s="338">
        <f t="shared" si="30"/>
        <v>4.4495047250370364E-3</v>
      </c>
      <c r="H1020" s="338">
        <f t="shared" si="31"/>
        <v>1.7164318903506344E-2</v>
      </c>
    </row>
    <row r="1021" spans="2:8" ht="14.25" customHeight="1" x14ac:dyDescent="0.35">
      <c r="B1021" s="337">
        <v>45425</v>
      </c>
      <c r="C1021" s="337"/>
      <c r="D1021">
        <v>22104.05</v>
      </c>
      <c r="E1021">
        <v>8663.94</v>
      </c>
      <c r="G1021" s="338">
        <f t="shared" si="30"/>
        <v>2.2148971671079177E-3</v>
      </c>
      <c r="H1021" s="338">
        <f t="shared" si="31"/>
        <v>-2.108345931434696E-2</v>
      </c>
    </row>
    <row r="1022" spans="2:8" ht="14.25" customHeight="1" x14ac:dyDescent="0.35">
      <c r="B1022" s="337">
        <v>45426</v>
      </c>
      <c r="C1022" s="337"/>
      <c r="D1022">
        <v>22217.85</v>
      </c>
      <c r="E1022">
        <v>8586.19</v>
      </c>
      <c r="G1022" s="338">
        <f t="shared" si="30"/>
        <v>5.1483777859713167E-3</v>
      </c>
      <c r="H1022" s="338">
        <f t="shared" si="31"/>
        <v>-8.973977197441349E-3</v>
      </c>
    </row>
    <row r="1023" spans="2:8" ht="14.25" customHeight="1" x14ac:dyDescent="0.35">
      <c r="B1023" s="337">
        <v>45427</v>
      </c>
      <c r="C1023" s="337"/>
      <c r="D1023">
        <v>22200.55</v>
      </c>
      <c r="E1023">
        <v>8344.2199999999993</v>
      </c>
      <c r="G1023" s="338">
        <f t="shared" si="30"/>
        <v>-7.7865320001707064E-4</v>
      </c>
      <c r="H1023" s="338">
        <f t="shared" si="31"/>
        <v>-2.8181300437097379E-2</v>
      </c>
    </row>
    <row r="1024" spans="2:8" ht="14.25" customHeight="1" x14ac:dyDescent="0.35">
      <c r="B1024" s="337">
        <v>45428</v>
      </c>
      <c r="C1024" s="337"/>
      <c r="D1024">
        <v>22403.85</v>
      </c>
      <c r="E1024">
        <v>8288.64</v>
      </c>
      <c r="G1024" s="338">
        <f t="shared" si="30"/>
        <v>9.1574307843724275E-3</v>
      </c>
      <c r="H1024" s="338">
        <f t="shared" si="31"/>
        <v>-6.6608982025881305E-3</v>
      </c>
    </row>
    <row r="1025" spans="2:8" ht="14.25" customHeight="1" x14ac:dyDescent="0.35">
      <c r="B1025" s="337">
        <v>45429</v>
      </c>
      <c r="C1025" s="337"/>
      <c r="D1025">
        <v>22466.1</v>
      </c>
      <c r="E1025">
        <v>8971.43</v>
      </c>
      <c r="G1025" s="338">
        <f t="shared" si="30"/>
        <v>2.778540295529563E-3</v>
      </c>
      <c r="H1025" s="338">
        <f t="shared" si="31"/>
        <v>8.2376602192880968E-2</v>
      </c>
    </row>
    <row r="1026" spans="2:8" ht="14.25" customHeight="1" x14ac:dyDescent="0.35">
      <c r="B1026" s="337">
        <v>45433</v>
      </c>
      <c r="C1026" s="337"/>
      <c r="D1026">
        <v>22529.05</v>
      </c>
      <c r="E1026">
        <v>9434.66</v>
      </c>
      <c r="G1026" s="338">
        <f t="shared" si="30"/>
        <v>2.8019994569596293E-3</v>
      </c>
      <c r="H1026" s="338">
        <f t="shared" si="31"/>
        <v>5.1633908975492152E-2</v>
      </c>
    </row>
    <row r="1027" spans="2:8" ht="14.25" customHeight="1" x14ac:dyDescent="0.35">
      <c r="B1027" s="337">
        <v>45434</v>
      </c>
      <c r="C1027" s="337"/>
      <c r="D1027">
        <v>22597.8</v>
      </c>
      <c r="E1027">
        <v>9932.59</v>
      </c>
      <c r="G1027" s="338">
        <f t="shared" si="30"/>
        <v>3.0516155807723809E-3</v>
      </c>
      <c r="H1027" s="338">
        <f t="shared" si="31"/>
        <v>5.2776676636995958E-2</v>
      </c>
    </row>
    <row r="1028" spans="2:8" ht="14.25" customHeight="1" x14ac:dyDescent="0.35">
      <c r="B1028" s="337">
        <v>45435</v>
      </c>
      <c r="C1028" s="337"/>
      <c r="D1028">
        <v>22967.65</v>
      </c>
      <c r="E1028">
        <v>10100.91</v>
      </c>
      <c r="G1028" s="338">
        <f t="shared" si="30"/>
        <v>1.6366637460283842E-2</v>
      </c>
      <c r="H1028" s="338">
        <f t="shared" si="31"/>
        <v>1.6946234567217583E-2</v>
      </c>
    </row>
    <row r="1029" spans="2:8" ht="14.25" customHeight="1" x14ac:dyDescent="0.35">
      <c r="B1029" s="337">
        <v>45436</v>
      </c>
      <c r="C1029" s="337"/>
      <c r="D1029">
        <v>22957.1</v>
      </c>
      <c r="E1029">
        <v>9993.91</v>
      </c>
      <c r="G1029" s="338">
        <f t="shared" si="30"/>
        <v>-4.5934172629776704E-4</v>
      </c>
      <c r="H1029" s="338">
        <f t="shared" si="31"/>
        <v>-1.0593104977670329E-2</v>
      </c>
    </row>
    <row r="1030" spans="2:8" ht="14.25" customHeight="1" x14ac:dyDescent="0.35">
      <c r="B1030" s="337">
        <v>45439</v>
      </c>
      <c r="C1030" s="337"/>
      <c r="D1030">
        <v>22932.45</v>
      </c>
      <c r="E1030">
        <v>9673.8799999999992</v>
      </c>
      <c r="G1030" s="338">
        <f t="shared" si="30"/>
        <v>-1.0737418924863253E-3</v>
      </c>
      <c r="H1030" s="338">
        <f t="shared" si="31"/>
        <v>-3.2022501703537522E-2</v>
      </c>
    </row>
    <row r="1031" spans="2:8" ht="14.25" customHeight="1" x14ac:dyDescent="0.35">
      <c r="B1031" s="337">
        <v>45440</v>
      </c>
      <c r="C1031" s="337"/>
      <c r="D1031">
        <v>22888.15</v>
      </c>
      <c r="E1031">
        <v>9381.18</v>
      </c>
      <c r="G1031" s="338">
        <f t="shared" ref="G1031:G1094" si="32">(D1031-D1030)/D1030</f>
        <v>-1.9317604529825322E-3</v>
      </c>
      <c r="H1031" s="338">
        <f t="shared" ref="H1031:H1094" si="33">(E1031-E1030)/E1030</f>
        <v>-3.025673256232235E-2</v>
      </c>
    </row>
    <row r="1032" spans="2:8" ht="14.25" customHeight="1" x14ac:dyDescent="0.35">
      <c r="B1032" s="337">
        <v>45441</v>
      </c>
      <c r="C1032" s="337"/>
      <c r="D1032">
        <v>22704.7</v>
      </c>
      <c r="E1032">
        <v>9227.48</v>
      </c>
      <c r="G1032" s="338">
        <f t="shared" si="32"/>
        <v>-8.0150645639774608E-3</v>
      </c>
      <c r="H1032" s="338">
        <f t="shared" si="33"/>
        <v>-1.6383866421921415E-2</v>
      </c>
    </row>
    <row r="1033" spans="2:8" ht="14.25" customHeight="1" x14ac:dyDescent="0.35">
      <c r="B1033" s="337">
        <v>45442</v>
      </c>
      <c r="C1033" s="337"/>
      <c r="D1033">
        <v>22488.65</v>
      </c>
      <c r="E1033">
        <v>9161.4699999999993</v>
      </c>
      <c r="G1033" s="338">
        <f t="shared" si="32"/>
        <v>-9.5156509445180632E-3</v>
      </c>
      <c r="H1033" s="338">
        <f t="shared" si="33"/>
        <v>-7.153632411015816E-3</v>
      </c>
    </row>
    <row r="1034" spans="2:8" ht="14.25" customHeight="1" x14ac:dyDescent="0.35">
      <c r="B1034" s="337">
        <v>45443</v>
      </c>
      <c r="C1034" s="337"/>
      <c r="D1034">
        <v>22530.7</v>
      </c>
      <c r="E1034">
        <v>9357.9599999999991</v>
      </c>
      <c r="G1034" s="338">
        <f t="shared" si="32"/>
        <v>1.869832115311469E-3</v>
      </c>
      <c r="H1034" s="338">
        <f t="shared" si="33"/>
        <v>2.1447431471150351E-2</v>
      </c>
    </row>
    <row r="1035" spans="2:8" ht="14.25" customHeight="1" x14ac:dyDescent="0.35">
      <c r="B1035" s="337">
        <v>45446</v>
      </c>
      <c r="C1035" s="337"/>
      <c r="D1035">
        <v>23263.9</v>
      </c>
      <c r="E1035">
        <v>9847.1</v>
      </c>
      <c r="G1035" s="338">
        <f t="shared" si="32"/>
        <v>3.2542264554585552E-2</v>
      </c>
      <c r="H1035" s="338">
        <f t="shared" si="33"/>
        <v>5.2269939174777548E-2</v>
      </c>
    </row>
    <row r="1036" spans="2:8" ht="14.25" customHeight="1" x14ac:dyDescent="0.35">
      <c r="B1036" s="337">
        <v>45447</v>
      </c>
      <c r="C1036" s="337"/>
      <c r="D1036">
        <v>21884.5</v>
      </c>
      <c r="E1036">
        <v>8693.9500000000007</v>
      </c>
      <c r="G1036" s="338">
        <f t="shared" si="32"/>
        <v>-5.9293583620975046E-2</v>
      </c>
      <c r="H1036" s="338">
        <f t="shared" si="33"/>
        <v>-0.11710554376415387</v>
      </c>
    </row>
    <row r="1037" spans="2:8" ht="14.25" customHeight="1" x14ac:dyDescent="0.35">
      <c r="B1037" s="337">
        <v>45448</v>
      </c>
      <c r="C1037" s="337"/>
      <c r="D1037">
        <v>22620.35</v>
      </c>
      <c r="E1037">
        <v>8950.7999999999993</v>
      </c>
      <c r="G1037" s="338">
        <f t="shared" si="32"/>
        <v>3.3624254609426696E-2</v>
      </c>
      <c r="H1037" s="338">
        <f t="shared" si="33"/>
        <v>2.9543533146613281E-2</v>
      </c>
    </row>
    <row r="1038" spans="2:8" ht="14.25" customHeight="1" x14ac:dyDescent="0.35">
      <c r="B1038" s="337">
        <v>45449</v>
      </c>
      <c r="C1038" s="337"/>
      <c r="D1038">
        <v>22821.4</v>
      </c>
      <c r="E1038">
        <v>9119.48</v>
      </c>
      <c r="G1038" s="338">
        <f t="shared" si="32"/>
        <v>8.8880145532674298E-3</v>
      </c>
      <c r="H1038" s="338">
        <f t="shared" si="33"/>
        <v>1.8845242883317726E-2</v>
      </c>
    </row>
    <row r="1039" spans="2:8" ht="14.25" customHeight="1" x14ac:dyDescent="0.35">
      <c r="B1039" s="337">
        <v>45450</v>
      </c>
      <c r="C1039" s="337"/>
      <c r="D1039">
        <v>23290.15</v>
      </c>
      <c r="E1039">
        <v>9282.56</v>
      </c>
      <c r="G1039" s="338">
        <f t="shared" si="32"/>
        <v>2.0539931818380992E-2</v>
      </c>
      <c r="H1039" s="338">
        <f t="shared" si="33"/>
        <v>1.7882598569216659E-2</v>
      </c>
    </row>
    <row r="1040" spans="2:8" ht="14.25" customHeight="1" x14ac:dyDescent="0.35">
      <c r="B1040" s="337">
        <v>45453</v>
      </c>
      <c r="C1040" s="337"/>
      <c r="D1040">
        <v>23259.200000000001</v>
      </c>
      <c r="E1040">
        <v>9318.81</v>
      </c>
      <c r="G1040" s="338">
        <f t="shared" si="32"/>
        <v>-1.3288879633665187E-3</v>
      </c>
      <c r="H1040" s="338">
        <f t="shared" si="33"/>
        <v>3.9051727109762828E-3</v>
      </c>
    </row>
    <row r="1041" spans="2:8" ht="14.25" customHeight="1" x14ac:dyDescent="0.35">
      <c r="B1041" s="337">
        <v>45454</v>
      </c>
      <c r="C1041" s="337"/>
      <c r="D1041">
        <v>23264.85</v>
      </c>
      <c r="E1041">
        <v>9517.2900000000009</v>
      </c>
      <c r="G1041" s="338">
        <f t="shared" si="32"/>
        <v>2.4291463162954088E-4</v>
      </c>
      <c r="H1041" s="338">
        <f t="shared" si="33"/>
        <v>2.1298856828286163E-2</v>
      </c>
    </row>
    <row r="1042" spans="2:8" ht="14.25" customHeight="1" x14ac:dyDescent="0.35">
      <c r="B1042" s="337">
        <v>45455</v>
      </c>
      <c r="C1042" s="337"/>
      <c r="D1042">
        <v>23322.95</v>
      </c>
      <c r="E1042">
        <v>9387.1200000000008</v>
      </c>
      <c r="G1042" s="338">
        <f t="shared" si="32"/>
        <v>2.4973296625597063E-3</v>
      </c>
      <c r="H1042" s="338">
        <f t="shared" si="33"/>
        <v>-1.367721273597842E-2</v>
      </c>
    </row>
    <row r="1043" spans="2:8" ht="14.25" customHeight="1" x14ac:dyDescent="0.35">
      <c r="B1043" s="337">
        <v>45456</v>
      </c>
      <c r="C1043" s="337"/>
      <c r="D1043">
        <v>23398.9</v>
      </c>
      <c r="E1043">
        <v>9726.31</v>
      </c>
      <c r="G1043" s="338">
        <f t="shared" si="32"/>
        <v>3.2564491198583683E-3</v>
      </c>
      <c r="H1043" s="338">
        <f t="shared" si="33"/>
        <v>3.613355320907783E-2</v>
      </c>
    </row>
    <row r="1044" spans="2:8" ht="14.25" customHeight="1" x14ac:dyDescent="0.35">
      <c r="B1044" s="337">
        <v>45457</v>
      </c>
      <c r="C1044" s="337"/>
      <c r="D1044">
        <v>23465.599999999999</v>
      </c>
      <c r="E1044">
        <v>9884.9</v>
      </c>
      <c r="G1044" s="338">
        <f t="shared" si="32"/>
        <v>2.8505613511745033E-3</v>
      </c>
      <c r="H1044" s="338">
        <f t="shared" si="33"/>
        <v>1.630525862326002E-2</v>
      </c>
    </row>
    <row r="1045" spans="2:8" ht="14.25" customHeight="1" x14ac:dyDescent="0.35">
      <c r="B1045" s="337">
        <v>45461</v>
      </c>
      <c r="C1045" s="337"/>
      <c r="D1045">
        <v>23557.9</v>
      </c>
      <c r="E1045">
        <v>10039.549999999999</v>
      </c>
      <c r="G1045" s="338">
        <f t="shared" si="32"/>
        <v>3.9334174280650364E-3</v>
      </c>
      <c r="H1045" s="338">
        <f t="shared" si="33"/>
        <v>1.5645074811075441E-2</v>
      </c>
    </row>
    <row r="1046" spans="2:8" ht="14.25" customHeight="1" x14ac:dyDescent="0.35">
      <c r="B1046" s="337">
        <v>45462</v>
      </c>
      <c r="C1046" s="337"/>
      <c r="D1046">
        <v>23516</v>
      </c>
      <c r="E1046">
        <v>9854.74</v>
      </c>
      <c r="G1046" s="338">
        <f t="shared" si="32"/>
        <v>-1.7785965642099445E-3</v>
      </c>
      <c r="H1046" s="338">
        <f t="shared" si="33"/>
        <v>-1.8408195586455518E-2</v>
      </c>
    </row>
    <row r="1047" spans="2:8" ht="14.25" customHeight="1" x14ac:dyDescent="0.35">
      <c r="B1047" s="337">
        <v>45463</v>
      </c>
      <c r="C1047" s="337"/>
      <c r="D1047">
        <v>23567</v>
      </c>
      <c r="E1047">
        <v>9782.59</v>
      </c>
      <c r="G1047" s="338">
        <f t="shared" si="32"/>
        <v>2.1687361796223848E-3</v>
      </c>
      <c r="H1047" s="338">
        <f t="shared" si="33"/>
        <v>-7.321349929069629E-3</v>
      </c>
    </row>
    <row r="1048" spans="2:8" ht="14.25" customHeight="1" x14ac:dyDescent="0.35">
      <c r="B1048" s="337">
        <v>45464</v>
      </c>
      <c r="C1048" s="337"/>
      <c r="D1048">
        <v>23501.1</v>
      </c>
      <c r="E1048">
        <v>10023.52</v>
      </c>
      <c r="G1048" s="338">
        <f t="shared" si="32"/>
        <v>-2.7962829380065962E-3</v>
      </c>
      <c r="H1048" s="338">
        <f t="shared" si="33"/>
        <v>2.4628447067698869E-2</v>
      </c>
    </row>
    <row r="1049" spans="2:8" ht="14.25" customHeight="1" x14ac:dyDescent="0.35">
      <c r="B1049" s="337">
        <v>45467</v>
      </c>
      <c r="C1049" s="337"/>
      <c r="D1049">
        <v>23537.85</v>
      </c>
      <c r="E1049">
        <v>9987.81</v>
      </c>
      <c r="G1049" s="338">
        <f t="shared" si="32"/>
        <v>1.5637565901170584E-3</v>
      </c>
      <c r="H1049" s="338">
        <f t="shared" si="33"/>
        <v>-3.5626207160758838E-3</v>
      </c>
    </row>
    <row r="1050" spans="2:8" ht="14.25" customHeight="1" x14ac:dyDescent="0.35">
      <c r="B1050" s="337">
        <v>45468</v>
      </c>
      <c r="C1050" s="337"/>
      <c r="D1050">
        <v>23721.3</v>
      </c>
      <c r="E1050">
        <v>9979.8799999999992</v>
      </c>
      <c r="G1050" s="338">
        <f t="shared" si="32"/>
        <v>7.7938299377386102E-3</v>
      </c>
      <c r="H1050" s="338">
        <f t="shared" si="33"/>
        <v>-7.9396784680528477E-4</v>
      </c>
    </row>
    <row r="1051" spans="2:8" ht="14.25" customHeight="1" x14ac:dyDescent="0.35">
      <c r="B1051" s="337">
        <v>45469</v>
      </c>
      <c r="C1051" s="337"/>
      <c r="D1051">
        <v>23868.799999999999</v>
      </c>
      <c r="E1051">
        <v>9895.5400000000009</v>
      </c>
      <c r="G1051" s="338">
        <f t="shared" si="32"/>
        <v>6.2180403266262809E-3</v>
      </c>
      <c r="H1051" s="338">
        <f t="shared" si="33"/>
        <v>-8.4510034188786179E-3</v>
      </c>
    </row>
    <row r="1052" spans="2:8" ht="14.25" customHeight="1" x14ac:dyDescent="0.35">
      <c r="B1052" s="337">
        <v>45470</v>
      </c>
      <c r="C1052" s="337"/>
      <c r="D1052">
        <v>24044.5</v>
      </c>
      <c r="E1052">
        <v>9819.49</v>
      </c>
      <c r="G1052" s="338">
        <f t="shared" si="32"/>
        <v>7.3610738704920535E-3</v>
      </c>
      <c r="H1052" s="338">
        <f t="shared" si="33"/>
        <v>-7.6852804394708209E-3</v>
      </c>
    </row>
    <row r="1053" spans="2:8" ht="14.25" customHeight="1" x14ac:dyDescent="0.35">
      <c r="B1053" s="337">
        <v>45471</v>
      </c>
      <c r="C1053" s="337"/>
      <c r="D1053">
        <v>24010.6</v>
      </c>
      <c r="E1053">
        <v>10007.39</v>
      </c>
      <c r="G1053" s="338">
        <f t="shared" si="32"/>
        <v>-1.409885836677887E-3</v>
      </c>
      <c r="H1053" s="338">
        <f t="shared" si="33"/>
        <v>1.9135413346314283E-2</v>
      </c>
    </row>
    <row r="1054" spans="2:8" ht="14.25" customHeight="1" x14ac:dyDescent="0.35">
      <c r="B1054" s="337">
        <v>45474</v>
      </c>
      <c r="C1054" s="337"/>
      <c r="D1054">
        <v>24141.95</v>
      </c>
      <c r="E1054">
        <v>10085.08</v>
      </c>
      <c r="G1054" s="338">
        <f t="shared" si="32"/>
        <v>5.4705005289331461E-3</v>
      </c>
      <c r="H1054" s="338">
        <f t="shared" si="33"/>
        <v>7.7632629486809757E-3</v>
      </c>
    </row>
    <row r="1055" spans="2:8" ht="14.25" customHeight="1" x14ac:dyDescent="0.35">
      <c r="B1055" s="337">
        <v>45475</v>
      </c>
      <c r="C1055" s="337"/>
      <c r="D1055">
        <v>24123.85</v>
      </c>
      <c r="E1055">
        <v>11004.35</v>
      </c>
      <c r="G1055" s="338">
        <f t="shared" si="32"/>
        <v>-7.4973231242721412E-4</v>
      </c>
      <c r="H1055" s="338">
        <f t="shared" si="33"/>
        <v>9.1151483181095283E-2</v>
      </c>
    </row>
    <row r="1056" spans="2:8" ht="14.25" customHeight="1" x14ac:dyDescent="0.35">
      <c r="B1056" s="337">
        <v>45476</v>
      </c>
      <c r="C1056" s="337"/>
      <c r="D1056">
        <v>24286.5</v>
      </c>
      <c r="E1056">
        <v>11460.74</v>
      </c>
      <c r="G1056" s="338">
        <f t="shared" si="32"/>
        <v>6.7422903060664636E-3</v>
      </c>
      <c r="H1056" s="338">
        <f t="shared" si="33"/>
        <v>4.1473599076728693E-2</v>
      </c>
    </row>
    <row r="1057" spans="2:8" ht="14.25" customHeight="1" x14ac:dyDescent="0.35">
      <c r="B1057" s="337">
        <v>45477</v>
      </c>
      <c r="C1057" s="337"/>
      <c r="D1057">
        <v>24302.15</v>
      </c>
      <c r="E1057">
        <v>12162.97</v>
      </c>
      <c r="G1057" s="338">
        <f t="shared" si="32"/>
        <v>6.4439091676451749E-4</v>
      </c>
      <c r="H1057" s="338">
        <f t="shared" si="33"/>
        <v>6.1272657786495426E-2</v>
      </c>
    </row>
    <row r="1058" spans="2:8" ht="14.25" customHeight="1" x14ac:dyDescent="0.35">
      <c r="B1058" s="337">
        <v>45478</v>
      </c>
      <c r="C1058" s="337"/>
      <c r="D1058">
        <v>24323.85</v>
      </c>
      <c r="E1058">
        <v>12153.38</v>
      </c>
      <c r="G1058" s="338">
        <f t="shared" si="32"/>
        <v>8.9292511156408331E-4</v>
      </c>
      <c r="H1058" s="338">
        <f t="shared" si="33"/>
        <v>-7.8845873992948652E-4</v>
      </c>
    </row>
    <row r="1059" spans="2:8" ht="14.25" customHeight="1" x14ac:dyDescent="0.35">
      <c r="B1059" s="337">
        <v>45481</v>
      </c>
      <c r="C1059" s="337"/>
      <c r="D1059">
        <v>24320.55</v>
      </c>
      <c r="E1059">
        <v>12210.34</v>
      </c>
      <c r="G1059" s="338">
        <f t="shared" si="32"/>
        <v>-1.3566931221822501E-4</v>
      </c>
      <c r="H1059" s="338">
        <f t="shared" si="33"/>
        <v>4.6867620365693289E-3</v>
      </c>
    </row>
    <row r="1060" spans="2:8" ht="14.25" customHeight="1" x14ac:dyDescent="0.35">
      <c r="B1060" s="337">
        <v>45482</v>
      </c>
      <c r="C1060" s="337"/>
      <c r="D1060">
        <v>24433.200000000001</v>
      </c>
      <c r="E1060">
        <v>12048.59</v>
      </c>
      <c r="G1060" s="338">
        <f t="shared" si="32"/>
        <v>4.6318853808816601E-3</v>
      </c>
      <c r="H1060" s="338">
        <f t="shared" si="33"/>
        <v>-1.3246969371860243E-2</v>
      </c>
    </row>
    <row r="1061" spans="2:8" ht="14.25" customHeight="1" x14ac:dyDescent="0.35">
      <c r="B1061" s="337">
        <v>45483</v>
      </c>
      <c r="C1061" s="337"/>
      <c r="D1061">
        <v>24324.45</v>
      </c>
      <c r="E1061">
        <v>12354.76</v>
      </c>
      <c r="G1061" s="338">
        <f t="shared" si="32"/>
        <v>-4.4509110554491428E-3</v>
      </c>
      <c r="H1061" s="338">
        <f t="shared" si="33"/>
        <v>2.5411272190355889E-2</v>
      </c>
    </row>
    <row r="1062" spans="2:8" ht="14.25" customHeight="1" x14ac:dyDescent="0.35">
      <c r="B1062" s="337">
        <v>45484</v>
      </c>
      <c r="C1062" s="337"/>
      <c r="D1062">
        <v>24315.95</v>
      </c>
      <c r="E1062">
        <v>12245.02</v>
      </c>
      <c r="G1062" s="338">
        <f t="shared" si="32"/>
        <v>-3.4944263899080964E-4</v>
      </c>
      <c r="H1062" s="338">
        <f t="shared" si="33"/>
        <v>-8.8824064571063933E-3</v>
      </c>
    </row>
    <row r="1063" spans="2:8" ht="14.25" customHeight="1" x14ac:dyDescent="0.35">
      <c r="B1063" s="337">
        <v>45485</v>
      </c>
      <c r="C1063" s="337"/>
      <c r="D1063">
        <v>24502.15</v>
      </c>
      <c r="E1063">
        <v>11989.42</v>
      </c>
      <c r="G1063" s="338">
        <f t="shared" si="32"/>
        <v>7.6575252046496524E-3</v>
      </c>
      <c r="H1063" s="338">
        <f t="shared" si="33"/>
        <v>-2.0873791957873516E-2</v>
      </c>
    </row>
    <row r="1064" spans="2:8" ht="14.25" customHeight="1" x14ac:dyDescent="0.35">
      <c r="B1064" s="337">
        <v>45488</v>
      </c>
      <c r="C1064" s="337"/>
      <c r="D1064">
        <v>24586.7</v>
      </c>
      <c r="E1064">
        <v>12005.91</v>
      </c>
      <c r="G1064" s="338">
        <f t="shared" si="32"/>
        <v>3.4507175900890031E-3</v>
      </c>
      <c r="H1064" s="338">
        <f t="shared" si="33"/>
        <v>1.3753792927430836E-3</v>
      </c>
    </row>
    <row r="1065" spans="2:8" ht="14.25" customHeight="1" x14ac:dyDescent="0.35">
      <c r="B1065" s="337">
        <v>45489</v>
      </c>
      <c r="C1065" s="337"/>
      <c r="D1065">
        <v>24613</v>
      </c>
      <c r="E1065">
        <v>11773.9</v>
      </c>
      <c r="G1065" s="338">
        <f t="shared" si="32"/>
        <v>1.0696840161550461E-3</v>
      </c>
      <c r="H1065" s="338">
        <f t="shared" si="33"/>
        <v>-1.9324649276897813E-2</v>
      </c>
    </row>
    <row r="1066" spans="2:8" ht="14.25" customHeight="1" x14ac:dyDescent="0.35">
      <c r="B1066" s="337">
        <v>45491</v>
      </c>
      <c r="C1066" s="337"/>
      <c r="D1066">
        <v>24800.85</v>
      </c>
      <c r="E1066">
        <v>11298.99</v>
      </c>
      <c r="G1066" s="338">
        <f t="shared" si="32"/>
        <v>7.6321456141063074E-3</v>
      </c>
      <c r="H1066" s="338">
        <f t="shared" si="33"/>
        <v>-4.033582755076906E-2</v>
      </c>
    </row>
    <row r="1067" spans="2:8" ht="14.25" customHeight="1" x14ac:dyDescent="0.35">
      <c r="B1067" s="337">
        <v>45492</v>
      </c>
      <c r="C1067" s="337"/>
      <c r="D1067">
        <v>24530.9</v>
      </c>
      <c r="E1067">
        <v>10862.75</v>
      </c>
      <c r="G1067" s="338">
        <f t="shared" si="32"/>
        <v>-1.0884707580586839E-2</v>
      </c>
      <c r="H1067" s="338">
        <f t="shared" si="33"/>
        <v>-3.8608760606036449E-2</v>
      </c>
    </row>
    <row r="1068" spans="2:8" ht="14.25" customHeight="1" x14ac:dyDescent="0.35">
      <c r="B1068" s="337">
        <v>45495</v>
      </c>
      <c r="C1068" s="337"/>
      <c r="D1068">
        <v>24509.25</v>
      </c>
      <c r="E1068">
        <v>10904.87</v>
      </c>
      <c r="G1068" s="338">
        <f t="shared" si="32"/>
        <v>-8.8256036264472372E-4</v>
      </c>
      <c r="H1068" s="338">
        <f t="shared" si="33"/>
        <v>3.877471174426439E-3</v>
      </c>
    </row>
    <row r="1069" spans="2:8" ht="14.25" customHeight="1" x14ac:dyDescent="0.35">
      <c r="B1069" s="337">
        <v>45496</v>
      </c>
      <c r="C1069" s="337"/>
      <c r="D1069">
        <v>24479.05</v>
      </c>
      <c r="E1069">
        <v>10715.54</v>
      </c>
      <c r="G1069" s="338">
        <f t="shared" si="32"/>
        <v>-1.2321878474453819E-3</v>
      </c>
      <c r="H1069" s="338">
        <f t="shared" si="33"/>
        <v>-1.7361967634643961E-2</v>
      </c>
    </row>
    <row r="1070" spans="2:8" ht="14.25" customHeight="1" x14ac:dyDescent="0.35">
      <c r="B1070" s="337">
        <v>45497</v>
      </c>
      <c r="C1070" s="337"/>
      <c r="D1070">
        <v>24413.5</v>
      </c>
      <c r="E1070">
        <v>10557.53</v>
      </c>
      <c r="G1070" s="338">
        <f t="shared" si="32"/>
        <v>-2.677799996323357E-3</v>
      </c>
      <c r="H1070" s="338">
        <f t="shared" si="33"/>
        <v>-1.4745873749713053E-2</v>
      </c>
    </row>
    <row r="1071" spans="2:8" ht="14.25" customHeight="1" x14ac:dyDescent="0.35">
      <c r="B1071" s="337">
        <v>45498</v>
      </c>
      <c r="C1071" s="337"/>
      <c r="D1071">
        <v>24406.1</v>
      </c>
      <c r="E1071">
        <v>10188.549999999999</v>
      </c>
      <c r="G1071" s="338">
        <f t="shared" si="32"/>
        <v>-3.0311098367712352E-4</v>
      </c>
      <c r="H1071" s="338">
        <f t="shared" si="33"/>
        <v>-3.4949462611046464E-2</v>
      </c>
    </row>
    <row r="1072" spans="2:8" ht="14.25" customHeight="1" x14ac:dyDescent="0.35">
      <c r="B1072" s="337">
        <v>45499</v>
      </c>
      <c r="C1072" s="337"/>
      <c r="D1072">
        <v>24834.85</v>
      </c>
      <c r="E1072">
        <v>10960.24</v>
      </c>
      <c r="G1072" s="338">
        <f t="shared" si="32"/>
        <v>1.7567329479105633E-2</v>
      </c>
      <c r="H1072" s="338">
        <f t="shared" si="33"/>
        <v>7.5740905231853464E-2</v>
      </c>
    </row>
    <row r="1073" spans="2:8" ht="14.25" customHeight="1" x14ac:dyDescent="0.35">
      <c r="B1073" s="337">
        <v>45502</v>
      </c>
      <c r="C1073" s="337"/>
      <c r="D1073">
        <v>24836.1</v>
      </c>
      <c r="E1073">
        <v>10878.54</v>
      </c>
      <c r="G1073" s="338">
        <f t="shared" si="32"/>
        <v>5.0332496471692003E-5</v>
      </c>
      <c r="H1073" s="338">
        <f t="shared" si="33"/>
        <v>-7.4542163310291482E-3</v>
      </c>
    </row>
    <row r="1074" spans="2:8" ht="14.25" customHeight="1" x14ac:dyDescent="0.35">
      <c r="B1074" s="337">
        <v>45503</v>
      </c>
      <c r="C1074" s="337"/>
      <c r="D1074">
        <v>24857.3</v>
      </c>
      <c r="E1074">
        <v>10859.3</v>
      </c>
      <c r="G1074" s="338">
        <f t="shared" si="32"/>
        <v>8.5359617653338197E-4</v>
      </c>
      <c r="H1074" s="338">
        <f t="shared" si="33"/>
        <v>-1.76861968609773E-3</v>
      </c>
    </row>
    <row r="1075" spans="2:8" ht="14.25" customHeight="1" x14ac:dyDescent="0.35">
      <c r="B1075" s="337">
        <v>45504</v>
      </c>
      <c r="C1075" s="337"/>
      <c r="D1075">
        <v>24951.15</v>
      </c>
      <c r="E1075">
        <v>10776.95</v>
      </c>
      <c r="G1075" s="338">
        <f t="shared" si="32"/>
        <v>3.7755508442188887E-3</v>
      </c>
      <c r="H1075" s="338">
        <f t="shared" si="33"/>
        <v>-7.5833617268146703E-3</v>
      </c>
    </row>
    <row r="1076" spans="2:8" ht="14.25" customHeight="1" x14ac:dyDescent="0.35">
      <c r="B1076" s="337">
        <v>45505</v>
      </c>
      <c r="C1076" s="337"/>
      <c r="D1076">
        <v>25010.9</v>
      </c>
      <c r="E1076">
        <v>10713.54</v>
      </c>
      <c r="G1076" s="338">
        <f t="shared" si="32"/>
        <v>2.3946792031629802E-3</v>
      </c>
      <c r="H1076" s="338">
        <f t="shared" si="33"/>
        <v>-5.8838539661035683E-3</v>
      </c>
    </row>
    <row r="1077" spans="2:8" ht="14.25" customHeight="1" x14ac:dyDescent="0.35">
      <c r="B1077" s="337">
        <v>45506</v>
      </c>
      <c r="C1077" s="337"/>
      <c r="D1077">
        <v>24717.7</v>
      </c>
      <c r="E1077">
        <v>10629.99</v>
      </c>
      <c r="G1077" s="338">
        <f t="shared" si="32"/>
        <v>-1.1722888820474302E-2</v>
      </c>
      <c r="H1077" s="338">
        <f t="shared" si="33"/>
        <v>-7.7985427785774901E-3</v>
      </c>
    </row>
    <row r="1078" spans="2:8" ht="14.25" customHeight="1" x14ac:dyDescent="0.35">
      <c r="B1078" s="337">
        <v>45509</v>
      </c>
      <c r="C1078" s="337"/>
      <c r="D1078">
        <v>24055.599999999999</v>
      </c>
      <c r="E1078">
        <v>10318.67</v>
      </c>
      <c r="G1078" s="338">
        <f t="shared" si="32"/>
        <v>-2.6786472851438529E-2</v>
      </c>
      <c r="H1078" s="338">
        <f t="shared" si="33"/>
        <v>-2.9286951351788638E-2</v>
      </c>
    </row>
    <row r="1079" spans="2:8" ht="14.25" customHeight="1" x14ac:dyDescent="0.35">
      <c r="B1079" s="337">
        <v>45510</v>
      </c>
      <c r="C1079" s="337"/>
      <c r="D1079">
        <v>23992.55</v>
      </c>
      <c r="E1079">
        <v>10178.91</v>
      </c>
      <c r="G1079" s="338">
        <f t="shared" si="32"/>
        <v>-2.6210113237665773E-3</v>
      </c>
      <c r="H1079" s="338">
        <f t="shared" si="33"/>
        <v>-1.3544381204166837E-2</v>
      </c>
    </row>
    <row r="1080" spans="2:8" ht="14.25" customHeight="1" x14ac:dyDescent="0.35">
      <c r="B1080" s="337">
        <v>45511</v>
      </c>
      <c r="C1080" s="337"/>
      <c r="D1080">
        <v>24297.5</v>
      </c>
      <c r="E1080">
        <v>10212.64</v>
      </c>
      <c r="G1080" s="338">
        <f t="shared" si="32"/>
        <v>1.2710195456506321E-2</v>
      </c>
      <c r="H1080" s="338">
        <f t="shared" si="33"/>
        <v>3.3137143368002627E-3</v>
      </c>
    </row>
    <row r="1081" spans="2:8" ht="14.25" customHeight="1" x14ac:dyDescent="0.35">
      <c r="B1081" s="337">
        <v>45512</v>
      </c>
      <c r="C1081" s="337"/>
      <c r="D1081">
        <v>24117</v>
      </c>
      <c r="E1081">
        <v>10272.799999999999</v>
      </c>
      <c r="G1081" s="338">
        <f t="shared" si="32"/>
        <v>-7.428747813561066E-3</v>
      </c>
      <c r="H1081" s="338">
        <f t="shared" si="33"/>
        <v>5.8907393191182551E-3</v>
      </c>
    </row>
    <row r="1082" spans="2:8" ht="14.25" customHeight="1" x14ac:dyDescent="0.35">
      <c r="B1082" s="337">
        <v>45513</v>
      </c>
      <c r="C1082" s="337"/>
      <c r="D1082">
        <v>24367.5</v>
      </c>
      <c r="E1082">
        <v>10327.42</v>
      </c>
      <c r="G1082" s="338">
        <f t="shared" si="32"/>
        <v>1.0386864037815649E-2</v>
      </c>
      <c r="H1082" s="338">
        <f t="shared" si="33"/>
        <v>5.3169535082938247E-3</v>
      </c>
    </row>
    <row r="1083" spans="2:8" ht="14.25" customHeight="1" x14ac:dyDescent="0.35">
      <c r="B1083" s="337">
        <v>45516</v>
      </c>
      <c r="C1083" s="337"/>
      <c r="D1083">
        <v>24347</v>
      </c>
      <c r="E1083">
        <v>10178.91</v>
      </c>
      <c r="G1083" s="338">
        <f t="shared" si="32"/>
        <v>-8.412844977941931E-4</v>
      </c>
      <c r="H1083" s="338">
        <f t="shared" si="33"/>
        <v>-1.4380164649060483E-2</v>
      </c>
    </row>
    <row r="1084" spans="2:8" ht="14.25" customHeight="1" x14ac:dyDescent="0.35">
      <c r="B1084" s="337">
        <v>45517</v>
      </c>
      <c r="C1084" s="337"/>
      <c r="D1084">
        <v>24139</v>
      </c>
      <c r="E1084">
        <v>10057.879999999999</v>
      </c>
      <c r="G1084" s="338">
        <f t="shared" si="32"/>
        <v>-8.5431469996303452E-3</v>
      </c>
      <c r="H1084" s="338">
        <f t="shared" si="33"/>
        <v>-1.1890271158699768E-2</v>
      </c>
    </row>
    <row r="1085" spans="2:8" ht="14.25" customHeight="1" x14ac:dyDescent="0.35">
      <c r="B1085" s="337">
        <v>45518</v>
      </c>
      <c r="C1085" s="337"/>
      <c r="D1085">
        <v>24143.75</v>
      </c>
      <c r="E1085">
        <v>10156.469999999999</v>
      </c>
      <c r="G1085" s="338">
        <f t="shared" si="32"/>
        <v>1.9677699987571978E-4</v>
      </c>
      <c r="H1085" s="338">
        <f t="shared" si="33"/>
        <v>9.8022644931138724E-3</v>
      </c>
    </row>
    <row r="1086" spans="2:8" ht="14.25" customHeight="1" x14ac:dyDescent="0.35">
      <c r="B1086" s="337">
        <v>45520</v>
      </c>
      <c r="C1086" s="337"/>
      <c r="D1086">
        <v>24541.15</v>
      </c>
      <c r="E1086">
        <v>10491.17</v>
      </c>
      <c r="G1086" s="338">
        <f t="shared" si="32"/>
        <v>1.6459746311157191E-2</v>
      </c>
      <c r="H1086" s="338">
        <f t="shared" si="33"/>
        <v>3.2954363080873648E-2</v>
      </c>
    </row>
    <row r="1087" spans="2:8" ht="14.25" customHeight="1" x14ac:dyDescent="0.35">
      <c r="B1087" s="337">
        <v>45523</v>
      </c>
      <c r="C1087" s="337"/>
      <c r="D1087">
        <v>24572.65</v>
      </c>
      <c r="E1087">
        <v>10381.040000000001</v>
      </c>
      <c r="G1087" s="338">
        <f t="shared" si="32"/>
        <v>1.2835584314508488E-3</v>
      </c>
      <c r="H1087" s="338">
        <f t="shared" si="33"/>
        <v>-1.0497399241457263E-2</v>
      </c>
    </row>
    <row r="1088" spans="2:8" ht="14.25" customHeight="1" x14ac:dyDescent="0.35">
      <c r="B1088" s="337">
        <v>45524</v>
      </c>
      <c r="C1088" s="337"/>
      <c r="D1088">
        <v>24698.85</v>
      </c>
      <c r="E1088">
        <v>10458.84</v>
      </c>
      <c r="G1088" s="338">
        <f t="shared" si="32"/>
        <v>5.135791215029599E-3</v>
      </c>
      <c r="H1088" s="338">
        <f t="shared" si="33"/>
        <v>7.4944321570863098E-3</v>
      </c>
    </row>
    <row r="1089" spans="2:8" ht="14.25" customHeight="1" x14ac:dyDescent="0.35">
      <c r="B1089" s="337">
        <v>45525</v>
      </c>
      <c r="C1089" s="337"/>
      <c r="D1089">
        <v>24770.2</v>
      </c>
      <c r="E1089">
        <v>10248.42</v>
      </c>
      <c r="G1089" s="338">
        <f t="shared" si="32"/>
        <v>2.8887984663254437E-3</v>
      </c>
      <c r="H1089" s="338">
        <f t="shared" si="33"/>
        <v>-2.011886595454181E-2</v>
      </c>
    </row>
    <row r="1090" spans="2:8" ht="14.25" customHeight="1" x14ac:dyDescent="0.35">
      <c r="B1090" s="337">
        <v>45526</v>
      </c>
      <c r="C1090" s="337"/>
      <c r="D1090">
        <v>24811.5</v>
      </c>
      <c r="E1090">
        <v>10389.280000000001</v>
      </c>
      <c r="G1090" s="338">
        <f t="shared" si="32"/>
        <v>1.6673260611540994E-3</v>
      </c>
      <c r="H1090" s="338">
        <f t="shared" si="33"/>
        <v>1.374455769767443E-2</v>
      </c>
    </row>
    <row r="1091" spans="2:8" ht="14.25" customHeight="1" x14ac:dyDescent="0.35">
      <c r="B1091" s="337">
        <v>45527</v>
      </c>
      <c r="C1091" s="337"/>
      <c r="D1091">
        <v>24823.15</v>
      </c>
      <c r="E1091">
        <v>10616.45</v>
      </c>
      <c r="G1091" s="338">
        <f t="shared" si="32"/>
        <v>4.6954033411931789E-4</v>
      </c>
      <c r="H1091" s="338">
        <f t="shared" si="33"/>
        <v>2.1865807832689085E-2</v>
      </c>
    </row>
    <row r="1092" spans="2:8" ht="14.25" customHeight="1" x14ac:dyDescent="0.35">
      <c r="B1092" s="337">
        <v>45530</v>
      </c>
      <c r="C1092" s="337"/>
      <c r="D1092">
        <v>25010.6</v>
      </c>
      <c r="E1092">
        <v>10516.21</v>
      </c>
      <c r="G1092" s="338">
        <f t="shared" si="32"/>
        <v>7.5514187361393325E-3</v>
      </c>
      <c r="H1092" s="338">
        <f t="shared" si="33"/>
        <v>-9.4419509346346086E-3</v>
      </c>
    </row>
    <row r="1093" spans="2:8" ht="14.25" customHeight="1" x14ac:dyDescent="0.35">
      <c r="B1093" s="337">
        <v>45531</v>
      </c>
      <c r="C1093" s="337"/>
      <c r="D1093">
        <v>25017.75</v>
      </c>
      <c r="E1093">
        <v>10448.299999999999</v>
      </c>
      <c r="G1093" s="338">
        <f t="shared" si="32"/>
        <v>2.8587878739420311E-4</v>
      </c>
      <c r="H1093" s="338">
        <f t="shared" si="33"/>
        <v>-6.4576496665623697E-3</v>
      </c>
    </row>
    <row r="1094" spans="2:8" ht="14.25" customHeight="1" x14ac:dyDescent="0.35">
      <c r="B1094" s="337">
        <v>45532</v>
      </c>
      <c r="C1094" s="337"/>
      <c r="D1094">
        <v>25052.35</v>
      </c>
      <c r="E1094">
        <v>10391.83</v>
      </c>
      <c r="G1094" s="338">
        <f t="shared" si="32"/>
        <v>1.3830180571793446E-3</v>
      </c>
      <c r="H1094" s="338">
        <f t="shared" si="33"/>
        <v>-5.4047069858253827E-3</v>
      </c>
    </row>
    <row r="1095" spans="2:8" ht="14.25" customHeight="1" x14ac:dyDescent="0.35">
      <c r="B1095" s="337">
        <v>45533</v>
      </c>
      <c r="C1095" s="337"/>
      <c r="D1095">
        <v>25151.95</v>
      </c>
      <c r="E1095">
        <v>10401.42</v>
      </c>
      <c r="G1095" s="338">
        <f t="shared" ref="G1095:G1158" si="34">(D1095-D1094)/D1094</f>
        <v>3.9756749366826744E-3</v>
      </c>
      <c r="H1095" s="338">
        <f t="shared" ref="H1095:H1158" si="35">(E1095-E1094)/E1094</f>
        <v>9.2284034669544684E-4</v>
      </c>
    </row>
    <row r="1096" spans="2:8" ht="14.25" customHeight="1" x14ac:dyDescent="0.35">
      <c r="B1096" s="337">
        <v>45534</v>
      </c>
      <c r="C1096" s="337"/>
      <c r="D1096">
        <v>25235.9</v>
      </c>
      <c r="E1096">
        <v>10722.58</v>
      </c>
      <c r="G1096" s="338">
        <f t="shared" si="34"/>
        <v>3.3377133780880101E-3</v>
      </c>
      <c r="H1096" s="338">
        <f t="shared" si="35"/>
        <v>3.0876553393671236E-2</v>
      </c>
    </row>
    <row r="1097" spans="2:8" ht="14.25" customHeight="1" x14ac:dyDescent="0.35">
      <c r="B1097" s="337">
        <v>45537</v>
      </c>
      <c r="C1097" s="337"/>
      <c r="D1097">
        <v>25278.7</v>
      </c>
      <c r="E1097">
        <v>11061.43</v>
      </c>
      <c r="G1097" s="338">
        <f t="shared" si="34"/>
        <v>1.6959965763059478E-3</v>
      </c>
      <c r="H1097" s="338">
        <f t="shared" si="35"/>
        <v>3.1601536197445053E-2</v>
      </c>
    </row>
    <row r="1098" spans="2:8" ht="14.25" customHeight="1" x14ac:dyDescent="0.35">
      <c r="B1098" s="337">
        <v>45538</v>
      </c>
      <c r="C1098" s="337"/>
      <c r="D1098">
        <v>25279.85</v>
      </c>
      <c r="E1098">
        <v>10870.34</v>
      </c>
      <c r="G1098" s="338">
        <f t="shared" si="34"/>
        <v>4.5492845755431141E-5</v>
      </c>
      <c r="H1098" s="338">
        <f t="shared" si="35"/>
        <v>-1.7275343242239036E-2</v>
      </c>
    </row>
    <row r="1099" spans="2:8" ht="14.25" customHeight="1" x14ac:dyDescent="0.35">
      <c r="B1099" s="337">
        <v>45539</v>
      </c>
      <c r="C1099" s="337"/>
      <c r="D1099">
        <v>25198.7</v>
      </c>
      <c r="E1099">
        <v>11033.85</v>
      </c>
      <c r="G1099" s="338">
        <f t="shared" si="34"/>
        <v>-3.2100665154262318E-3</v>
      </c>
      <c r="H1099" s="338">
        <f t="shared" si="35"/>
        <v>1.5041847817087619E-2</v>
      </c>
    </row>
    <row r="1100" spans="2:8" ht="14.25" customHeight="1" x14ac:dyDescent="0.35">
      <c r="B1100" s="337">
        <v>45540</v>
      </c>
      <c r="C1100" s="337"/>
      <c r="D1100">
        <v>25145.1</v>
      </c>
      <c r="E1100">
        <v>10873.84</v>
      </c>
      <c r="G1100" s="338">
        <f t="shared" si="34"/>
        <v>-2.1270938580165715E-3</v>
      </c>
      <c r="H1100" s="338">
        <f t="shared" si="35"/>
        <v>-1.4501737834028939E-2</v>
      </c>
    </row>
    <row r="1101" spans="2:8" ht="14.25" customHeight="1" x14ac:dyDescent="0.35">
      <c r="B1101" s="337">
        <v>45541</v>
      </c>
      <c r="C1101" s="337"/>
      <c r="D1101">
        <v>24852.15</v>
      </c>
      <c r="E1101">
        <v>11026.25</v>
      </c>
      <c r="G1101" s="338">
        <f t="shared" si="34"/>
        <v>-1.1650381187587128E-2</v>
      </c>
      <c r="H1101" s="338">
        <f t="shared" si="35"/>
        <v>1.4016207705833436E-2</v>
      </c>
    </row>
    <row r="1102" spans="2:8" ht="14.25" customHeight="1" x14ac:dyDescent="0.35">
      <c r="B1102" s="337">
        <v>45544</v>
      </c>
      <c r="C1102" s="337"/>
      <c r="D1102">
        <v>24936.400000000001</v>
      </c>
      <c r="E1102">
        <v>10874.99</v>
      </c>
      <c r="G1102" s="338">
        <f t="shared" si="34"/>
        <v>3.3900487482974306E-3</v>
      </c>
      <c r="H1102" s="338">
        <f t="shared" si="35"/>
        <v>-1.3718172542795622E-2</v>
      </c>
    </row>
    <row r="1103" spans="2:8" ht="14.25" customHeight="1" x14ac:dyDescent="0.35">
      <c r="B1103" s="337">
        <v>45545</v>
      </c>
      <c r="C1103" s="337"/>
      <c r="D1103">
        <v>25041.1</v>
      </c>
      <c r="E1103">
        <v>10808.73</v>
      </c>
      <c r="G1103" s="338">
        <f t="shared" si="34"/>
        <v>4.1986814455974835E-3</v>
      </c>
      <c r="H1103" s="338">
        <f t="shared" si="35"/>
        <v>-6.0928791658659198E-3</v>
      </c>
    </row>
    <row r="1104" spans="2:8" ht="14.25" customHeight="1" x14ac:dyDescent="0.35">
      <c r="B1104" s="337">
        <v>45546</v>
      </c>
      <c r="C1104" s="337"/>
      <c r="D1104">
        <v>24918.45</v>
      </c>
      <c r="E1104">
        <v>10998.77</v>
      </c>
      <c r="G1104" s="338">
        <f t="shared" si="34"/>
        <v>-4.8979477738596879E-3</v>
      </c>
      <c r="H1104" s="338">
        <f t="shared" si="35"/>
        <v>1.758208411163947E-2</v>
      </c>
    </row>
    <row r="1105" spans="2:8" ht="14.25" customHeight="1" x14ac:dyDescent="0.35">
      <c r="B1105" s="337">
        <v>45547</v>
      </c>
      <c r="C1105" s="337"/>
      <c r="D1105">
        <v>25388.9</v>
      </c>
      <c r="E1105">
        <v>11107.55</v>
      </c>
      <c r="G1105" s="338">
        <f t="shared" si="34"/>
        <v>1.8879585206945083E-2</v>
      </c>
      <c r="H1105" s="338">
        <f t="shared" si="35"/>
        <v>9.8901968129162469E-3</v>
      </c>
    </row>
    <row r="1106" spans="2:8" ht="14.25" customHeight="1" x14ac:dyDescent="0.35">
      <c r="B1106" s="337">
        <v>45548</v>
      </c>
      <c r="C1106" s="337"/>
      <c r="D1106">
        <v>25356.5</v>
      </c>
      <c r="E1106">
        <v>11099.46</v>
      </c>
      <c r="G1106" s="338">
        <f t="shared" si="34"/>
        <v>-1.2761482380095812E-3</v>
      </c>
      <c r="H1106" s="338">
        <f t="shared" si="35"/>
        <v>-7.2833343086460523E-4</v>
      </c>
    </row>
    <row r="1107" spans="2:8" ht="14.25" customHeight="1" x14ac:dyDescent="0.35">
      <c r="B1107" s="337">
        <v>45551</v>
      </c>
      <c r="C1107" s="337"/>
      <c r="D1107">
        <v>25383.75</v>
      </c>
      <c r="E1107">
        <v>10760.86</v>
      </c>
      <c r="G1107" s="338">
        <f t="shared" si="34"/>
        <v>1.0746751326089958E-3</v>
      </c>
      <c r="H1107" s="338">
        <f t="shared" si="35"/>
        <v>-3.0505988579624464E-2</v>
      </c>
    </row>
    <row r="1108" spans="2:8" ht="14.25" customHeight="1" x14ac:dyDescent="0.35">
      <c r="B1108" s="337">
        <v>45552</v>
      </c>
      <c r="C1108" s="337"/>
      <c r="D1108">
        <v>25418.55</v>
      </c>
      <c r="E1108">
        <v>10785.89</v>
      </c>
      <c r="G1108" s="338">
        <f t="shared" si="34"/>
        <v>1.3709558280395637E-3</v>
      </c>
      <c r="H1108" s="338">
        <f t="shared" si="35"/>
        <v>2.3260222695954446E-3</v>
      </c>
    </row>
    <row r="1109" spans="2:8" ht="14.25" customHeight="1" x14ac:dyDescent="0.35">
      <c r="B1109" s="337">
        <v>45553</v>
      </c>
      <c r="C1109" s="337"/>
      <c r="D1109">
        <v>25377.55</v>
      </c>
      <c r="E1109">
        <v>10734.82</v>
      </c>
      <c r="G1109" s="338">
        <f t="shared" si="34"/>
        <v>-1.612995233795791E-3</v>
      </c>
      <c r="H1109" s="338">
        <f t="shared" si="35"/>
        <v>-4.7348897494782268E-3</v>
      </c>
    </row>
    <row r="1110" spans="2:8" ht="14.25" customHeight="1" x14ac:dyDescent="0.35">
      <c r="B1110" s="337">
        <v>45554</v>
      </c>
      <c r="C1110" s="337"/>
      <c r="D1110">
        <v>25415.8</v>
      </c>
      <c r="E1110">
        <v>10859</v>
      </c>
      <c r="G1110" s="338">
        <f t="shared" si="34"/>
        <v>1.5072376963103215E-3</v>
      </c>
      <c r="H1110" s="338">
        <f t="shared" si="35"/>
        <v>1.1567962946747156E-2</v>
      </c>
    </row>
    <row r="1111" spans="2:8" ht="14.25" customHeight="1" x14ac:dyDescent="0.35">
      <c r="B1111" s="337">
        <v>45555</v>
      </c>
      <c r="C1111" s="337"/>
      <c r="D1111">
        <v>25790.95</v>
      </c>
      <c r="E1111">
        <v>11084.17</v>
      </c>
      <c r="G1111" s="338">
        <f t="shared" si="34"/>
        <v>1.4760503308965348E-2</v>
      </c>
      <c r="H1111" s="338">
        <f t="shared" si="35"/>
        <v>2.0735795192927533E-2</v>
      </c>
    </row>
    <row r="1112" spans="2:8" ht="14.25" customHeight="1" x14ac:dyDescent="0.35">
      <c r="B1112" s="337">
        <v>45558</v>
      </c>
      <c r="C1112" s="337"/>
      <c r="D1112">
        <v>25939.05</v>
      </c>
      <c r="E1112">
        <v>11015.91</v>
      </c>
      <c r="G1112" s="338">
        <f t="shared" si="34"/>
        <v>5.7423243424534007E-3</v>
      </c>
      <c r="H1112" s="338">
        <f t="shared" si="35"/>
        <v>-6.1583321078619527E-3</v>
      </c>
    </row>
    <row r="1113" spans="2:8" ht="14.25" customHeight="1" x14ac:dyDescent="0.35">
      <c r="B1113" s="337">
        <v>45559</v>
      </c>
      <c r="C1113" s="337"/>
      <c r="D1113">
        <v>25940.400000000001</v>
      </c>
      <c r="E1113">
        <v>11400.83</v>
      </c>
      <c r="G1113" s="338">
        <f t="shared" si="34"/>
        <v>5.2045082607195824E-5</v>
      </c>
      <c r="H1113" s="338">
        <f t="shared" si="35"/>
        <v>3.4942188162394215E-2</v>
      </c>
    </row>
    <row r="1114" spans="2:8" ht="14.25" customHeight="1" x14ac:dyDescent="0.35">
      <c r="B1114" s="337">
        <v>45560</v>
      </c>
      <c r="C1114" s="337"/>
      <c r="D1114">
        <v>26004.15</v>
      </c>
      <c r="E1114">
        <v>11634.94</v>
      </c>
      <c r="G1114" s="338">
        <f t="shared" si="34"/>
        <v>2.4575565527131422E-3</v>
      </c>
      <c r="H1114" s="338">
        <f t="shared" si="35"/>
        <v>2.0534469858773493E-2</v>
      </c>
    </row>
    <row r="1115" spans="2:8" ht="14.25" customHeight="1" x14ac:dyDescent="0.35">
      <c r="B1115" s="337">
        <v>45561</v>
      </c>
      <c r="C1115" s="337"/>
      <c r="D1115">
        <v>26216.05</v>
      </c>
      <c r="E1115">
        <v>11755.61</v>
      </c>
      <c r="G1115" s="338">
        <f t="shared" si="34"/>
        <v>8.1486993422202926E-3</v>
      </c>
      <c r="H1115" s="338">
        <f t="shared" si="35"/>
        <v>1.0371346994483862E-2</v>
      </c>
    </row>
    <row r="1116" spans="2:8" ht="14.25" customHeight="1" x14ac:dyDescent="0.35">
      <c r="B1116" s="337">
        <v>45562</v>
      </c>
      <c r="C1116" s="337"/>
      <c r="D1116">
        <v>26178.95</v>
      </c>
      <c r="E1116">
        <v>11728.83</v>
      </c>
      <c r="G1116" s="338">
        <f t="shared" si="34"/>
        <v>-1.4151636116042862E-3</v>
      </c>
      <c r="H1116" s="338">
        <f t="shared" si="35"/>
        <v>-2.2780612830810695E-3</v>
      </c>
    </row>
    <row r="1117" spans="2:8" ht="14.25" customHeight="1" x14ac:dyDescent="0.35">
      <c r="B1117" s="337">
        <v>45565</v>
      </c>
      <c r="C1117" s="337"/>
      <c r="D1117">
        <v>25810.85</v>
      </c>
      <c r="E1117">
        <v>11522.95</v>
      </c>
      <c r="G1117" s="338">
        <f t="shared" si="34"/>
        <v>-1.4060915353748036E-2</v>
      </c>
      <c r="H1117" s="338">
        <f t="shared" si="35"/>
        <v>-1.7553327996057511E-2</v>
      </c>
    </row>
    <row r="1118" spans="2:8" ht="14.25" customHeight="1" x14ac:dyDescent="0.35">
      <c r="B1118" s="337">
        <v>45566</v>
      </c>
      <c r="C1118" s="337"/>
      <c r="D1118">
        <v>25796.9</v>
      </c>
      <c r="E1118">
        <v>11530.85</v>
      </c>
      <c r="G1118" s="338">
        <f t="shared" si="34"/>
        <v>-5.4047038357888603E-4</v>
      </c>
      <c r="H1118" s="338">
        <f t="shared" si="35"/>
        <v>6.8558832590609486E-4</v>
      </c>
    </row>
    <row r="1119" spans="2:8" ht="14.25" customHeight="1" x14ac:dyDescent="0.35">
      <c r="B1119" s="337">
        <v>45568</v>
      </c>
      <c r="C1119" s="337"/>
      <c r="D1119">
        <v>25250.1</v>
      </c>
      <c r="E1119">
        <v>11375.84</v>
      </c>
      <c r="G1119" s="338">
        <f t="shared" si="34"/>
        <v>-2.1196345297303278E-2</v>
      </c>
      <c r="H1119" s="338">
        <f t="shared" si="35"/>
        <v>-1.3443067943820292E-2</v>
      </c>
    </row>
    <row r="1120" spans="2:8" ht="14.25" customHeight="1" x14ac:dyDescent="0.35">
      <c r="B1120" s="337">
        <v>45569</v>
      </c>
      <c r="C1120" s="337"/>
      <c r="D1120">
        <v>25014.6</v>
      </c>
      <c r="E1120">
        <v>10943.35</v>
      </c>
      <c r="G1120" s="338">
        <f t="shared" si="34"/>
        <v>-9.3266957358584725E-3</v>
      </c>
      <c r="H1120" s="338">
        <f t="shared" si="35"/>
        <v>-3.8018291396503444E-2</v>
      </c>
    </row>
    <row r="1121" spans="2:8" ht="14.25" customHeight="1" x14ac:dyDescent="0.35">
      <c r="B1121" s="337">
        <v>45572</v>
      </c>
      <c r="C1121" s="337"/>
      <c r="D1121">
        <v>24795.75</v>
      </c>
      <c r="E1121">
        <v>10759.11</v>
      </c>
      <c r="G1121" s="338">
        <f t="shared" si="34"/>
        <v>-8.7488906478615912E-3</v>
      </c>
      <c r="H1121" s="338">
        <f t="shared" si="35"/>
        <v>-1.6835795254652348E-2</v>
      </c>
    </row>
    <row r="1122" spans="2:8" ht="14.25" customHeight="1" x14ac:dyDescent="0.35">
      <c r="B1122" s="337">
        <v>45573</v>
      </c>
      <c r="C1122" s="337"/>
      <c r="D1122">
        <v>25013.15</v>
      </c>
      <c r="E1122">
        <v>11266.66</v>
      </c>
      <c r="G1122" s="338">
        <f t="shared" si="34"/>
        <v>8.7676315497616109E-3</v>
      </c>
      <c r="H1122" s="338">
        <f t="shared" si="35"/>
        <v>4.7173976286142554E-2</v>
      </c>
    </row>
    <row r="1123" spans="2:8" ht="14.25" customHeight="1" x14ac:dyDescent="0.35">
      <c r="B1123" s="337">
        <v>45574</v>
      </c>
      <c r="C1123" s="337"/>
      <c r="D1123">
        <v>24981.95</v>
      </c>
      <c r="E1123">
        <v>11231.13</v>
      </c>
      <c r="G1123" s="338">
        <f t="shared" si="34"/>
        <v>-1.2473438971101491E-3</v>
      </c>
      <c r="H1123" s="338">
        <f t="shared" si="35"/>
        <v>-3.1535521618652426E-3</v>
      </c>
    </row>
    <row r="1124" spans="2:8" ht="14.25" customHeight="1" x14ac:dyDescent="0.35">
      <c r="B1124" s="337">
        <v>45575</v>
      </c>
      <c r="C1124" s="337"/>
      <c r="D1124">
        <v>24998.45</v>
      </c>
      <c r="E1124">
        <v>11290.49</v>
      </c>
      <c r="G1124" s="338">
        <f t="shared" si="34"/>
        <v>6.604768642960217E-4</v>
      </c>
      <c r="H1124" s="338">
        <f t="shared" si="35"/>
        <v>5.2853096705318689E-3</v>
      </c>
    </row>
    <row r="1125" spans="2:8" ht="14.25" customHeight="1" x14ac:dyDescent="0.35">
      <c r="B1125" s="337">
        <v>45576</v>
      </c>
      <c r="C1125" s="337"/>
      <c r="D1125">
        <v>24964.25</v>
      </c>
      <c r="E1125">
        <v>11311.68</v>
      </c>
      <c r="G1125" s="338">
        <f t="shared" si="34"/>
        <v>-1.368084821258947E-3</v>
      </c>
      <c r="H1125" s="338">
        <f t="shared" si="35"/>
        <v>1.8768007411547692E-3</v>
      </c>
    </row>
    <row r="1126" spans="2:8" ht="14.25" customHeight="1" x14ac:dyDescent="0.35">
      <c r="B1126" s="337">
        <v>45579</v>
      </c>
      <c r="C1126" s="337"/>
      <c r="D1126">
        <v>25127.95</v>
      </c>
      <c r="E1126">
        <v>11291.34</v>
      </c>
      <c r="G1126" s="338">
        <f t="shared" si="34"/>
        <v>6.5573770491803574E-3</v>
      </c>
      <c r="H1126" s="338">
        <f t="shared" si="35"/>
        <v>-1.7981413901383477E-3</v>
      </c>
    </row>
    <row r="1127" spans="2:8" ht="14.25" customHeight="1" x14ac:dyDescent="0.35">
      <c r="B1127" s="337">
        <v>45580</v>
      </c>
      <c r="C1127" s="337"/>
      <c r="D1127">
        <v>25057.35</v>
      </c>
      <c r="E1127">
        <v>11379.64</v>
      </c>
      <c r="G1127" s="338">
        <f t="shared" si="34"/>
        <v>-2.8096203629823435E-3</v>
      </c>
      <c r="H1127" s="338">
        <f t="shared" si="35"/>
        <v>7.8201524354061854E-3</v>
      </c>
    </row>
    <row r="1128" spans="2:8" ht="14.25" customHeight="1" x14ac:dyDescent="0.35">
      <c r="B1128" s="337">
        <v>45581</v>
      </c>
      <c r="C1128" s="337"/>
      <c r="D1128">
        <v>24971.3</v>
      </c>
      <c r="E1128">
        <v>11515.51</v>
      </c>
      <c r="G1128" s="338">
        <f t="shared" si="34"/>
        <v>-3.4341221238478642E-3</v>
      </c>
      <c r="H1128" s="338">
        <f t="shared" si="35"/>
        <v>1.1939745018295905E-2</v>
      </c>
    </row>
    <row r="1129" spans="2:8" ht="14.25" customHeight="1" x14ac:dyDescent="0.35">
      <c r="B1129" s="337">
        <v>45582</v>
      </c>
      <c r="C1129" s="337"/>
      <c r="D1129">
        <v>24749.85</v>
      </c>
      <c r="E1129">
        <v>11167.27</v>
      </c>
      <c r="G1129" s="338">
        <f t="shared" si="34"/>
        <v>-8.8681806714108087E-3</v>
      </c>
      <c r="H1129" s="338">
        <f t="shared" si="35"/>
        <v>-3.024095328821735E-2</v>
      </c>
    </row>
    <row r="1130" spans="2:8" ht="14.25" customHeight="1" x14ac:dyDescent="0.35">
      <c r="B1130" s="337">
        <v>45583</v>
      </c>
      <c r="C1130" s="337"/>
      <c r="D1130">
        <v>24854.05</v>
      </c>
      <c r="E1130">
        <v>11414.97</v>
      </c>
      <c r="G1130" s="338">
        <f t="shared" si="34"/>
        <v>4.2101265260193789E-3</v>
      </c>
      <c r="H1130" s="338">
        <f t="shared" si="35"/>
        <v>2.2180891122001965E-2</v>
      </c>
    </row>
    <row r="1131" spans="2:8" ht="14.25" customHeight="1" x14ac:dyDescent="0.35">
      <c r="B1131" s="337">
        <v>45586</v>
      </c>
      <c r="C1131" s="337"/>
      <c r="D1131">
        <v>24781.1</v>
      </c>
      <c r="E1131">
        <v>11258.16</v>
      </c>
      <c r="G1131" s="338">
        <f t="shared" si="34"/>
        <v>-2.9351353199981787E-3</v>
      </c>
      <c r="H1131" s="338">
        <f t="shared" si="35"/>
        <v>-1.3737224013729296E-2</v>
      </c>
    </row>
    <row r="1132" spans="2:8" ht="14.25" customHeight="1" x14ac:dyDescent="0.35">
      <c r="B1132" s="337">
        <v>45587</v>
      </c>
      <c r="C1132" s="337"/>
      <c r="D1132">
        <v>24472.1</v>
      </c>
      <c r="E1132">
        <v>10797.34</v>
      </c>
      <c r="G1132" s="338">
        <f t="shared" si="34"/>
        <v>-1.2469180141317376E-2</v>
      </c>
      <c r="H1132" s="338">
        <f t="shared" si="35"/>
        <v>-4.0932088369680278E-2</v>
      </c>
    </row>
    <row r="1133" spans="2:8" ht="14.25" customHeight="1" x14ac:dyDescent="0.35">
      <c r="B1133" s="337">
        <v>45588</v>
      </c>
      <c r="C1133" s="337"/>
      <c r="D1133">
        <v>24435.5</v>
      </c>
      <c r="E1133">
        <v>10857.95</v>
      </c>
      <c r="G1133" s="338">
        <f t="shared" si="34"/>
        <v>-1.4955806816741737E-3</v>
      </c>
      <c r="H1133" s="338">
        <f t="shared" si="35"/>
        <v>5.6134196014944963E-3</v>
      </c>
    </row>
    <row r="1134" spans="2:8" ht="14.25" customHeight="1" x14ac:dyDescent="0.35">
      <c r="B1134" s="337">
        <v>45589</v>
      </c>
      <c r="C1134" s="337"/>
      <c r="D1134">
        <v>24399.4</v>
      </c>
      <c r="E1134">
        <v>10419.26</v>
      </c>
      <c r="G1134" s="338">
        <f t="shared" si="34"/>
        <v>-1.4773587608192403E-3</v>
      </c>
      <c r="H1134" s="338">
        <f t="shared" si="35"/>
        <v>-4.0402654276359765E-2</v>
      </c>
    </row>
    <row r="1135" spans="2:8" ht="14.25" customHeight="1" x14ac:dyDescent="0.35">
      <c r="B1135" s="337">
        <v>45590</v>
      </c>
      <c r="C1135" s="337"/>
      <c r="D1135">
        <v>24180.799999999999</v>
      </c>
      <c r="E1135">
        <v>10458.59</v>
      </c>
      <c r="G1135" s="338">
        <f t="shared" si="34"/>
        <v>-8.9592367025419541E-3</v>
      </c>
      <c r="H1135" s="338">
        <f t="shared" si="35"/>
        <v>3.774740240669676E-3</v>
      </c>
    </row>
    <row r="1136" spans="2:8" ht="14.25" customHeight="1" x14ac:dyDescent="0.35">
      <c r="B1136" s="337">
        <v>45593</v>
      </c>
      <c r="C1136" s="337"/>
      <c r="D1136">
        <v>24339.15</v>
      </c>
      <c r="E1136">
        <v>10288.24</v>
      </c>
      <c r="G1136" s="338">
        <f t="shared" si="34"/>
        <v>6.5485840005294364E-3</v>
      </c>
      <c r="H1136" s="338">
        <f t="shared" si="35"/>
        <v>-1.6288046476628338E-2</v>
      </c>
    </row>
    <row r="1137" spans="2:8" ht="14.25" customHeight="1" x14ac:dyDescent="0.35">
      <c r="B1137" s="337">
        <v>45594</v>
      </c>
      <c r="C1137" s="337"/>
      <c r="D1137">
        <v>24466.85</v>
      </c>
      <c r="E1137">
        <v>10331.67</v>
      </c>
      <c r="G1137" s="338">
        <f t="shared" si="34"/>
        <v>5.2466910307055539E-3</v>
      </c>
      <c r="H1137" s="338">
        <f t="shared" si="35"/>
        <v>4.2213245414181909E-3</v>
      </c>
    </row>
    <row r="1138" spans="2:8" ht="14.25" customHeight="1" x14ac:dyDescent="0.35">
      <c r="B1138" s="337">
        <v>45595</v>
      </c>
      <c r="C1138" s="337"/>
      <c r="D1138">
        <v>24340.85</v>
      </c>
      <c r="E1138">
        <v>10539.24</v>
      </c>
      <c r="G1138" s="338">
        <f t="shared" si="34"/>
        <v>-5.1498251716097501E-3</v>
      </c>
      <c r="H1138" s="338">
        <f t="shared" si="35"/>
        <v>2.0090653301934703E-2</v>
      </c>
    </row>
    <row r="1139" spans="2:8" ht="14.25" customHeight="1" x14ac:dyDescent="0.35">
      <c r="B1139" s="337">
        <v>45596</v>
      </c>
      <c r="C1139" s="337"/>
      <c r="D1139">
        <v>24205.35</v>
      </c>
      <c r="E1139">
        <v>10223.879999999999</v>
      </c>
      <c r="G1139" s="338">
        <f t="shared" si="34"/>
        <v>-5.5667735514577351E-3</v>
      </c>
      <c r="H1139" s="338">
        <f t="shared" si="35"/>
        <v>-2.9922461202136073E-2</v>
      </c>
    </row>
    <row r="1140" spans="2:8" ht="14.25" customHeight="1" x14ac:dyDescent="0.35">
      <c r="B1140" s="337">
        <v>45597</v>
      </c>
      <c r="C1140" s="337"/>
      <c r="D1140">
        <v>24304.35</v>
      </c>
      <c r="E1140">
        <v>10392.530000000001</v>
      </c>
      <c r="G1140" s="338">
        <f t="shared" si="34"/>
        <v>4.0900048956119209E-3</v>
      </c>
      <c r="H1140" s="338">
        <f t="shared" si="35"/>
        <v>1.6495694393909306E-2</v>
      </c>
    </row>
    <row r="1141" spans="2:8" ht="14.25" customHeight="1" x14ac:dyDescent="0.35">
      <c r="B1141" s="337">
        <v>45600</v>
      </c>
      <c r="C1141" s="337"/>
      <c r="D1141">
        <v>23995.35</v>
      </c>
      <c r="E1141">
        <v>9881.74</v>
      </c>
      <c r="G1141" s="338">
        <f t="shared" si="34"/>
        <v>-1.2713773460306488E-2</v>
      </c>
      <c r="H1141" s="338">
        <f t="shared" si="35"/>
        <v>-4.9149725812675148E-2</v>
      </c>
    </row>
    <row r="1142" spans="2:8" ht="14.25" customHeight="1" x14ac:dyDescent="0.35">
      <c r="B1142" s="337">
        <v>45601</v>
      </c>
      <c r="C1142" s="337"/>
      <c r="D1142">
        <v>24213.3</v>
      </c>
      <c r="E1142">
        <v>10011.51</v>
      </c>
      <c r="G1142" s="338">
        <f t="shared" si="34"/>
        <v>9.0830098331552041E-3</v>
      </c>
      <c r="H1142" s="338">
        <f t="shared" si="35"/>
        <v>1.3132302610673873E-2</v>
      </c>
    </row>
    <row r="1143" spans="2:8" ht="14.25" customHeight="1" x14ac:dyDescent="0.35">
      <c r="B1143" s="337">
        <v>45602</v>
      </c>
      <c r="C1143" s="337"/>
      <c r="D1143">
        <v>24484.05</v>
      </c>
      <c r="E1143">
        <v>10204.74</v>
      </c>
      <c r="G1143" s="338">
        <f t="shared" si="34"/>
        <v>1.1181871120417292E-2</v>
      </c>
      <c r="H1143" s="338">
        <f t="shared" si="35"/>
        <v>1.9300784796698955E-2</v>
      </c>
    </row>
    <row r="1144" spans="2:8" ht="14.25" customHeight="1" x14ac:dyDescent="0.35">
      <c r="B1144" s="337">
        <v>45603</v>
      </c>
      <c r="C1144" s="337"/>
      <c r="D1144">
        <v>24199.35</v>
      </c>
      <c r="E1144">
        <v>10211.040000000001</v>
      </c>
      <c r="G1144" s="338">
        <f t="shared" si="34"/>
        <v>-1.162797821438858E-2</v>
      </c>
      <c r="H1144" s="338">
        <f t="shared" si="35"/>
        <v>6.1736016792207269E-4</v>
      </c>
    </row>
    <row r="1145" spans="2:8" ht="14.25" customHeight="1" x14ac:dyDescent="0.35">
      <c r="B1145" s="337">
        <v>45604</v>
      </c>
      <c r="C1145" s="337"/>
      <c r="D1145">
        <v>24148.2</v>
      </c>
      <c r="E1145">
        <v>10143.530000000001</v>
      </c>
      <c r="G1145" s="338">
        <f t="shared" si="34"/>
        <v>-2.1136931363858044E-3</v>
      </c>
      <c r="H1145" s="338">
        <f t="shared" si="35"/>
        <v>-6.6114715053510915E-3</v>
      </c>
    </row>
    <row r="1146" spans="2:8" ht="14.25" customHeight="1" x14ac:dyDescent="0.35">
      <c r="B1146" s="337">
        <v>45607</v>
      </c>
      <c r="C1146" s="337"/>
      <c r="D1146">
        <v>24141.3</v>
      </c>
      <c r="E1146">
        <v>10197.25</v>
      </c>
      <c r="G1146" s="338">
        <f t="shared" si="34"/>
        <v>-2.8573558277641628E-4</v>
      </c>
      <c r="H1146" s="338">
        <f t="shared" si="35"/>
        <v>5.2959867028538722E-3</v>
      </c>
    </row>
    <row r="1147" spans="2:8" ht="14.25" customHeight="1" x14ac:dyDescent="0.35">
      <c r="B1147" s="337">
        <v>45608</v>
      </c>
      <c r="C1147" s="337"/>
      <c r="D1147">
        <v>23883.45</v>
      </c>
      <c r="E1147">
        <v>10013.709999999999</v>
      </c>
      <c r="G1147" s="338">
        <f t="shared" si="34"/>
        <v>-1.0680866399075383E-2</v>
      </c>
      <c r="H1147" s="338">
        <f t="shared" si="35"/>
        <v>-1.7998970310623048E-2</v>
      </c>
    </row>
    <row r="1148" spans="2:8" ht="14.25" customHeight="1" x14ac:dyDescent="0.35">
      <c r="B1148" s="337">
        <v>45609</v>
      </c>
      <c r="C1148" s="337"/>
      <c r="D1148">
        <v>23559.05</v>
      </c>
      <c r="E1148">
        <v>9682.5499999999993</v>
      </c>
      <c r="G1148" s="338">
        <f t="shared" si="34"/>
        <v>-1.3582627300494754E-2</v>
      </c>
      <c r="H1148" s="338">
        <f t="shared" si="35"/>
        <v>-3.3070660124968655E-2</v>
      </c>
    </row>
    <row r="1149" spans="2:8" ht="14.25" customHeight="1" x14ac:dyDescent="0.35">
      <c r="B1149" s="337">
        <v>45610</v>
      </c>
      <c r="C1149" s="337"/>
      <c r="D1149">
        <v>23532.7</v>
      </c>
      <c r="E1149">
        <v>10002.56</v>
      </c>
      <c r="G1149" s="338">
        <f t="shared" si="34"/>
        <v>-1.118466152073133E-3</v>
      </c>
      <c r="H1149" s="338">
        <f t="shared" si="35"/>
        <v>3.3050177897351443E-2</v>
      </c>
    </row>
    <row r="1150" spans="2:8" ht="14.25" customHeight="1" x14ac:dyDescent="0.35">
      <c r="B1150" s="337">
        <v>45614</v>
      </c>
      <c r="C1150" s="337"/>
      <c r="D1150">
        <v>23453.8</v>
      </c>
      <c r="E1150">
        <v>9720.58</v>
      </c>
      <c r="G1150" s="338">
        <f t="shared" si="34"/>
        <v>-3.3527814487925929E-3</v>
      </c>
      <c r="H1150" s="338">
        <f t="shared" si="35"/>
        <v>-2.8190783159511124E-2</v>
      </c>
    </row>
    <row r="1151" spans="2:8" ht="14.25" customHeight="1" x14ac:dyDescent="0.35">
      <c r="B1151" s="337">
        <v>45615</v>
      </c>
      <c r="C1151" s="337"/>
      <c r="D1151">
        <v>23518.5</v>
      </c>
      <c r="E1151">
        <v>9977.5300000000007</v>
      </c>
      <c r="G1151" s="338">
        <f t="shared" si="34"/>
        <v>2.7586148086877491E-3</v>
      </c>
      <c r="H1151" s="338">
        <f t="shared" si="35"/>
        <v>2.6433607871135335E-2</v>
      </c>
    </row>
    <row r="1152" spans="2:8" ht="14.25" customHeight="1" x14ac:dyDescent="0.35">
      <c r="B1152" s="337">
        <v>45617</v>
      </c>
      <c r="C1152" s="337"/>
      <c r="D1152">
        <v>23349.9</v>
      </c>
      <c r="E1152">
        <v>9967.5300000000007</v>
      </c>
      <c r="G1152" s="338">
        <f t="shared" si="34"/>
        <v>-7.1688245423814677E-3</v>
      </c>
      <c r="H1152" s="338">
        <f t="shared" si="35"/>
        <v>-1.002252060379673E-3</v>
      </c>
    </row>
    <row r="1153" spans="2:8" ht="14.25" customHeight="1" x14ac:dyDescent="0.35">
      <c r="B1153" s="337">
        <v>45618</v>
      </c>
      <c r="C1153" s="337"/>
      <c r="D1153">
        <v>23907.25</v>
      </c>
      <c r="E1153">
        <v>10030.950000000001</v>
      </c>
      <c r="G1153" s="338">
        <f t="shared" si="34"/>
        <v>2.3869481239748285E-2</v>
      </c>
      <c r="H1153" s="338">
        <f t="shared" si="35"/>
        <v>6.3626595555769652E-3</v>
      </c>
    </row>
    <row r="1154" spans="2:8" ht="14.25" customHeight="1" x14ac:dyDescent="0.35">
      <c r="B1154" s="337">
        <v>45621</v>
      </c>
      <c r="C1154" s="337"/>
      <c r="D1154">
        <v>24221.9</v>
      </c>
      <c r="E1154">
        <v>9955.99</v>
      </c>
      <c r="G1154" s="338">
        <f t="shared" si="34"/>
        <v>1.316127952817666E-2</v>
      </c>
      <c r="H1154" s="338">
        <f t="shared" si="35"/>
        <v>-7.4728714628226577E-3</v>
      </c>
    </row>
    <row r="1155" spans="2:8" ht="14.25" customHeight="1" x14ac:dyDescent="0.35">
      <c r="B1155" s="337">
        <v>45622</v>
      </c>
      <c r="C1155" s="337"/>
      <c r="D1155">
        <v>24194.5</v>
      </c>
      <c r="E1155">
        <v>10227.18</v>
      </c>
      <c r="G1155" s="338">
        <f t="shared" si="34"/>
        <v>-1.1312077087264605E-3</v>
      </c>
      <c r="H1155" s="338">
        <f t="shared" si="35"/>
        <v>2.7238878303413375E-2</v>
      </c>
    </row>
    <row r="1156" spans="2:8" ht="14.25" customHeight="1" x14ac:dyDescent="0.35">
      <c r="B1156" s="337">
        <v>45623</v>
      </c>
      <c r="C1156" s="337"/>
      <c r="D1156">
        <v>24274.9</v>
      </c>
      <c r="E1156">
        <v>10285.540000000001</v>
      </c>
      <c r="G1156" s="338">
        <f t="shared" si="34"/>
        <v>3.3230692926078842E-3</v>
      </c>
      <c r="H1156" s="338">
        <f t="shared" si="35"/>
        <v>5.7063628488009969E-3</v>
      </c>
    </row>
    <row r="1157" spans="2:8" ht="14.25" customHeight="1" x14ac:dyDescent="0.35">
      <c r="B1157" s="337">
        <v>45624</v>
      </c>
      <c r="C1157" s="337"/>
      <c r="D1157">
        <v>23914.15</v>
      </c>
      <c r="E1157">
        <v>10886.83</v>
      </c>
      <c r="G1157" s="338">
        <f t="shared" si="34"/>
        <v>-1.4861029293632517E-2</v>
      </c>
      <c r="H1157" s="338">
        <f t="shared" si="35"/>
        <v>5.8459740567826192E-2</v>
      </c>
    </row>
    <row r="1158" spans="2:8" ht="14.25" customHeight="1" x14ac:dyDescent="0.35">
      <c r="B1158" s="337">
        <v>45625</v>
      </c>
      <c r="C1158" s="337"/>
      <c r="D1158">
        <v>24131.1</v>
      </c>
      <c r="E1158">
        <v>10674.81</v>
      </c>
      <c r="G1158" s="338">
        <f t="shared" si="34"/>
        <v>9.072034757664273E-3</v>
      </c>
      <c r="H1158" s="338">
        <f t="shared" si="35"/>
        <v>-1.9474906836976461E-2</v>
      </c>
    </row>
    <row r="1159" spans="2:8" ht="14.25" customHeight="1" x14ac:dyDescent="0.35">
      <c r="B1159" s="337">
        <v>45628</v>
      </c>
      <c r="C1159" s="337"/>
      <c r="D1159">
        <v>24276.05</v>
      </c>
      <c r="E1159">
        <v>10534.34</v>
      </c>
      <c r="G1159" s="338">
        <f t="shared" ref="G1159:G1222" si="36">(D1159-D1158)/D1158</f>
        <v>6.0067713448620549E-3</v>
      </c>
      <c r="H1159" s="338">
        <f t="shared" ref="H1159:H1222" si="37">(E1159-E1158)/E1158</f>
        <v>-1.3159016413406829E-2</v>
      </c>
    </row>
    <row r="1160" spans="2:8" ht="14.25" customHeight="1" x14ac:dyDescent="0.35">
      <c r="B1160" s="337">
        <v>45629</v>
      </c>
      <c r="C1160" s="337"/>
      <c r="D1160">
        <v>24457.15</v>
      </c>
      <c r="E1160">
        <v>10473.280000000001</v>
      </c>
      <c r="G1160" s="338">
        <f t="shared" si="36"/>
        <v>7.4600274756396606E-3</v>
      </c>
      <c r="H1160" s="338">
        <f t="shared" si="37"/>
        <v>-5.796281494616605E-3</v>
      </c>
    </row>
    <row r="1161" spans="2:8" ht="14.25" customHeight="1" x14ac:dyDescent="0.35">
      <c r="B1161" s="337">
        <v>45630</v>
      </c>
      <c r="C1161" s="337"/>
      <c r="D1161">
        <v>24467.45</v>
      </c>
      <c r="E1161">
        <v>10666.96</v>
      </c>
      <c r="G1161" s="338">
        <f t="shared" si="36"/>
        <v>4.2114473681517558E-4</v>
      </c>
      <c r="H1161" s="338">
        <f t="shared" si="37"/>
        <v>1.8492773992483582E-2</v>
      </c>
    </row>
    <row r="1162" spans="2:8" ht="14.25" customHeight="1" x14ac:dyDescent="0.35">
      <c r="B1162" s="337">
        <v>45631</v>
      </c>
      <c r="C1162" s="337"/>
      <c r="D1162">
        <v>24708.400000000001</v>
      </c>
      <c r="E1162">
        <v>10820.02</v>
      </c>
      <c r="G1162" s="338">
        <f t="shared" si="36"/>
        <v>9.8477773531774147E-3</v>
      </c>
      <c r="H1162" s="338">
        <f t="shared" si="37"/>
        <v>1.434898040303904E-2</v>
      </c>
    </row>
    <row r="1163" spans="2:8" ht="14.25" customHeight="1" x14ac:dyDescent="0.35">
      <c r="B1163" s="337">
        <v>45632</v>
      </c>
      <c r="C1163" s="337"/>
      <c r="D1163">
        <v>24677.8</v>
      </c>
      <c r="E1163">
        <v>10801.83</v>
      </c>
      <c r="G1163" s="338">
        <f t="shared" si="36"/>
        <v>-1.2384452251057204E-3</v>
      </c>
      <c r="H1163" s="338">
        <f t="shared" si="37"/>
        <v>-1.6811429184050038E-3</v>
      </c>
    </row>
    <row r="1164" spans="2:8" ht="14.25" customHeight="1" x14ac:dyDescent="0.35">
      <c r="B1164" s="337">
        <v>45635</v>
      </c>
      <c r="C1164" s="337"/>
      <c r="D1164">
        <v>24619</v>
      </c>
      <c r="E1164">
        <v>10956.34</v>
      </c>
      <c r="G1164" s="338">
        <f t="shared" si="36"/>
        <v>-2.3827083451522938E-3</v>
      </c>
      <c r="H1164" s="338">
        <f t="shared" si="37"/>
        <v>1.4304057738364724E-2</v>
      </c>
    </row>
    <row r="1165" spans="2:8" ht="14.25" customHeight="1" x14ac:dyDescent="0.35">
      <c r="B1165" s="337">
        <v>45636</v>
      </c>
      <c r="C1165" s="337"/>
      <c r="D1165">
        <v>24610.05</v>
      </c>
      <c r="E1165">
        <v>10786.49</v>
      </c>
      <c r="G1165" s="338">
        <f t="shared" si="36"/>
        <v>-3.6354035501038739E-4</v>
      </c>
      <c r="H1165" s="338">
        <f t="shared" si="37"/>
        <v>-1.5502439683324938E-2</v>
      </c>
    </row>
    <row r="1166" spans="2:8" ht="14.25" customHeight="1" x14ac:dyDescent="0.35">
      <c r="B1166" s="337">
        <v>45637</v>
      </c>
      <c r="C1166" s="337"/>
      <c r="D1166">
        <v>24641.8</v>
      </c>
      <c r="E1166">
        <v>10857.45</v>
      </c>
      <c r="G1166" s="338">
        <f t="shared" si="36"/>
        <v>1.29012334391844E-3</v>
      </c>
      <c r="H1166" s="338">
        <f t="shared" si="37"/>
        <v>6.5785997113056195E-3</v>
      </c>
    </row>
    <row r="1167" spans="2:8" ht="14.25" customHeight="1" x14ac:dyDescent="0.35">
      <c r="B1167" s="337">
        <v>45638</v>
      </c>
      <c r="C1167" s="337"/>
      <c r="D1167">
        <v>24548.7</v>
      </c>
      <c r="E1167">
        <v>10662.37</v>
      </c>
      <c r="G1167" s="338">
        <f t="shared" si="36"/>
        <v>-3.77813309092674E-3</v>
      </c>
      <c r="H1167" s="338">
        <f t="shared" si="37"/>
        <v>-1.7967386448935977E-2</v>
      </c>
    </row>
    <row r="1168" spans="2:8" ht="14.25" customHeight="1" x14ac:dyDescent="0.35">
      <c r="B1168" s="337">
        <v>45639</v>
      </c>
      <c r="C1168" s="337"/>
      <c r="D1168">
        <v>24768.3</v>
      </c>
      <c r="E1168">
        <v>10390.48</v>
      </c>
      <c r="G1168" s="338">
        <f t="shared" si="36"/>
        <v>8.9454838749098136E-3</v>
      </c>
      <c r="H1168" s="338">
        <f t="shared" si="37"/>
        <v>-2.5499959202316298E-2</v>
      </c>
    </row>
    <row r="1169" spans="2:8" ht="14.25" customHeight="1" x14ac:dyDescent="0.35">
      <c r="B1169" s="337">
        <v>45642</v>
      </c>
      <c r="C1169" s="337"/>
      <c r="D1169">
        <v>24668.25</v>
      </c>
      <c r="E1169">
        <v>10525.45</v>
      </c>
      <c r="G1169" s="338">
        <f t="shared" si="36"/>
        <v>-4.0394375068131148E-3</v>
      </c>
      <c r="H1169" s="338">
        <f t="shared" si="37"/>
        <v>1.2989775255811201E-2</v>
      </c>
    </row>
    <row r="1170" spans="2:8" ht="14.25" customHeight="1" x14ac:dyDescent="0.35">
      <c r="B1170" s="337">
        <v>45643</v>
      </c>
      <c r="C1170" s="337"/>
      <c r="D1170">
        <v>24336</v>
      </c>
      <c r="E1170">
        <v>10551.38</v>
      </c>
      <c r="G1170" s="338">
        <f t="shared" si="36"/>
        <v>-1.3468730047733423E-2</v>
      </c>
      <c r="H1170" s="338">
        <f t="shared" si="37"/>
        <v>2.4635526272034423E-3</v>
      </c>
    </row>
    <row r="1171" spans="2:8" ht="14.25" customHeight="1" x14ac:dyDescent="0.35">
      <c r="B1171" s="337">
        <v>45644</v>
      </c>
      <c r="C1171" s="337"/>
      <c r="D1171">
        <v>24198.85</v>
      </c>
      <c r="E1171">
        <v>10316.48</v>
      </c>
      <c r="G1171" s="338">
        <f t="shared" si="36"/>
        <v>-5.6356837606838205E-3</v>
      </c>
      <c r="H1171" s="338">
        <f t="shared" si="37"/>
        <v>-2.2262490783196098E-2</v>
      </c>
    </row>
    <row r="1172" spans="2:8" ht="14.25" customHeight="1" x14ac:dyDescent="0.35">
      <c r="B1172" s="337">
        <v>45645</v>
      </c>
      <c r="C1172" s="337"/>
      <c r="D1172">
        <v>23951.7</v>
      </c>
      <c r="E1172">
        <v>10229.18</v>
      </c>
      <c r="G1172" s="338">
        <f t="shared" si="36"/>
        <v>-1.0213295259898624E-2</v>
      </c>
      <c r="H1172" s="338">
        <f t="shared" si="37"/>
        <v>-8.4621886534941449E-3</v>
      </c>
    </row>
    <row r="1173" spans="2:8" ht="14.25" customHeight="1" x14ac:dyDescent="0.35">
      <c r="B1173" s="337">
        <v>45646</v>
      </c>
      <c r="C1173" s="337"/>
      <c r="D1173">
        <v>23587.5</v>
      </c>
      <c r="E1173">
        <v>9781.75</v>
      </c>
      <c r="G1173" s="338">
        <f t="shared" si="36"/>
        <v>-1.520560127256106E-2</v>
      </c>
      <c r="H1173" s="338">
        <f t="shared" si="37"/>
        <v>-4.3740553983799314E-2</v>
      </c>
    </row>
    <row r="1174" spans="2:8" ht="14.25" customHeight="1" x14ac:dyDescent="0.35">
      <c r="B1174" s="337">
        <v>45649</v>
      </c>
      <c r="C1174" s="337"/>
      <c r="D1174">
        <v>23753.45</v>
      </c>
      <c r="E1174">
        <v>9679.9599999999991</v>
      </c>
      <c r="G1174" s="338">
        <f t="shared" si="36"/>
        <v>7.0355060943296547E-3</v>
      </c>
      <c r="H1174" s="338">
        <f t="shared" si="37"/>
        <v>-1.0406113425511884E-2</v>
      </c>
    </row>
    <row r="1175" spans="2:8" ht="14.25" customHeight="1" x14ac:dyDescent="0.35">
      <c r="B1175" s="337">
        <v>45650</v>
      </c>
      <c r="C1175" s="337"/>
      <c r="D1175">
        <v>23727.65</v>
      </c>
      <c r="E1175">
        <v>10172.86</v>
      </c>
      <c r="G1175" s="338">
        <f t="shared" si="36"/>
        <v>-1.0861580107310422E-3</v>
      </c>
      <c r="H1175" s="338">
        <f t="shared" si="37"/>
        <v>5.0919631899305526E-2</v>
      </c>
    </row>
    <row r="1176" spans="2:8" ht="14.25" customHeight="1" x14ac:dyDescent="0.35">
      <c r="B1176" s="337">
        <v>45652</v>
      </c>
      <c r="C1176" s="337"/>
      <c r="D1176">
        <v>23750.2</v>
      </c>
      <c r="E1176">
        <v>10209.040000000001</v>
      </c>
      <c r="G1176" s="338">
        <f t="shared" si="36"/>
        <v>9.5036803054660999E-4</v>
      </c>
      <c r="H1176" s="338">
        <f t="shared" si="37"/>
        <v>3.5565219613756887E-3</v>
      </c>
    </row>
    <row r="1177" spans="2:8" ht="14.25" customHeight="1" x14ac:dyDescent="0.35">
      <c r="B1177" s="337">
        <v>45653</v>
      </c>
      <c r="C1177" s="337"/>
      <c r="D1177">
        <v>23813.4</v>
      </c>
      <c r="E1177">
        <v>10177.16</v>
      </c>
      <c r="G1177" s="338">
        <f t="shared" si="36"/>
        <v>2.6610302229034166E-3</v>
      </c>
      <c r="H1177" s="338">
        <f t="shared" si="37"/>
        <v>-3.1227226066310853E-3</v>
      </c>
    </row>
    <row r="1178" spans="2:8" ht="14.25" customHeight="1" x14ac:dyDescent="0.35">
      <c r="B1178" s="337">
        <v>45656</v>
      </c>
      <c r="C1178" s="337"/>
      <c r="D1178">
        <v>23644.9</v>
      </c>
      <c r="E1178">
        <v>9521.65</v>
      </c>
      <c r="G1178" s="338">
        <f t="shared" si="36"/>
        <v>-7.0758480519371439E-3</v>
      </c>
      <c r="H1178" s="338">
        <f t="shared" si="37"/>
        <v>-6.4409913964210072E-2</v>
      </c>
    </row>
    <row r="1179" spans="2:8" ht="14.25" customHeight="1" x14ac:dyDescent="0.35">
      <c r="B1179" s="337">
        <v>45657</v>
      </c>
      <c r="C1179" s="337"/>
      <c r="D1179">
        <v>23644.799999999999</v>
      </c>
      <c r="E1179">
        <v>9777.4500000000007</v>
      </c>
      <c r="G1179" s="338">
        <f t="shared" si="36"/>
        <v>-4.2292418239105594E-6</v>
      </c>
      <c r="H1179" s="338">
        <f t="shared" si="37"/>
        <v>2.6865091659533914E-2</v>
      </c>
    </row>
    <row r="1180" spans="2:8" ht="14.25" customHeight="1" x14ac:dyDescent="0.35">
      <c r="B1180" s="337">
        <v>45658</v>
      </c>
      <c r="C1180" s="337"/>
      <c r="D1180">
        <v>23742.9</v>
      </c>
      <c r="E1180">
        <v>9858.35</v>
      </c>
      <c r="G1180" s="338">
        <f t="shared" si="36"/>
        <v>4.1489037758831622E-3</v>
      </c>
      <c r="H1180" s="338">
        <f t="shared" si="37"/>
        <v>8.2741410081360305E-3</v>
      </c>
    </row>
    <row r="1181" spans="2:8" ht="14.25" customHeight="1" x14ac:dyDescent="0.35">
      <c r="B1181" s="337">
        <v>45659</v>
      </c>
      <c r="C1181" s="337"/>
      <c r="D1181">
        <v>24188.65</v>
      </c>
      <c r="E1181">
        <v>9693.15</v>
      </c>
      <c r="G1181" s="338">
        <f t="shared" si="36"/>
        <v>1.8774033500541212E-2</v>
      </c>
      <c r="H1181" s="338">
        <f t="shared" si="37"/>
        <v>-1.6757368119411538E-2</v>
      </c>
    </row>
    <row r="1182" spans="2:8" ht="14.25" customHeight="1" x14ac:dyDescent="0.35">
      <c r="B1182" s="337">
        <v>45660</v>
      </c>
      <c r="C1182" s="337"/>
      <c r="D1182">
        <v>24004.75</v>
      </c>
      <c r="E1182">
        <v>9738.3700000000008</v>
      </c>
      <c r="G1182" s="338">
        <f t="shared" si="36"/>
        <v>-7.6027393012839265E-3</v>
      </c>
      <c r="H1182" s="338">
        <f t="shared" si="37"/>
        <v>4.6651501317942221E-3</v>
      </c>
    </row>
    <row r="1183" spans="2:8" ht="14.25" customHeight="1" x14ac:dyDescent="0.35">
      <c r="B1183" s="337">
        <v>45663</v>
      </c>
      <c r="C1183" s="337"/>
      <c r="D1183">
        <v>23616.05</v>
      </c>
      <c r="E1183">
        <v>9473.7800000000007</v>
      </c>
      <c r="G1183" s="338">
        <f t="shared" si="36"/>
        <v>-1.6192628542267707E-2</v>
      </c>
      <c r="H1183" s="338">
        <f t="shared" si="37"/>
        <v>-2.716984464545916E-2</v>
      </c>
    </row>
    <row r="1184" spans="2:8" ht="14.25" customHeight="1" x14ac:dyDescent="0.35">
      <c r="B1184" s="337">
        <v>45664</v>
      </c>
      <c r="C1184" s="337"/>
      <c r="D1184">
        <v>23707.9</v>
      </c>
      <c r="E1184">
        <v>9684.2999999999993</v>
      </c>
      <c r="G1184" s="338">
        <f t="shared" si="36"/>
        <v>3.889304096155038E-3</v>
      </c>
      <c r="H1184" s="338">
        <f t="shared" si="37"/>
        <v>2.2221330873209912E-2</v>
      </c>
    </row>
    <row r="1185" spans="2:8" ht="14.25" customHeight="1" x14ac:dyDescent="0.35">
      <c r="B1185" s="337">
        <v>45665</v>
      </c>
      <c r="C1185" s="337"/>
      <c r="D1185">
        <v>23688.95</v>
      </c>
      <c r="E1185">
        <v>9615.2900000000009</v>
      </c>
      <c r="G1185" s="338">
        <f t="shared" si="36"/>
        <v>-7.9931162186447249E-4</v>
      </c>
      <c r="H1185" s="338">
        <f t="shared" si="37"/>
        <v>-7.1259667709590163E-3</v>
      </c>
    </row>
    <row r="1186" spans="2:8" ht="14.25" customHeight="1" x14ac:dyDescent="0.35">
      <c r="B1186" s="337">
        <v>45666</v>
      </c>
      <c r="C1186" s="337"/>
      <c r="D1186">
        <v>23526.5</v>
      </c>
      <c r="E1186">
        <v>9629.84</v>
      </c>
      <c r="G1186" s="338">
        <f t="shared" si="36"/>
        <v>-6.8576277124988956E-3</v>
      </c>
      <c r="H1186" s="338">
        <f t="shared" si="37"/>
        <v>1.5132148900344421E-3</v>
      </c>
    </row>
    <row r="1187" spans="2:8" ht="14.25" customHeight="1" x14ac:dyDescent="0.35">
      <c r="B1187" s="337">
        <v>45667</v>
      </c>
      <c r="C1187" s="337"/>
      <c r="D1187">
        <v>23431.5</v>
      </c>
      <c r="E1187">
        <v>9524.25</v>
      </c>
      <c r="G1187" s="338">
        <f t="shared" si="36"/>
        <v>-4.0379997024631801E-3</v>
      </c>
      <c r="H1187" s="338">
        <f t="shared" si="37"/>
        <v>-1.0964875844250802E-2</v>
      </c>
    </row>
    <row r="1188" spans="2:8" ht="14.25" customHeight="1" x14ac:dyDescent="0.35">
      <c r="B1188" s="337">
        <v>45670</v>
      </c>
      <c r="C1188" s="337"/>
      <c r="D1188">
        <v>23085.95</v>
      </c>
      <c r="E1188">
        <v>8917.06</v>
      </c>
      <c r="G1188" s="338">
        <f t="shared" si="36"/>
        <v>-1.4747241960608552E-2</v>
      </c>
      <c r="H1188" s="338">
        <f t="shared" si="37"/>
        <v>-6.3752001469932068E-2</v>
      </c>
    </row>
    <row r="1189" spans="2:8" ht="14.25" customHeight="1" x14ac:dyDescent="0.35">
      <c r="B1189" s="337">
        <v>45671</v>
      </c>
      <c r="C1189" s="337"/>
      <c r="D1189">
        <v>23176.05</v>
      </c>
      <c r="E1189">
        <v>9197.7900000000009</v>
      </c>
      <c r="G1189" s="338">
        <f t="shared" si="36"/>
        <v>3.9028066854514777E-3</v>
      </c>
      <c r="H1189" s="338">
        <f t="shared" si="37"/>
        <v>3.1482349563645574E-2</v>
      </c>
    </row>
    <row r="1190" spans="2:8" ht="14.25" customHeight="1" x14ac:dyDescent="0.35">
      <c r="B1190" s="337">
        <v>45672</v>
      </c>
      <c r="C1190" s="337"/>
      <c r="D1190">
        <v>23213.200000000001</v>
      </c>
      <c r="E1190">
        <v>9527.5499999999993</v>
      </c>
      <c r="G1190" s="338">
        <f t="shared" si="36"/>
        <v>1.6029478707545702E-3</v>
      </c>
      <c r="H1190" s="338">
        <f t="shared" si="37"/>
        <v>3.5852090556535689E-2</v>
      </c>
    </row>
    <row r="1191" spans="2:8" ht="14.25" customHeight="1" x14ac:dyDescent="0.35">
      <c r="B1191" s="337">
        <v>45673</v>
      </c>
      <c r="C1191" s="337"/>
      <c r="D1191">
        <v>23311.8</v>
      </c>
      <c r="E1191">
        <v>9629.39</v>
      </c>
      <c r="G1191" s="338">
        <f t="shared" si="36"/>
        <v>4.2475832715867931E-3</v>
      </c>
      <c r="H1191" s="338">
        <f t="shared" si="37"/>
        <v>1.0689001894505949E-2</v>
      </c>
    </row>
    <row r="1192" spans="2:8" ht="14.25" customHeight="1" x14ac:dyDescent="0.35">
      <c r="B1192" s="337">
        <v>45674</v>
      </c>
      <c r="C1192" s="337"/>
      <c r="D1192">
        <v>23203.200000000001</v>
      </c>
      <c r="E1192">
        <v>9707.59</v>
      </c>
      <c r="G1192" s="338">
        <f t="shared" si="36"/>
        <v>-4.6585849226571325E-3</v>
      </c>
      <c r="H1192" s="338">
        <f t="shared" si="37"/>
        <v>8.1209713180171051E-3</v>
      </c>
    </row>
    <row r="1193" spans="2:8" ht="14.25" customHeight="1" x14ac:dyDescent="0.35">
      <c r="B1193" s="337">
        <v>45677</v>
      </c>
      <c r="C1193" s="337"/>
      <c r="D1193">
        <v>23344.75</v>
      </c>
      <c r="E1193">
        <v>9742.67</v>
      </c>
      <c r="G1193" s="338">
        <f t="shared" si="36"/>
        <v>6.1004516618397148E-3</v>
      </c>
      <c r="H1193" s="338">
        <f t="shared" si="37"/>
        <v>3.6136672438782363E-3</v>
      </c>
    </row>
    <row r="1194" spans="2:8" ht="14.25" customHeight="1" x14ac:dyDescent="0.35">
      <c r="B1194" s="337">
        <v>45678</v>
      </c>
      <c r="C1194" s="337"/>
      <c r="D1194">
        <v>23024.65</v>
      </c>
      <c r="E1194">
        <v>9576.1200000000008</v>
      </c>
      <c r="G1194" s="338">
        <f t="shared" si="36"/>
        <v>-1.3711862410177815E-2</v>
      </c>
      <c r="H1194" s="338">
        <f t="shared" si="37"/>
        <v>-1.7094903142567619E-2</v>
      </c>
    </row>
    <row r="1195" spans="2:8" ht="14.25" customHeight="1" x14ac:dyDescent="0.35">
      <c r="B1195" s="337">
        <v>45679</v>
      </c>
      <c r="C1195" s="337"/>
      <c r="D1195">
        <v>23155.35</v>
      </c>
      <c r="E1195">
        <v>9294.99</v>
      </c>
      <c r="G1195" s="338">
        <f t="shared" si="36"/>
        <v>5.6765249417470879E-3</v>
      </c>
      <c r="H1195" s="338">
        <f t="shared" si="37"/>
        <v>-2.9357401536321704E-2</v>
      </c>
    </row>
    <row r="1196" spans="2:8" ht="14.25" customHeight="1" x14ac:dyDescent="0.35">
      <c r="B1196" s="337">
        <v>45680</v>
      </c>
      <c r="C1196" s="337"/>
      <c r="D1196">
        <v>23205.35</v>
      </c>
      <c r="E1196">
        <v>9553.18</v>
      </c>
      <c r="G1196" s="338">
        <f t="shared" si="36"/>
        <v>2.1593281898135853E-3</v>
      </c>
      <c r="H1196" s="338">
        <f t="shared" si="37"/>
        <v>2.7777329507616525E-2</v>
      </c>
    </row>
    <row r="1197" spans="2:8" ht="14.25" customHeight="1" x14ac:dyDescent="0.35">
      <c r="B1197" s="337">
        <v>45681</v>
      </c>
      <c r="C1197" s="337"/>
      <c r="D1197">
        <v>23092.2</v>
      </c>
      <c r="E1197">
        <v>9472.5300000000007</v>
      </c>
      <c r="G1197" s="338">
        <f t="shared" si="36"/>
        <v>-4.8760307429104848E-3</v>
      </c>
      <c r="H1197" s="338">
        <f t="shared" si="37"/>
        <v>-8.4422150529980203E-3</v>
      </c>
    </row>
    <row r="1198" spans="2:8" ht="14.25" customHeight="1" x14ac:dyDescent="0.35">
      <c r="B1198" s="337">
        <v>45684</v>
      </c>
      <c r="C1198" s="337"/>
      <c r="D1198">
        <v>22829.15</v>
      </c>
      <c r="E1198">
        <v>9303.5300000000007</v>
      </c>
      <c r="G1198" s="338">
        <f t="shared" si="36"/>
        <v>-1.1391292297832136E-2</v>
      </c>
      <c r="H1198" s="338">
        <f t="shared" si="37"/>
        <v>-1.7841062525006519E-2</v>
      </c>
    </row>
    <row r="1199" spans="2:8" ht="14.25" customHeight="1" x14ac:dyDescent="0.35">
      <c r="B1199" s="337">
        <v>45685</v>
      </c>
      <c r="C1199" s="337"/>
      <c r="D1199">
        <v>22957.25</v>
      </c>
      <c r="E1199">
        <v>9246.42</v>
      </c>
      <c r="G1199" s="338">
        <f t="shared" si="36"/>
        <v>5.6112470240897508E-3</v>
      </c>
      <c r="H1199" s="338">
        <f t="shared" si="37"/>
        <v>-6.1385302138006305E-3</v>
      </c>
    </row>
    <row r="1200" spans="2:8" ht="14.25" customHeight="1" x14ac:dyDescent="0.35">
      <c r="B1200" s="337">
        <v>45686</v>
      </c>
      <c r="C1200" s="337"/>
      <c r="D1200">
        <v>23163.1</v>
      </c>
      <c r="E1200">
        <v>9562.83</v>
      </c>
      <c r="G1200" s="338">
        <f t="shared" si="36"/>
        <v>8.9666663036730675E-3</v>
      </c>
      <c r="H1200" s="338">
        <f t="shared" si="37"/>
        <v>3.4219730447027051E-2</v>
      </c>
    </row>
    <row r="1201" spans="2:8" ht="14.25" customHeight="1" x14ac:dyDescent="0.35">
      <c r="B1201" s="337">
        <v>45687</v>
      </c>
      <c r="C1201" s="337"/>
      <c r="D1201">
        <v>23249.5</v>
      </c>
      <c r="E1201">
        <v>10057.68</v>
      </c>
      <c r="G1201" s="338">
        <f t="shared" si="36"/>
        <v>3.7300706727511198E-3</v>
      </c>
      <c r="H1201" s="338">
        <f t="shared" si="37"/>
        <v>5.1747233820950533E-2</v>
      </c>
    </row>
    <row r="1202" spans="2:8" ht="14.25" customHeight="1" x14ac:dyDescent="0.35">
      <c r="B1202" s="337">
        <v>45688</v>
      </c>
      <c r="C1202" s="337"/>
      <c r="D1202">
        <v>23508.400000000001</v>
      </c>
      <c r="E1202">
        <v>10188.549999999999</v>
      </c>
      <c r="G1202" s="338">
        <f t="shared" si="36"/>
        <v>1.1135723348889286E-2</v>
      </c>
      <c r="H1202" s="338">
        <f t="shared" si="37"/>
        <v>1.3011947089189454E-2</v>
      </c>
    </row>
    <row r="1203" spans="2:8" ht="14.25" customHeight="1" x14ac:dyDescent="0.35">
      <c r="B1203" s="337">
        <v>45691</v>
      </c>
      <c r="C1203" s="337"/>
      <c r="D1203">
        <v>23361.05</v>
      </c>
      <c r="E1203">
        <v>9504.61</v>
      </c>
      <c r="G1203" s="338">
        <f t="shared" si="36"/>
        <v>-6.2679722992633347E-3</v>
      </c>
      <c r="H1203" s="338">
        <f t="shared" si="37"/>
        <v>-6.7128295979309985E-2</v>
      </c>
    </row>
    <row r="1204" spans="2:8" ht="14.25" customHeight="1" x14ac:dyDescent="0.35">
      <c r="B1204" s="337">
        <v>45692</v>
      </c>
      <c r="C1204" s="337"/>
      <c r="D1204">
        <v>23739.25</v>
      </c>
      <c r="E1204">
        <v>9743.92</v>
      </c>
      <c r="G1204" s="338">
        <f t="shared" si="36"/>
        <v>1.6189340804458736E-2</v>
      </c>
      <c r="H1204" s="338">
        <f t="shared" si="37"/>
        <v>2.5178308210436776E-2</v>
      </c>
    </row>
    <row r="1205" spans="2:8" ht="14.25" customHeight="1" x14ac:dyDescent="0.35">
      <c r="B1205" s="337">
        <v>45693</v>
      </c>
      <c r="C1205" s="337"/>
      <c r="D1205">
        <v>23696.3</v>
      </c>
      <c r="E1205">
        <v>9647.98</v>
      </c>
      <c r="G1205" s="338">
        <f t="shared" si="36"/>
        <v>-1.8092399717767296E-3</v>
      </c>
      <c r="H1205" s="338">
        <f t="shared" si="37"/>
        <v>-9.8461399518879993E-3</v>
      </c>
    </row>
    <row r="1206" spans="2:8" ht="14.25" customHeight="1" x14ac:dyDescent="0.35">
      <c r="B1206" s="337">
        <v>45694</v>
      </c>
      <c r="C1206" s="337"/>
      <c r="D1206">
        <v>23603.35</v>
      </c>
      <c r="E1206">
        <v>9109.5499999999993</v>
      </c>
      <c r="G1206" s="338">
        <f t="shared" si="36"/>
        <v>-3.9225533100104544E-3</v>
      </c>
      <c r="H1206" s="338">
        <f t="shared" si="37"/>
        <v>-5.5807536914462955E-2</v>
      </c>
    </row>
    <row r="1207" spans="2:8" ht="14.25" customHeight="1" x14ac:dyDescent="0.35">
      <c r="B1207" s="337">
        <v>45695</v>
      </c>
      <c r="C1207" s="337"/>
      <c r="D1207">
        <v>23559.95</v>
      </c>
      <c r="E1207">
        <v>9080.3700000000008</v>
      </c>
      <c r="G1207" s="338">
        <f t="shared" si="36"/>
        <v>-1.8387220458112013E-3</v>
      </c>
      <c r="H1207" s="338">
        <f t="shared" si="37"/>
        <v>-3.2032317732487857E-3</v>
      </c>
    </row>
    <row r="1208" spans="2:8" ht="14.25" customHeight="1" x14ac:dyDescent="0.35">
      <c r="B1208" s="337">
        <v>45698</v>
      </c>
      <c r="C1208" s="337"/>
      <c r="D1208">
        <v>23381.599999999999</v>
      </c>
      <c r="E1208">
        <v>9169.4599999999991</v>
      </c>
      <c r="G1208" s="338">
        <f t="shared" si="36"/>
        <v>-7.5700500213286602E-3</v>
      </c>
      <c r="H1208" s="338">
        <f t="shared" si="37"/>
        <v>9.8112742101916905E-3</v>
      </c>
    </row>
    <row r="1209" spans="2:8" ht="14.25" customHeight="1" x14ac:dyDescent="0.35">
      <c r="B1209" s="337">
        <v>45699</v>
      </c>
      <c r="C1209" s="337"/>
      <c r="D1209">
        <v>23071.8</v>
      </c>
      <c r="E1209">
        <v>8810.98</v>
      </c>
      <c r="G1209" s="338">
        <f t="shared" si="36"/>
        <v>-1.3249734834228593E-2</v>
      </c>
      <c r="H1209" s="338">
        <f t="shared" si="37"/>
        <v>-3.9094995779467887E-2</v>
      </c>
    </row>
    <row r="1210" spans="2:8" ht="14.25" customHeight="1" x14ac:dyDescent="0.35">
      <c r="B1210" s="337">
        <v>45700</v>
      </c>
      <c r="C1210" s="337"/>
      <c r="D1210">
        <v>23045.25</v>
      </c>
      <c r="E1210">
        <v>8951.44</v>
      </c>
      <c r="G1210" s="338">
        <f t="shared" si="36"/>
        <v>-1.1507554677138009E-3</v>
      </c>
      <c r="H1210" s="338">
        <f t="shared" si="37"/>
        <v>1.5941473025702129E-2</v>
      </c>
    </row>
    <row r="1211" spans="2:8" ht="14.25" customHeight="1" x14ac:dyDescent="0.35">
      <c r="B1211" s="337">
        <v>45701</v>
      </c>
      <c r="C1211" s="337"/>
      <c r="D1211">
        <v>23031.4</v>
      </c>
      <c r="E1211">
        <v>8801.93</v>
      </c>
      <c r="G1211" s="338">
        <f t="shared" si="36"/>
        <v>-6.0099152753814971E-4</v>
      </c>
      <c r="H1211" s="338">
        <f t="shared" si="37"/>
        <v>-1.6702340628993794E-2</v>
      </c>
    </row>
    <row r="1212" spans="2:8" ht="14.25" customHeight="1" x14ac:dyDescent="0.35">
      <c r="B1212" s="337">
        <v>45702</v>
      </c>
      <c r="C1212" s="337"/>
      <c r="D1212">
        <v>22929.25</v>
      </c>
      <c r="E1212">
        <v>8857.1</v>
      </c>
      <c r="G1212" s="338">
        <f t="shared" si="36"/>
        <v>-4.4352492683901734E-3</v>
      </c>
      <c r="H1212" s="338">
        <f t="shared" si="37"/>
        <v>6.2679435078443107E-3</v>
      </c>
    </row>
    <row r="1213" spans="2:8" ht="14.25" customHeight="1" x14ac:dyDescent="0.35">
      <c r="B1213" s="337">
        <v>45705</v>
      </c>
      <c r="C1213" s="337"/>
      <c r="D1213">
        <v>22959.5</v>
      </c>
      <c r="E1213">
        <v>8614.19</v>
      </c>
      <c r="G1213" s="338">
        <f t="shared" si="36"/>
        <v>1.3192755977626831E-3</v>
      </c>
      <c r="H1213" s="338">
        <f t="shared" si="37"/>
        <v>-2.7425455284461036E-2</v>
      </c>
    </row>
    <row r="1214" spans="2:8" ht="14.25" customHeight="1" x14ac:dyDescent="0.35">
      <c r="B1214" s="337">
        <v>45706</v>
      </c>
      <c r="C1214" s="337"/>
      <c r="D1214">
        <v>22945.3</v>
      </c>
      <c r="E1214">
        <v>8604.0499999999993</v>
      </c>
      <c r="G1214" s="338">
        <f t="shared" si="36"/>
        <v>-6.184803676038558E-4</v>
      </c>
      <c r="H1214" s="338">
        <f t="shared" si="37"/>
        <v>-1.1771275070553628E-3</v>
      </c>
    </row>
    <row r="1215" spans="2:8" ht="14.25" customHeight="1" x14ac:dyDescent="0.35">
      <c r="B1215" s="337">
        <v>45707</v>
      </c>
      <c r="C1215" s="337"/>
      <c r="D1215">
        <v>22932.9</v>
      </c>
      <c r="E1215">
        <v>8778.4500000000007</v>
      </c>
      <c r="G1215" s="338">
        <f t="shared" si="36"/>
        <v>-5.4041568425768321E-4</v>
      </c>
      <c r="H1215" s="338">
        <f t="shared" si="37"/>
        <v>2.0269524235679879E-2</v>
      </c>
    </row>
    <row r="1216" spans="2:8" ht="14.25" customHeight="1" x14ac:dyDescent="0.35">
      <c r="B1216" s="337">
        <v>45708</v>
      </c>
      <c r="C1216" s="337"/>
      <c r="D1216">
        <v>22913.15</v>
      </c>
      <c r="E1216">
        <v>8930.2999999999993</v>
      </c>
      <c r="G1216" s="338">
        <f t="shared" si="36"/>
        <v>-8.6120813329321623E-4</v>
      </c>
      <c r="H1216" s="338">
        <f t="shared" si="37"/>
        <v>1.7298042365109848E-2</v>
      </c>
    </row>
    <row r="1217" spans="2:8" ht="14.25" customHeight="1" x14ac:dyDescent="0.35">
      <c r="B1217" s="337">
        <v>45709</v>
      </c>
      <c r="C1217" s="337"/>
      <c r="D1217">
        <v>22795.9</v>
      </c>
      <c r="E1217">
        <v>8845.2099999999991</v>
      </c>
      <c r="G1217" s="338">
        <f t="shared" si="36"/>
        <v>-5.1171488861199788E-3</v>
      </c>
      <c r="H1217" s="338">
        <f t="shared" si="37"/>
        <v>-9.5282353336394246E-3</v>
      </c>
    </row>
    <row r="1218" spans="2:8" ht="14.25" customHeight="1" x14ac:dyDescent="0.35">
      <c r="B1218" s="337">
        <v>45712</v>
      </c>
      <c r="C1218" s="337"/>
      <c r="D1218">
        <v>22553.35</v>
      </c>
      <c r="E1218">
        <v>8860.65</v>
      </c>
      <c r="G1218" s="338">
        <f t="shared" si="36"/>
        <v>-1.0640071240881163E-2</v>
      </c>
      <c r="H1218" s="338">
        <f t="shared" si="37"/>
        <v>1.7455775498829886E-3</v>
      </c>
    </row>
    <row r="1219" spans="2:8" ht="14.25" customHeight="1" x14ac:dyDescent="0.35">
      <c r="B1219" s="337">
        <v>45713</v>
      </c>
      <c r="C1219" s="337"/>
      <c r="D1219">
        <v>22547.55</v>
      </c>
      <c r="E1219">
        <v>8864.7900000000009</v>
      </c>
      <c r="G1219" s="338">
        <f t="shared" si="36"/>
        <v>-2.571680038663557E-4</v>
      </c>
      <c r="H1219" s="338">
        <f t="shared" si="37"/>
        <v>4.6723434511026135E-4</v>
      </c>
    </row>
    <row r="1220" spans="2:8" ht="14.25" customHeight="1" x14ac:dyDescent="0.35">
      <c r="B1220" s="337">
        <v>45715</v>
      </c>
      <c r="C1220" s="337"/>
      <c r="D1220">
        <v>22545.05</v>
      </c>
      <c r="E1220">
        <v>8718.2800000000007</v>
      </c>
      <c r="G1220" s="338">
        <f t="shared" si="36"/>
        <v>-1.1087679149175853E-4</v>
      </c>
      <c r="H1220" s="338">
        <f t="shared" si="37"/>
        <v>-1.6527182256996523E-2</v>
      </c>
    </row>
    <row r="1221" spans="2:8" ht="14.25" customHeight="1" x14ac:dyDescent="0.35">
      <c r="B1221" s="337">
        <v>45716</v>
      </c>
      <c r="C1221" s="337"/>
      <c r="D1221">
        <v>22124.7</v>
      </c>
      <c r="E1221">
        <v>8705.39</v>
      </c>
      <c r="G1221" s="338">
        <f t="shared" si="36"/>
        <v>-1.8644891007116797E-2</v>
      </c>
      <c r="H1221" s="338">
        <f t="shared" si="37"/>
        <v>-1.4785026404292173E-3</v>
      </c>
    </row>
    <row r="1222" spans="2:8" ht="14.25" customHeight="1" x14ac:dyDescent="0.35">
      <c r="B1222" s="337">
        <v>45719</v>
      </c>
      <c r="C1222" s="337"/>
      <c r="D1222">
        <v>22119.3</v>
      </c>
      <c r="E1222">
        <v>8972.43</v>
      </c>
      <c r="G1222" s="338">
        <f t="shared" si="36"/>
        <v>-2.4407110604896133E-4</v>
      </c>
      <c r="H1222" s="338">
        <f t="shared" si="37"/>
        <v>3.0675248323165406E-2</v>
      </c>
    </row>
    <row r="1223" spans="2:8" ht="14.25" customHeight="1" x14ac:dyDescent="0.35">
      <c r="B1223" s="337">
        <v>45720</v>
      </c>
      <c r="C1223" s="337"/>
      <c r="D1223">
        <v>22082.65</v>
      </c>
      <c r="E1223">
        <v>9032.99</v>
      </c>
      <c r="G1223" s="338">
        <f t="shared" ref="G1223:G1286" si="38">(D1223-D1222)/D1222</f>
        <v>-1.656924043708337E-3</v>
      </c>
      <c r="H1223" s="338">
        <f t="shared" ref="H1223:H1286" si="39">(E1223-E1222)/E1222</f>
        <v>6.7495650565119469E-3</v>
      </c>
    </row>
    <row r="1224" spans="2:8" ht="14.25" customHeight="1" x14ac:dyDescent="0.35">
      <c r="B1224" s="337">
        <v>45721</v>
      </c>
      <c r="C1224" s="337"/>
      <c r="D1224">
        <v>22337.3</v>
      </c>
      <c r="E1224">
        <v>9232.82</v>
      </c>
      <c r="G1224" s="338">
        <f t="shared" si="38"/>
        <v>1.1531677583985519E-2</v>
      </c>
      <c r="H1224" s="338">
        <f t="shared" si="39"/>
        <v>2.2122243022520773E-2</v>
      </c>
    </row>
    <row r="1225" spans="2:8" ht="14.25" customHeight="1" x14ac:dyDescent="0.35">
      <c r="B1225" s="337">
        <v>45722</v>
      </c>
      <c r="C1225" s="337"/>
      <c r="D1225">
        <v>22544.7</v>
      </c>
      <c r="E1225">
        <v>9381.23</v>
      </c>
      <c r="G1225" s="338">
        <f t="shared" si="38"/>
        <v>9.2849180518684658E-3</v>
      </c>
      <c r="H1225" s="338">
        <f t="shared" si="39"/>
        <v>1.6074178853264752E-2</v>
      </c>
    </row>
    <row r="1226" spans="2:8" ht="14.25" customHeight="1" x14ac:dyDescent="0.35">
      <c r="B1226" s="337">
        <v>45723</v>
      </c>
      <c r="C1226" s="337"/>
      <c r="D1226">
        <v>22552.5</v>
      </c>
      <c r="E1226">
        <v>9480.83</v>
      </c>
      <c r="G1226" s="338">
        <f t="shared" si="38"/>
        <v>3.4597932108208459E-4</v>
      </c>
      <c r="H1226" s="338">
        <f t="shared" si="39"/>
        <v>1.0616944686357798E-2</v>
      </c>
    </row>
    <row r="1227" spans="2:8" ht="14.25" customHeight="1" x14ac:dyDescent="0.35">
      <c r="B1227" s="337">
        <v>45726</v>
      </c>
      <c r="C1227" s="337"/>
      <c r="D1227">
        <v>22460.3</v>
      </c>
      <c r="E1227">
        <v>9831.2099999999991</v>
      </c>
      <c r="G1227" s="338">
        <f t="shared" si="38"/>
        <v>-4.0882385544840144E-3</v>
      </c>
      <c r="H1227" s="338">
        <f t="shared" si="39"/>
        <v>3.6956679953126383E-2</v>
      </c>
    </row>
    <row r="1228" spans="2:8" ht="14.25" customHeight="1" x14ac:dyDescent="0.35">
      <c r="B1228" s="337">
        <v>45727</v>
      </c>
      <c r="C1228" s="337"/>
      <c r="D1228">
        <v>22497.9</v>
      </c>
      <c r="E1228">
        <v>9759.4599999999991</v>
      </c>
      <c r="G1228" s="338">
        <f t="shared" si="38"/>
        <v>1.6740649056335927E-3</v>
      </c>
      <c r="H1228" s="338">
        <f t="shared" si="39"/>
        <v>-7.2981860828931541E-3</v>
      </c>
    </row>
    <row r="1229" spans="2:8" ht="14.25" customHeight="1" x14ac:dyDescent="0.35">
      <c r="B1229" s="337">
        <v>45728</v>
      </c>
      <c r="C1229" s="337"/>
      <c r="D1229">
        <v>22470.5</v>
      </c>
      <c r="E1229">
        <v>9775.25</v>
      </c>
      <c r="G1229" s="338">
        <f t="shared" si="38"/>
        <v>-1.2178914476462894E-3</v>
      </c>
      <c r="H1229" s="338">
        <f t="shared" si="39"/>
        <v>1.6179173847734275E-3</v>
      </c>
    </row>
    <row r="1230" spans="2:8" ht="14.25" customHeight="1" x14ac:dyDescent="0.35">
      <c r="B1230" s="337">
        <v>45729</v>
      </c>
      <c r="C1230" s="337"/>
      <c r="D1230">
        <v>22397.200000000001</v>
      </c>
      <c r="E1230">
        <v>10091.11</v>
      </c>
      <c r="G1230" s="338">
        <f t="shared" si="38"/>
        <v>-3.262054693932012E-3</v>
      </c>
      <c r="H1230" s="338">
        <f t="shared" si="39"/>
        <v>3.2312217078847148E-2</v>
      </c>
    </row>
    <row r="1231" spans="2:8" ht="14.25" customHeight="1" x14ac:dyDescent="0.35">
      <c r="B1231" s="337">
        <v>45733</v>
      </c>
      <c r="C1231" s="337"/>
      <c r="D1231">
        <v>22508.75</v>
      </c>
      <c r="E1231">
        <v>10082.620000000001</v>
      </c>
      <c r="G1231" s="338">
        <f t="shared" si="38"/>
        <v>4.9805332809458001E-3</v>
      </c>
      <c r="H1231" s="338">
        <f t="shared" si="39"/>
        <v>-8.4133460045523046E-4</v>
      </c>
    </row>
    <row r="1232" spans="2:8" ht="14.25" customHeight="1" x14ac:dyDescent="0.35">
      <c r="B1232" s="337">
        <v>45734</v>
      </c>
      <c r="C1232" s="337"/>
      <c r="D1232">
        <v>22834.3</v>
      </c>
      <c r="E1232">
        <v>10082.620000000001</v>
      </c>
      <c r="G1232" s="338">
        <f t="shared" si="38"/>
        <v>1.4463264286110925E-2</v>
      </c>
      <c r="H1232" s="338">
        <f t="shared" si="39"/>
        <v>0</v>
      </c>
    </row>
    <row r="1233" spans="2:8" ht="14.25" customHeight="1" x14ac:dyDescent="0.35">
      <c r="B1233" s="337">
        <v>45735</v>
      </c>
      <c r="C1233" s="337"/>
      <c r="D1233">
        <v>22907.599999999999</v>
      </c>
      <c r="E1233">
        <v>10304.629999999999</v>
      </c>
      <c r="G1233" s="338">
        <f t="shared" si="38"/>
        <v>3.2100830767748203E-3</v>
      </c>
      <c r="H1233" s="338">
        <f t="shared" si="39"/>
        <v>2.2019078374469966E-2</v>
      </c>
    </row>
    <row r="1234" spans="2:8" ht="14.25" customHeight="1" x14ac:dyDescent="0.35">
      <c r="B1234" s="337">
        <v>45736</v>
      </c>
      <c r="C1234" s="337"/>
      <c r="D1234">
        <v>23190.65</v>
      </c>
      <c r="E1234">
        <v>10418.209999999999</v>
      </c>
      <c r="G1234" s="338">
        <f t="shared" si="38"/>
        <v>1.23561612739878E-2</v>
      </c>
      <c r="H1234" s="338">
        <f t="shared" si="39"/>
        <v>1.1022229813200468E-2</v>
      </c>
    </row>
    <row r="1235" spans="2:8" ht="14.25" customHeight="1" x14ac:dyDescent="0.35">
      <c r="B1235" s="337">
        <v>45737</v>
      </c>
      <c r="C1235" s="337"/>
      <c r="D1235">
        <v>23350.400000000001</v>
      </c>
      <c r="E1235">
        <v>10644.28</v>
      </c>
      <c r="G1235" s="338">
        <f t="shared" si="38"/>
        <v>6.8885520673202345E-3</v>
      </c>
      <c r="H1235" s="338">
        <f t="shared" si="39"/>
        <v>2.1699505001339148E-2</v>
      </c>
    </row>
    <row r="1236" spans="2:8" ht="14.25" customHeight="1" x14ac:dyDescent="0.35">
      <c r="B1236" s="337">
        <v>45740</v>
      </c>
      <c r="C1236" s="337"/>
      <c r="D1236">
        <v>23658.35</v>
      </c>
      <c r="E1236">
        <v>10863.8</v>
      </c>
      <c r="G1236" s="338">
        <f t="shared" si="38"/>
        <v>1.3188210908592447E-2</v>
      </c>
      <c r="H1236" s="338">
        <f t="shared" si="39"/>
        <v>2.0623283115438394E-2</v>
      </c>
    </row>
    <row r="1237" spans="2:8" ht="14.25" customHeight="1" x14ac:dyDescent="0.35">
      <c r="B1237" s="337">
        <v>45741</v>
      </c>
      <c r="C1237" s="337"/>
      <c r="D1237">
        <v>23668.65</v>
      </c>
      <c r="E1237">
        <v>10766.26</v>
      </c>
      <c r="G1237" s="338">
        <f t="shared" si="38"/>
        <v>4.3536425828525282E-4</v>
      </c>
      <c r="H1237" s="338">
        <f t="shared" si="39"/>
        <v>-8.9784421657246143E-3</v>
      </c>
    </row>
    <row r="1238" spans="2:8" ht="14.25" customHeight="1" x14ac:dyDescent="0.35">
      <c r="B1238" s="337">
        <v>45742</v>
      </c>
      <c r="C1238" s="337"/>
      <c r="D1238">
        <v>23486.85</v>
      </c>
      <c r="E1238">
        <v>10974.83</v>
      </c>
      <c r="G1238" s="338">
        <f t="shared" si="38"/>
        <v>-7.6810464475161409E-3</v>
      </c>
      <c r="H1238" s="338">
        <f t="shared" si="39"/>
        <v>1.9372558344308951E-2</v>
      </c>
    </row>
    <row r="1239" spans="2:8" ht="14.25" customHeight="1" x14ac:dyDescent="0.35">
      <c r="B1239" s="337">
        <v>45743</v>
      </c>
      <c r="C1239" s="337"/>
      <c r="D1239">
        <v>23591.95</v>
      </c>
      <c r="E1239">
        <v>10928.56</v>
      </c>
      <c r="G1239" s="338">
        <f t="shared" si="38"/>
        <v>4.4748444342260539E-3</v>
      </c>
      <c r="H1239" s="338">
        <f t="shared" si="39"/>
        <v>-4.2160106352445038E-3</v>
      </c>
    </row>
    <row r="1240" spans="2:8" ht="14.25" customHeight="1" x14ac:dyDescent="0.35">
      <c r="B1240" s="337">
        <v>45744</v>
      </c>
      <c r="C1240" s="337"/>
      <c r="D1240">
        <v>23519.35</v>
      </c>
      <c r="E1240">
        <v>11237.27</v>
      </c>
      <c r="G1240" s="338">
        <f t="shared" si="38"/>
        <v>-3.077320865803894E-3</v>
      </c>
      <c r="H1240" s="338">
        <f t="shared" si="39"/>
        <v>2.8248003396604947E-2</v>
      </c>
    </row>
    <row r="1241" spans="2:8" ht="14.25" customHeight="1" x14ac:dyDescent="0.35">
      <c r="B1241" s="337">
        <v>45748</v>
      </c>
      <c r="C1241" s="337"/>
      <c r="D1241">
        <v>23165.7</v>
      </c>
      <c r="E1241">
        <v>11124.94</v>
      </c>
      <c r="G1241" s="338">
        <f t="shared" si="38"/>
        <v>-1.5036555006834706E-2</v>
      </c>
      <c r="H1241" s="338">
        <f t="shared" si="39"/>
        <v>-9.9962001446970584E-3</v>
      </c>
    </row>
    <row r="1242" spans="2:8" ht="14.25" customHeight="1" x14ac:dyDescent="0.35">
      <c r="B1242" s="337">
        <v>45749</v>
      </c>
      <c r="C1242" s="337"/>
      <c r="D1242">
        <v>23332.35</v>
      </c>
      <c r="E1242">
        <v>11188.25</v>
      </c>
      <c r="G1242" s="338">
        <f t="shared" si="38"/>
        <v>7.1938253538635921E-3</v>
      </c>
      <c r="H1242" s="338">
        <f t="shared" si="39"/>
        <v>5.6908172089017552E-3</v>
      </c>
    </row>
    <row r="1243" spans="2:8" ht="14.25" customHeight="1" x14ac:dyDescent="0.35">
      <c r="B1243" s="337">
        <v>45750</v>
      </c>
      <c r="C1243" s="337"/>
      <c r="D1243">
        <v>23250.1</v>
      </c>
      <c r="E1243">
        <v>11286.84</v>
      </c>
      <c r="G1243" s="338">
        <f t="shared" si="38"/>
        <v>-3.5251485598321647E-3</v>
      </c>
      <c r="H1243" s="338">
        <f t="shared" si="39"/>
        <v>8.8119232230241679E-3</v>
      </c>
    </row>
    <row r="1244" spans="2:8" ht="14.25" customHeight="1" x14ac:dyDescent="0.35">
      <c r="B1244" s="337">
        <v>45751</v>
      </c>
      <c r="C1244" s="337"/>
      <c r="D1244">
        <v>22904.45</v>
      </c>
      <c r="E1244">
        <v>10980.53</v>
      </c>
      <c r="G1244" s="338">
        <f t="shared" si="38"/>
        <v>-1.4866602724289265E-2</v>
      </c>
      <c r="H1244" s="338">
        <f t="shared" si="39"/>
        <v>-2.7138685407075806E-2</v>
      </c>
    </row>
    <row r="1245" spans="2:8" ht="14.25" customHeight="1" x14ac:dyDescent="0.35">
      <c r="B1245" s="337">
        <v>45754</v>
      </c>
      <c r="C1245" s="337"/>
      <c r="D1245">
        <v>22161.599999999999</v>
      </c>
      <c r="E1245">
        <v>10638.88</v>
      </c>
      <c r="G1245" s="338">
        <f t="shared" si="38"/>
        <v>-3.2432562231356883E-2</v>
      </c>
      <c r="H1245" s="338">
        <f t="shared" si="39"/>
        <v>-3.1114162977561324E-2</v>
      </c>
    </row>
    <row r="1246" spans="2:8" ht="14.25" customHeight="1" x14ac:dyDescent="0.35">
      <c r="B1246" s="337">
        <v>45755</v>
      </c>
      <c r="C1246" s="337"/>
      <c r="D1246">
        <v>22535.85</v>
      </c>
      <c r="E1246">
        <v>10924.21</v>
      </c>
      <c r="G1246" s="338">
        <f t="shared" si="38"/>
        <v>1.6887318605154862E-2</v>
      </c>
      <c r="H1246" s="338">
        <f t="shared" si="39"/>
        <v>2.6819552434090801E-2</v>
      </c>
    </row>
    <row r="1247" spans="2:8" ht="14.25" customHeight="1" x14ac:dyDescent="0.35">
      <c r="B1247" s="337">
        <v>45756</v>
      </c>
      <c r="C1247" s="337"/>
      <c r="D1247">
        <v>22399.15</v>
      </c>
      <c r="E1247">
        <v>10867.04</v>
      </c>
      <c r="G1247" s="338">
        <f t="shared" si="38"/>
        <v>-6.06589056991403E-3</v>
      </c>
      <c r="H1247" s="338">
        <f t="shared" si="39"/>
        <v>-5.2333303735463028E-3</v>
      </c>
    </row>
    <row r="1248" spans="2:8" ht="14.25" customHeight="1" x14ac:dyDescent="0.35">
      <c r="B1248" s="337">
        <v>45758</v>
      </c>
      <c r="C1248" s="337"/>
      <c r="D1248">
        <v>22828.55</v>
      </c>
      <c r="E1248">
        <v>11310.28</v>
      </c>
      <c r="G1248" s="338">
        <f t="shared" si="38"/>
        <v>1.9170370304230196E-2</v>
      </c>
      <c r="H1248" s="338">
        <f t="shared" si="39"/>
        <v>4.078755576495529E-2</v>
      </c>
    </row>
    <row r="1249" spans="2:8" ht="14.25" customHeight="1" x14ac:dyDescent="0.35">
      <c r="B1249" s="337">
        <v>45762</v>
      </c>
      <c r="C1249" s="337"/>
      <c r="D1249">
        <v>23328.55</v>
      </c>
      <c r="E1249">
        <v>11937.85</v>
      </c>
      <c r="G1249" s="338">
        <f t="shared" si="38"/>
        <v>2.1902398531663203E-2</v>
      </c>
      <c r="H1249" s="338">
        <f t="shared" si="39"/>
        <v>5.548668998468647E-2</v>
      </c>
    </row>
    <row r="1250" spans="2:8" ht="14.25" customHeight="1" x14ac:dyDescent="0.35">
      <c r="B1250" s="337">
        <v>45763</v>
      </c>
      <c r="C1250" s="337"/>
      <c r="D1250">
        <v>23437.200000000001</v>
      </c>
      <c r="E1250">
        <v>12120.75</v>
      </c>
      <c r="G1250" s="338">
        <f t="shared" si="38"/>
        <v>4.6573833350123115E-3</v>
      </c>
      <c r="H1250" s="338">
        <f t="shared" si="39"/>
        <v>1.5321016766000548E-2</v>
      </c>
    </row>
    <row r="1251" spans="2:8" ht="14.25" customHeight="1" x14ac:dyDescent="0.35">
      <c r="B1251" s="337">
        <v>45764</v>
      </c>
      <c r="C1251" s="337"/>
      <c r="D1251">
        <v>23851.65</v>
      </c>
      <c r="E1251">
        <v>12225.68</v>
      </c>
      <c r="G1251" s="338">
        <f t="shared" si="38"/>
        <v>1.7683426347857283E-2</v>
      </c>
      <c r="H1251" s="338">
        <f t="shared" si="39"/>
        <v>8.6570550502238133E-3</v>
      </c>
    </row>
    <row r="1252" spans="2:8" ht="14.25" customHeight="1" x14ac:dyDescent="0.35">
      <c r="B1252" s="337">
        <v>45768</v>
      </c>
      <c r="C1252" s="337"/>
      <c r="D1252">
        <v>24125.55</v>
      </c>
      <c r="E1252">
        <v>12467.54</v>
      </c>
      <c r="G1252" s="338">
        <f t="shared" si="38"/>
        <v>1.1483482274811085E-2</v>
      </c>
      <c r="H1252" s="338">
        <f t="shared" si="39"/>
        <v>1.978294867851936E-2</v>
      </c>
    </row>
    <row r="1253" spans="2:8" ht="14.25" customHeight="1" x14ac:dyDescent="0.35">
      <c r="B1253" s="337">
        <v>45769</v>
      </c>
      <c r="C1253" s="337"/>
      <c r="D1253">
        <v>24167.25</v>
      </c>
      <c r="E1253">
        <v>12826.32</v>
      </c>
      <c r="G1253" s="338">
        <f t="shared" si="38"/>
        <v>1.7284580040662588E-3</v>
      </c>
      <c r="H1253" s="338">
        <f t="shared" si="39"/>
        <v>2.8777128447151468E-2</v>
      </c>
    </row>
    <row r="1254" spans="2:8" ht="14.25" customHeight="1" x14ac:dyDescent="0.35">
      <c r="B1254" s="337">
        <v>45770</v>
      </c>
      <c r="C1254" s="337"/>
      <c r="D1254">
        <v>24328.95</v>
      </c>
      <c r="E1254">
        <v>13076.17</v>
      </c>
      <c r="G1254" s="338">
        <f t="shared" si="38"/>
        <v>6.6908729789281248E-3</v>
      </c>
      <c r="H1254" s="338">
        <f t="shared" si="39"/>
        <v>1.9479476576290032E-2</v>
      </c>
    </row>
    <row r="1255" spans="2:8" ht="14.25" customHeight="1" x14ac:dyDescent="0.35">
      <c r="B1255" s="337">
        <v>45771</v>
      </c>
      <c r="C1255" s="337"/>
      <c r="D1255">
        <v>24246.7</v>
      </c>
      <c r="E1255">
        <v>13239.08</v>
      </c>
      <c r="G1255" s="338">
        <f t="shared" si="38"/>
        <v>-3.3807459836943227E-3</v>
      </c>
      <c r="H1255" s="338">
        <f t="shared" si="39"/>
        <v>1.2458540994801984E-2</v>
      </c>
    </row>
    <row r="1256" spans="2:8" ht="14.25" customHeight="1" x14ac:dyDescent="0.35">
      <c r="B1256" s="337">
        <v>45772</v>
      </c>
      <c r="C1256" s="337"/>
      <c r="D1256">
        <v>24039.35</v>
      </c>
      <c r="E1256">
        <v>12749.37</v>
      </c>
      <c r="G1256" s="338">
        <f t="shared" si="38"/>
        <v>-8.5516791975816155E-3</v>
      </c>
      <c r="H1256" s="338">
        <f t="shared" si="39"/>
        <v>-3.6989730404227421E-2</v>
      </c>
    </row>
    <row r="1257" spans="2:8" ht="14.25" customHeight="1" x14ac:dyDescent="0.35">
      <c r="B1257" s="337">
        <v>45775</v>
      </c>
      <c r="C1257" s="337"/>
      <c r="D1257">
        <v>24328.5</v>
      </c>
      <c r="E1257">
        <v>13115.15</v>
      </c>
      <c r="G1257" s="338">
        <f t="shared" si="38"/>
        <v>1.2028195437896677E-2</v>
      </c>
      <c r="H1257" s="338">
        <f t="shared" si="39"/>
        <v>2.8690045076737031E-2</v>
      </c>
    </row>
    <row r="1258" spans="2:8" ht="14.25" customHeight="1" x14ac:dyDescent="0.35">
      <c r="B1258" s="337">
        <v>45776</v>
      </c>
      <c r="C1258" s="337"/>
      <c r="D1258">
        <v>24335.95</v>
      </c>
      <c r="E1258">
        <v>13443.95</v>
      </c>
      <c r="G1258" s="338">
        <f t="shared" si="38"/>
        <v>3.0622520911690931E-4</v>
      </c>
      <c r="H1258" s="338">
        <f t="shared" si="39"/>
        <v>2.5070243192033725E-2</v>
      </c>
    </row>
    <row r="1259" spans="2:8" ht="14.25" customHeight="1" x14ac:dyDescent="0.35">
      <c r="B1259" s="337">
        <v>45777</v>
      </c>
      <c r="C1259" s="337"/>
      <c r="D1259">
        <v>24334.2</v>
      </c>
      <c r="E1259">
        <v>13164.12</v>
      </c>
      <c r="G1259" s="338">
        <f t="shared" si="38"/>
        <v>-7.1910075423396255E-5</v>
      </c>
      <c r="H1259" s="338">
        <f t="shared" si="39"/>
        <v>-2.0814567147304171E-2</v>
      </c>
    </row>
    <row r="1260" spans="2:8" ht="14.25" customHeight="1" x14ac:dyDescent="0.35">
      <c r="B1260" s="337">
        <v>45779</v>
      </c>
      <c r="C1260" s="337"/>
      <c r="D1260">
        <v>24346.7</v>
      </c>
      <c r="E1260">
        <v>13061.18</v>
      </c>
      <c r="G1260" s="338">
        <f t="shared" si="38"/>
        <v>5.1368033467301161E-4</v>
      </c>
      <c r="H1260" s="338">
        <f t="shared" si="39"/>
        <v>-7.8197403244577302E-3</v>
      </c>
    </row>
    <row r="1261" spans="2:8" ht="14.25" customHeight="1" x14ac:dyDescent="0.35">
      <c r="B1261" s="337">
        <v>45782</v>
      </c>
      <c r="C1261" s="337"/>
      <c r="D1261">
        <v>24461.15</v>
      </c>
      <c r="E1261">
        <v>13183.11</v>
      </c>
      <c r="G1261" s="338">
        <f t="shared" si="38"/>
        <v>4.700842413961675E-3</v>
      </c>
      <c r="H1261" s="338">
        <f t="shared" si="39"/>
        <v>9.3352974233568697E-3</v>
      </c>
    </row>
    <row r="1262" spans="2:8" ht="14.25" customHeight="1" x14ac:dyDescent="0.35">
      <c r="B1262" s="337">
        <v>45783</v>
      </c>
      <c r="C1262" s="337"/>
      <c r="D1262">
        <v>24379.599999999999</v>
      </c>
      <c r="E1262">
        <v>13180.11</v>
      </c>
      <c r="G1262" s="338">
        <f t="shared" si="38"/>
        <v>-3.333857974788712E-3</v>
      </c>
      <c r="H1262" s="338">
        <f t="shared" si="39"/>
        <v>-2.275639056337996E-4</v>
      </c>
    </row>
    <row r="1263" spans="2:8" ht="14.25" customHeight="1" x14ac:dyDescent="0.35">
      <c r="B1263" s="337">
        <v>45784</v>
      </c>
      <c r="C1263" s="337"/>
      <c r="D1263">
        <v>24414.400000000001</v>
      </c>
      <c r="E1263">
        <v>13287.05</v>
      </c>
      <c r="G1263" s="338">
        <f t="shared" si="38"/>
        <v>1.4274229273656218E-3</v>
      </c>
      <c r="H1263" s="338">
        <f t="shared" si="39"/>
        <v>8.1137410841031436E-3</v>
      </c>
    </row>
    <row r="1264" spans="2:8" ht="14.25" customHeight="1" x14ac:dyDescent="0.35">
      <c r="B1264" s="337">
        <v>45785</v>
      </c>
      <c r="C1264" s="337"/>
      <c r="D1264">
        <v>24273.8</v>
      </c>
      <c r="E1264">
        <v>13110.15</v>
      </c>
      <c r="G1264" s="338">
        <f t="shared" si="38"/>
        <v>-5.7588963890164071E-3</v>
      </c>
      <c r="H1264" s="338">
        <f t="shared" si="39"/>
        <v>-1.3313715234006016E-2</v>
      </c>
    </row>
    <row r="1265" spans="2:8" ht="14.25" customHeight="1" x14ac:dyDescent="0.35">
      <c r="B1265" s="337">
        <v>45786</v>
      </c>
      <c r="C1265" s="337"/>
      <c r="D1265">
        <v>24008</v>
      </c>
      <c r="E1265">
        <v>13478.93</v>
      </c>
      <c r="G1265" s="338">
        <f t="shared" si="38"/>
        <v>-1.095007786172743E-2</v>
      </c>
      <c r="H1265" s="338">
        <f t="shared" si="39"/>
        <v>2.8129350159990591E-2</v>
      </c>
    </row>
    <row r="1266" spans="2:8" ht="14.25" customHeight="1" x14ac:dyDescent="0.35">
      <c r="B1266" s="337">
        <v>45789</v>
      </c>
      <c r="C1266" s="337"/>
      <c r="D1266">
        <v>24924.7</v>
      </c>
      <c r="E1266">
        <v>13281.05</v>
      </c>
      <c r="G1266" s="338">
        <f t="shared" si="38"/>
        <v>3.8183105631456209E-2</v>
      </c>
      <c r="H1266" s="338">
        <f t="shared" si="39"/>
        <v>-1.4680690529589591E-2</v>
      </c>
    </row>
    <row r="1267" spans="2:8" ht="14.25" customHeight="1" x14ac:dyDescent="0.35">
      <c r="B1267" s="337">
        <v>45790</v>
      </c>
      <c r="C1267" s="337"/>
      <c r="D1267">
        <v>24578.35</v>
      </c>
      <c r="E1267">
        <v>13583.87</v>
      </c>
      <c r="G1267" s="338">
        <f t="shared" si="38"/>
        <v>-1.389585431319142E-2</v>
      </c>
      <c r="H1267" s="338">
        <f t="shared" si="39"/>
        <v>2.2800908060733267E-2</v>
      </c>
    </row>
    <row r="1268" spans="2:8" ht="14.25" customHeight="1" x14ac:dyDescent="0.35">
      <c r="B1268" s="337">
        <v>45791</v>
      </c>
      <c r="C1268" s="337"/>
      <c r="D1268">
        <v>24666.9</v>
      </c>
      <c r="E1268">
        <v>13715.79</v>
      </c>
      <c r="G1268" s="338">
        <f t="shared" si="38"/>
        <v>3.6027642213575326E-3</v>
      </c>
      <c r="H1268" s="338">
        <f t="shared" si="39"/>
        <v>9.7115181461542299E-3</v>
      </c>
    </row>
    <row r="1269" spans="2:8" ht="14.25" customHeight="1" x14ac:dyDescent="0.35">
      <c r="B1269" s="337">
        <v>45792</v>
      </c>
      <c r="C1269" s="337"/>
      <c r="D1269">
        <v>25062.1</v>
      </c>
      <c r="E1269">
        <v>13871.7</v>
      </c>
      <c r="G1269" s="338">
        <f t="shared" si="38"/>
        <v>1.6021470067174921E-2</v>
      </c>
      <c r="H1269" s="338">
        <f t="shared" si="39"/>
        <v>1.136719066127433E-2</v>
      </c>
    </row>
    <row r="1270" spans="2:8" ht="14.25" customHeight="1" x14ac:dyDescent="0.35">
      <c r="B1270" s="337">
        <v>45793</v>
      </c>
      <c r="C1270" s="337"/>
      <c r="D1270">
        <v>25019.8</v>
      </c>
      <c r="E1270">
        <v>14016.61</v>
      </c>
      <c r="G1270" s="338">
        <f t="shared" si="38"/>
        <v>-1.6878074862042396E-3</v>
      </c>
      <c r="H1270" s="338">
        <f t="shared" si="39"/>
        <v>1.044644852469415E-2</v>
      </c>
    </row>
    <row r="1271" spans="2:8" ht="14.25" customHeight="1" x14ac:dyDescent="0.35">
      <c r="B1271" s="337">
        <v>45796</v>
      </c>
      <c r="C1271" s="337"/>
      <c r="D1271">
        <v>24945.45</v>
      </c>
      <c r="E1271">
        <v>13695.8</v>
      </c>
      <c r="G1271" s="338">
        <f t="shared" si="38"/>
        <v>-2.9716464560067845E-3</v>
      </c>
      <c r="H1271" s="338">
        <f t="shared" si="39"/>
        <v>-2.2887845206508658E-2</v>
      </c>
    </row>
    <row r="1272" spans="2:8" ht="14.25" customHeight="1" x14ac:dyDescent="0.35">
      <c r="B1272" s="337">
        <v>45797</v>
      </c>
      <c r="C1272" s="337"/>
      <c r="D1272">
        <v>24683.9</v>
      </c>
      <c r="E1272">
        <v>13480.93</v>
      </c>
      <c r="G1272" s="338">
        <f t="shared" si="38"/>
        <v>-1.0484878003804271E-2</v>
      </c>
      <c r="H1272" s="338">
        <f t="shared" si="39"/>
        <v>-1.5688751296017683E-2</v>
      </c>
    </row>
    <row r="1273" spans="2:8" ht="14.25" customHeight="1" x14ac:dyDescent="0.35">
      <c r="B1273" s="337">
        <v>45798</v>
      </c>
      <c r="C1273" s="337"/>
      <c r="D1273">
        <v>24813.45</v>
      </c>
      <c r="E1273">
        <v>14183.51</v>
      </c>
      <c r="G1273" s="338">
        <f t="shared" si="38"/>
        <v>5.2483602672186835E-3</v>
      </c>
      <c r="H1273" s="338">
        <f t="shared" si="39"/>
        <v>5.2116582461299028E-2</v>
      </c>
    </row>
    <row r="1274" spans="2:8" ht="14.25" customHeight="1" x14ac:dyDescent="0.35">
      <c r="B1274" s="337">
        <v>45799</v>
      </c>
      <c r="C1274" s="337"/>
      <c r="D1274">
        <v>24609.7</v>
      </c>
      <c r="E1274">
        <v>14999.02</v>
      </c>
      <c r="G1274" s="338">
        <f t="shared" si="38"/>
        <v>-8.2112725155107404E-3</v>
      </c>
      <c r="H1274" s="338">
        <f t="shared" si="39"/>
        <v>5.7497051153064381E-2</v>
      </c>
    </row>
    <row r="1275" spans="2:8" ht="14.25" customHeight="1" x14ac:dyDescent="0.35">
      <c r="B1275" s="337">
        <v>45800</v>
      </c>
      <c r="C1275" s="337"/>
      <c r="D1275">
        <v>24853.15</v>
      </c>
      <c r="E1275">
        <v>15324.83</v>
      </c>
      <c r="G1275" s="338">
        <f t="shared" si="38"/>
        <v>9.8924407855439413E-3</v>
      </c>
      <c r="H1275" s="338">
        <f t="shared" si="39"/>
        <v>2.1722085842941705E-2</v>
      </c>
    </row>
    <row r="1276" spans="2:8" ht="14.25" customHeight="1" x14ac:dyDescent="0.35">
      <c r="B1276" s="337">
        <v>45803</v>
      </c>
      <c r="C1276" s="337"/>
      <c r="D1276">
        <v>25001.15</v>
      </c>
      <c r="E1276">
        <v>15875.5</v>
      </c>
      <c r="G1276" s="338">
        <f t="shared" si="38"/>
        <v>5.9549795498759711E-3</v>
      </c>
      <c r="H1276" s="338">
        <f t="shared" si="39"/>
        <v>3.5933188165871995E-2</v>
      </c>
    </row>
    <row r="1277" spans="2:8" ht="14.25" customHeight="1" x14ac:dyDescent="0.35">
      <c r="B1277" s="337">
        <v>45804</v>
      </c>
      <c r="C1277" s="337"/>
      <c r="D1277">
        <v>24826.2</v>
      </c>
      <c r="E1277">
        <v>15880.5</v>
      </c>
      <c r="G1277" s="338">
        <f t="shared" si="38"/>
        <v>-6.9976781068071155E-3</v>
      </c>
      <c r="H1277" s="338">
        <f t="shared" si="39"/>
        <v>3.1495071021385153E-4</v>
      </c>
    </row>
    <row r="1278" spans="2:8" ht="14.25" customHeight="1" x14ac:dyDescent="0.35">
      <c r="B1278" s="337">
        <v>45805</v>
      </c>
      <c r="C1278" s="337"/>
      <c r="D1278">
        <v>24752.45</v>
      </c>
      <c r="E1278">
        <v>16103.36</v>
      </c>
      <c r="G1278" s="338">
        <f t="shared" si="38"/>
        <v>-2.9706519725129095E-3</v>
      </c>
      <c r="H1278" s="338">
        <f t="shared" si="39"/>
        <v>1.4033563174963041E-2</v>
      </c>
    </row>
    <row r="1279" spans="2:8" ht="14.25" customHeight="1" x14ac:dyDescent="0.35">
      <c r="B1279" s="337">
        <v>45806</v>
      </c>
      <c r="C1279" s="337"/>
      <c r="D1279">
        <v>24833.599999999999</v>
      </c>
      <c r="E1279">
        <v>16239.28</v>
      </c>
      <c r="G1279" s="338">
        <f t="shared" si="38"/>
        <v>3.2784633440325226E-3</v>
      </c>
      <c r="H1279" s="338">
        <f t="shared" si="39"/>
        <v>8.4404745345070878E-3</v>
      </c>
    </row>
    <row r="1280" spans="2:8" ht="14.25" customHeight="1" x14ac:dyDescent="0.35">
      <c r="B1280" s="337">
        <v>45807</v>
      </c>
      <c r="C1280" s="337"/>
      <c r="D1280">
        <v>24750.7</v>
      </c>
      <c r="E1280">
        <v>16094.37</v>
      </c>
      <c r="G1280" s="338">
        <f t="shared" si="38"/>
        <v>-3.3382191869079725E-3</v>
      </c>
      <c r="H1280" s="338">
        <f t="shared" si="39"/>
        <v>-8.9234251764856477E-3</v>
      </c>
    </row>
    <row r="1281" spans="2:8" ht="14.25" customHeight="1" x14ac:dyDescent="0.35">
      <c r="B1281" s="337">
        <v>45810</v>
      </c>
      <c r="C1281" s="337"/>
      <c r="D1281">
        <v>24716.6</v>
      </c>
      <c r="E1281">
        <v>16284.25</v>
      </c>
      <c r="G1281" s="338">
        <f t="shared" si="38"/>
        <v>-1.3777388114276437E-3</v>
      </c>
      <c r="H1281" s="338">
        <f t="shared" si="39"/>
        <v>1.1797914425976238E-2</v>
      </c>
    </row>
    <row r="1282" spans="2:8" ht="14.25" customHeight="1" x14ac:dyDescent="0.35">
      <c r="B1282" s="337">
        <v>45811</v>
      </c>
      <c r="C1282" s="337"/>
      <c r="D1282">
        <v>24542.5</v>
      </c>
      <c r="E1282">
        <v>16609.060000000001</v>
      </c>
      <c r="G1282" s="338">
        <f t="shared" si="38"/>
        <v>-7.0438490730925186E-3</v>
      </c>
      <c r="H1282" s="338">
        <f t="shared" si="39"/>
        <v>1.9946267098576925E-2</v>
      </c>
    </row>
    <row r="1283" spans="2:8" ht="14.25" customHeight="1" x14ac:dyDescent="0.35">
      <c r="B1283" s="337">
        <v>45812</v>
      </c>
      <c r="C1283" s="337"/>
      <c r="D1283">
        <v>24620.2</v>
      </c>
      <c r="E1283">
        <v>16798.95</v>
      </c>
      <c r="G1283" s="338">
        <f t="shared" si="38"/>
        <v>3.165936640521574E-3</v>
      </c>
      <c r="H1283" s="338">
        <f t="shared" si="39"/>
        <v>1.1432916733397278E-2</v>
      </c>
    </row>
    <row r="1284" spans="2:8" ht="14.25" customHeight="1" x14ac:dyDescent="0.35">
      <c r="B1284" s="337">
        <v>45813</v>
      </c>
      <c r="C1284" s="337"/>
      <c r="D1284">
        <v>24750.9</v>
      </c>
      <c r="E1284">
        <v>17012.82</v>
      </c>
      <c r="G1284" s="338">
        <f t="shared" si="38"/>
        <v>5.308648995540277E-3</v>
      </c>
      <c r="H1284" s="338">
        <f t="shared" si="39"/>
        <v>1.2731152839909577E-2</v>
      </c>
    </row>
    <row r="1285" spans="2:8" ht="14.25" customHeight="1" x14ac:dyDescent="0.35">
      <c r="B1285" s="337">
        <v>45814</v>
      </c>
      <c r="C1285" s="337"/>
      <c r="D1285">
        <v>25003.05</v>
      </c>
      <c r="E1285">
        <v>16513.12</v>
      </c>
      <c r="G1285" s="338">
        <f t="shared" si="38"/>
        <v>1.0187508333030225E-2</v>
      </c>
      <c r="H1285" s="338">
        <f t="shared" si="39"/>
        <v>-2.937196772786644E-2</v>
      </c>
    </row>
    <row r="1286" spans="2:8" ht="14.25" customHeight="1" x14ac:dyDescent="0.35">
      <c r="B1286" s="337">
        <v>45817</v>
      </c>
      <c r="C1286" s="337"/>
      <c r="D1286">
        <v>25103.200000000001</v>
      </c>
      <c r="E1286">
        <v>16816.93</v>
      </c>
      <c r="G1286" s="338">
        <f t="shared" si="38"/>
        <v>4.0055113276180887E-3</v>
      </c>
      <c r="H1286" s="338">
        <f t="shared" si="39"/>
        <v>1.8398097997228951E-2</v>
      </c>
    </row>
    <row r="1287" spans="2:8" ht="14.25" customHeight="1" x14ac:dyDescent="0.35">
      <c r="B1287" s="337">
        <v>45818</v>
      </c>
      <c r="C1287" s="337"/>
      <c r="D1287">
        <v>25104.25</v>
      </c>
      <c r="E1287">
        <v>16896.89</v>
      </c>
      <c r="G1287" s="338">
        <f t="shared" ref="G1287:G1350" si="40">(D1287-D1286)/D1286</f>
        <v>4.1827336753850999E-5</v>
      </c>
      <c r="H1287" s="338">
        <f t="shared" ref="H1287:H1350" si="41">(E1287-E1286)/E1286</f>
        <v>4.754732284667839E-3</v>
      </c>
    </row>
    <row r="1288" spans="2:8" ht="14.25" customHeight="1" x14ac:dyDescent="0.35">
      <c r="B1288" s="337">
        <v>45819</v>
      </c>
      <c r="C1288" s="337"/>
      <c r="D1288">
        <v>25141.4</v>
      </c>
      <c r="E1288">
        <v>16577.080000000002</v>
      </c>
      <c r="G1288" s="338">
        <f t="shared" si="40"/>
        <v>1.479829112600514E-3</v>
      </c>
      <c r="H1288" s="338">
        <f t="shared" si="41"/>
        <v>-1.8927151682942699E-2</v>
      </c>
    </row>
    <row r="1289" spans="2:8" ht="14.25" customHeight="1" x14ac:dyDescent="0.35">
      <c r="B1289" s="337">
        <v>45820</v>
      </c>
      <c r="C1289" s="337"/>
      <c r="D1289">
        <v>24888.2</v>
      </c>
      <c r="E1289">
        <v>16642.04</v>
      </c>
      <c r="G1289" s="338">
        <f t="shared" si="40"/>
        <v>-1.0071038207896168E-2</v>
      </c>
      <c r="H1289" s="338">
        <f t="shared" si="41"/>
        <v>3.9186636005858165E-3</v>
      </c>
    </row>
    <row r="1290" spans="2:8" ht="14.25" customHeight="1" x14ac:dyDescent="0.35">
      <c r="B1290" s="337">
        <v>45821</v>
      </c>
      <c r="C1290" s="337"/>
      <c r="D1290">
        <v>24718.6</v>
      </c>
      <c r="E1290">
        <v>16839.919999999998</v>
      </c>
      <c r="G1290" s="338">
        <f t="shared" si="40"/>
        <v>-6.8144743292002704E-3</v>
      </c>
      <c r="H1290" s="338">
        <f t="shared" si="41"/>
        <v>1.1890369209543864E-2</v>
      </c>
    </row>
    <row r="1291" spans="2:8" ht="14.25" customHeight="1" x14ac:dyDescent="0.35">
      <c r="B1291" s="337">
        <v>45824</v>
      </c>
      <c r="C1291" s="337"/>
      <c r="D1291">
        <v>24946.5</v>
      </c>
      <c r="E1291">
        <v>16998.830000000002</v>
      </c>
      <c r="G1291" s="338">
        <f t="shared" si="40"/>
        <v>9.2197778191322102E-3</v>
      </c>
      <c r="H1291" s="338">
        <f t="shared" si="41"/>
        <v>9.4365056366065587E-3</v>
      </c>
    </row>
    <row r="1292" spans="2:8" ht="14.25" customHeight="1" x14ac:dyDescent="0.35">
      <c r="B1292" s="337">
        <v>45825</v>
      </c>
      <c r="C1292" s="337"/>
      <c r="D1292">
        <v>24853.4</v>
      </c>
      <c r="E1292">
        <v>17144.740000000002</v>
      </c>
      <c r="G1292" s="338">
        <f t="shared" si="40"/>
        <v>-3.7319864510050927E-3</v>
      </c>
      <c r="H1292" s="338">
        <f t="shared" si="41"/>
        <v>8.5835319254325051E-3</v>
      </c>
    </row>
    <row r="1293" spans="2:8" ht="14.25" customHeight="1" x14ac:dyDescent="0.35">
      <c r="B1293" s="337">
        <v>45826</v>
      </c>
      <c r="C1293" s="337"/>
      <c r="D1293">
        <v>24812.05</v>
      </c>
      <c r="E1293">
        <v>17087.77</v>
      </c>
      <c r="G1293" s="338">
        <f t="shared" si="40"/>
        <v>-1.6637562667482992E-3</v>
      </c>
      <c r="H1293" s="338">
        <f t="shared" si="41"/>
        <v>-3.3228850364602296E-3</v>
      </c>
    </row>
    <row r="1294" spans="2:8" ht="14.25" customHeight="1" x14ac:dyDescent="0.35">
      <c r="B1294" s="337">
        <v>45827</v>
      </c>
      <c r="C1294" s="337"/>
      <c r="D1294">
        <v>24793.25</v>
      </c>
      <c r="E1294">
        <v>16871.900000000001</v>
      </c>
      <c r="G1294" s="338">
        <f t="shared" si="40"/>
        <v>-7.5769636124380178E-4</v>
      </c>
      <c r="H1294" s="338">
        <f t="shared" si="41"/>
        <v>-1.2633011797326331E-2</v>
      </c>
    </row>
    <row r="1295" spans="2:8" ht="14.25" customHeight="1" x14ac:dyDescent="0.35">
      <c r="B1295" s="337">
        <v>45828</v>
      </c>
      <c r="C1295" s="337"/>
      <c r="D1295">
        <v>25112.400000000001</v>
      </c>
      <c r="E1295">
        <v>16985.830000000002</v>
      </c>
      <c r="G1295" s="338">
        <f t="shared" si="40"/>
        <v>1.2872455204541618E-2</v>
      </c>
      <c r="H1295" s="338">
        <f t="shared" si="41"/>
        <v>6.7526478938353283E-3</v>
      </c>
    </row>
    <row r="1296" spans="2:8" ht="14.25" customHeight="1" x14ac:dyDescent="0.35">
      <c r="B1296" s="337">
        <v>45831</v>
      </c>
      <c r="C1296" s="337"/>
      <c r="D1296">
        <v>24971.9</v>
      </c>
      <c r="E1296">
        <v>17045.8</v>
      </c>
      <c r="G1296" s="338">
        <f t="shared" si="40"/>
        <v>-5.5948455742979557E-3</v>
      </c>
      <c r="H1296" s="338">
        <f t="shared" si="41"/>
        <v>3.5305899093537097E-3</v>
      </c>
    </row>
    <row r="1297" spans="2:8" ht="14.25" customHeight="1" x14ac:dyDescent="0.35">
      <c r="B1297" s="337">
        <v>45832</v>
      </c>
      <c r="C1297" s="337"/>
      <c r="D1297">
        <v>25044.35</v>
      </c>
      <c r="E1297">
        <v>17086.77</v>
      </c>
      <c r="G1297" s="338">
        <f t="shared" si="40"/>
        <v>2.9012610173834224E-3</v>
      </c>
      <c r="H1297" s="338">
        <f t="shared" si="41"/>
        <v>2.4035246219010647E-3</v>
      </c>
    </row>
    <row r="1298" spans="2:8" ht="14.25" customHeight="1" x14ac:dyDescent="0.35">
      <c r="B1298" s="337">
        <v>45833</v>
      </c>
      <c r="C1298" s="337"/>
      <c r="D1298">
        <v>25244.75</v>
      </c>
      <c r="E1298">
        <v>16989.830000000002</v>
      </c>
      <c r="G1298" s="338">
        <f t="shared" si="40"/>
        <v>8.0018047982878954E-3</v>
      </c>
      <c r="H1298" s="338">
        <f t="shared" si="41"/>
        <v>-5.673395264289195E-3</v>
      </c>
    </row>
    <row r="1299" spans="2:8" ht="14.25" customHeight="1" x14ac:dyDescent="0.35">
      <c r="B1299" s="337">
        <v>45834</v>
      </c>
      <c r="C1299" s="337"/>
      <c r="D1299">
        <v>25549</v>
      </c>
      <c r="E1299">
        <v>17255.669999999998</v>
      </c>
      <c r="G1299" s="338">
        <f t="shared" si="40"/>
        <v>1.205201081412967E-2</v>
      </c>
      <c r="H1299" s="338">
        <f t="shared" si="41"/>
        <v>1.5647007651047509E-2</v>
      </c>
    </row>
    <row r="1300" spans="2:8" ht="14.25" customHeight="1" x14ac:dyDescent="0.35">
      <c r="B1300" s="337">
        <v>45835</v>
      </c>
      <c r="C1300" s="337"/>
      <c r="D1300">
        <v>25637.8</v>
      </c>
      <c r="E1300">
        <v>17473.54</v>
      </c>
      <c r="G1300" s="338">
        <f t="shared" si="40"/>
        <v>3.4756741946846948E-3</v>
      </c>
      <c r="H1300" s="338">
        <f t="shared" si="41"/>
        <v>1.262599481793536E-2</v>
      </c>
    </row>
    <row r="1301" spans="2:8" ht="14.25" customHeight="1" x14ac:dyDescent="0.35">
      <c r="B1301" s="337">
        <v>45838</v>
      </c>
      <c r="C1301" s="337"/>
      <c r="D1301">
        <v>25517.05</v>
      </c>
      <c r="E1301">
        <v>17587.47</v>
      </c>
      <c r="G1301" s="338">
        <f t="shared" si="40"/>
        <v>-4.7098424981862723E-3</v>
      </c>
      <c r="H1301" s="338">
        <f t="shared" si="41"/>
        <v>6.5201441722742091E-3</v>
      </c>
    </row>
    <row r="1302" spans="2:8" ht="14.25" customHeight="1" x14ac:dyDescent="0.35">
      <c r="B1302" s="337">
        <v>45839</v>
      </c>
      <c r="C1302" s="337"/>
      <c r="D1302">
        <v>25541.8</v>
      </c>
      <c r="E1302">
        <v>17185.71</v>
      </c>
      <c r="G1302" s="338">
        <f t="shared" si="40"/>
        <v>9.6993970698023484E-4</v>
      </c>
      <c r="H1302" s="338">
        <f t="shared" si="41"/>
        <v>-2.2843535767225302E-2</v>
      </c>
    </row>
    <row r="1303" spans="2:8" ht="14.25" customHeight="1" x14ac:dyDescent="0.35">
      <c r="B1303" s="337">
        <v>45840</v>
      </c>
      <c r="C1303" s="337"/>
      <c r="D1303">
        <v>25453.4</v>
      </c>
      <c r="E1303">
        <v>16928.87</v>
      </c>
      <c r="G1303" s="338">
        <f t="shared" si="40"/>
        <v>-3.4609933520737702E-3</v>
      </c>
      <c r="H1303" s="338">
        <f t="shared" si="41"/>
        <v>-1.4944974632994514E-2</v>
      </c>
    </row>
    <row r="1304" spans="2:8" ht="14.25" customHeight="1" x14ac:dyDescent="0.35">
      <c r="B1304" s="337">
        <v>45841</v>
      </c>
      <c r="C1304" s="337"/>
      <c r="D1304">
        <v>25405.3</v>
      </c>
      <c r="E1304">
        <v>16811.939999999999</v>
      </c>
      <c r="G1304" s="338">
        <f t="shared" si="40"/>
        <v>-1.8897278948982132E-3</v>
      </c>
      <c r="H1304" s="338">
        <f t="shared" si="41"/>
        <v>-6.9071355619128921E-3</v>
      </c>
    </row>
    <row r="1305" spans="2:8" ht="14.25" customHeight="1" x14ac:dyDescent="0.35">
      <c r="B1305" s="337">
        <v>45842</v>
      </c>
      <c r="C1305" s="337"/>
      <c r="D1305">
        <v>25461</v>
      </c>
      <c r="E1305">
        <v>16845.919999999998</v>
      </c>
      <c r="G1305" s="338">
        <f t="shared" si="40"/>
        <v>2.1924559048702723E-3</v>
      </c>
      <c r="H1305" s="338">
        <f t="shared" si="41"/>
        <v>2.0211825642965395E-3</v>
      </c>
    </row>
    <row r="1306" spans="2:8" ht="14.25" customHeight="1" x14ac:dyDescent="0.35">
      <c r="B1306" s="337">
        <v>45845</v>
      </c>
      <c r="C1306" s="337"/>
      <c r="D1306">
        <v>25461.3</v>
      </c>
      <c r="E1306">
        <v>16707</v>
      </c>
      <c r="G1306" s="338">
        <f t="shared" si="40"/>
        <v>1.1782726522888827E-5</v>
      </c>
      <c r="H1306" s="338">
        <f t="shared" si="41"/>
        <v>-8.2465071661267687E-3</v>
      </c>
    </row>
    <row r="1307" spans="2:8" ht="14.25" customHeight="1" x14ac:dyDescent="0.35">
      <c r="B1307" s="337">
        <v>45846</v>
      </c>
      <c r="C1307" s="337"/>
      <c r="D1307">
        <v>25522.5</v>
      </c>
      <c r="E1307">
        <v>16511</v>
      </c>
      <c r="G1307" s="338">
        <f t="shared" si="40"/>
        <v>2.4036478891494438E-3</v>
      </c>
      <c r="H1307" s="338">
        <f t="shared" si="41"/>
        <v>-1.1731609504997905E-2</v>
      </c>
    </row>
    <row r="1308" spans="2:8" ht="14.25" customHeight="1" x14ac:dyDescent="0.35">
      <c r="B1308" s="337">
        <v>45847</v>
      </c>
      <c r="C1308" s="337"/>
      <c r="D1308">
        <v>25476.1</v>
      </c>
      <c r="E1308">
        <v>16502</v>
      </c>
      <c r="G1308" s="338">
        <f t="shared" si="40"/>
        <v>-1.8180037222059538E-3</v>
      </c>
      <c r="H1308" s="338">
        <f t="shared" si="41"/>
        <v>-5.4509115135364299E-4</v>
      </c>
    </row>
    <row r="1309" spans="2:8" ht="14.25" customHeight="1" x14ac:dyDescent="0.35">
      <c r="B1309" s="337">
        <v>45848</v>
      </c>
      <c r="C1309" s="337"/>
      <c r="D1309">
        <v>25355.25</v>
      </c>
      <c r="E1309">
        <v>15904</v>
      </c>
      <c r="G1309" s="338">
        <f t="shared" si="40"/>
        <v>-4.7436617064620787E-3</v>
      </c>
      <c r="H1309" s="338">
        <f t="shared" si="41"/>
        <v>-3.6238031753726821E-2</v>
      </c>
    </row>
    <row r="1310" spans="2:8" ht="14.25" customHeight="1" x14ac:dyDescent="0.35">
      <c r="B1310" s="337">
        <v>45849</v>
      </c>
      <c r="C1310" s="337"/>
      <c r="D1310">
        <v>25149.85</v>
      </c>
      <c r="E1310">
        <v>15420</v>
      </c>
      <c r="G1310" s="338">
        <f t="shared" si="40"/>
        <v>-8.1008864041964262E-3</v>
      </c>
      <c r="H1310" s="338">
        <f t="shared" si="41"/>
        <v>-3.0432595573440645E-2</v>
      </c>
    </row>
    <row r="1311" spans="2:8" ht="14.25" customHeight="1" x14ac:dyDescent="0.35">
      <c r="B1311" s="337">
        <v>45852</v>
      </c>
      <c r="C1311" s="337"/>
      <c r="D1311">
        <v>25082.3</v>
      </c>
      <c r="E1311">
        <v>15213</v>
      </c>
      <c r="G1311" s="338">
        <f t="shared" si="40"/>
        <v>-2.6859007111374135E-3</v>
      </c>
      <c r="H1311" s="338">
        <f t="shared" si="41"/>
        <v>-1.3424124513618676E-2</v>
      </c>
    </row>
    <row r="1312" spans="2:8" ht="14.25" customHeight="1" x14ac:dyDescent="0.35">
      <c r="B1312" s="337">
        <v>45853</v>
      </c>
      <c r="C1312" s="337"/>
      <c r="D1312">
        <v>25195.8</v>
      </c>
      <c r="E1312">
        <v>15366</v>
      </c>
      <c r="G1312" s="338">
        <f t="shared" si="40"/>
        <v>4.5251033597397371E-3</v>
      </c>
      <c r="H1312" s="338">
        <f t="shared" si="41"/>
        <v>1.0057187931374483E-2</v>
      </c>
    </row>
    <row r="1313" spans="2:8" ht="14.25" customHeight="1" x14ac:dyDescent="0.35">
      <c r="B1313" s="337">
        <v>45854</v>
      </c>
      <c r="C1313" s="337"/>
      <c r="D1313">
        <v>25212.05</v>
      </c>
      <c r="E1313">
        <v>15190</v>
      </c>
      <c r="G1313" s="338">
        <f t="shared" si="40"/>
        <v>6.4494876130148681E-4</v>
      </c>
      <c r="H1313" s="338">
        <f t="shared" si="41"/>
        <v>-1.145385916959521E-2</v>
      </c>
    </row>
    <row r="1314" spans="2:8" ht="14.25" customHeight="1" x14ac:dyDescent="0.35">
      <c r="B1314" s="337">
        <v>45855</v>
      </c>
      <c r="C1314" s="337"/>
      <c r="D1314">
        <v>25111.45</v>
      </c>
      <c r="E1314">
        <v>15147</v>
      </c>
      <c r="G1314" s="338">
        <f t="shared" si="40"/>
        <v>-3.9901555010401196E-3</v>
      </c>
      <c r="H1314" s="338">
        <f t="shared" si="41"/>
        <v>-2.8308097432521396E-3</v>
      </c>
    </row>
    <row r="1315" spans="2:8" ht="14.25" customHeight="1" x14ac:dyDescent="0.35">
      <c r="B1315" s="337">
        <v>45856</v>
      </c>
      <c r="C1315" s="337"/>
      <c r="D1315">
        <v>24968.400000000001</v>
      </c>
      <c r="E1315">
        <v>14906</v>
      </c>
      <c r="G1315" s="338">
        <f t="shared" si="40"/>
        <v>-5.6966045369741397E-3</v>
      </c>
      <c r="H1315" s="338">
        <f t="shared" si="41"/>
        <v>-1.591074140093748E-2</v>
      </c>
    </row>
    <row r="1316" spans="2:8" ht="14.25" customHeight="1" x14ac:dyDescent="0.35">
      <c r="B1316" s="337">
        <v>45859</v>
      </c>
      <c r="C1316" s="337"/>
      <c r="D1316">
        <v>25090.7</v>
      </c>
      <c r="E1316">
        <v>14926</v>
      </c>
      <c r="G1316" s="338">
        <f t="shared" si="40"/>
        <v>4.8981913138206401E-3</v>
      </c>
      <c r="H1316" s="338">
        <f t="shared" si="41"/>
        <v>1.3417415805715819E-3</v>
      </c>
    </row>
    <row r="1317" spans="2:8" ht="14.25" customHeight="1" x14ac:dyDescent="0.35">
      <c r="B1317" s="337">
        <v>45860</v>
      </c>
      <c r="C1317" s="337"/>
      <c r="D1317">
        <v>25060.9</v>
      </c>
      <c r="E1317">
        <v>14938</v>
      </c>
      <c r="G1317" s="338">
        <f t="shared" si="40"/>
        <v>-1.1876910568457346E-3</v>
      </c>
      <c r="H1317" s="338">
        <f t="shared" si="41"/>
        <v>8.0396623341819648E-4</v>
      </c>
    </row>
    <row r="1318" spans="2:8" ht="14.25" customHeight="1" x14ac:dyDescent="0.35">
      <c r="B1318" s="337">
        <v>45861</v>
      </c>
      <c r="C1318" s="337"/>
      <c r="D1318">
        <v>25219.9</v>
      </c>
      <c r="E1318">
        <v>14826</v>
      </c>
      <c r="G1318" s="338">
        <f t="shared" si="40"/>
        <v>6.3445446891372608E-3</v>
      </c>
      <c r="H1318" s="338">
        <f t="shared" si="41"/>
        <v>-7.4976569821930648E-3</v>
      </c>
    </row>
    <row r="1319" spans="2:8" ht="14.25" customHeight="1" x14ac:dyDescent="0.35">
      <c r="B1319" s="337">
        <v>45862</v>
      </c>
      <c r="C1319" s="337"/>
      <c r="D1319">
        <v>25062.1</v>
      </c>
      <c r="E1319">
        <v>14752</v>
      </c>
      <c r="G1319" s="338">
        <f t="shared" si="40"/>
        <v>-6.2569637468825375E-3</v>
      </c>
      <c r="H1319" s="338">
        <f t="shared" si="41"/>
        <v>-4.9912316201268046E-3</v>
      </c>
    </row>
    <row r="1320" spans="2:8" ht="14.25" customHeight="1" x14ac:dyDescent="0.35">
      <c r="B1320" s="337">
        <v>45863</v>
      </c>
      <c r="C1320" s="337"/>
      <c r="D1320">
        <v>24837</v>
      </c>
      <c r="E1320">
        <v>14505</v>
      </c>
      <c r="G1320" s="338">
        <f t="shared" si="40"/>
        <v>-8.9816894833233667E-3</v>
      </c>
      <c r="H1320" s="338">
        <f t="shared" si="41"/>
        <v>-1.6743492407809112E-2</v>
      </c>
    </row>
    <row r="1321" spans="2:8" ht="14.25" customHeight="1" x14ac:dyDescent="0.35">
      <c r="B1321" s="337">
        <v>45866</v>
      </c>
      <c r="C1321" s="337"/>
      <c r="D1321">
        <v>24680.9</v>
      </c>
      <c r="E1321">
        <v>14467</v>
      </c>
      <c r="G1321" s="338">
        <f t="shared" si="40"/>
        <v>-6.2849780569311326E-3</v>
      </c>
      <c r="H1321" s="338">
        <f t="shared" si="41"/>
        <v>-2.619786280592899E-3</v>
      </c>
    </row>
    <row r="1322" spans="2:8" ht="14.25" customHeight="1" x14ac:dyDescent="0.35">
      <c r="B1322" s="337">
        <v>45867</v>
      </c>
      <c r="C1322" s="337"/>
      <c r="D1322">
        <v>24821.1</v>
      </c>
      <c r="E1322">
        <v>14471</v>
      </c>
      <c r="G1322" s="338">
        <f t="shared" si="40"/>
        <v>5.6805059783069933E-3</v>
      </c>
      <c r="H1322" s="338">
        <f t="shared" si="41"/>
        <v>2.7649132508467545E-4</v>
      </c>
    </row>
    <row r="1323" spans="2:8" ht="14.25" customHeight="1" x14ac:dyDescent="0.35">
      <c r="B1323" s="337">
        <v>45868</v>
      </c>
      <c r="C1323" s="337"/>
      <c r="D1323">
        <v>24855.05</v>
      </c>
      <c r="E1323">
        <v>14469</v>
      </c>
      <c r="G1323" s="338">
        <f t="shared" si="40"/>
        <v>1.3677878901418845E-3</v>
      </c>
      <c r="H1323" s="338">
        <f t="shared" si="41"/>
        <v>-1.3820744938152166E-4</v>
      </c>
    </row>
    <row r="1324" spans="2:8" ht="14.25" customHeight="1" x14ac:dyDescent="0.35">
      <c r="B1324" s="337">
        <v>45869</v>
      </c>
      <c r="C1324" s="337"/>
      <c r="D1324">
        <v>24768.35</v>
      </c>
      <c r="E1324">
        <v>14220</v>
      </c>
      <c r="G1324" s="338">
        <f t="shared" si="40"/>
        <v>-3.4882247269669838E-3</v>
      </c>
      <c r="H1324" s="338">
        <f t="shared" si="41"/>
        <v>-1.7209205888451172E-2</v>
      </c>
    </row>
    <row r="1325" spans="2:8" ht="14.25" customHeight="1" x14ac:dyDescent="0.35">
      <c r="B1325" s="337">
        <v>45870</v>
      </c>
      <c r="C1325" s="337"/>
      <c r="D1325">
        <v>24565.35</v>
      </c>
      <c r="E1325">
        <v>13807</v>
      </c>
      <c r="G1325" s="338">
        <f t="shared" si="40"/>
        <v>-8.1959436135229033E-3</v>
      </c>
      <c r="H1325" s="338">
        <f t="shared" si="41"/>
        <v>-2.9043600562587903E-2</v>
      </c>
    </row>
    <row r="1326" spans="2:8" ht="14.25" customHeight="1" x14ac:dyDescent="0.35">
      <c r="B1326" s="337">
        <v>45873</v>
      </c>
      <c r="C1326" s="337"/>
      <c r="D1326">
        <v>24722.75</v>
      </c>
      <c r="E1326">
        <v>14366</v>
      </c>
      <c r="G1326" s="338">
        <f t="shared" si="40"/>
        <v>6.407399039704359E-3</v>
      </c>
      <c r="H1326" s="338">
        <f t="shared" si="41"/>
        <v>4.0486709640037664E-2</v>
      </c>
    </row>
    <row r="1327" spans="2:8" ht="14.25" customHeight="1" x14ac:dyDescent="0.35">
      <c r="B1327" s="337">
        <v>45874</v>
      </c>
      <c r="C1327" s="337"/>
      <c r="D1327">
        <v>24649.55</v>
      </c>
      <c r="E1327">
        <v>14920</v>
      </c>
      <c r="G1327" s="338">
        <f t="shared" si="40"/>
        <v>-2.9608356675531939E-3</v>
      </c>
      <c r="H1327" s="338">
        <f t="shared" si="41"/>
        <v>3.8563274397883894E-2</v>
      </c>
    </row>
    <row r="1328" spans="2:8" ht="14.25" customHeight="1" x14ac:dyDescent="0.35">
      <c r="B1328" s="337">
        <v>45875</v>
      </c>
      <c r="C1328" s="337"/>
      <c r="D1328">
        <v>24574.2</v>
      </c>
      <c r="E1328">
        <v>15014</v>
      </c>
      <c r="G1328" s="338">
        <f t="shared" si="40"/>
        <v>-3.0568509364267723E-3</v>
      </c>
      <c r="H1328" s="338">
        <f t="shared" si="41"/>
        <v>6.3002680965147453E-3</v>
      </c>
    </row>
    <row r="1329" spans="2:8" ht="14.25" customHeight="1" x14ac:dyDescent="0.35">
      <c r="B1329" s="337">
        <v>45876</v>
      </c>
      <c r="C1329" s="337"/>
      <c r="D1329">
        <v>24596.15</v>
      </c>
      <c r="E1329">
        <v>14896</v>
      </c>
      <c r="G1329" s="338">
        <f t="shared" si="40"/>
        <v>8.9321320734757294E-4</v>
      </c>
      <c r="H1329" s="338">
        <f t="shared" si="41"/>
        <v>-7.8593312907952583E-3</v>
      </c>
    </row>
    <row r="1330" spans="2:8" ht="14.25" customHeight="1" x14ac:dyDescent="0.35">
      <c r="B1330" s="337">
        <v>45877</v>
      </c>
      <c r="C1330" s="337"/>
      <c r="D1330">
        <v>24363.3</v>
      </c>
      <c r="E1330">
        <v>14462</v>
      </c>
      <c r="G1330" s="338">
        <f t="shared" si="40"/>
        <v>-9.4669287673071669E-3</v>
      </c>
      <c r="H1330" s="338">
        <f t="shared" si="41"/>
        <v>-2.913533834586466E-2</v>
      </c>
    </row>
    <row r="1331" spans="2:8" ht="14.25" customHeight="1" x14ac:dyDescent="0.35">
      <c r="B1331" s="337">
        <v>45880</v>
      </c>
      <c r="C1331" s="337"/>
      <c r="D1331">
        <v>24585.05</v>
      </c>
      <c r="E1331">
        <v>14891</v>
      </c>
      <c r="G1331" s="338">
        <f t="shared" si="40"/>
        <v>9.1018047637224844E-3</v>
      </c>
      <c r="H1331" s="338">
        <f t="shared" si="41"/>
        <v>2.9663946895311852E-2</v>
      </c>
    </row>
    <row r="1332" spans="2:8" ht="14.25" customHeight="1" x14ac:dyDescent="0.35">
      <c r="B1332" s="337">
        <v>45881</v>
      </c>
      <c r="C1332" s="337"/>
      <c r="D1332">
        <v>24487.4</v>
      </c>
      <c r="E1332">
        <v>14592</v>
      </c>
      <c r="G1332" s="338">
        <f t="shared" si="40"/>
        <v>-3.9719260282162459E-3</v>
      </c>
      <c r="H1332" s="338">
        <f t="shared" si="41"/>
        <v>-2.007924249546706E-2</v>
      </c>
    </row>
    <row r="1333" spans="2:8" ht="14.25" customHeight="1" x14ac:dyDescent="0.35">
      <c r="B1333" s="337">
        <v>45882</v>
      </c>
      <c r="C1333" s="337"/>
      <c r="D1333">
        <v>24619.35</v>
      </c>
      <c r="E1333">
        <v>15039</v>
      </c>
      <c r="G1333" s="338">
        <f t="shared" si="40"/>
        <v>5.3884855068319663E-3</v>
      </c>
      <c r="H1333" s="338">
        <f t="shared" si="41"/>
        <v>3.0633223684210526E-2</v>
      </c>
    </row>
    <row r="1334" spans="2:8" ht="14.25" customHeight="1" x14ac:dyDescent="0.35">
      <c r="B1334" s="337">
        <v>45883</v>
      </c>
      <c r="C1334" s="337"/>
      <c r="D1334">
        <v>24631.3</v>
      </c>
      <c r="E1334">
        <v>15100</v>
      </c>
      <c r="G1334" s="338">
        <f t="shared" si="40"/>
        <v>4.8539055661504988E-4</v>
      </c>
      <c r="H1334" s="338">
        <f t="shared" si="41"/>
        <v>4.0561207527096219E-3</v>
      </c>
    </row>
    <row r="1335" spans="2:8" ht="14.25" customHeight="1" x14ac:dyDescent="0.35">
      <c r="B1335" s="337">
        <v>45887</v>
      </c>
      <c r="C1335" s="337"/>
      <c r="D1335">
        <v>24876.95</v>
      </c>
      <c r="E1335">
        <v>14957</v>
      </c>
      <c r="G1335" s="338">
        <f t="shared" si="40"/>
        <v>9.9730830285044425E-3</v>
      </c>
      <c r="H1335" s="338">
        <f t="shared" si="41"/>
        <v>-9.470198675496689E-3</v>
      </c>
    </row>
    <row r="1336" spans="2:8" ht="14.25" customHeight="1" x14ac:dyDescent="0.35">
      <c r="B1336" s="337">
        <v>45888</v>
      </c>
      <c r="C1336" s="337"/>
      <c r="D1336">
        <v>24980.65</v>
      </c>
      <c r="E1336">
        <v>14699</v>
      </c>
      <c r="G1336" s="338">
        <f t="shared" si="40"/>
        <v>4.1685174428537555E-3</v>
      </c>
      <c r="H1336" s="338">
        <f t="shared" si="41"/>
        <v>-1.7249448418800561E-2</v>
      </c>
    </row>
    <row r="1337" spans="2:8" ht="14.25" customHeight="1" x14ac:dyDescent="0.35">
      <c r="B1337" s="337">
        <v>45889</v>
      </c>
      <c r="C1337" s="337"/>
      <c r="D1337">
        <v>25050.55</v>
      </c>
      <c r="E1337">
        <v>14463</v>
      </c>
      <c r="G1337" s="338">
        <f t="shared" si="40"/>
        <v>2.7981657803138756E-3</v>
      </c>
      <c r="H1337" s="338">
        <f t="shared" si="41"/>
        <v>-1.6055513980542894E-2</v>
      </c>
    </row>
    <row r="1338" spans="2:8" ht="14.25" customHeight="1" x14ac:dyDescent="0.35">
      <c r="B1338" s="337">
        <v>45890</v>
      </c>
      <c r="C1338" s="337"/>
      <c r="D1338">
        <v>25083.75</v>
      </c>
      <c r="E1338">
        <v>14581</v>
      </c>
      <c r="G1338" s="338">
        <f t="shared" si="40"/>
        <v>1.3253202025504721E-3</v>
      </c>
      <c r="H1338" s="338">
        <f t="shared" si="41"/>
        <v>8.1587499135725647E-3</v>
      </c>
    </row>
    <row r="1339" spans="2:8" ht="14.25" customHeight="1" x14ac:dyDescent="0.35">
      <c r="B1339" s="337">
        <v>45891</v>
      </c>
      <c r="C1339" s="337"/>
      <c r="D1339">
        <v>24870.1</v>
      </c>
      <c r="E1339">
        <v>14845</v>
      </c>
      <c r="G1339" s="338">
        <f t="shared" si="40"/>
        <v>-8.5174664872677119E-3</v>
      </c>
      <c r="H1339" s="338">
        <f t="shared" si="41"/>
        <v>1.8105754063507305E-2</v>
      </c>
    </row>
    <row r="1340" spans="2:8" ht="14.25" customHeight="1" x14ac:dyDescent="0.35">
      <c r="B1340" s="337">
        <v>45894</v>
      </c>
      <c r="C1340" s="337"/>
      <c r="D1340">
        <v>24967.75</v>
      </c>
      <c r="E1340">
        <v>14654</v>
      </c>
      <c r="G1340" s="338">
        <f t="shared" si="40"/>
        <v>3.9264015826233692E-3</v>
      </c>
      <c r="H1340" s="338">
        <f t="shared" si="41"/>
        <v>-1.2866284944425732E-2</v>
      </c>
    </row>
    <row r="1341" spans="2:8" ht="14.25" customHeight="1" x14ac:dyDescent="0.35">
      <c r="B1341" s="337">
        <v>45895</v>
      </c>
      <c r="C1341" s="337"/>
      <c r="D1341">
        <v>24712.05</v>
      </c>
      <c r="E1341">
        <v>14233</v>
      </c>
      <c r="G1341" s="338">
        <f t="shared" si="40"/>
        <v>-1.0241211162399524E-2</v>
      </c>
      <c r="H1341" s="338">
        <f t="shared" si="41"/>
        <v>-2.8729357172103179E-2</v>
      </c>
    </row>
    <row r="1342" spans="2:8" ht="14.25" customHeight="1" x14ac:dyDescent="0.35">
      <c r="B1342" s="337">
        <v>45897</v>
      </c>
      <c r="C1342" s="337"/>
      <c r="D1342">
        <v>24500.9</v>
      </c>
      <c r="E1342">
        <v>13813</v>
      </c>
      <c r="G1342" s="338">
        <f t="shared" si="40"/>
        <v>-8.5444145669824161E-3</v>
      </c>
      <c r="H1342" s="338">
        <f t="shared" si="41"/>
        <v>-2.950888779596712E-2</v>
      </c>
    </row>
    <row r="1343" spans="2:8" ht="14.25" customHeight="1" x14ac:dyDescent="0.35">
      <c r="B1343" s="337">
        <v>45898</v>
      </c>
      <c r="C1343" s="337"/>
      <c r="D1343">
        <v>24426.85</v>
      </c>
      <c r="E1343">
        <v>13795</v>
      </c>
      <c r="G1343" s="338">
        <f t="shared" si="40"/>
        <v>-3.0223379549323866E-3</v>
      </c>
      <c r="H1343" s="338">
        <f t="shared" si="41"/>
        <v>-1.3031202490407588E-3</v>
      </c>
    </row>
    <row r="1344" spans="2:8" ht="14.25" customHeight="1" x14ac:dyDescent="0.35">
      <c r="B1344" s="337">
        <v>45901</v>
      </c>
      <c r="C1344" s="337"/>
      <c r="D1344">
        <v>24625.05</v>
      </c>
      <c r="E1344">
        <v>14046</v>
      </c>
      <c r="G1344" s="338">
        <f t="shared" si="40"/>
        <v>8.1140220699763062E-3</v>
      </c>
      <c r="H1344" s="338">
        <f t="shared" si="41"/>
        <v>1.8194998187749185E-2</v>
      </c>
    </row>
    <row r="1345" spans="2:8" ht="14.25" customHeight="1" x14ac:dyDescent="0.35">
      <c r="B1345" s="337">
        <v>45902</v>
      </c>
      <c r="C1345" s="337"/>
      <c r="D1345">
        <v>24579.599999999999</v>
      </c>
      <c r="E1345">
        <v>14018</v>
      </c>
      <c r="G1345" s="338">
        <f t="shared" si="40"/>
        <v>-1.845681531611133E-3</v>
      </c>
      <c r="H1345" s="338">
        <f t="shared" si="41"/>
        <v>-1.9934500925530402E-3</v>
      </c>
    </row>
    <row r="1346" spans="2:8" ht="14.25" customHeight="1" x14ac:dyDescent="0.35">
      <c r="B1346" s="337">
        <v>45903</v>
      </c>
      <c r="C1346" s="337"/>
      <c r="D1346">
        <v>24715.05</v>
      </c>
      <c r="E1346">
        <v>14293</v>
      </c>
      <c r="G1346" s="338">
        <f t="shared" si="40"/>
        <v>5.5106673827076411E-3</v>
      </c>
      <c r="H1346" s="338">
        <f t="shared" si="41"/>
        <v>1.9617634469967185E-2</v>
      </c>
    </row>
    <row r="1347" spans="2:8" ht="14.25" customHeight="1" x14ac:dyDescent="0.35">
      <c r="B1347" s="337">
        <v>45904</v>
      </c>
      <c r="C1347" s="337"/>
      <c r="D1347">
        <v>24734.3</v>
      </c>
      <c r="E1347">
        <v>14059</v>
      </c>
      <c r="G1347" s="338">
        <f t="shared" si="40"/>
        <v>7.7887764742535419E-4</v>
      </c>
      <c r="H1347" s="338">
        <f t="shared" si="41"/>
        <v>-1.6371650458266284E-2</v>
      </c>
    </row>
    <row r="1348" spans="2:8" ht="14.25" customHeight="1" x14ac:dyDescent="0.35">
      <c r="B1348" s="337">
        <v>45905</v>
      </c>
      <c r="C1348" s="337"/>
      <c r="D1348">
        <v>24741</v>
      </c>
      <c r="E1348">
        <v>13915</v>
      </c>
      <c r="G1348" s="338">
        <f t="shared" si="40"/>
        <v>2.7087890095942588E-4</v>
      </c>
      <c r="H1348" s="338">
        <f t="shared" si="41"/>
        <v>-1.0242549256703891E-2</v>
      </c>
    </row>
    <row r="1349" spans="2:8" ht="14.25" customHeight="1" x14ac:dyDescent="0.35">
      <c r="B1349" s="337">
        <v>45908</v>
      </c>
      <c r="C1349" s="337"/>
      <c r="D1349">
        <v>24773.15</v>
      </c>
      <c r="E1349">
        <v>13935</v>
      </c>
      <c r="G1349" s="338">
        <f t="shared" si="40"/>
        <v>1.2994624307829698E-3</v>
      </c>
      <c r="H1349" s="338">
        <f t="shared" si="41"/>
        <v>1.437297879985627E-3</v>
      </c>
    </row>
    <row r="1350" spans="2:8" ht="14.25" customHeight="1" x14ac:dyDescent="0.35">
      <c r="B1350" s="337">
        <v>45909</v>
      </c>
      <c r="C1350" s="337"/>
      <c r="D1350">
        <v>24868.6</v>
      </c>
      <c r="E1350">
        <v>13882</v>
      </c>
      <c r="G1350" s="338">
        <f t="shared" si="40"/>
        <v>3.8529617751475722E-3</v>
      </c>
      <c r="H1350" s="338">
        <f t="shared" si="41"/>
        <v>-3.8033728022963762E-3</v>
      </c>
    </row>
    <row r="1351" spans="2:8" ht="14.25" customHeight="1" x14ac:dyDescent="0.35">
      <c r="B1351" s="337">
        <v>45910</v>
      </c>
      <c r="C1351" s="337"/>
      <c r="D1351">
        <v>24973.1</v>
      </c>
      <c r="E1351">
        <v>14017</v>
      </c>
      <c r="G1351" s="338">
        <f t="shared" ref="G1351:G1414" si="42">(D1351-D1350)/D1350</f>
        <v>4.202086164882623E-3</v>
      </c>
      <c r="H1351" s="338">
        <f t="shared" ref="H1351:H1414" si="43">(E1351-E1350)/E1350</f>
        <v>9.7248235124621808E-3</v>
      </c>
    </row>
    <row r="1352" spans="2:8" ht="14.25" customHeight="1" x14ac:dyDescent="0.35">
      <c r="B1352" s="337">
        <v>45911</v>
      </c>
      <c r="C1352" s="337"/>
      <c r="D1352">
        <v>25005.5</v>
      </c>
      <c r="E1352">
        <v>13985</v>
      </c>
      <c r="G1352" s="338">
        <f t="shared" si="42"/>
        <v>1.2973959980940074E-3</v>
      </c>
      <c r="H1352" s="338">
        <f t="shared" si="43"/>
        <v>-2.2829421416850969E-3</v>
      </c>
    </row>
    <row r="1353" spans="2:8" ht="14.25" customHeight="1" x14ac:dyDescent="0.35">
      <c r="B1353" s="337">
        <v>45912</v>
      </c>
      <c r="C1353" s="337"/>
      <c r="D1353">
        <v>25114</v>
      </c>
      <c r="E1353">
        <v>14403</v>
      </c>
      <c r="G1353" s="338">
        <f t="shared" si="42"/>
        <v>4.3390454100097975E-3</v>
      </c>
      <c r="H1353" s="338">
        <f t="shared" si="43"/>
        <v>2.9889166964604932E-2</v>
      </c>
    </row>
    <row r="1354" spans="2:8" ht="14.25" customHeight="1" x14ac:dyDescent="0.35">
      <c r="B1354" s="337">
        <v>45915</v>
      </c>
      <c r="C1354" s="337"/>
      <c r="D1354">
        <v>25069.200000000001</v>
      </c>
      <c r="E1354">
        <v>14484</v>
      </c>
      <c r="G1354" s="338">
        <f t="shared" si="42"/>
        <v>-1.7838655729871494E-3</v>
      </c>
      <c r="H1354" s="338">
        <f t="shared" si="43"/>
        <v>5.6238283690897726E-3</v>
      </c>
    </row>
    <row r="1355" spans="2:8" ht="14.25" customHeight="1" x14ac:dyDescent="0.35">
      <c r="B1355" s="337">
        <v>45916</v>
      </c>
      <c r="C1355" s="337"/>
      <c r="D1355">
        <v>25239.1</v>
      </c>
      <c r="E1355">
        <v>14609</v>
      </c>
      <c r="G1355" s="338">
        <f t="shared" si="42"/>
        <v>6.7772405980245807E-3</v>
      </c>
      <c r="H1355" s="338">
        <f t="shared" si="43"/>
        <v>8.6302126484396578E-3</v>
      </c>
    </row>
    <row r="1356" spans="2:8" ht="14.25" customHeight="1" x14ac:dyDescent="0.35">
      <c r="B1356" s="337">
        <v>45917</v>
      </c>
      <c r="C1356" s="337"/>
      <c r="D1356">
        <v>25330.25</v>
      </c>
      <c r="E1356">
        <v>14820</v>
      </c>
      <c r="G1356" s="338">
        <f t="shared" si="42"/>
        <v>3.6114599965926465E-3</v>
      </c>
      <c r="H1356" s="338">
        <f t="shared" si="43"/>
        <v>1.4443151481963174E-2</v>
      </c>
    </row>
    <row r="1357" spans="2:8" ht="14.25" customHeight="1" x14ac:dyDescent="0.35">
      <c r="B1357" s="337">
        <v>45918</v>
      </c>
      <c r="C1357" s="337"/>
      <c r="D1357">
        <v>25423.599999999999</v>
      </c>
      <c r="E1357">
        <v>14617</v>
      </c>
      <c r="G1357" s="338">
        <f t="shared" si="42"/>
        <v>3.6853169629197718E-3</v>
      </c>
      <c r="H1357" s="338">
        <f t="shared" si="43"/>
        <v>-1.3697705802968961E-2</v>
      </c>
    </row>
    <row r="1358" spans="2:8" ht="14.25" customHeight="1" x14ac:dyDescent="0.35">
      <c r="B1358" s="337">
        <v>45919</v>
      </c>
      <c r="C1358" s="337"/>
      <c r="D1358">
        <v>25327.05</v>
      </c>
      <c r="E1358">
        <v>14672</v>
      </c>
      <c r="G1358" s="338">
        <f t="shared" si="42"/>
        <v>-3.7976525747730173E-3</v>
      </c>
      <c r="H1358" s="338">
        <f t="shared" si="43"/>
        <v>3.7627420127249091E-3</v>
      </c>
    </row>
    <row r="1359" spans="2:8" ht="14.25" customHeight="1" x14ac:dyDescent="0.35">
      <c r="B1359" s="337">
        <v>45922</v>
      </c>
      <c r="C1359" s="337"/>
      <c r="D1359">
        <v>25202.35</v>
      </c>
      <c r="E1359">
        <v>14464</v>
      </c>
      <c r="G1359" s="338">
        <f t="shared" si="42"/>
        <v>-4.9235896008418163E-3</v>
      </c>
      <c r="H1359" s="338">
        <f t="shared" si="43"/>
        <v>-1.4176663031624863E-2</v>
      </c>
    </row>
    <row r="1360" spans="2:8" ht="14.25" customHeight="1" x14ac:dyDescent="0.35">
      <c r="B1360" s="337">
        <v>45923</v>
      </c>
      <c r="C1360" s="337"/>
      <c r="D1360">
        <v>25169.5</v>
      </c>
      <c r="E1360">
        <v>14215</v>
      </c>
      <c r="G1360" s="338">
        <f t="shared" si="42"/>
        <v>-1.3034498766979488E-3</v>
      </c>
      <c r="H1360" s="338">
        <f t="shared" si="43"/>
        <v>-1.7215154867256638E-2</v>
      </c>
    </row>
    <row r="1361" spans="2:8" ht="14.25" customHeight="1" x14ac:dyDescent="0.35">
      <c r="B1361" s="337">
        <v>45924</v>
      </c>
      <c r="C1361" s="337"/>
      <c r="D1361">
        <v>25056.9</v>
      </c>
      <c r="E1361">
        <v>14022</v>
      </c>
      <c r="G1361" s="338">
        <f t="shared" si="42"/>
        <v>-4.4736685273842761E-3</v>
      </c>
      <c r="H1361" s="338">
        <f t="shared" si="43"/>
        <v>-1.3577207175518817E-2</v>
      </c>
    </row>
    <row r="1362" spans="2:8" ht="14.25" customHeight="1" x14ac:dyDescent="0.35">
      <c r="B1362" s="337">
        <v>45925</v>
      </c>
      <c r="C1362" s="337"/>
      <c r="D1362">
        <v>24890.85</v>
      </c>
      <c r="E1362">
        <v>14148</v>
      </c>
      <c r="G1362" s="338">
        <f t="shared" si="42"/>
        <v>-6.6269171365972209E-3</v>
      </c>
      <c r="H1362" s="338">
        <f t="shared" si="43"/>
        <v>8.9858793324775355E-3</v>
      </c>
    </row>
    <row r="1363" spans="2:8" ht="14.25" customHeight="1" x14ac:dyDescent="0.35">
      <c r="B1363" s="337">
        <v>45926</v>
      </c>
      <c r="C1363" s="337"/>
      <c r="D1363">
        <v>24654.7</v>
      </c>
      <c r="E1363">
        <v>13766</v>
      </c>
      <c r="G1363" s="338">
        <f t="shared" si="42"/>
        <v>-9.487422084822247E-3</v>
      </c>
      <c r="H1363" s="338">
        <f t="shared" si="43"/>
        <v>-2.7000282725473564E-2</v>
      </c>
    </row>
    <row r="1364" spans="2:8" ht="14.25" customHeight="1" x14ac:dyDescent="0.35">
      <c r="B1364" s="337">
        <v>45929</v>
      </c>
      <c r="C1364" s="337"/>
      <c r="D1364">
        <v>24634.9</v>
      </c>
      <c r="E1364">
        <v>13545</v>
      </c>
      <c r="G1364" s="338">
        <f t="shared" si="42"/>
        <v>-8.0309231099949595E-4</v>
      </c>
      <c r="H1364" s="338">
        <f t="shared" si="43"/>
        <v>-1.6054046200784541E-2</v>
      </c>
    </row>
    <row r="1365" spans="2:8" ht="14.25" customHeight="1" x14ac:dyDescent="0.35">
      <c r="B1365" s="337">
        <v>45930</v>
      </c>
      <c r="C1365" s="337"/>
      <c r="D1365">
        <v>24611.1</v>
      </c>
      <c r="E1365">
        <v>13326</v>
      </c>
      <c r="G1365" s="338">
        <f t="shared" si="42"/>
        <v>-9.6610905666363205E-4</v>
      </c>
      <c r="H1365" s="338">
        <f t="shared" si="43"/>
        <v>-1.6168327796234772E-2</v>
      </c>
    </row>
    <row r="1366" spans="2:8" ht="14.25" customHeight="1" x14ac:dyDescent="0.35">
      <c r="B1366" s="337">
        <v>45931</v>
      </c>
      <c r="C1366" s="337"/>
      <c r="D1366">
        <v>24836.3</v>
      </c>
      <c r="E1366">
        <v>13374</v>
      </c>
      <c r="G1366" s="338">
        <f t="shared" si="42"/>
        <v>9.1503427315317368E-3</v>
      </c>
      <c r="H1366" s="338">
        <f t="shared" si="43"/>
        <v>3.6019810895992796E-3</v>
      </c>
    </row>
    <row r="1367" spans="2:8" ht="14.25" customHeight="1" x14ac:dyDescent="0.35">
      <c r="B1367" s="337">
        <v>45933</v>
      </c>
      <c r="C1367" s="337"/>
      <c r="D1367">
        <v>24894.25</v>
      </c>
      <c r="E1367">
        <v>13853</v>
      </c>
      <c r="G1367" s="338">
        <f t="shared" si="42"/>
        <v>2.333278306350009E-3</v>
      </c>
      <c r="H1367" s="338">
        <f t="shared" si="43"/>
        <v>3.5815761926125317E-2</v>
      </c>
    </row>
    <row r="1368" spans="2:8" ht="14.25" customHeight="1" x14ac:dyDescent="0.35">
      <c r="B1368" s="337">
        <v>45936</v>
      </c>
      <c r="C1368" s="337"/>
      <c r="D1368">
        <v>25077.65</v>
      </c>
      <c r="E1368">
        <v>14140</v>
      </c>
      <c r="G1368" s="338">
        <f t="shared" si="42"/>
        <v>7.3671630999126887E-3</v>
      </c>
      <c r="H1368" s="338">
        <f t="shared" si="43"/>
        <v>2.0717534108135423E-2</v>
      </c>
    </row>
    <row r="1369" spans="2:8" ht="14.25" customHeight="1" x14ac:dyDescent="0.35">
      <c r="B1369" s="337">
        <v>45937</v>
      </c>
      <c r="C1369" s="337"/>
      <c r="D1369">
        <v>25108.3</v>
      </c>
      <c r="E1369">
        <v>14143</v>
      </c>
      <c r="G1369" s="338">
        <f t="shared" si="42"/>
        <v>1.2222038348887482E-3</v>
      </c>
      <c r="H1369" s="338">
        <f t="shared" si="43"/>
        <v>2.1216407355021216E-4</v>
      </c>
    </row>
    <row r="1370" spans="2:8" ht="14.25" customHeight="1" x14ac:dyDescent="0.35">
      <c r="B1370" s="337">
        <v>45938</v>
      </c>
      <c r="C1370" s="337"/>
      <c r="D1370">
        <v>25046.15</v>
      </c>
      <c r="E1370">
        <v>14007</v>
      </c>
      <c r="G1370" s="338">
        <f t="shared" si="42"/>
        <v>-2.4752770996044264E-3</v>
      </c>
      <c r="H1370" s="338">
        <f t="shared" si="43"/>
        <v>-9.6160644841971291E-3</v>
      </c>
    </row>
    <row r="1371" spans="2:8" ht="14.25" customHeight="1" x14ac:dyDescent="0.35">
      <c r="B1371" s="337">
        <v>45939</v>
      </c>
      <c r="C1371" s="337"/>
      <c r="D1371">
        <v>25181.8</v>
      </c>
      <c r="E1371">
        <v>14239</v>
      </c>
      <c r="G1371" s="338">
        <f t="shared" si="42"/>
        <v>5.416002060196789E-3</v>
      </c>
      <c r="H1371" s="338">
        <f t="shared" si="43"/>
        <v>1.6563146997929608E-2</v>
      </c>
    </row>
    <row r="1372" spans="2:8" ht="14.25" customHeight="1" x14ac:dyDescent="0.35">
      <c r="B1372" s="337">
        <v>45940</v>
      </c>
      <c r="C1372" s="337"/>
      <c r="D1372">
        <v>25285.35</v>
      </c>
      <c r="E1372">
        <v>14110</v>
      </c>
      <c r="G1372" s="338">
        <f t="shared" si="42"/>
        <v>4.1120968318388391E-3</v>
      </c>
      <c r="H1372" s="338">
        <f t="shared" si="43"/>
        <v>-9.0596249736638809E-3</v>
      </c>
    </row>
    <row r="1373" spans="2:8" ht="14.25" customHeight="1" x14ac:dyDescent="0.35">
      <c r="B1373" s="337">
        <v>45943</v>
      </c>
      <c r="C1373" s="337"/>
      <c r="D1373">
        <v>25227.35</v>
      </c>
      <c r="E1373">
        <v>14000</v>
      </c>
      <c r="G1373" s="338">
        <f t="shared" si="42"/>
        <v>-2.2938183572701189E-3</v>
      </c>
      <c r="H1373" s="338">
        <f t="shared" si="43"/>
        <v>-7.7958894401133948E-3</v>
      </c>
    </row>
    <row r="1374" spans="2:8" ht="14.25" customHeight="1" x14ac:dyDescent="0.35">
      <c r="B1374" s="337">
        <v>45944</v>
      </c>
      <c r="C1374" s="337"/>
      <c r="D1374">
        <v>25145.5</v>
      </c>
      <c r="E1374">
        <v>13976</v>
      </c>
      <c r="G1374" s="338">
        <f t="shared" si="42"/>
        <v>-3.2444945664129822E-3</v>
      </c>
      <c r="H1374" s="338">
        <f t="shared" si="43"/>
        <v>-1.7142857142857142E-3</v>
      </c>
    </row>
    <row r="1375" spans="2:8" ht="14.25" customHeight="1" x14ac:dyDescent="0.35">
      <c r="B1375" s="337">
        <v>45945</v>
      </c>
      <c r="C1375" s="337"/>
      <c r="D1375">
        <v>25323.55</v>
      </c>
      <c r="E1375">
        <v>14052</v>
      </c>
      <c r="G1375" s="338">
        <f t="shared" si="42"/>
        <v>7.080789803344506E-3</v>
      </c>
      <c r="H1375" s="338">
        <f t="shared" si="43"/>
        <v>5.4378935317687463E-3</v>
      </c>
    </row>
    <row r="1376" spans="2:8" ht="14.25" customHeight="1" x14ac:dyDescent="0.35">
      <c r="B1376" s="337">
        <v>45946</v>
      </c>
      <c r="C1376" s="337"/>
      <c r="D1376">
        <v>25585.3</v>
      </c>
      <c r="E1376">
        <v>14035</v>
      </c>
      <c r="G1376" s="338">
        <f t="shared" si="42"/>
        <v>1.033622853036008E-2</v>
      </c>
      <c r="H1376" s="338">
        <f t="shared" si="43"/>
        <v>-1.2097922003985197E-3</v>
      </c>
    </row>
    <row r="1377" spans="2:8" ht="14.25" customHeight="1" x14ac:dyDescent="0.35">
      <c r="B1377" s="337">
        <v>45947</v>
      </c>
      <c r="C1377" s="337"/>
      <c r="D1377">
        <v>25709.85</v>
      </c>
      <c r="E1377">
        <v>14058</v>
      </c>
      <c r="G1377" s="338">
        <f t="shared" si="42"/>
        <v>4.8680296889229077E-3</v>
      </c>
      <c r="H1377" s="338">
        <f t="shared" si="43"/>
        <v>1.6387602422515142E-3</v>
      </c>
    </row>
    <row r="1378" spans="2:8" ht="14.25" customHeight="1" x14ac:dyDescent="0.35">
      <c r="B1378" s="337">
        <v>45950</v>
      </c>
      <c r="C1378" s="337"/>
      <c r="D1378">
        <v>25843.15</v>
      </c>
      <c r="E1378">
        <v>14084</v>
      </c>
      <c r="G1378" s="338">
        <f t="shared" si="42"/>
        <v>5.1847832640020425E-3</v>
      </c>
      <c r="H1378" s="338">
        <f t="shared" si="43"/>
        <v>1.8494807227201592E-3</v>
      </c>
    </row>
    <row r="1379" spans="2:8" ht="14.25" customHeight="1" x14ac:dyDescent="0.35">
      <c r="B1379" s="337">
        <v>45951</v>
      </c>
      <c r="C1379" s="337"/>
      <c r="D1379">
        <v>25868.6</v>
      </c>
      <c r="E1379">
        <v>14107</v>
      </c>
      <c r="G1379" s="338">
        <f t="shared" si="42"/>
        <v>9.8478707123539843E-4</v>
      </c>
      <c r="H1379" s="338">
        <f t="shared" si="43"/>
        <v>1.6330587901164442E-3</v>
      </c>
    </row>
    <row r="1380" spans="2:8" ht="14.25" customHeight="1" x14ac:dyDescent="0.35">
      <c r="B1380" s="337">
        <v>45953</v>
      </c>
      <c r="C1380" s="337"/>
      <c r="D1380">
        <v>25891.4</v>
      </c>
      <c r="E1380">
        <v>14022</v>
      </c>
      <c r="G1380" s="338">
        <f t="shared" si="42"/>
        <v>8.8137742282160274E-4</v>
      </c>
      <c r="H1380" s="338">
        <f t="shared" si="43"/>
        <v>-6.0253774721769331E-3</v>
      </c>
    </row>
    <row r="1381" spans="2:8" ht="14.25" customHeight="1" x14ac:dyDescent="0.35">
      <c r="B1381" s="337">
        <v>45954</v>
      </c>
      <c r="C1381" s="337"/>
      <c r="D1381">
        <v>25795.15</v>
      </c>
      <c r="E1381">
        <v>14017</v>
      </c>
      <c r="G1381" s="338">
        <f t="shared" si="42"/>
        <v>-3.7174505820465479E-3</v>
      </c>
      <c r="H1381" s="338">
        <f t="shared" si="43"/>
        <v>-3.5658251319355301E-4</v>
      </c>
    </row>
    <row r="1382" spans="2:8" ht="14.25" customHeight="1" x14ac:dyDescent="0.35">
      <c r="B1382" s="337">
        <v>45957</v>
      </c>
      <c r="C1382" s="337"/>
      <c r="D1382">
        <v>25966.05</v>
      </c>
      <c r="E1382">
        <v>14019</v>
      </c>
      <c r="G1382" s="338">
        <f t="shared" si="42"/>
        <v>6.6252764570083065E-3</v>
      </c>
      <c r="H1382" s="338">
        <f t="shared" si="43"/>
        <v>1.4268388385531855E-4</v>
      </c>
    </row>
    <row r="1383" spans="2:8" ht="14.25" customHeight="1" x14ac:dyDescent="0.35">
      <c r="B1383" s="337">
        <v>45958</v>
      </c>
      <c r="C1383" s="337"/>
      <c r="D1383">
        <v>25936.2</v>
      </c>
      <c r="E1383">
        <v>13853</v>
      </c>
      <c r="G1383" s="338">
        <f t="shared" si="42"/>
        <v>-1.1495780066663411E-3</v>
      </c>
      <c r="H1383" s="338">
        <f t="shared" si="43"/>
        <v>-1.184107282973108E-2</v>
      </c>
    </row>
    <row r="1384" spans="2:8" ht="14.25" customHeight="1" x14ac:dyDescent="0.35">
      <c r="B1384" s="337">
        <v>45959</v>
      </c>
      <c r="C1384" s="337"/>
      <c r="D1384">
        <v>26053.9</v>
      </c>
      <c r="E1384">
        <v>13960</v>
      </c>
      <c r="G1384" s="338">
        <f t="shared" si="42"/>
        <v>4.5380587749940518E-3</v>
      </c>
      <c r="H1384" s="338">
        <f t="shared" si="43"/>
        <v>7.7239587093048435E-3</v>
      </c>
    </row>
    <row r="1385" spans="2:8" ht="14.25" customHeight="1" x14ac:dyDescent="0.35">
      <c r="B1385" s="337">
        <v>45960</v>
      </c>
      <c r="C1385" s="337"/>
      <c r="D1385">
        <v>25877.85</v>
      </c>
      <c r="E1385">
        <v>13901</v>
      </c>
      <c r="G1385" s="338">
        <f t="shared" si="42"/>
        <v>-6.7571457632063878E-3</v>
      </c>
      <c r="H1385" s="338">
        <f t="shared" si="43"/>
        <v>-4.226361031518625E-3</v>
      </c>
    </row>
    <row r="1386" spans="2:8" ht="14.25" customHeight="1" x14ac:dyDescent="0.35">
      <c r="B1386" s="337">
        <v>45961</v>
      </c>
      <c r="C1386" s="337"/>
      <c r="D1386">
        <v>25722.1</v>
      </c>
      <c r="E1386">
        <v>13878</v>
      </c>
      <c r="G1386" s="338">
        <f t="shared" si="42"/>
        <v>-6.0186607465457917E-3</v>
      </c>
      <c r="H1386" s="338">
        <f t="shared" si="43"/>
        <v>-1.6545572260988418E-3</v>
      </c>
    </row>
    <row r="1387" spans="2:8" ht="14.25" customHeight="1" x14ac:dyDescent="0.35">
      <c r="B1387" s="337">
        <v>45964</v>
      </c>
      <c r="C1387" s="337"/>
      <c r="D1387">
        <v>25763.35</v>
      </c>
      <c r="E1387">
        <v>14161</v>
      </c>
      <c r="G1387" s="338">
        <f t="shared" si="42"/>
        <v>1.6036793263380518E-3</v>
      </c>
      <c r="H1387" s="338">
        <f t="shared" si="43"/>
        <v>2.0391987318057359E-2</v>
      </c>
    </row>
    <row r="1388" spans="2:8" ht="14.25" customHeight="1" x14ac:dyDescent="0.35">
      <c r="B1388" s="337">
        <v>45965</v>
      </c>
      <c r="C1388" s="337"/>
      <c r="D1388">
        <v>25597.65</v>
      </c>
      <c r="E1388">
        <v>13624</v>
      </c>
      <c r="G1388" s="338">
        <f t="shared" si="42"/>
        <v>-6.4316170063286448E-3</v>
      </c>
      <c r="H1388" s="338">
        <f t="shared" si="43"/>
        <v>-3.7921050773250475E-2</v>
      </c>
    </row>
    <row r="1389" spans="2:8" ht="14.25" customHeight="1" x14ac:dyDescent="0.35">
      <c r="B1389" s="337">
        <v>45967</v>
      </c>
      <c r="C1389" s="337"/>
      <c r="D1389">
        <v>25509.7</v>
      </c>
      <c r="E1389">
        <v>13376</v>
      </c>
      <c r="G1389" s="338">
        <f t="shared" si="42"/>
        <v>-3.4358622764199338E-3</v>
      </c>
      <c r="H1389" s="338">
        <f t="shared" si="43"/>
        <v>-1.8203170874926601E-2</v>
      </c>
    </row>
    <row r="1390" spans="2:8" ht="14.25" customHeight="1" x14ac:dyDescent="0.35">
      <c r="B1390" s="337">
        <v>45968</v>
      </c>
      <c r="C1390" s="337"/>
      <c r="D1390">
        <v>25492.3</v>
      </c>
      <c r="E1390">
        <v>13573</v>
      </c>
      <c r="G1390" s="338">
        <f t="shared" si="42"/>
        <v>-6.8209347816718558E-4</v>
      </c>
      <c r="H1390" s="338">
        <f t="shared" si="43"/>
        <v>1.472787081339713E-2</v>
      </c>
    </row>
    <row r="1391" spans="2:8" ht="14.25" customHeight="1" x14ac:dyDescent="0.35">
      <c r="B1391" s="337">
        <v>45971</v>
      </c>
      <c r="C1391" s="337"/>
      <c r="D1391">
        <v>25574.35</v>
      </c>
      <c r="E1391">
        <v>13407</v>
      </c>
      <c r="G1391" s="338">
        <f t="shared" si="42"/>
        <v>3.2186189555277189E-3</v>
      </c>
      <c r="H1391" s="338">
        <f t="shared" si="43"/>
        <v>-1.2230162823252044E-2</v>
      </c>
    </row>
    <row r="1392" spans="2:8" ht="14.25" customHeight="1" x14ac:dyDescent="0.35">
      <c r="B1392" s="337">
        <v>45972</v>
      </c>
      <c r="C1392" s="337"/>
      <c r="D1392">
        <v>25694.95</v>
      </c>
      <c r="E1392">
        <v>13788</v>
      </c>
      <c r="G1392" s="338">
        <f t="shared" si="42"/>
        <v>4.7156623726508076E-3</v>
      </c>
      <c r="H1392" s="338">
        <f t="shared" si="43"/>
        <v>2.8417990601924369E-2</v>
      </c>
    </row>
    <row r="1393" spans="2:8" ht="14.25" customHeight="1" x14ac:dyDescent="0.35">
      <c r="B1393" s="337">
        <v>45973</v>
      </c>
      <c r="C1393" s="337"/>
      <c r="D1393">
        <v>25875.8</v>
      </c>
      <c r="E1393">
        <v>14084</v>
      </c>
      <c r="G1393" s="338">
        <f t="shared" si="42"/>
        <v>7.0383480022338449E-3</v>
      </c>
      <c r="H1393" s="338">
        <f t="shared" si="43"/>
        <v>2.1467943138961415E-2</v>
      </c>
    </row>
    <row r="1394" spans="2:8" ht="14.25" customHeight="1" x14ac:dyDescent="0.35">
      <c r="B1394" s="337">
        <v>45974</v>
      </c>
      <c r="C1394" s="337"/>
      <c r="D1394">
        <v>25879.15</v>
      </c>
      <c r="E1394">
        <v>13759</v>
      </c>
      <c r="G1394" s="338">
        <f t="shared" si="42"/>
        <v>1.2946459626377477E-4</v>
      </c>
      <c r="H1394" s="338">
        <f t="shared" si="43"/>
        <v>-2.3075830729906276E-2</v>
      </c>
    </row>
    <row r="1395" spans="2:8" ht="14.25" customHeight="1" x14ac:dyDescent="0.35">
      <c r="B1395" s="337">
        <v>45975</v>
      </c>
      <c r="C1395" s="337"/>
      <c r="D1395">
        <v>25910.05</v>
      </c>
      <c r="E1395">
        <v>13880</v>
      </c>
      <c r="G1395" s="338">
        <f t="shared" si="42"/>
        <v>1.194011395273717E-3</v>
      </c>
      <c r="H1395" s="338">
        <f t="shared" si="43"/>
        <v>8.7942437677156777E-3</v>
      </c>
    </row>
    <row r="1396" spans="2:8" ht="14.25" customHeight="1" x14ac:dyDescent="0.35">
      <c r="B1396" s="337">
        <v>45978</v>
      </c>
      <c r="C1396" s="337"/>
      <c r="D1396">
        <v>26013.45</v>
      </c>
      <c r="E1396">
        <v>13910</v>
      </c>
      <c r="G1396" s="338">
        <f t="shared" si="42"/>
        <v>3.9907294659794739E-3</v>
      </c>
      <c r="H1396" s="338">
        <f t="shared" si="43"/>
        <v>2.1613832853025938E-3</v>
      </c>
    </row>
    <row r="1397" spans="2:8" ht="14.25" customHeight="1" x14ac:dyDescent="0.35">
      <c r="B1397" s="337">
        <v>45979</v>
      </c>
      <c r="C1397" s="337"/>
      <c r="D1397">
        <v>25910.05</v>
      </c>
      <c r="E1397">
        <v>13770</v>
      </c>
      <c r="G1397" s="338">
        <f t="shared" si="42"/>
        <v>-3.9748668477269048E-3</v>
      </c>
      <c r="H1397" s="338">
        <f t="shared" si="43"/>
        <v>-1.0064701653486701E-2</v>
      </c>
    </row>
    <row r="1398" spans="2:8" ht="14.25" customHeight="1" x14ac:dyDescent="0.35">
      <c r="B1398" s="337">
        <v>45980</v>
      </c>
      <c r="C1398" s="337"/>
      <c r="D1398">
        <v>26052.65</v>
      </c>
      <c r="E1398">
        <v>13809</v>
      </c>
      <c r="G1398" s="338">
        <f t="shared" si="42"/>
        <v>5.503655917298584E-3</v>
      </c>
      <c r="H1398" s="338">
        <f t="shared" si="43"/>
        <v>2.832244008714597E-3</v>
      </c>
    </row>
    <row r="1399" spans="2:8" ht="14.25" customHeight="1" x14ac:dyDescent="0.35">
      <c r="B1399" s="337">
        <v>45981</v>
      </c>
      <c r="C1399" s="337"/>
      <c r="D1399">
        <v>26192.15</v>
      </c>
      <c r="E1399">
        <v>13951</v>
      </c>
      <c r="G1399" s="338">
        <f t="shared" si="42"/>
        <v>5.3545416685058904E-3</v>
      </c>
      <c r="H1399" s="338">
        <f t="shared" si="43"/>
        <v>1.0283148671156492E-2</v>
      </c>
    </row>
    <row r="1400" spans="2:8" ht="14.25" customHeight="1" x14ac:dyDescent="0.35">
      <c r="B1400" s="337">
        <v>45982</v>
      </c>
      <c r="C1400" s="337"/>
      <c r="D1400">
        <v>26068.15</v>
      </c>
      <c r="E1400">
        <v>13758</v>
      </c>
      <c r="G1400" s="338">
        <f t="shared" si="42"/>
        <v>-4.734242893385995E-3</v>
      </c>
      <c r="H1400" s="338">
        <f t="shared" si="43"/>
        <v>-1.383413375385277E-2</v>
      </c>
    </row>
    <row r="1401" spans="2:8" ht="14.25" customHeight="1" x14ac:dyDescent="0.35">
      <c r="B1401" s="337">
        <v>45985</v>
      </c>
      <c r="C1401" s="337"/>
      <c r="D1401">
        <v>25959.5</v>
      </c>
      <c r="E1401">
        <v>13367</v>
      </c>
      <c r="G1401" s="338">
        <f t="shared" si="42"/>
        <v>-4.1679213906626071E-3</v>
      </c>
      <c r="H1401" s="338">
        <f t="shared" si="43"/>
        <v>-2.8419828463439455E-2</v>
      </c>
    </row>
    <row r="1402" spans="2:8" ht="14.25" customHeight="1" x14ac:dyDescent="0.35">
      <c r="B1402" s="337">
        <v>45986</v>
      </c>
      <c r="C1402" s="337"/>
      <c r="D1402">
        <v>25884.799999999999</v>
      </c>
      <c r="E1402">
        <v>13267</v>
      </c>
      <c r="G1402" s="338">
        <f t="shared" si="42"/>
        <v>-2.8775592750245856E-3</v>
      </c>
      <c r="H1402" s="338">
        <f t="shared" si="43"/>
        <v>-7.481110196753198E-3</v>
      </c>
    </row>
    <row r="1403" spans="2:8" ht="14.25" customHeight="1" x14ac:dyDescent="0.35">
      <c r="B1403" s="337">
        <v>45987</v>
      </c>
      <c r="C1403" s="337"/>
      <c r="D1403">
        <v>26205.3</v>
      </c>
      <c r="E1403">
        <v>13460</v>
      </c>
      <c r="G1403" s="338">
        <f t="shared" si="42"/>
        <v>1.2381783904067252E-2</v>
      </c>
      <c r="H1403" s="338">
        <f t="shared" si="43"/>
        <v>1.4547373181578352E-2</v>
      </c>
    </row>
    <row r="1404" spans="2:8" ht="14.25" customHeight="1" x14ac:dyDescent="0.35">
      <c r="B1404" s="337">
        <v>45988</v>
      </c>
      <c r="C1404" s="337"/>
      <c r="D1404">
        <v>26215.55</v>
      </c>
      <c r="E1404">
        <v>13353</v>
      </c>
      <c r="G1404" s="338">
        <f t="shared" si="42"/>
        <v>3.9114224985022116E-4</v>
      </c>
      <c r="H1404" s="338">
        <f t="shared" si="43"/>
        <v>-7.9494799405646355E-3</v>
      </c>
    </row>
    <row r="1405" spans="2:8" ht="14.25" customHeight="1" x14ac:dyDescent="0.35">
      <c r="B1405" s="337">
        <v>45989</v>
      </c>
      <c r="C1405" s="337"/>
      <c r="D1405">
        <v>26202.95</v>
      </c>
      <c r="E1405">
        <v>13272</v>
      </c>
      <c r="G1405" s="338">
        <f t="shared" si="42"/>
        <v>-4.806307706684981E-4</v>
      </c>
      <c r="H1405" s="338">
        <f t="shared" si="43"/>
        <v>-6.0660525724556278E-3</v>
      </c>
    </row>
    <row r="1406" spans="2:8" ht="14.25" customHeight="1" x14ac:dyDescent="0.35">
      <c r="B1406" s="337">
        <v>45992</v>
      </c>
      <c r="C1406" s="337"/>
      <c r="D1406">
        <v>26175.75</v>
      </c>
      <c r="E1406">
        <v>13248</v>
      </c>
      <c r="G1406" s="338">
        <f t="shared" si="42"/>
        <v>-1.038051059136499E-3</v>
      </c>
      <c r="H1406" s="338">
        <f t="shared" si="43"/>
        <v>-1.8083182640144665E-3</v>
      </c>
    </row>
    <row r="1407" spans="2:8" ht="14.25" customHeight="1" x14ac:dyDescent="0.35">
      <c r="B1407" s="337">
        <v>45993</v>
      </c>
      <c r="C1407" s="337"/>
      <c r="D1407">
        <v>26032.2</v>
      </c>
      <c r="E1407">
        <v>13307</v>
      </c>
      <c r="G1407" s="338">
        <f t="shared" si="42"/>
        <v>-5.4840835506145677E-3</v>
      </c>
      <c r="H1407" s="338">
        <f t="shared" si="43"/>
        <v>4.453502415458937E-3</v>
      </c>
    </row>
    <row r="1408" spans="2:8" ht="14.25" customHeight="1" x14ac:dyDescent="0.35">
      <c r="B1408" s="337">
        <v>45994</v>
      </c>
      <c r="C1408" s="337"/>
      <c r="D1408">
        <v>25986</v>
      </c>
      <c r="E1408">
        <v>12835</v>
      </c>
      <c r="G1408" s="338">
        <f t="shared" si="42"/>
        <v>-1.77472514808586E-3</v>
      </c>
      <c r="H1408" s="338">
        <f t="shared" si="43"/>
        <v>-3.5470053355376868E-2</v>
      </c>
    </row>
    <row r="1409" spans="2:8" ht="14.25" customHeight="1" x14ac:dyDescent="0.35">
      <c r="B1409" s="337">
        <v>45995</v>
      </c>
      <c r="C1409" s="337"/>
      <c r="D1409">
        <v>26033.75</v>
      </c>
      <c r="E1409">
        <v>12941</v>
      </c>
      <c r="G1409" s="338">
        <f t="shared" si="42"/>
        <v>1.8375278996382667E-3</v>
      </c>
      <c r="H1409" s="338">
        <f t="shared" si="43"/>
        <v>8.2586677054927934E-3</v>
      </c>
    </row>
    <row r="1410" spans="2:8" ht="14.25" customHeight="1" x14ac:dyDescent="0.35">
      <c r="B1410" s="337">
        <v>45996</v>
      </c>
      <c r="C1410" s="337"/>
      <c r="D1410">
        <v>26186.45</v>
      </c>
      <c r="E1410">
        <v>12819</v>
      </c>
      <c r="G1410" s="338">
        <f t="shared" si="42"/>
        <v>5.8654631007826656E-3</v>
      </c>
      <c r="H1410" s="338">
        <f t="shared" si="43"/>
        <v>-9.4274012827447653E-3</v>
      </c>
    </row>
    <row r="1411" spans="2:8" ht="14.25" customHeight="1" x14ac:dyDescent="0.35">
      <c r="B1411" s="337">
        <v>45999</v>
      </c>
      <c r="C1411" s="337"/>
      <c r="D1411">
        <v>25960.55</v>
      </c>
      <c r="E1411">
        <v>12436</v>
      </c>
      <c r="G1411" s="338">
        <f t="shared" si="42"/>
        <v>-8.6265988707901007E-3</v>
      </c>
      <c r="H1411" s="338">
        <f t="shared" si="43"/>
        <v>-2.9877525548014667E-2</v>
      </c>
    </row>
    <row r="1412" spans="2:8" ht="14.25" customHeight="1" x14ac:dyDescent="0.35">
      <c r="B1412" s="337">
        <v>46000</v>
      </c>
      <c r="C1412" s="337"/>
      <c r="D1412">
        <v>25839.65</v>
      </c>
      <c r="E1412">
        <v>12588</v>
      </c>
      <c r="G1412" s="338">
        <f t="shared" si="42"/>
        <v>-4.6570662023723616E-3</v>
      </c>
      <c r="H1412" s="338">
        <f t="shared" si="43"/>
        <v>1.2222579607590866E-2</v>
      </c>
    </row>
    <row r="1413" spans="2:8" ht="14.25" customHeight="1" x14ac:dyDescent="0.35">
      <c r="B1413" s="337">
        <v>46001</v>
      </c>
      <c r="C1413" s="337"/>
      <c r="D1413">
        <v>25758</v>
      </c>
      <c r="E1413">
        <v>12456</v>
      </c>
      <c r="G1413" s="338">
        <f t="shared" si="42"/>
        <v>-3.1598725214931878E-3</v>
      </c>
      <c r="H1413" s="338">
        <f t="shared" si="43"/>
        <v>-1.0486177311725452E-2</v>
      </c>
    </row>
    <row r="1414" spans="2:8" ht="14.25" customHeight="1" x14ac:dyDescent="0.35">
      <c r="B1414" s="337">
        <v>46002</v>
      </c>
      <c r="C1414" s="337"/>
      <c r="D1414">
        <v>25898.55</v>
      </c>
      <c r="E1414">
        <v>12458</v>
      </c>
      <c r="G1414" s="338">
        <f t="shared" si="42"/>
        <v>5.4565571861169065E-3</v>
      </c>
      <c r="H1414" s="338">
        <f t="shared" si="43"/>
        <v>1.6056518946692356E-4</v>
      </c>
    </row>
    <row r="1415" spans="2:8" ht="14.25" customHeight="1" x14ac:dyDescent="0.35">
      <c r="B1415" s="337">
        <v>46003</v>
      </c>
      <c r="C1415" s="337"/>
      <c r="D1415">
        <v>26046.95</v>
      </c>
      <c r="E1415">
        <v>12304</v>
      </c>
      <c r="G1415" s="338">
        <f t="shared" ref="G1415:G1478" si="44">(D1415-D1414)/D1414</f>
        <v>5.7300505240641449E-3</v>
      </c>
      <c r="H1415" s="338">
        <f t="shared" ref="H1415:H1478" si="45">(E1415-E1414)/E1414</f>
        <v>-1.236153475678279E-2</v>
      </c>
    </row>
    <row r="1416" spans="2:8" ht="14.25" customHeight="1" x14ac:dyDescent="0.35">
      <c r="B1416" s="337">
        <v>46006</v>
      </c>
      <c r="C1416" s="337"/>
      <c r="D1416">
        <v>26027.3</v>
      </c>
      <c r="E1416">
        <v>12196</v>
      </c>
      <c r="G1416" s="338">
        <f t="shared" si="44"/>
        <v>-7.5440694591886787E-4</v>
      </c>
      <c r="H1416" s="338">
        <f t="shared" si="45"/>
        <v>-8.7776332899869962E-3</v>
      </c>
    </row>
    <row r="1417" spans="2:8" ht="14.25" customHeight="1" x14ac:dyDescent="0.35">
      <c r="B1417" s="337">
        <v>46007</v>
      </c>
      <c r="C1417" s="337"/>
      <c r="D1417">
        <v>25860.1</v>
      </c>
      <c r="E1417">
        <v>11918</v>
      </c>
      <c r="G1417" s="338">
        <f t="shared" si="44"/>
        <v>-6.4240240055634173E-3</v>
      </c>
      <c r="H1417" s="338">
        <f t="shared" si="45"/>
        <v>-2.2794358806165958E-2</v>
      </c>
    </row>
    <row r="1418" spans="2:8" ht="14.25" customHeight="1" x14ac:dyDescent="0.35">
      <c r="B1418" s="337">
        <v>46008</v>
      </c>
      <c r="C1418" s="337"/>
      <c r="D1418">
        <v>25818.55</v>
      </c>
      <c r="E1418">
        <v>11815</v>
      </c>
      <c r="G1418" s="338">
        <f t="shared" si="44"/>
        <v>-1.6067223251263248E-3</v>
      </c>
      <c r="H1418" s="338">
        <f t="shared" si="45"/>
        <v>-8.6423896626950832E-3</v>
      </c>
    </row>
    <row r="1419" spans="2:8" ht="14.25" customHeight="1" x14ac:dyDescent="0.35">
      <c r="B1419" s="337">
        <v>46009</v>
      </c>
      <c r="C1419" s="337"/>
      <c r="D1419">
        <v>25815.55</v>
      </c>
      <c r="E1419">
        <v>11772</v>
      </c>
      <c r="G1419" s="338">
        <f t="shared" si="44"/>
        <v>-1.1619552608492731E-4</v>
      </c>
      <c r="H1419" s="338">
        <f t="shared" si="45"/>
        <v>-3.6394413880660179E-3</v>
      </c>
    </row>
    <row r="1420" spans="2:8" ht="14.25" customHeight="1" x14ac:dyDescent="0.35">
      <c r="B1420" s="337">
        <v>46010</v>
      </c>
      <c r="C1420" s="337"/>
      <c r="D1420">
        <v>25966.400000000001</v>
      </c>
      <c r="E1420">
        <v>11911</v>
      </c>
      <c r="G1420" s="338">
        <f t="shared" si="44"/>
        <v>5.8433773442751434E-3</v>
      </c>
      <c r="H1420" s="338">
        <f t="shared" si="45"/>
        <v>1.1807679238871899E-2</v>
      </c>
    </row>
    <row r="1421" spans="2:8" ht="14.25" customHeight="1" x14ac:dyDescent="0.35">
      <c r="B1421" s="337">
        <v>46013</v>
      </c>
      <c r="C1421" s="337"/>
      <c r="D1421">
        <v>26172.400000000001</v>
      </c>
      <c r="E1421">
        <v>12620</v>
      </c>
      <c r="G1421" s="338">
        <f t="shared" si="44"/>
        <v>7.933329225460594E-3</v>
      </c>
      <c r="H1421" s="338">
        <f t="shared" si="45"/>
        <v>5.9524809000083959E-2</v>
      </c>
    </row>
    <row r="1422" spans="2:8" ht="14.25" customHeight="1" x14ac:dyDescent="0.35">
      <c r="B1422" s="337">
        <v>46014</v>
      </c>
      <c r="C1422" s="337"/>
      <c r="D1422">
        <v>26177.15</v>
      </c>
      <c r="E1422">
        <v>12545</v>
      </c>
      <c r="G1422" s="338">
        <f t="shared" si="44"/>
        <v>1.8148889670034082E-4</v>
      </c>
      <c r="H1422" s="338">
        <f t="shared" si="45"/>
        <v>-5.9429477020602221E-3</v>
      </c>
    </row>
    <row r="1423" spans="2:8" ht="14.25" customHeight="1" x14ac:dyDescent="0.35">
      <c r="B1423" s="337">
        <v>46015</v>
      </c>
      <c r="C1423" s="337"/>
      <c r="D1423">
        <v>26142.1</v>
      </c>
      <c r="E1423">
        <v>12485</v>
      </c>
      <c r="G1423" s="338">
        <f t="shared" si="44"/>
        <v>-1.3389540114184665E-3</v>
      </c>
      <c r="H1423" s="338">
        <f t="shared" si="45"/>
        <v>-4.7827819848545233E-3</v>
      </c>
    </row>
    <row r="1424" spans="2:8" ht="14.25" customHeight="1" x14ac:dyDescent="0.35">
      <c r="B1424" s="337">
        <v>46017</v>
      </c>
      <c r="C1424" s="337"/>
      <c r="D1424">
        <v>26042.3</v>
      </c>
      <c r="E1424">
        <v>12437</v>
      </c>
      <c r="G1424" s="338">
        <f t="shared" si="44"/>
        <v>-3.8175969030796791E-3</v>
      </c>
      <c r="H1424" s="338">
        <f t="shared" si="45"/>
        <v>-3.8446135362434921E-3</v>
      </c>
    </row>
    <row r="1425" spans="2:8" ht="14.25" customHeight="1" x14ac:dyDescent="0.35">
      <c r="B1425" s="337">
        <v>46020</v>
      </c>
      <c r="C1425" s="337"/>
      <c r="D1425">
        <v>25942.1</v>
      </c>
      <c r="E1425">
        <v>12331</v>
      </c>
      <c r="G1425" s="338">
        <f t="shared" si="44"/>
        <v>-3.8475864266981309E-3</v>
      </c>
      <c r="H1425" s="338">
        <f t="shared" si="45"/>
        <v>-8.5229556967114251E-3</v>
      </c>
    </row>
    <row r="1426" spans="2:8" ht="14.25" customHeight="1" x14ac:dyDescent="0.35">
      <c r="B1426" s="337">
        <v>46021</v>
      </c>
      <c r="C1426" s="337"/>
      <c r="D1426">
        <v>25938.85</v>
      </c>
      <c r="E1426">
        <v>12028</v>
      </c>
      <c r="G1426" s="338">
        <f t="shared" si="44"/>
        <v>-1.2527898666646109E-4</v>
      </c>
      <c r="H1426" s="338">
        <f t="shared" si="45"/>
        <v>-2.4572216365258293E-2</v>
      </c>
    </row>
    <row r="1427" spans="2:8" ht="14.25" customHeight="1" x14ac:dyDescent="0.35">
      <c r="B1427" s="337">
        <v>46022</v>
      </c>
      <c r="C1427" s="337"/>
      <c r="D1427">
        <v>26129.599999999999</v>
      </c>
      <c r="E1427">
        <v>12252</v>
      </c>
      <c r="G1427" s="338">
        <f t="shared" si="44"/>
        <v>7.353834113694324E-3</v>
      </c>
      <c r="H1427" s="338">
        <f t="shared" si="45"/>
        <v>1.8623212504156966E-2</v>
      </c>
    </row>
    <row r="1428" spans="2:8" ht="14.25" customHeight="1" x14ac:dyDescent="0.35">
      <c r="B1428" s="337">
        <v>46023</v>
      </c>
      <c r="C1428" s="337"/>
      <c r="D1428">
        <v>26146.55</v>
      </c>
      <c r="E1428">
        <v>12166</v>
      </c>
      <c r="G1428" s="338">
        <f t="shared" si="44"/>
        <v>6.4868960871964092E-4</v>
      </c>
      <c r="H1428" s="338">
        <f t="shared" si="45"/>
        <v>-7.0192621612797908E-3</v>
      </c>
    </row>
    <row r="1429" spans="2:8" ht="14.25" customHeight="1" x14ac:dyDescent="0.35">
      <c r="B1429" s="337">
        <v>46024</v>
      </c>
      <c r="C1429" s="337"/>
      <c r="D1429">
        <v>26328.55</v>
      </c>
      <c r="E1429">
        <v>12336</v>
      </c>
      <c r="G1429" s="338">
        <f t="shared" si="44"/>
        <v>6.9607653782238956E-3</v>
      </c>
      <c r="H1429" s="338">
        <f t="shared" si="45"/>
        <v>1.3973368403748151E-2</v>
      </c>
    </row>
    <row r="1430" spans="2:8" ht="14.25" customHeight="1" x14ac:dyDescent="0.35">
      <c r="B1430" s="337">
        <v>46027</v>
      </c>
      <c r="C1430" s="337"/>
      <c r="D1430">
        <v>26250.3</v>
      </c>
      <c r="E1430">
        <v>12731</v>
      </c>
      <c r="G1430" s="338">
        <f t="shared" si="44"/>
        <v>-2.9720588486642826E-3</v>
      </c>
      <c r="H1430" s="338">
        <f t="shared" si="45"/>
        <v>3.2020103761348895E-2</v>
      </c>
    </row>
    <row r="1431" spans="2:8" ht="14.25" customHeight="1" x14ac:dyDescent="0.35">
      <c r="B1431" s="337">
        <v>46028</v>
      </c>
      <c r="C1431" s="337"/>
      <c r="D1431">
        <v>26178.7</v>
      </c>
      <c r="E1431">
        <v>12856</v>
      </c>
      <c r="G1431" s="338">
        <f t="shared" si="44"/>
        <v>-2.7275878751861328E-3</v>
      </c>
      <c r="H1431" s="338">
        <f t="shared" si="45"/>
        <v>9.8185531380095836E-3</v>
      </c>
    </row>
    <row r="1432" spans="2:8" ht="14.25" customHeight="1" x14ac:dyDescent="0.35">
      <c r="B1432" s="337">
        <v>46029</v>
      </c>
      <c r="C1432" s="337"/>
      <c r="D1432">
        <v>26140.75</v>
      </c>
      <c r="E1432">
        <v>13328</v>
      </c>
      <c r="G1432" s="338">
        <f t="shared" si="44"/>
        <v>-1.4496518161711898E-3</v>
      </c>
      <c r="H1432" s="338">
        <f t="shared" si="45"/>
        <v>3.6714374611076538E-2</v>
      </c>
    </row>
    <row r="1433" spans="2:8" ht="14.25" customHeight="1" x14ac:dyDescent="0.35">
      <c r="B1433" s="337">
        <v>46030</v>
      </c>
      <c r="C1433" s="337"/>
      <c r="D1433">
        <v>25876.85</v>
      </c>
      <c r="E1433">
        <v>13452</v>
      </c>
      <c r="G1433" s="338">
        <f t="shared" si="44"/>
        <v>-1.009534921530566E-2</v>
      </c>
      <c r="H1433" s="338">
        <f t="shared" si="45"/>
        <v>9.3037214885954376E-3</v>
      </c>
    </row>
    <row r="1434" spans="2:8" ht="14.25" customHeight="1" x14ac:dyDescent="0.35">
      <c r="B1434" s="337">
        <v>46031</v>
      </c>
      <c r="C1434" s="337"/>
      <c r="D1434">
        <v>25683.3</v>
      </c>
      <c r="E1434">
        <v>13191</v>
      </c>
      <c r="G1434" s="338">
        <f t="shared" si="44"/>
        <v>-7.4796584592019232E-3</v>
      </c>
      <c r="H1434" s="338">
        <f t="shared" si="45"/>
        <v>-1.9402319357716323E-2</v>
      </c>
    </row>
    <row r="1435" spans="2:8" ht="14.25" customHeight="1" x14ac:dyDescent="0.35">
      <c r="B1435" s="337">
        <v>46034</v>
      </c>
      <c r="C1435" s="337"/>
      <c r="D1435">
        <v>25790.25</v>
      </c>
      <c r="E1435">
        <v>13042</v>
      </c>
      <c r="G1435" s="338">
        <f t="shared" si="44"/>
        <v>4.1641845090000405E-3</v>
      </c>
      <c r="H1435" s="338">
        <f t="shared" si="45"/>
        <v>-1.1295580319915094E-2</v>
      </c>
    </row>
    <row r="1436" spans="2:8" ht="14.25" customHeight="1" x14ac:dyDescent="0.35">
      <c r="B1436" s="337">
        <v>46035</v>
      </c>
      <c r="C1436" s="337"/>
      <c r="D1436">
        <v>25732.3</v>
      </c>
      <c r="E1436">
        <v>12696</v>
      </c>
      <c r="G1436" s="338">
        <f t="shared" si="44"/>
        <v>-2.2469731778482459E-3</v>
      </c>
      <c r="H1436" s="338">
        <f t="shared" si="45"/>
        <v>-2.6529673362981138E-2</v>
      </c>
    </row>
    <row r="1437" spans="2:8" ht="14.25" customHeight="1" x14ac:dyDescent="0.35">
      <c r="B1437" s="337">
        <v>46036</v>
      </c>
      <c r="C1437" s="337"/>
      <c r="D1437">
        <v>25665.599999999999</v>
      </c>
      <c r="E1437">
        <v>12875</v>
      </c>
      <c r="G1437" s="338">
        <f t="shared" si="44"/>
        <v>-2.5920729977499382E-3</v>
      </c>
      <c r="H1437" s="338">
        <f t="shared" si="45"/>
        <v>1.409892879647133E-2</v>
      </c>
    </row>
    <row r="1438" spans="2:8" ht="14.25" customHeight="1" x14ac:dyDescent="0.35">
      <c r="B1438" s="337">
        <v>46038</v>
      </c>
      <c r="C1438" s="337"/>
      <c r="D1438">
        <v>25694.35</v>
      </c>
      <c r="E1438">
        <v>12835</v>
      </c>
      <c r="G1438" s="338">
        <f t="shared" si="44"/>
        <v>1.1201764229162772E-3</v>
      </c>
      <c r="H1438" s="338">
        <f t="shared" si="45"/>
        <v>-3.1067961165048546E-3</v>
      </c>
    </row>
    <row r="1439" spans="2:8" ht="14.25" customHeight="1" x14ac:dyDescent="0.35">
      <c r="B1439" s="337">
        <v>46041</v>
      </c>
      <c r="C1439" s="337"/>
      <c r="D1439">
        <v>25585.5</v>
      </c>
      <c r="E1439">
        <v>12925</v>
      </c>
      <c r="G1439" s="338">
        <f t="shared" si="44"/>
        <v>-4.2363398957357768E-3</v>
      </c>
      <c r="H1439" s="338">
        <f t="shared" si="45"/>
        <v>7.012076353720296E-3</v>
      </c>
    </row>
    <row r="1440" spans="2:8" ht="14.25" customHeight="1" x14ac:dyDescent="0.35">
      <c r="B1440" s="337">
        <v>46042</v>
      </c>
      <c r="C1440" s="337"/>
      <c r="D1440">
        <v>25232.5</v>
      </c>
      <c r="E1440">
        <v>12596</v>
      </c>
      <c r="G1440" s="338">
        <f t="shared" si="44"/>
        <v>-1.3796877137441129E-2</v>
      </c>
      <c r="H1440" s="338">
        <f t="shared" si="45"/>
        <v>-2.5454545454545455E-2</v>
      </c>
    </row>
    <row r="1441" spans="2:8" ht="14.25" customHeight="1" x14ac:dyDescent="0.35">
      <c r="B1441" s="337">
        <v>46043</v>
      </c>
      <c r="C1441" s="337"/>
      <c r="D1441">
        <v>25157.5</v>
      </c>
      <c r="E1441">
        <v>12539</v>
      </c>
      <c r="G1441" s="338">
        <f t="shared" si="44"/>
        <v>-2.9723570791637768E-3</v>
      </c>
      <c r="H1441" s="338">
        <f t="shared" si="45"/>
        <v>-4.5252461098761508E-3</v>
      </c>
    </row>
    <row r="1442" spans="2:8" ht="14.25" customHeight="1" x14ac:dyDescent="0.35">
      <c r="B1442" s="337">
        <v>46044</v>
      </c>
      <c r="C1442" s="337"/>
      <c r="D1442">
        <v>25289.9</v>
      </c>
      <c r="E1442">
        <v>12901</v>
      </c>
      <c r="G1442" s="338">
        <f t="shared" si="44"/>
        <v>5.2628440822816832E-3</v>
      </c>
      <c r="H1442" s="338">
        <f t="shared" si="45"/>
        <v>2.8869925831406015E-2</v>
      </c>
    </row>
    <row r="1443" spans="2:8" ht="14.25" customHeight="1" x14ac:dyDescent="0.35">
      <c r="B1443" s="337">
        <v>46045</v>
      </c>
      <c r="C1443" s="337"/>
      <c r="D1443">
        <v>25048.65</v>
      </c>
      <c r="E1443">
        <v>12658</v>
      </c>
      <c r="G1443" s="338">
        <f t="shared" si="44"/>
        <v>-9.5393813340503512E-3</v>
      </c>
      <c r="H1443" s="338">
        <f t="shared" si="45"/>
        <v>-1.883574916673126E-2</v>
      </c>
    </row>
    <row r="1444" spans="2:8" ht="14.25" customHeight="1" x14ac:dyDescent="0.35">
      <c r="B1444" s="337">
        <v>46049</v>
      </c>
      <c r="C1444" s="337"/>
      <c r="D1444">
        <v>25175.4</v>
      </c>
      <c r="E1444">
        <v>12766</v>
      </c>
      <c r="G1444" s="338">
        <f t="shared" si="44"/>
        <v>5.0601529423741397E-3</v>
      </c>
      <c r="H1444" s="338">
        <f t="shared" si="45"/>
        <v>8.5321535787644173E-3</v>
      </c>
    </row>
    <row r="1445" spans="2:8" ht="14.25" customHeight="1" x14ac:dyDescent="0.35">
      <c r="B1445" s="337">
        <v>46050</v>
      </c>
      <c r="C1445" s="337"/>
      <c r="D1445">
        <v>25342.75</v>
      </c>
      <c r="E1445">
        <v>13916</v>
      </c>
      <c r="G1445" s="338">
        <f t="shared" si="44"/>
        <v>6.6473621074540435E-3</v>
      </c>
      <c r="H1445" s="338">
        <f t="shared" si="45"/>
        <v>9.0083033056556475E-2</v>
      </c>
    </row>
    <row r="1446" spans="2:8" ht="14.25" customHeight="1" x14ac:dyDescent="0.35">
      <c r="B1446" s="337">
        <v>46051</v>
      </c>
      <c r="C1446" s="337"/>
      <c r="D1446">
        <v>25418.9</v>
      </c>
      <c r="E1446">
        <v>13327</v>
      </c>
      <c r="G1446" s="338">
        <f t="shared" si="44"/>
        <v>3.0048041353050261E-3</v>
      </c>
      <c r="H1446" s="338">
        <f t="shared" si="45"/>
        <v>-4.2325380856567979E-2</v>
      </c>
    </row>
    <row r="1447" spans="2:8" ht="14.25" customHeight="1" x14ac:dyDescent="0.35">
      <c r="B1447" s="337">
        <v>46052</v>
      </c>
      <c r="C1447" s="337"/>
      <c r="D1447">
        <v>25320.65</v>
      </c>
      <c r="E1447">
        <v>13480</v>
      </c>
      <c r="G1447" s="338">
        <f t="shared" si="44"/>
        <v>-3.8652341368037167E-3</v>
      </c>
      <c r="H1447" s="338">
        <f t="shared" si="45"/>
        <v>1.1480453215277256E-2</v>
      </c>
    </row>
    <row r="1448" spans="2:8" ht="14.25" customHeight="1" x14ac:dyDescent="0.35">
      <c r="B1448" s="337">
        <v>46055</v>
      </c>
      <c r="C1448" s="337"/>
      <c r="D1448">
        <v>25088.400000000001</v>
      </c>
      <c r="E1448">
        <v>13199</v>
      </c>
      <c r="G1448" s="338">
        <f t="shared" si="44"/>
        <v>-9.1723553700240705E-3</v>
      </c>
      <c r="H1448" s="338">
        <f t="shared" si="45"/>
        <v>-2.0845697329376855E-2</v>
      </c>
    </row>
    <row r="1449" spans="2:8" ht="14.25" customHeight="1" x14ac:dyDescent="0.35">
      <c r="B1449" s="337">
        <v>46056</v>
      </c>
      <c r="C1449" s="337"/>
      <c r="D1449">
        <v>25727.55</v>
      </c>
      <c r="E1449">
        <v>13793</v>
      </c>
      <c r="G1449" s="338">
        <f t="shared" si="44"/>
        <v>2.5475917156932995E-2</v>
      </c>
      <c r="H1449" s="338">
        <f t="shared" si="45"/>
        <v>4.500340934919312E-2</v>
      </c>
    </row>
    <row r="1450" spans="2:8" ht="14.25" customHeight="1" x14ac:dyDescent="0.35">
      <c r="B1450" s="337">
        <v>46057</v>
      </c>
      <c r="C1450" s="337"/>
      <c r="D1450">
        <v>25776</v>
      </c>
      <c r="E1450">
        <v>13572</v>
      </c>
      <c r="G1450" s="338">
        <f t="shared" si="44"/>
        <v>1.8831952517826506E-3</v>
      </c>
      <c r="H1450" s="338">
        <f t="shared" si="45"/>
        <v>-1.6022620169651274E-2</v>
      </c>
    </row>
    <row r="1451" spans="2:8" ht="14.25" customHeight="1" x14ac:dyDescent="0.35">
      <c r="B1451" s="337">
        <v>46058</v>
      </c>
      <c r="C1451" s="337"/>
      <c r="D1451">
        <v>25642.799999999999</v>
      </c>
      <c r="E1451">
        <v>13384</v>
      </c>
      <c r="G1451" s="338">
        <f t="shared" si="44"/>
        <v>-5.1675977653631569E-3</v>
      </c>
      <c r="H1451" s="338">
        <f t="shared" si="45"/>
        <v>-1.3852048334806955E-2</v>
      </c>
    </row>
    <row r="1452" spans="2:8" ht="14.25" customHeight="1" x14ac:dyDescent="0.35">
      <c r="B1452" s="337">
        <v>46059</v>
      </c>
      <c r="C1452" s="337"/>
      <c r="D1452">
        <v>25693.7</v>
      </c>
      <c r="E1452">
        <v>12999</v>
      </c>
      <c r="G1452" s="338">
        <f t="shared" si="44"/>
        <v>1.9849626405853281E-3</v>
      </c>
      <c r="H1452" s="338">
        <f t="shared" si="45"/>
        <v>-2.8765690376569036E-2</v>
      </c>
    </row>
    <row r="1453" spans="2:8" ht="14.25" customHeight="1" x14ac:dyDescent="0.35">
      <c r="B1453" s="337">
        <v>46062</v>
      </c>
      <c r="C1453" s="337"/>
      <c r="D1453">
        <v>25867.3</v>
      </c>
      <c r="E1453">
        <v>13389</v>
      </c>
      <c r="G1453" s="338">
        <f t="shared" si="44"/>
        <v>6.7565200807979597E-3</v>
      </c>
      <c r="H1453" s="338">
        <f t="shared" si="45"/>
        <v>3.000230786983614E-2</v>
      </c>
    </row>
    <row r="1454" spans="2:8" ht="14.25" customHeight="1" x14ac:dyDescent="0.35">
      <c r="B1454" s="337">
        <v>46063</v>
      </c>
      <c r="C1454" s="337"/>
      <c r="D1454">
        <v>25935.15</v>
      </c>
      <c r="E1454">
        <v>13423</v>
      </c>
      <c r="G1454" s="338">
        <f t="shared" si="44"/>
        <v>2.6230027873029725E-3</v>
      </c>
      <c r="H1454" s="338">
        <f t="shared" si="45"/>
        <v>2.5393980132944953E-3</v>
      </c>
    </row>
    <row r="1455" spans="2:8" ht="14.25" customHeight="1" x14ac:dyDescent="0.35">
      <c r="B1455" s="337">
        <v>46064</v>
      </c>
      <c r="C1455" s="337"/>
      <c r="D1455">
        <v>25953.85</v>
      </c>
      <c r="E1455">
        <v>13445</v>
      </c>
      <c r="G1455" s="338">
        <f t="shared" si="44"/>
        <v>7.210291824029199E-4</v>
      </c>
      <c r="H1455" s="338">
        <f t="shared" si="45"/>
        <v>1.6389778737987038E-3</v>
      </c>
    </row>
    <row r="1456" spans="2:8" ht="14.25" customHeight="1" x14ac:dyDescent="0.35">
      <c r="B1456" s="337">
        <v>46065</v>
      </c>
      <c r="C1456" s="337"/>
      <c r="D1456">
        <v>25807.200000000001</v>
      </c>
      <c r="E1456">
        <v>13391</v>
      </c>
      <c r="G1456" s="338">
        <f t="shared" si="44"/>
        <v>-5.6504141004127643E-3</v>
      </c>
      <c r="H1456" s="338">
        <f t="shared" si="45"/>
        <v>-4.0163629602082557E-3</v>
      </c>
    </row>
    <row r="1457" spans="2:8" ht="14.25" customHeight="1" x14ac:dyDescent="0.35">
      <c r="B1457" s="337">
        <v>46066</v>
      </c>
      <c r="C1457" s="337"/>
      <c r="D1457">
        <v>25471.1</v>
      </c>
      <c r="E1457">
        <v>13043</v>
      </c>
      <c r="G1457" s="338">
        <f t="shared" si="44"/>
        <v>-1.3023497318577845E-2</v>
      </c>
      <c r="H1457" s="338">
        <f t="shared" si="45"/>
        <v>-2.598760361436786E-2</v>
      </c>
    </row>
    <row r="1458" spans="2:8" ht="14.25" customHeight="1" x14ac:dyDescent="0.35">
      <c r="B1458" s="337">
        <v>46069</v>
      </c>
      <c r="C1458" s="337"/>
      <c r="D1458">
        <v>25682.75</v>
      </c>
      <c r="E1458">
        <v>13111</v>
      </c>
      <c r="G1458" s="338">
        <f t="shared" si="44"/>
        <v>8.3094173396516622E-3</v>
      </c>
      <c r="H1458" s="338">
        <f t="shared" si="45"/>
        <v>5.2135244958981825E-3</v>
      </c>
    </row>
    <row r="1459" spans="2:8" ht="14.25" customHeight="1" x14ac:dyDescent="0.35">
      <c r="B1459" s="337">
        <v>46070</v>
      </c>
      <c r="C1459" s="337"/>
      <c r="D1459">
        <v>25725.4</v>
      </c>
      <c r="E1459">
        <v>13266</v>
      </c>
      <c r="G1459" s="338">
        <f t="shared" si="44"/>
        <v>1.6606477110123119E-3</v>
      </c>
      <c r="H1459" s="338">
        <f t="shared" si="45"/>
        <v>1.1822134085882084E-2</v>
      </c>
    </row>
    <row r="1460" spans="2:8" ht="14.25" customHeight="1" x14ac:dyDescent="0.35">
      <c r="B1460" s="337">
        <v>46071</v>
      </c>
      <c r="C1460" s="337"/>
      <c r="D1460">
        <v>25819.35</v>
      </c>
      <c r="E1460">
        <v>13380</v>
      </c>
      <c r="G1460" s="338">
        <f t="shared" si="44"/>
        <v>3.6520326214557241E-3</v>
      </c>
      <c r="H1460" s="338">
        <f t="shared" si="45"/>
        <v>8.5933966530981464E-3</v>
      </c>
    </row>
    <row r="1461" spans="2:8" ht="14.25" customHeight="1" x14ac:dyDescent="0.35">
      <c r="B1461" s="337">
        <v>46072</v>
      </c>
      <c r="C1461" s="337"/>
      <c r="D1461">
        <v>25454.35</v>
      </c>
      <c r="E1461">
        <v>13370</v>
      </c>
      <c r="G1461" s="338">
        <f t="shared" si="44"/>
        <v>-1.4136684308474071E-2</v>
      </c>
      <c r="H1461" s="338">
        <f t="shared" si="45"/>
        <v>-7.4738415545590436E-4</v>
      </c>
    </row>
    <row r="1462" spans="2:8" ht="14.25" customHeight="1" x14ac:dyDescent="0.35">
      <c r="B1462" s="337">
        <v>46073</v>
      </c>
      <c r="C1462" s="337"/>
      <c r="D1462">
        <v>25571.25</v>
      </c>
      <c r="E1462">
        <v>13296</v>
      </c>
      <c r="G1462" s="338">
        <f t="shared" si="44"/>
        <v>4.5925352641101209E-3</v>
      </c>
      <c r="H1462" s="338">
        <f t="shared" si="45"/>
        <v>-5.5347793567688854E-3</v>
      </c>
    </row>
    <row r="1463" spans="2:8" ht="14.25" customHeight="1" x14ac:dyDescent="0.35">
      <c r="B1463" s="337">
        <v>46076</v>
      </c>
      <c r="C1463" s="337"/>
      <c r="D1463">
        <v>25713</v>
      </c>
      <c r="E1463">
        <v>13370</v>
      </c>
      <c r="G1463" s="338">
        <f t="shared" si="44"/>
        <v>5.5433347998240208E-3</v>
      </c>
      <c r="H1463" s="338">
        <f t="shared" si="45"/>
        <v>5.5655836341756918E-3</v>
      </c>
    </row>
    <row r="1464" spans="2:8" ht="14.25" customHeight="1" x14ac:dyDescent="0.35">
      <c r="B1464" s="337">
        <v>46077</v>
      </c>
      <c r="C1464" s="337"/>
      <c r="D1464">
        <v>25424.65</v>
      </c>
      <c r="E1464">
        <v>13279</v>
      </c>
      <c r="G1464" s="338">
        <f t="shared" si="44"/>
        <v>-1.1214171819702039E-2</v>
      </c>
      <c r="H1464" s="338">
        <f t="shared" si="45"/>
        <v>-6.8062827225130887E-3</v>
      </c>
    </row>
    <row r="1465" spans="2:8" ht="14.25" customHeight="1" x14ac:dyDescent="0.35">
      <c r="B1465" s="337">
        <v>46078</v>
      </c>
      <c r="C1465" s="337"/>
      <c r="D1465">
        <v>25482.5</v>
      </c>
      <c r="E1465">
        <v>13459</v>
      </c>
      <c r="G1465" s="338">
        <f t="shared" si="44"/>
        <v>2.2753508897860359E-3</v>
      </c>
      <c r="H1465" s="338">
        <f t="shared" si="45"/>
        <v>1.3555237593192259E-2</v>
      </c>
    </row>
    <row r="1466" spans="2:8" ht="14.25" customHeight="1" x14ac:dyDescent="0.35">
      <c r="B1466" s="337">
        <v>46079</v>
      </c>
      <c r="C1466" s="337"/>
      <c r="D1466">
        <v>25496.55</v>
      </c>
      <c r="E1466">
        <v>13755</v>
      </c>
      <c r="G1466" s="338">
        <f t="shared" si="44"/>
        <v>5.5135877563030602E-4</v>
      </c>
      <c r="H1466" s="338">
        <f t="shared" si="45"/>
        <v>2.199271862694108E-2</v>
      </c>
    </row>
    <row r="1467" spans="2:8" ht="14.25" customHeight="1" x14ac:dyDescent="0.35">
      <c r="B1467" s="337">
        <v>46080</v>
      </c>
      <c r="C1467" s="337"/>
      <c r="D1467">
        <v>25178.65</v>
      </c>
      <c r="E1467">
        <v>13504</v>
      </c>
      <c r="G1467" s="338">
        <f t="shared" si="44"/>
        <v>-1.2468353561560204E-2</v>
      </c>
      <c r="H1467" s="338">
        <f t="shared" si="45"/>
        <v>-1.8247909850963286E-2</v>
      </c>
    </row>
    <row r="1468" spans="2:8" ht="14.25" customHeight="1" x14ac:dyDescent="0.35">
      <c r="B1468" s="337">
        <v>46083</v>
      </c>
      <c r="C1468" s="337"/>
      <c r="D1468">
        <v>24865.7</v>
      </c>
      <c r="E1468">
        <v>13989</v>
      </c>
      <c r="G1468" s="338">
        <f t="shared" si="44"/>
        <v>-1.2429181072059094E-2</v>
      </c>
      <c r="H1468" s="338">
        <f t="shared" si="45"/>
        <v>3.5915284360189571E-2</v>
      </c>
    </row>
    <row r="1469" spans="2:8" ht="14.25" customHeight="1" x14ac:dyDescent="0.35">
      <c r="B1469" s="337">
        <v>46085</v>
      </c>
      <c r="C1469" s="337"/>
      <c r="D1469">
        <v>24480.5</v>
      </c>
      <c r="E1469">
        <v>14523</v>
      </c>
      <c r="G1469" s="338">
        <f t="shared" si="44"/>
        <v>-1.5491218827541581E-2</v>
      </c>
      <c r="H1469" s="338">
        <f t="shared" si="45"/>
        <v>3.8172850096504396E-2</v>
      </c>
    </row>
    <row r="1470" spans="2:8" ht="14.25" customHeight="1" x14ac:dyDescent="0.35">
      <c r="B1470" s="337">
        <v>46086</v>
      </c>
      <c r="C1470" s="337"/>
      <c r="D1470">
        <v>24765.9</v>
      </c>
      <c r="E1470">
        <v>14671</v>
      </c>
      <c r="G1470" s="338">
        <f t="shared" si="44"/>
        <v>1.1658258613998957E-2</v>
      </c>
      <c r="H1470" s="338">
        <f t="shared" si="45"/>
        <v>1.0190731942436136E-2</v>
      </c>
    </row>
    <row r="1471" spans="2:8" ht="14.25" customHeight="1" x14ac:dyDescent="0.35">
      <c r="B1471" s="337">
        <v>46087</v>
      </c>
      <c r="C1471" s="337"/>
      <c r="D1471">
        <v>24450.45</v>
      </c>
      <c r="E1471">
        <v>15152</v>
      </c>
      <c r="G1471" s="338">
        <f t="shared" si="44"/>
        <v>-1.273727181325939E-2</v>
      </c>
      <c r="H1471" s="338">
        <f t="shared" si="45"/>
        <v>3.2785767841319612E-2</v>
      </c>
    </row>
    <row r="1472" spans="2:8" ht="14.25" customHeight="1" x14ac:dyDescent="0.35">
      <c r="B1472" s="337">
        <v>46090</v>
      </c>
      <c r="C1472" s="337"/>
      <c r="D1472">
        <v>24028.05</v>
      </c>
      <c r="E1472">
        <v>14977</v>
      </c>
      <c r="G1472" s="338">
        <f t="shared" si="44"/>
        <v>-1.7275755660938814E-2</v>
      </c>
      <c r="H1472" s="338">
        <f t="shared" si="45"/>
        <v>-1.1549630411826821E-2</v>
      </c>
    </row>
    <row r="1473" spans="2:8" ht="14.25" customHeight="1" x14ac:dyDescent="0.35">
      <c r="B1473" s="337">
        <v>46091</v>
      </c>
      <c r="C1473" s="337"/>
      <c r="D1473">
        <v>24261.599999999999</v>
      </c>
      <c r="E1473">
        <v>14720</v>
      </c>
      <c r="G1473" s="338">
        <f t="shared" si="44"/>
        <v>9.719889878704235E-3</v>
      </c>
      <c r="H1473" s="338">
        <f t="shared" si="45"/>
        <v>-1.715964478867597E-2</v>
      </c>
    </row>
    <row r="1474" spans="2:8" ht="14.25" customHeight="1" x14ac:dyDescent="0.35">
      <c r="B1474" s="337">
        <v>46092</v>
      </c>
      <c r="C1474" s="337"/>
      <c r="D1474">
        <v>23866.85</v>
      </c>
      <c r="E1474">
        <v>14515</v>
      </c>
      <c r="G1474" s="338">
        <f t="shared" si="44"/>
        <v>-1.6270567481122433E-2</v>
      </c>
      <c r="H1474" s="338">
        <f t="shared" si="45"/>
        <v>-1.3926630434782608E-2</v>
      </c>
    </row>
    <row r="1475" spans="2:8" ht="14.25" customHeight="1" x14ac:dyDescent="0.35">
      <c r="B1475" s="337">
        <v>46093</v>
      </c>
      <c r="C1475" s="337"/>
      <c r="D1475">
        <v>23639.15</v>
      </c>
      <c r="E1475">
        <v>14525</v>
      </c>
      <c r="G1475" s="338">
        <f t="shared" si="44"/>
        <v>-9.5404295078737704E-3</v>
      </c>
      <c r="H1475" s="338">
        <f t="shared" si="45"/>
        <v>6.889424733034792E-4</v>
      </c>
    </row>
    <row r="1476" spans="2:8" ht="14.25" customHeight="1" x14ac:dyDescent="0.35">
      <c r="B1476" s="337">
        <v>46094</v>
      </c>
      <c r="C1476" s="337"/>
      <c r="D1476">
        <v>23151.1</v>
      </c>
      <c r="E1476">
        <v>14251</v>
      </c>
      <c r="G1476" s="338">
        <f t="shared" si="44"/>
        <v>-2.0645835404403411E-2</v>
      </c>
      <c r="H1476" s="338">
        <f t="shared" si="45"/>
        <v>-1.8864027538726333E-2</v>
      </c>
    </row>
    <row r="1477" spans="2:8" ht="14.25" customHeight="1" x14ac:dyDescent="0.35">
      <c r="B1477" s="337">
        <v>46097</v>
      </c>
      <c r="C1477" s="337"/>
      <c r="D1477">
        <v>23408.799999999999</v>
      </c>
      <c r="E1477">
        <v>14082</v>
      </c>
      <c r="G1477" s="338">
        <f t="shared" si="44"/>
        <v>1.113122054675591E-2</v>
      </c>
      <c r="H1477" s="338">
        <f t="shared" si="45"/>
        <v>-1.185881692512806E-2</v>
      </c>
    </row>
    <row r="1478" spans="2:8" ht="14.25" customHeight="1" x14ac:dyDescent="0.35">
      <c r="B1478" s="337">
        <v>46098</v>
      </c>
      <c r="C1478" s="337"/>
      <c r="D1478">
        <v>23581.15</v>
      </c>
      <c r="E1478">
        <v>14034</v>
      </c>
      <c r="G1478" s="338">
        <f t="shared" si="44"/>
        <v>7.3626157684290603E-3</v>
      </c>
      <c r="H1478" s="338">
        <f t="shared" si="45"/>
        <v>-3.4086067319982955E-3</v>
      </c>
    </row>
    <row r="1479" spans="2:8" ht="14.25" customHeight="1" x14ac:dyDescent="0.35">
      <c r="B1479" s="337">
        <v>46099</v>
      </c>
      <c r="C1479" s="337"/>
      <c r="D1479">
        <v>23777.8</v>
      </c>
      <c r="E1479">
        <v>13699</v>
      </c>
      <c r="G1479" s="338">
        <f t="shared" ref="G1479:G1505" si="46">(D1479-D1478)/D1478</f>
        <v>8.3392879482127799E-3</v>
      </c>
      <c r="H1479" s="338">
        <f t="shared" ref="H1479:H1505" si="47">(E1479-E1478)/E1478</f>
        <v>-2.3870599971497791E-2</v>
      </c>
    </row>
    <row r="1480" spans="2:8" ht="14.25" customHeight="1" x14ac:dyDescent="0.35">
      <c r="B1480" s="337">
        <v>46100</v>
      </c>
      <c r="C1480" s="337"/>
      <c r="D1480">
        <v>23002.15</v>
      </c>
      <c r="E1480">
        <v>13159</v>
      </c>
      <c r="G1480" s="338">
        <f t="shared" si="46"/>
        <v>-3.2620763905828035E-2</v>
      </c>
      <c r="H1480" s="338">
        <f t="shared" si="47"/>
        <v>-3.9418935688736403E-2</v>
      </c>
    </row>
    <row r="1481" spans="2:8" ht="14.25" customHeight="1" x14ac:dyDescent="0.35">
      <c r="B1481" s="337">
        <v>46101</v>
      </c>
      <c r="C1481" s="337"/>
      <c r="D1481">
        <v>23114.5</v>
      </c>
      <c r="E1481">
        <v>12934</v>
      </c>
      <c r="G1481" s="338">
        <f t="shared" si="46"/>
        <v>4.8843260303927478E-3</v>
      </c>
      <c r="H1481" s="338">
        <f t="shared" si="47"/>
        <v>-1.7098563720647466E-2</v>
      </c>
    </row>
    <row r="1482" spans="2:8" ht="14.25" customHeight="1" x14ac:dyDescent="0.35">
      <c r="B1482" s="337">
        <v>46104</v>
      </c>
      <c r="C1482" s="337"/>
      <c r="D1482">
        <v>22512.65</v>
      </c>
      <c r="E1482">
        <v>12430</v>
      </c>
      <c r="G1482" s="338">
        <f t="shared" si="46"/>
        <v>-2.603776850029196E-2</v>
      </c>
      <c r="H1482" s="338">
        <f t="shared" si="47"/>
        <v>-3.896706355342508E-2</v>
      </c>
    </row>
    <row r="1483" spans="2:8" ht="14.25" customHeight="1" x14ac:dyDescent="0.35">
      <c r="B1483" s="337">
        <v>46105</v>
      </c>
      <c r="C1483" s="337"/>
      <c r="D1483">
        <v>22912.400000000001</v>
      </c>
      <c r="E1483">
        <v>12554</v>
      </c>
      <c r="G1483" s="338">
        <f t="shared" si="46"/>
        <v>1.7756683464629885E-2</v>
      </c>
      <c r="H1483" s="338">
        <f t="shared" si="47"/>
        <v>9.9758648431214798E-3</v>
      </c>
    </row>
    <row r="1484" spans="2:8" ht="14.25" customHeight="1" x14ac:dyDescent="0.35">
      <c r="B1484" s="337">
        <v>46106</v>
      </c>
      <c r="C1484" s="337"/>
      <c r="D1484">
        <v>23306.45</v>
      </c>
      <c r="E1484">
        <v>12890</v>
      </c>
      <c r="G1484" s="338">
        <f t="shared" si="46"/>
        <v>1.7198111066496713E-2</v>
      </c>
      <c r="H1484" s="338">
        <f t="shared" si="47"/>
        <v>2.6764377887525889E-2</v>
      </c>
    </row>
    <row r="1485" spans="2:8" ht="14.25" customHeight="1" x14ac:dyDescent="0.35">
      <c r="B1485" s="337">
        <v>46108</v>
      </c>
      <c r="C1485" s="337"/>
      <c r="D1485">
        <v>22819.599999999999</v>
      </c>
      <c r="E1485">
        <v>12418</v>
      </c>
      <c r="G1485" s="338">
        <f t="shared" si="46"/>
        <v>-2.0889067189554914E-2</v>
      </c>
      <c r="H1485" s="338">
        <f t="shared" si="47"/>
        <v>-3.661753297129558E-2</v>
      </c>
    </row>
    <row r="1486" spans="2:8" ht="14.25" customHeight="1" x14ac:dyDescent="0.35">
      <c r="B1486" s="337">
        <v>46111</v>
      </c>
      <c r="C1486" s="337"/>
      <c r="D1486">
        <v>22331.4</v>
      </c>
      <c r="E1486">
        <v>12076</v>
      </c>
      <c r="G1486" s="338">
        <f t="shared" si="46"/>
        <v>-2.1393889463443581E-2</v>
      </c>
      <c r="H1486" s="338">
        <f t="shared" si="47"/>
        <v>-2.7540666774037686E-2</v>
      </c>
    </row>
    <row r="1487" spans="2:8" ht="14.25" customHeight="1" x14ac:dyDescent="0.35">
      <c r="B1487" s="337">
        <v>46113</v>
      </c>
      <c r="C1487" s="337"/>
      <c r="D1487">
        <v>22679.4</v>
      </c>
      <c r="E1487">
        <v>12807</v>
      </c>
      <c r="G1487" s="338">
        <f t="shared" si="46"/>
        <v>1.5583438566323651E-2</v>
      </c>
      <c r="H1487" s="338">
        <f t="shared" si="47"/>
        <v>6.0533289168598875E-2</v>
      </c>
    </row>
    <row r="1488" spans="2:8" ht="14.25" customHeight="1" x14ac:dyDescent="0.35">
      <c r="B1488" s="337">
        <v>46114</v>
      </c>
      <c r="C1488" s="337"/>
      <c r="D1488">
        <v>22713.1</v>
      </c>
      <c r="E1488">
        <v>13109</v>
      </c>
      <c r="G1488" s="338">
        <f t="shared" si="46"/>
        <v>1.485929962873669E-3</v>
      </c>
      <c r="H1488" s="338">
        <f t="shared" si="47"/>
        <v>2.3580854220348248E-2</v>
      </c>
    </row>
    <row r="1489" spans="2:8" ht="14.25" customHeight="1" x14ac:dyDescent="0.35">
      <c r="B1489" s="337">
        <v>46118</v>
      </c>
      <c r="C1489" s="337"/>
      <c r="D1489">
        <v>22968.25</v>
      </c>
      <c r="E1489">
        <v>13303</v>
      </c>
      <c r="G1489" s="338">
        <f t="shared" si="46"/>
        <v>1.1233605276250334E-2</v>
      </c>
      <c r="H1489" s="338">
        <f t="shared" si="47"/>
        <v>1.4798993058204287E-2</v>
      </c>
    </row>
    <row r="1490" spans="2:8" ht="14.25" customHeight="1" x14ac:dyDescent="0.35">
      <c r="B1490" s="337">
        <v>46119</v>
      </c>
      <c r="C1490" s="337"/>
      <c r="D1490">
        <v>23123.65</v>
      </c>
      <c r="E1490">
        <v>13406</v>
      </c>
      <c r="G1490" s="338">
        <f t="shared" si="46"/>
        <v>6.7658615697757316E-3</v>
      </c>
      <c r="H1490" s="338">
        <f t="shared" si="47"/>
        <v>7.7426144478689018E-3</v>
      </c>
    </row>
    <row r="1491" spans="2:8" ht="14.25" customHeight="1" x14ac:dyDescent="0.35">
      <c r="B1491" s="337">
        <v>46120</v>
      </c>
      <c r="C1491" s="337"/>
      <c r="D1491">
        <v>23997.35</v>
      </c>
      <c r="E1491">
        <v>13662</v>
      </c>
      <c r="G1491" s="338">
        <f t="shared" si="46"/>
        <v>3.7783827380192876E-2</v>
      </c>
      <c r="H1491" s="338">
        <f t="shared" si="47"/>
        <v>1.9095927196777562E-2</v>
      </c>
    </row>
    <row r="1492" spans="2:8" ht="14.25" customHeight="1" x14ac:dyDescent="0.35">
      <c r="B1492" s="337">
        <v>46121</v>
      </c>
      <c r="C1492" s="337"/>
      <c r="D1492">
        <v>23775.1</v>
      </c>
      <c r="E1492">
        <v>13928</v>
      </c>
      <c r="G1492" s="338">
        <f t="shared" si="46"/>
        <v>-9.2614392839209334E-3</v>
      </c>
      <c r="H1492" s="338">
        <f t="shared" si="47"/>
        <v>1.9470062948323819E-2</v>
      </c>
    </row>
    <row r="1493" spans="2:8" ht="14.25" customHeight="1" x14ac:dyDescent="0.35">
      <c r="B1493" s="337">
        <v>46122</v>
      </c>
      <c r="C1493" s="337"/>
      <c r="D1493">
        <v>24050.6</v>
      </c>
      <c r="E1493">
        <v>14073</v>
      </c>
      <c r="G1493" s="338">
        <f t="shared" si="46"/>
        <v>1.1587753574117459E-2</v>
      </c>
      <c r="H1493" s="338">
        <f t="shared" si="47"/>
        <v>1.0410683515221137E-2</v>
      </c>
    </row>
    <row r="1494" spans="2:8" ht="14.25" customHeight="1" x14ac:dyDescent="0.35">
      <c r="B1494" s="337">
        <v>46125</v>
      </c>
      <c r="C1494" s="337"/>
      <c r="D1494">
        <v>23842.65</v>
      </c>
      <c r="E1494">
        <v>14525</v>
      </c>
      <c r="G1494" s="338">
        <f t="shared" si="46"/>
        <v>-8.6463539371157937E-3</v>
      </c>
      <c r="H1494" s="338">
        <f t="shared" si="47"/>
        <v>3.2118240602572304E-2</v>
      </c>
    </row>
    <row r="1495" spans="2:8" ht="14.25" customHeight="1" x14ac:dyDescent="0.35">
      <c r="B1495" s="337">
        <v>46127</v>
      </c>
      <c r="C1495" s="337"/>
      <c r="D1495">
        <v>24231.3</v>
      </c>
      <c r="E1495">
        <v>14886</v>
      </c>
      <c r="G1495" s="338">
        <f t="shared" si="46"/>
        <v>1.6300620946077631E-2</v>
      </c>
      <c r="H1495" s="338">
        <f t="shared" si="47"/>
        <v>2.4853700516351118E-2</v>
      </c>
    </row>
    <row r="1496" spans="2:8" ht="14.25" customHeight="1" x14ac:dyDescent="0.35">
      <c r="B1496" s="337">
        <v>46128</v>
      </c>
      <c r="C1496" s="337"/>
      <c r="D1496">
        <v>24196.75</v>
      </c>
      <c r="E1496">
        <v>14990</v>
      </c>
      <c r="G1496" s="338">
        <f t="shared" si="46"/>
        <v>-1.4258417831482123E-3</v>
      </c>
      <c r="H1496" s="338">
        <f t="shared" si="47"/>
        <v>6.9864302028751846E-3</v>
      </c>
    </row>
    <row r="1497" spans="2:8" ht="14.25" customHeight="1" x14ac:dyDescent="0.35">
      <c r="B1497" s="337">
        <v>46129</v>
      </c>
      <c r="C1497" s="337"/>
      <c r="D1497">
        <v>24353.55</v>
      </c>
      <c r="E1497">
        <v>15089</v>
      </c>
      <c r="G1497" s="338">
        <f t="shared" si="46"/>
        <v>6.4802091189932231E-3</v>
      </c>
      <c r="H1497" s="338">
        <f t="shared" si="47"/>
        <v>6.6044029352901931E-3</v>
      </c>
    </row>
    <row r="1498" spans="2:8" ht="14.25" customHeight="1" x14ac:dyDescent="0.35">
      <c r="B1498" s="337">
        <v>46132</v>
      </c>
      <c r="C1498" s="337"/>
      <c r="D1498">
        <v>24364.85</v>
      </c>
      <c r="E1498">
        <v>14907</v>
      </c>
      <c r="G1498" s="338">
        <f t="shared" si="46"/>
        <v>4.639980618841718E-4</v>
      </c>
      <c r="H1498" s="338">
        <f t="shared" si="47"/>
        <v>-1.2061766850023196E-2</v>
      </c>
    </row>
    <row r="1499" spans="2:8" ht="14.25" customHeight="1" x14ac:dyDescent="0.35">
      <c r="B1499" s="337">
        <v>46133</v>
      </c>
      <c r="C1499" s="337"/>
      <c r="D1499">
        <v>24576.6</v>
      </c>
      <c r="E1499">
        <v>14949</v>
      </c>
      <c r="G1499" s="338">
        <f t="shared" si="46"/>
        <v>8.6907984247799608E-3</v>
      </c>
      <c r="H1499" s="338">
        <f t="shared" si="47"/>
        <v>2.8174683034815858E-3</v>
      </c>
    </row>
    <row r="1500" spans="2:8" ht="14.25" customHeight="1" x14ac:dyDescent="0.35">
      <c r="B1500" s="337">
        <v>46134</v>
      </c>
      <c r="C1500" s="337"/>
      <c r="D1500">
        <v>24378.1</v>
      </c>
      <c r="E1500">
        <v>15272</v>
      </c>
      <c r="G1500" s="338">
        <f t="shared" si="46"/>
        <v>-8.0767884898643432E-3</v>
      </c>
      <c r="H1500" s="338">
        <f t="shared" si="47"/>
        <v>2.1606796441233526E-2</v>
      </c>
    </row>
    <row r="1501" spans="2:8" ht="14.25" customHeight="1" x14ac:dyDescent="0.35">
      <c r="B1501" s="337">
        <v>46135</v>
      </c>
      <c r="C1501" s="337"/>
      <c r="D1501">
        <v>24173.05</v>
      </c>
      <c r="E1501">
        <v>15747</v>
      </c>
      <c r="G1501" s="338">
        <f t="shared" si="46"/>
        <v>-8.4112379553779541E-3</v>
      </c>
      <c r="H1501" s="338">
        <f t="shared" si="47"/>
        <v>3.1102671555788372E-2</v>
      </c>
    </row>
    <row r="1502" spans="2:8" ht="14.25" customHeight="1" x14ac:dyDescent="0.35">
      <c r="B1502" s="337">
        <v>46136</v>
      </c>
      <c r="C1502" s="337"/>
      <c r="D1502">
        <v>23897.95</v>
      </c>
      <c r="E1502">
        <v>15056</v>
      </c>
      <c r="G1502" s="338">
        <f t="shared" si="46"/>
        <v>-1.1380442269386715E-2</v>
      </c>
      <c r="H1502" s="338">
        <f t="shared" si="47"/>
        <v>-4.3881374230012066E-2</v>
      </c>
    </row>
    <row r="1503" spans="2:8" ht="14.25" customHeight="1" x14ac:dyDescent="0.35">
      <c r="B1503" s="337">
        <v>46139</v>
      </c>
      <c r="C1503" s="337"/>
      <c r="D1503">
        <v>24092.7</v>
      </c>
      <c r="E1503">
        <v>15259</v>
      </c>
      <c r="G1503" s="338">
        <f t="shared" si="46"/>
        <v>8.1492345577758758E-3</v>
      </c>
      <c r="H1503" s="338">
        <f t="shared" si="47"/>
        <v>1.3482996811902232E-2</v>
      </c>
    </row>
    <row r="1504" spans="2:8" ht="14.25" customHeight="1" x14ac:dyDescent="0.35">
      <c r="B1504" s="337">
        <v>46140</v>
      </c>
      <c r="C1504" s="337"/>
      <c r="D1504">
        <v>23995.7</v>
      </c>
      <c r="E1504">
        <v>15304</v>
      </c>
      <c r="G1504" s="338">
        <f t="shared" si="46"/>
        <v>-4.0261157944107553E-3</v>
      </c>
      <c r="H1504" s="338">
        <f t="shared" si="47"/>
        <v>2.9490792319286979E-3</v>
      </c>
    </row>
    <row r="1505" spans="2:8" ht="14.25" customHeight="1" x14ac:dyDescent="0.35">
      <c r="B1505" s="337">
        <v>46141</v>
      </c>
      <c r="C1505" s="337"/>
      <c r="D1505">
        <v>24177.65</v>
      </c>
      <c r="E1505">
        <v>15377</v>
      </c>
      <c r="G1505" s="338">
        <f t="shared" si="46"/>
        <v>7.5826085506986969E-3</v>
      </c>
      <c r="H1505" s="338">
        <f t="shared" si="47"/>
        <v>4.7699947726084681E-3</v>
      </c>
    </row>
  </sheetData>
  <mergeCells count="5">
    <mergeCell ref="B1:H2"/>
    <mergeCell ref="B4:B5"/>
    <mergeCell ref="G4:H4"/>
    <mergeCell ref="M7:Q11"/>
    <mergeCell ref="J13:K13"/>
  </mergeCells>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L15"/>
  <sheetViews>
    <sheetView showGridLines="0" zoomScale="75" zoomScaleNormal="75" workbookViewId="0">
      <selection activeCell="F12" sqref="F12"/>
    </sheetView>
  </sheetViews>
  <sheetFormatPr defaultColWidth="15.81640625" defaultRowHeight="14" x14ac:dyDescent="0.3"/>
  <cols>
    <col min="1" max="1" width="2.54296875" style="1" customWidth="1"/>
    <col min="2" max="2" width="7.36328125" style="1" customWidth="1"/>
    <col min="3" max="3" width="16.90625" style="1" customWidth="1"/>
    <col min="4" max="4" width="9.08984375" style="1" customWidth="1"/>
    <col min="5" max="5" width="18.81640625" style="1" customWidth="1"/>
    <col min="6" max="6" width="12" style="1" customWidth="1"/>
    <col min="7" max="7" width="10.7265625" style="1" customWidth="1"/>
    <col min="8" max="8" width="14.81640625" style="1" customWidth="1"/>
    <col min="9" max="9" width="13.26953125" style="1" customWidth="1"/>
    <col min="10" max="10" width="12.7265625" style="1" customWidth="1"/>
    <col min="11" max="11" width="18.1796875" style="1" customWidth="1"/>
    <col min="12" max="16384" width="15.81640625" style="1"/>
  </cols>
  <sheetData>
    <row r="1" spans="2:12" ht="22.5" customHeight="1" x14ac:dyDescent="0.3">
      <c r="B1" s="695" t="s">
        <v>609</v>
      </c>
      <c r="C1" s="695"/>
      <c r="D1" s="695"/>
      <c r="E1" s="695"/>
      <c r="F1" s="695"/>
      <c r="G1" s="695"/>
      <c r="H1" s="695"/>
      <c r="I1" s="695"/>
      <c r="J1" s="695"/>
      <c r="K1" s="695"/>
      <c r="L1" s="695"/>
    </row>
    <row r="2" spans="2:12" ht="13.5" customHeight="1" x14ac:dyDescent="0.3">
      <c r="B2" s="344" t="s">
        <v>610</v>
      </c>
      <c r="C2" s="345" t="s">
        <v>611</v>
      </c>
      <c r="D2" s="346" t="s">
        <v>612</v>
      </c>
      <c r="E2" s="346" t="s">
        <v>613</v>
      </c>
      <c r="F2" s="346" t="s">
        <v>614</v>
      </c>
      <c r="G2" s="346" t="s">
        <v>615</v>
      </c>
      <c r="H2" s="346" t="s">
        <v>616</v>
      </c>
      <c r="I2" s="346" t="s">
        <v>617</v>
      </c>
      <c r="J2" s="346" t="s">
        <v>618</v>
      </c>
      <c r="K2" s="346" t="s">
        <v>619</v>
      </c>
      <c r="L2" s="346" t="s">
        <v>620</v>
      </c>
    </row>
    <row r="3" spans="2:12" ht="13.5" customHeight="1" x14ac:dyDescent="0.3">
      <c r="B3" s="347">
        <v>1</v>
      </c>
      <c r="C3" s="348" t="s">
        <v>378</v>
      </c>
      <c r="D3" s="349">
        <v>17314</v>
      </c>
      <c r="E3" s="350">
        <v>9.0500000000000007</v>
      </c>
      <c r="F3" s="350">
        <v>1524.02</v>
      </c>
      <c r="G3" s="350">
        <v>157625.29</v>
      </c>
      <c r="H3" s="350">
        <v>1287.93</v>
      </c>
      <c r="I3" s="350">
        <v>133.65</v>
      </c>
      <c r="J3" s="350">
        <v>7611.09</v>
      </c>
      <c r="K3" s="351">
        <f>Assumption!G11</f>
        <v>1780.1599999999999</v>
      </c>
      <c r="L3" s="246">
        <v>931.52</v>
      </c>
    </row>
    <row r="4" spans="2:12" ht="13.5" customHeight="1" x14ac:dyDescent="0.3">
      <c r="B4" s="352">
        <v>2</v>
      </c>
      <c r="C4" s="353" t="s">
        <v>621</v>
      </c>
      <c r="D4" s="354">
        <v>523.29999999999995</v>
      </c>
      <c r="E4" s="203">
        <v>5.38</v>
      </c>
      <c r="F4" s="203">
        <v>40.64</v>
      </c>
      <c r="G4" s="203">
        <v>2842.83</v>
      </c>
      <c r="H4" s="203">
        <v>28.73</v>
      </c>
      <c r="I4" s="203">
        <v>5.34</v>
      </c>
      <c r="J4" s="203">
        <v>419.57</v>
      </c>
      <c r="K4" s="355">
        <v>49.27</v>
      </c>
      <c r="L4" s="246">
        <v>93.15</v>
      </c>
    </row>
    <row r="5" spans="2:12" ht="13.5" customHeight="1" x14ac:dyDescent="0.3">
      <c r="B5" s="347">
        <v>3</v>
      </c>
      <c r="C5" s="348" t="s">
        <v>622</v>
      </c>
      <c r="D5" s="349">
        <v>300.5</v>
      </c>
      <c r="E5" s="350">
        <v>4.96</v>
      </c>
      <c r="F5" s="1">
        <v>1115.31</v>
      </c>
      <c r="G5" s="1">
        <v>2583.52</v>
      </c>
      <c r="H5" s="1">
        <v>157.21</v>
      </c>
      <c r="I5" s="1">
        <v>31.71</v>
      </c>
      <c r="J5" s="1">
        <v>554.65</v>
      </c>
      <c r="K5" s="1">
        <v>263.17</v>
      </c>
      <c r="L5" s="246">
        <v>22.27</v>
      </c>
    </row>
    <row r="6" spans="2:12" ht="13.5" customHeight="1" x14ac:dyDescent="0.3">
      <c r="B6" s="352">
        <v>4</v>
      </c>
      <c r="C6" s="353" t="s">
        <v>381</v>
      </c>
      <c r="D6" s="354">
        <v>4616.8</v>
      </c>
      <c r="E6" s="356">
        <v>0.1</v>
      </c>
      <c r="F6" s="203">
        <v>38.18</v>
      </c>
      <c r="G6" s="203">
        <v>488.2</v>
      </c>
      <c r="H6" s="203">
        <v>24.94</v>
      </c>
      <c r="I6" s="203">
        <v>249.41</v>
      </c>
      <c r="J6" s="203">
        <v>495.72</v>
      </c>
      <c r="K6" s="355">
        <v>44.26</v>
      </c>
      <c r="L6" s="246">
        <v>11.64</v>
      </c>
    </row>
    <row r="7" spans="2:12" ht="13.5" customHeight="1" x14ac:dyDescent="0.3">
      <c r="B7" s="347">
        <v>5</v>
      </c>
      <c r="C7" s="348" t="s">
        <v>623</v>
      </c>
      <c r="D7" s="349">
        <v>228.05</v>
      </c>
      <c r="E7" s="350">
        <v>1.29</v>
      </c>
      <c r="F7" s="350">
        <v>244.18</v>
      </c>
      <c r="G7" s="350">
        <v>335.94</v>
      </c>
      <c r="H7" s="350">
        <v>13.12</v>
      </c>
      <c r="I7" s="350">
        <v>13.42</v>
      </c>
      <c r="J7" s="350">
        <v>214.99</v>
      </c>
      <c r="K7" s="357">
        <v>24.69</v>
      </c>
      <c r="L7" s="246">
        <v>204.9</v>
      </c>
    </row>
    <row r="10" spans="2:12" ht="14.25" customHeight="1" x14ac:dyDescent="0.3">
      <c r="C10" s="358"/>
      <c r="D10" s="359"/>
      <c r="E10" s="359"/>
      <c r="F10" s="359"/>
      <c r="G10" s="359"/>
      <c r="H10" s="359"/>
      <c r="I10" s="359"/>
      <c r="J10" s="359"/>
      <c r="K10" s="359"/>
    </row>
    <row r="11" spans="2:12" ht="14.25" customHeight="1" x14ac:dyDescent="0.3">
      <c r="C11" s="360"/>
      <c r="D11" s="361"/>
      <c r="E11" s="361"/>
      <c r="F11" s="361"/>
      <c r="G11" s="361"/>
      <c r="H11" s="361"/>
      <c r="I11" s="361"/>
      <c r="J11" s="361"/>
      <c r="K11" s="361"/>
    </row>
    <row r="12" spans="2:12" ht="14.25" customHeight="1" x14ac:dyDescent="0.3">
      <c r="C12" s="360"/>
      <c r="D12" s="361"/>
      <c r="E12" s="361"/>
      <c r="F12" s="361"/>
      <c r="G12" s="361"/>
      <c r="H12" s="361"/>
      <c r="I12" s="361"/>
      <c r="J12" s="361"/>
      <c r="K12" s="361"/>
    </row>
    <row r="13" spans="2:12" ht="14.25" customHeight="1" x14ac:dyDescent="0.3">
      <c r="C13" s="360"/>
      <c r="D13" s="361"/>
      <c r="E13" s="361"/>
      <c r="F13" s="361"/>
      <c r="G13" s="361"/>
      <c r="H13" s="361"/>
      <c r="I13" s="361"/>
      <c r="J13" s="361"/>
      <c r="K13" s="361"/>
    </row>
    <row r="14" spans="2:12" ht="14.25" customHeight="1" x14ac:dyDescent="0.3">
      <c r="C14" s="360"/>
      <c r="D14" s="361"/>
      <c r="E14" s="361"/>
      <c r="F14" s="361"/>
      <c r="G14" s="361"/>
      <c r="H14" s="361"/>
      <c r="I14" s="361"/>
      <c r="J14" s="361"/>
      <c r="K14" s="361"/>
    </row>
    <row r="15" spans="2:12" ht="14.25" customHeight="1" x14ac:dyDescent="0.3">
      <c r="C15" s="360"/>
      <c r="D15" s="361"/>
      <c r="E15" s="361"/>
      <c r="F15" s="361"/>
      <c r="G15" s="361"/>
      <c r="H15" s="361"/>
      <c r="I15" s="361"/>
      <c r="J15" s="361"/>
      <c r="K15" s="361"/>
    </row>
  </sheetData>
  <mergeCells count="1">
    <mergeCell ref="B1:L1"/>
  </mergeCells>
  <hyperlinks>
    <hyperlink ref="C3" r:id="rId1" xr:uid="{00000000-0004-0000-1300-000000000000}"/>
    <hyperlink ref="C4" r:id="rId2" xr:uid="{00000000-0004-0000-1300-000001000000}"/>
    <hyperlink ref="C5" r:id="rId3" xr:uid="{00000000-0004-0000-1300-000002000000}"/>
    <hyperlink ref="C6" r:id="rId4" xr:uid="{00000000-0004-0000-1300-000003000000}"/>
    <hyperlink ref="C7" r:id="rId5" xr:uid="{00000000-0004-0000-1300-000004000000}"/>
  </hyperlinks>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R60"/>
  <sheetViews>
    <sheetView showGridLines="0" topLeftCell="B1" zoomScale="72" zoomScaleNormal="72" workbookViewId="0">
      <selection activeCell="J15" sqref="J15"/>
    </sheetView>
  </sheetViews>
  <sheetFormatPr defaultColWidth="8.6328125" defaultRowHeight="14.5" x14ac:dyDescent="0.35"/>
  <cols>
    <col min="1" max="1" width="2.81640625" customWidth="1"/>
    <col min="2" max="2" width="39.08984375" customWidth="1"/>
    <col min="3" max="3" width="13.26953125" customWidth="1"/>
    <col min="4" max="4" width="11.54296875" customWidth="1"/>
    <col min="5" max="5" width="15.1796875" customWidth="1"/>
    <col min="6" max="6" width="13.7265625" customWidth="1"/>
    <col min="7" max="7" width="12.36328125" customWidth="1"/>
    <col min="8" max="8" width="17.453125" customWidth="1"/>
    <col min="9" max="9" width="7.1796875" customWidth="1"/>
    <col min="10" max="10" width="10.453125" customWidth="1"/>
    <col min="11" max="11" width="8.54296875" customWidth="1"/>
    <col min="12" max="12" width="10.36328125" customWidth="1"/>
    <col min="13" max="13" width="10.81640625" customWidth="1"/>
    <col min="14" max="14" width="8.08984375" customWidth="1"/>
    <col min="15" max="15" width="12.6328125" customWidth="1"/>
    <col min="16" max="16" width="11.1796875" customWidth="1"/>
    <col min="17" max="17" width="13" customWidth="1"/>
  </cols>
  <sheetData>
    <row r="1" spans="2:17" ht="14.25" customHeight="1" x14ac:dyDescent="0.35">
      <c r="B1" s="696" t="s">
        <v>624</v>
      </c>
      <c r="C1" s="696"/>
      <c r="D1" s="696"/>
      <c r="E1" s="696"/>
      <c r="F1" s="696"/>
      <c r="G1" s="696"/>
      <c r="H1" s="696"/>
      <c r="I1" s="696"/>
      <c r="J1" s="696"/>
      <c r="K1" s="696"/>
      <c r="L1" s="696"/>
      <c r="M1" s="696"/>
      <c r="N1" s="696"/>
      <c r="O1" s="696"/>
      <c r="P1" s="696"/>
      <c r="Q1" s="696"/>
    </row>
    <row r="2" spans="2:17" ht="14.25" customHeight="1" x14ac:dyDescent="0.35">
      <c r="B2" s="696"/>
      <c r="C2" s="696"/>
      <c r="D2" s="696"/>
      <c r="E2" s="696"/>
      <c r="F2" s="696"/>
      <c r="G2" s="696"/>
      <c r="H2" s="696"/>
      <c r="I2" s="696"/>
      <c r="J2" s="696"/>
      <c r="K2" s="696"/>
      <c r="L2" s="696"/>
      <c r="M2" s="696"/>
      <c r="N2" s="696"/>
      <c r="O2" s="696"/>
      <c r="P2" s="696"/>
      <c r="Q2" s="696"/>
    </row>
    <row r="3" spans="2:17" ht="15" customHeight="1" x14ac:dyDescent="0.35">
      <c r="B3" s="571" t="s">
        <v>625</v>
      </c>
      <c r="C3" s="571"/>
      <c r="D3" s="571"/>
      <c r="E3" s="571"/>
      <c r="F3" s="571"/>
      <c r="G3" s="571"/>
      <c r="H3" s="571"/>
      <c r="I3" s="571"/>
      <c r="J3" s="571"/>
      <c r="K3" s="571"/>
      <c r="L3" s="571"/>
      <c r="M3" s="571"/>
      <c r="N3" s="571"/>
      <c r="O3" s="571"/>
      <c r="P3" s="571"/>
      <c r="Q3" s="571"/>
    </row>
    <row r="4" spans="2:17" ht="18" customHeight="1" x14ac:dyDescent="0.35">
      <c r="B4" s="697" t="s">
        <v>626</v>
      </c>
      <c r="C4" s="698" t="s">
        <v>627</v>
      </c>
      <c r="D4" s="698"/>
      <c r="E4" s="698"/>
      <c r="F4" s="698"/>
      <c r="G4" s="698"/>
      <c r="H4" s="698"/>
      <c r="I4" s="699"/>
      <c r="J4" s="698" t="s">
        <v>628</v>
      </c>
      <c r="K4" s="698"/>
      <c r="L4" s="698"/>
      <c r="M4" s="698"/>
      <c r="N4" s="699"/>
      <c r="O4" s="698" t="s">
        <v>629</v>
      </c>
      <c r="P4" s="698"/>
      <c r="Q4" s="698"/>
    </row>
    <row r="5" spans="2:17" s="362" customFormat="1" ht="21" customHeight="1" x14ac:dyDescent="0.35">
      <c r="B5" s="697"/>
      <c r="C5" s="700" t="s">
        <v>630</v>
      </c>
      <c r="D5" s="700" t="s">
        <v>631</v>
      </c>
      <c r="E5" s="700" t="s">
        <v>632</v>
      </c>
      <c r="F5" s="700" t="s">
        <v>633</v>
      </c>
      <c r="G5" s="700" t="s">
        <v>634</v>
      </c>
      <c r="H5" s="701" t="s">
        <v>635</v>
      </c>
      <c r="I5" s="699"/>
      <c r="J5" s="700" t="s">
        <v>636</v>
      </c>
      <c r="K5" s="700" t="s">
        <v>265</v>
      </c>
      <c r="L5" s="700" t="s">
        <v>358</v>
      </c>
      <c r="M5" s="700" t="s">
        <v>347</v>
      </c>
      <c r="N5" s="699"/>
      <c r="O5" s="700" t="s">
        <v>637</v>
      </c>
      <c r="P5" s="700" t="s">
        <v>400</v>
      </c>
      <c r="Q5" s="700" t="s">
        <v>395</v>
      </c>
    </row>
    <row r="6" spans="2:17" ht="15" customHeight="1" x14ac:dyDescent="0.35">
      <c r="B6" s="363" t="s">
        <v>378</v>
      </c>
      <c r="C6" s="364">
        <f>'Peer Comp.'!E3</f>
        <v>9.0500000000000007</v>
      </c>
      <c r="D6" s="365">
        <f>'Peer Comp.'!D3</f>
        <v>17314</v>
      </c>
      <c r="E6" s="365">
        <f>C6*D6</f>
        <v>156691.70000000001</v>
      </c>
      <c r="F6" s="365">
        <f>'Peer Comp.'!F3</f>
        <v>1524.02</v>
      </c>
      <c r="G6" s="365">
        <f>'Peer Comp.'!L3</f>
        <v>931.52</v>
      </c>
      <c r="H6" s="365">
        <f>E6+F6-G6</f>
        <v>157284.20000000001</v>
      </c>
      <c r="I6" s="366"/>
      <c r="J6" s="364">
        <f>'Peer Comp.'!J3</f>
        <v>7611.09</v>
      </c>
      <c r="K6" s="365">
        <f>'Peer Comp.'!K3</f>
        <v>1780.1599999999999</v>
      </c>
      <c r="L6" s="365">
        <f>'Peer Comp.'!H3</f>
        <v>1287.93</v>
      </c>
      <c r="M6" s="365">
        <f>'Peer Comp.'!I3</f>
        <v>133.65</v>
      </c>
      <c r="N6" s="367"/>
      <c r="O6" s="368">
        <f>H6/J6</f>
        <v>20.665134691614472</v>
      </c>
      <c r="P6" s="368">
        <f>H6/K6</f>
        <v>88.353968182635285</v>
      </c>
      <c r="Q6" s="369">
        <f>D6/M6</f>
        <v>129.54732510288065</v>
      </c>
    </row>
    <row r="7" spans="2:17" ht="15" customHeight="1" x14ac:dyDescent="0.35">
      <c r="B7" s="370" t="s">
        <v>621</v>
      </c>
      <c r="C7" s="371">
        <f>'Peer Comp.'!E4</f>
        <v>5.38</v>
      </c>
      <c r="D7" s="372">
        <f>'Peer Comp.'!D4</f>
        <v>523.29999999999995</v>
      </c>
      <c r="E7" s="372">
        <f>C7*D7</f>
        <v>2815.3539999999998</v>
      </c>
      <c r="F7" s="372">
        <f>'Peer Comp.'!F4</f>
        <v>40.64</v>
      </c>
      <c r="G7" s="372">
        <f>'Peer Comp.'!L4</f>
        <v>93.15</v>
      </c>
      <c r="H7" s="372">
        <f>E7+F7-G7</f>
        <v>2762.8439999999996</v>
      </c>
      <c r="I7" s="373"/>
      <c r="J7" s="371">
        <f>'Peer Comp.'!J4</f>
        <v>419.57</v>
      </c>
      <c r="K7" s="372">
        <f>'Peer Comp.'!K4</f>
        <v>49.27</v>
      </c>
      <c r="L7" s="372">
        <f>'Peer Comp.'!H4</f>
        <v>28.73</v>
      </c>
      <c r="M7" s="372">
        <f>'Peer Comp.'!I4</f>
        <v>5.34</v>
      </c>
      <c r="N7" s="374"/>
      <c r="O7" s="375">
        <f>H7/J7</f>
        <v>6.5849417260528629</v>
      </c>
      <c r="P7" s="375">
        <f>H7/K7</f>
        <v>56.075583519382981</v>
      </c>
      <c r="Q7" s="376">
        <f>D7/M7</f>
        <v>97.99625468164794</v>
      </c>
    </row>
    <row r="8" spans="2:17" ht="15" customHeight="1" x14ac:dyDescent="0.35">
      <c r="B8" s="370" t="s">
        <v>622</v>
      </c>
      <c r="C8" s="377">
        <f>'Peer Comp.'!E5</f>
        <v>4.96</v>
      </c>
      <c r="D8" s="378">
        <f>'Peer Comp.'!D5</f>
        <v>300.5</v>
      </c>
      <c r="E8" s="379">
        <f>C8*D8</f>
        <v>1490.48</v>
      </c>
      <c r="F8" s="379">
        <f>'Peer Comp.'!F5</f>
        <v>1115.31</v>
      </c>
      <c r="G8" s="378">
        <f>'Peer Comp.'!L5</f>
        <v>22.27</v>
      </c>
      <c r="H8" s="379">
        <f>E8+F8-G8</f>
        <v>2583.52</v>
      </c>
      <c r="I8" s="380"/>
      <c r="J8" s="377">
        <f>'Peer Comp.'!J5</f>
        <v>554.65</v>
      </c>
      <c r="K8" s="379">
        <f>'Peer Comp.'!K5</f>
        <v>263.17</v>
      </c>
      <c r="L8" s="379">
        <f>'Peer Comp.'!H5</f>
        <v>157.21</v>
      </c>
      <c r="M8" s="379">
        <f>'Peer Comp.'!I5</f>
        <v>31.71</v>
      </c>
      <c r="N8" s="381"/>
      <c r="O8" s="382">
        <f>H8/J8</f>
        <v>4.657928423330028</v>
      </c>
      <c r="P8" s="382">
        <f>H8/K8</f>
        <v>9.816924421476612</v>
      </c>
      <c r="Q8" s="383">
        <f>D8/M8</f>
        <v>9.4765058341217276</v>
      </c>
    </row>
    <row r="9" spans="2:17" ht="15" customHeight="1" x14ac:dyDescent="0.35">
      <c r="B9" s="370" t="s">
        <v>381</v>
      </c>
      <c r="C9" s="371">
        <f>'Peer Comp.'!E6</f>
        <v>0.1</v>
      </c>
      <c r="D9" s="372">
        <f>'Peer Comp.'!D6</f>
        <v>4616.8</v>
      </c>
      <c r="E9" s="372">
        <f>C9*D9</f>
        <v>461.68000000000006</v>
      </c>
      <c r="F9" s="372">
        <f>'Peer Comp.'!F6</f>
        <v>38.18</v>
      </c>
      <c r="G9" s="372">
        <f>'Peer Comp.'!L6</f>
        <v>11.64</v>
      </c>
      <c r="H9" s="372">
        <f>E9+F9-G9</f>
        <v>488.22000000000008</v>
      </c>
      <c r="I9" s="373"/>
      <c r="J9" s="371">
        <f>'Peer Comp.'!J6</f>
        <v>495.72</v>
      </c>
      <c r="K9" s="372">
        <f>'Peer Comp.'!K6</f>
        <v>44.26</v>
      </c>
      <c r="L9" s="372">
        <f>'Peer Comp.'!H6</f>
        <v>24.94</v>
      </c>
      <c r="M9" s="372">
        <f>'Peer Comp.'!I6</f>
        <v>249.41</v>
      </c>
      <c r="N9" s="374"/>
      <c r="O9" s="375">
        <f>H9/J9</f>
        <v>0.98487049140643923</v>
      </c>
      <c r="P9" s="375">
        <f>H9/K9</f>
        <v>11.030727519204701</v>
      </c>
      <c r="Q9" s="384">
        <f>D9/M9</f>
        <v>18.510885690228942</v>
      </c>
    </row>
    <row r="10" spans="2:17" ht="15" customHeight="1" x14ac:dyDescent="0.35">
      <c r="B10" s="385" t="s">
        <v>623</v>
      </c>
      <c r="C10" s="386">
        <f>'Peer Comp.'!E7</f>
        <v>1.29</v>
      </c>
      <c r="D10" s="387">
        <f>'Peer Comp.'!D7</f>
        <v>228.05</v>
      </c>
      <c r="E10" s="387">
        <f>C10*D10</f>
        <v>294.18450000000001</v>
      </c>
      <c r="F10" s="387">
        <f>'Peer Comp.'!F7</f>
        <v>244.18</v>
      </c>
      <c r="G10" s="387">
        <f>'Peer Comp.'!L7</f>
        <v>204.9</v>
      </c>
      <c r="H10" s="387">
        <f>E10+F10-G10</f>
        <v>333.46450000000004</v>
      </c>
      <c r="I10" s="388"/>
      <c r="J10" s="386">
        <f>'Peer Comp.'!J7</f>
        <v>214.99</v>
      </c>
      <c r="K10" s="387">
        <f>'Peer Comp.'!K7</f>
        <v>24.69</v>
      </c>
      <c r="L10" s="387">
        <f>'Peer Comp.'!H7</f>
        <v>13.12</v>
      </c>
      <c r="M10" s="387">
        <f>'Peer Comp.'!I7</f>
        <v>13.42</v>
      </c>
      <c r="N10" s="389"/>
      <c r="O10" s="390">
        <f>H10/J10</f>
        <v>1.5510698172008002</v>
      </c>
      <c r="P10" s="391">
        <f>H10/K10</f>
        <v>13.506055083029567</v>
      </c>
      <c r="Q10" s="392">
        <f>D10/M10</f>
        <v>16.993293591654247</v>
      </c>
    </row>
    <row r="11" spans="2:17" ht="14.25" customHeight="1" x14ac:dyDescent="0.35">
      <c r="B11" s="393"/>
      <c r="C11" s="372"/>
      <c r="D11" s="372"/>
      <c r="E11" s="372"/>
      <c r="F11" s="372"/>
      <c r="G11" s="372"/>
      <c r="H11" s="372"/>
      <c r="J11" s="372"/>
      <c r="K11" s="372"/>
      <c r="L11" s="372"/>
      <c r="M11" s="372"/>
      <c r="O11" s="375"/>
      <c r="P11" s="375"/>
      <c r="Q11" s="384"/>
    </row>
    <row r="12" spans="2:17" ht="18" customHeight="1" x14ac:dyDescent="0.45">
      <c r="B12" s="698" t="s">
        <v>638</v>
      </c>
      <c r="C12" s="698"/>
      <c r="D12" s="698"/>
      <c r="E12" s="702" t="s">
        <v>637</v>
      </c>
      <c r="F12" s="702" t="s">
        <v>400</v>
      </c>
      <c r="G12" s="702" t="s">
        <v>395</v>
      </c>
      <c r="H12" s="394"/>
      <c r="J12" s="394"/>
      <c r="K12" s="394"/>
      <c r="L12" s="394"/>
      <c r="M12" s="570" t="s">
        <v>639</v>
      </c>
      <c r="N12" s="570"/>
      <c r="O12" s="395">
        <f>IFERROR(AVERAGE(O6:O10),0)</f>
        <v>6.88878902992092</v>
      </c>
      <c r="P12" s="396">
        <f>IFERROR(AVERAGE(P6:P10),0)</f>
        <v>35.756651745145831</v>
      </c>
      <c r="Q12" s="396">
        <f>IFERROR(AVERAGE(Q6:Q10),0)</f>
        <v>54.504852980106705</v>
      </c>
    </row>
    <row r="13" spans="2:17" ht="14.25" customHeight="1" x14ac:dyDescent="0.35">
      <c r="B13" s="698"/>
      <c r="C13" s="698"/>
      <c r="D13" s="698"/>
      <c r="E13" s="703" t="s">
        <v>640</v>
      </c>
      <c r="F13" s="703" t="s">
        <v>641</v>
      </c>
      <c r="G13" s="703" t="s">
        <v>641</v>
      </c>
      <c r="H13" s="394"/>
      <c r="J13" s="394"/>
      <c r="K13" s="394"/>
      <c r="L13" s="394"/>
      <c r="M13" s="570" t="s">
        <v>642</v>
      </c>
      <c r="N13" s="570"/>
      <c r="O13" s="395">
        <f>IFERROR(MEDIAN(O6:O10),0)</f>
        <v>4.657928423330028</v>
      </c>
      <c r="P13" s="396">
        <f>IFERROR(MEDIAN(P6:P10),0)</f>
        <v>13.506055083029567</v>
      </c>
      <c r="Q13" s="396">
        <f>IFERROR(MEDIAN(Q6:Q10),0)</f>
        <v>18.510885690228942</v>
      </c>
    </row>
    <row r="14" spans="2:17" ht="14.25" customHeight="1" x14ac:dyDescent="0.35">
      <c r="B14" s="373" t="s">
        <v>643</v>
      </c>
      <c r="E14" s="397">
        <f>$O$13*J6</f>
        <v>35451.912443522946</v>
      </c>
      <c r="F14" s="397">
        <f>$P$13*K6</f>
        <v>24042.939016605913</v>
      </c>
      <c r="G14" s="397">
        <f>Q13*L6</f>
        <v>23840.725007016565</v>
      </c>
      <c r="H14" s="394"/>
      <c r="J14" s="394"/>
      <c r="K14" s="394"/>
      <c r="L14" s="394"/>
      <c r="M14" s="398"/>
      <c r="N14" s="399"/>
      <c r="O14" s="396"/>
      <c r="P14" s="396"/>
      <c r="Q14" s="400"/>
    </row>
    <row r="15" spans="2:17" ht="14.25" customHeight="1" x14ac:dyDescent="0.35">
      <c r="B15" s="373" t="s">
        <v>644</v>
      </c>
      <c r="E15" s="397">
        <f>F6-G6</f>
        <v>592.5</v>
      </c>
      <c r="F15" s="397">
        <f>E15</f>
        <v>592.5</v>
      </c>
      <c r="G15" s="397">
        <f>F15</f>
        <v>592.5</v>
      </c>
      <c r="M15" s="570" t="s">
        <v>645</v>
      </c>
      <c r="N15" s="570"/>
      <c r="O15" s="396">
        <f>IFERROR(MAX(O6:O10),0)</f>
        <v>20.665134691614472</v>
      </c>
      <c r="P15" s="396">
        <f>IFERROR(MAX(P6:P10),0)</f>
        <v>88.353968182635285</v>
      </c>
      <c r="Q15" s="396">
        <f>IFERROR(MAX(Q6:Q10),0)</f>
        <v>129.54732510288065</v>
      </c>
    </row>
    <row r="16" spans="2:17" ht="14.25" customHeight="1" x14ac:dyDescent="0.35">
      <c r="B16" s="373" t="s">
        <v>646</v>
      </c>
      <c r="E16" s="397">
        <f>E14-E15</f>
        <v>34859.412443522946</v>
      </c>
      <c r="F16" s="397">
        <f>F14-F15</f>
        <v>23450.439016605913</v>
      </c>
      <c r="G16" s="397">
        <f>G14-G15</f>
        <v>23248.225007016565</v>
      </c>
      <c r="M16" s="570" t="s">
        <v>647</v>
      </c>
      <c r="N16" s="570"/>
      <c r="O16" s="339">
        <f>IFERROR(QUARTILE(O6:O10,3),0)</f>
        <v>6.5849417260528629</v>
      </c>
      <c r="P16" s="339">
        <f>IFERROR(QUARTILE(P6:P10,3),0)</f>
        <v>56.075583519382981</v>
      </c>
      <c r="Q16" s="339">
        <f>IFERROR(QUARTILE(Q6:Q10,3),0)</f>
        <v>97.99625468164794</v>
      </c>
    </row>
    <row r="17" spans="2:17" ht="15" customHeight="1" x14ac:dyDescent="0.35">
      <c r="B17" s="373" t="s">
        <v>648</v>
      </c>
      <c r="E17" s="401">
        <f>C6</f>
        <v>9.0500000000000007</v>
      </c>
      <c r="F17" s="401">
        <f>E17</f>
        <v>9.0500000000000007</v>
      </c>
      <c r="G17" s="401">
        <f>F17</f>
        <v>9.0500000000000007</v>
      </c>
      <c r="L17" s="375"/>
      <c r="M17" s="399"/>
      <c r="N17" s="399"/>
      <c r="O17" s="338"/>
      <c r="P17" s="338"/>
      <c r="Q17" s="338"/>
    </row>
    <row r="18" spans="2:17" ht="15" customHeight="1" x14ac:dyDescent="0.35">
      <c r="B18" s="402" t="s">
        <v>649</v>
      </c>
      <c r="C18" s="272"/>
      <c r="D18" s="272"/>
      <c r="E18" s="403">
        <f>E16/E17</f>
        <v>3851.8687782898278</v>
      </c>
      <c r="F18" s="404">
        <f>F16/F17</f>
        <v>2591.2087311166752</v>
      </c>
      <c r="G18" s="405">
        <f>G16/G17</f>
        <v>2568.8646416592887</v>
      </c>
      <c r="M18" s="570" t="s">
        <v>650</v>
      </c>
      <c r="N18" s="570"/>
      <c r="O18" s="396">
        <f>IFERROR(QUARTILE(O6:O10,1),0)</f>
        <v>1.5510698172008002</v>
      </c>
      <c r="P18" s="396">
        <f>IFERROR(QUARTILE(P6:P10,1),0)</f>
        <v>11.030727519204701</v>
      </c>
      <c r="Q18" s="396">
        <f>IFERROR(QUARTILE(Q6:Q10,1),0)</f>
        <v>16.993293591654247</v>
      </c>
    </row>
    <row r="19" spans="2:17" ht="15" customHeight="1" x14ac:dyDescent="0.35">
      <c r="M19" s="570" t="s">
        <v>651</v>
      </c>
      <c r="N19" s="570"/>
      <c r="O19" s="396">
        <f>IFERROR(MIN(O6:O10),0)</f>
        <v>0.98487049140643923</v>
      </c>
      <c r="P19" s="396">
        <f>IFERROR(MIN(P6:P10),0)</f>
        <v>9.816924421476612</v>
      </c>
      <c r="Q19" s="396">
        <f>IFERROR(MIN(Q6:Q10),0)</f>
        <v>9.4765058341217276</v>
      </c>
    </row>
    <row r="21" spans="2:17" ht="14.25" customHeight="1" x14ac:dyDescent="0.35">
      <c r="H21" s="406"/>
      <c r="I21" s="406"/>
      <c r="J21" s="406"/>
      <c r="K21" s="406"/>
      <c r="L21" s="406"/>
      <c r="M21" s="406"/>
      <c r="N21" s="406"/>
    </row>
    <row r="22" spans="2:17" ht="14.25" customHeight="1" x14ac:dyDescent="0.35">
      <c r="H22" s="228">
        <f>L6*Q13</f>
        <v>23840.725007016565</v>
      </c>
      <c r="I22" s="228"/>
      <c r="J22" s="228"/>
      <c r="K22" s="228"/>
      <c r="L22" s="228"/>
      <c r="M22" s="228"/>
      <c r="N22" s="228"/>
    </row>
    <row r="23" spans="2:17" ht="14.25" customHeight="1" x14ac:dyDescent="0.35">
      <c r="H23" s="228"/>
      <c r="I23" s="228"/>
      <c r="J23" s="228"/>
      <c r="K23" s="228"/>
      <c r="L23" s="228"/>
      <c r="M23" s="228"/>
      <c r="N23" s="228"/>
    </row>
    <row r="24" spans="2:17" ht="14.25" customHeight="1" x14ac:dyDescent="0.35">
      <c r="H24" s="228"/>
      <c r="I24" s="228"/>
      <c r="J24" s="228"/>
      <c r="K24" s="228"/>
      <c r="L24" s="228"/>
      <c r="M24" s="228"/>
      <c r="N24" s="228"/>
    </row>
    <row r="25" spans="2:17" ht="14.25" customHeight="1" x14ac:dyDescent="0.35">
      <c r="H25" s="228"/>
      <c r="I25" s="228"/>
      <c r="J25" s="228"/>
      <c r="K25" s="228"/>
      <c r="L25" s="228"/>
      <c r="M25" s="228"/>
      <c r="N25" s="228"/>
    </row>
    <row r="26" spans="2:17" ht="14.25" customHeight="1" x14ac:dyDescent="0.35">
      <c r="H26" s="228"/>
      <c r="I26" s="228"/>
      <c r="J26" s="228"/>
      <c r="K26" s="228"/>
      <c r="L26" s="228"/>
      <c r="M26" s="228"/>
      <c r="N26" s="228"/>
    </row>
    <row r="27" spans="2:17" ht="14.25" customHeight="1" x14ac:dyDescent="0.35">
      <c r="H27" s="228"/>
      <c r="I27" s="228"/>
      <c r="J27" s="228"/>
      <c r="K27" s="228"/>
      <c r="L27" s="228"/>
      <c r="M27" s="228"/>
      <c r="N27" s="228"/>
    </row>
    <row r="28" spans="2:17" ht="14.25" customHeight="1" x14ac:dyDescent="0.35">
      <c r="H28" s="228"/>
      <c r="I28" s="228"/>
      <c r="J28" s="228"/>
      <c r="K28" s="228"/>
      <c r="L28" s="228"/>
      <c r="M28" s="228"/>
      <c r="N28" s="228"/>
    </row>
    <row r="50" spans="6:18" ht="14.25" customHeight="1" x14ac:dyDescent="0.35">
      <c r="F50" s="228"/>
      <c r="G50" s="228"/>
    </row>
    <row r="51" spans="6:18" ht="14.25" customHeight="1" x14ac:dyDescent="0.35">
      <c r="F51" s="228"/>
      <c r="G51" s="228"/>
      <c r="H51" s="228"/>
      <c r="I51" s="228"/>
      <c r="J51" s="228"/>
      <c r="K51" s="228"/>
      <c r="L51" s="228"/>
      <c r="M51" s="228"/>
      <c r="N51" s="228"/>
      <c r="O51" s="228"/>
      <c r="P51" s="228"/>
      <c r="Q51" s="228"/>
      <c r="R51" s="228"/>
    </row>
    <row r="52" spans="6:18" ht="14.25" customHeight="1" x14ac:dyDescent="0.35">
      <c r="F52" s="228"/>
      <c r="G52" s="407"/>
      <c r="H52" s="228"/>
      <c r="I52" s="228"/>
      <c r="J52" s="228"/>
      <c r="K52" s="228"/>
      <c r="L52" s="228"/>
      <c r="M52" s="228"/>
      <c r="N52" s="228"/>
      <c r="O52" s="228"/>
      <c r="P52" s="228"/>
      <c r="Q52" s="228"/>
      <c r="R52" s="228"/>
    </row>
    <row r="53" spans="6:18" ht="14.25" customHeight="1" x14ac:dyDescent="0.35">
      <c r="F53" s="228"/>
      <c r="G53" s="408"/>
      <c r="H53" s="409"/>
      <c r="I53" s="410"/>
      <c r="J53" s="410"/>
      <c r="K53" s="410"/>
      <c r="L53" s="410"/>
      <c r="M53" s="410"/>
      <c r="N53" s="410"/>
      <c r="O53" s="410"/>
      <c r="P53" s="410"/>
      <c r="Q53" s="228"/>
      <c r="R53" s="228"/>
    </row>
    <row r="54" spans="6:18" ht="14.25" customHeight="1" x14ac:dyDescent="0.35">
      <c r="F54" s="228"/>
      <c r="G54" s="408"/>
      <c r="H54" s="411"/>
      <c r="I54" s="412"/>
      <c r="J54" s="412"/>
      <c r="K54" s="412"/>
      <c r="L54" s="412"/>
      <c r="M54" s="412"/>
      <c r="N54" s="412"/>
      <c r="O54" s="412"/>
      <c r="P54" s="412"/>
      <c r="Q54" s="228"/>
      <c r="R54" s="228"/>
    </row>
    <row r="55" spans="6:18" ht="14.25" customHeight="1" x14ac:dyDescent="0.35">
      <c r="F55" s="228"/>
      <c r="G55" s="408"/>
      <c r="H55" s="411"/>
      <c r="I55" s="412"/>
      <c r="J55" s="412"/>
      <c r="K55" s="412"/>
      <c r="L55" s="412"/>
      <c r="M55" s="412"/>
      <c r="N55" s="412"/>
      <c r="O55" s="412"/>
      <c r="P55" s="412"/>
      <c r="Q55" s="228"/>
      <c r="R55" s="228"/>
    </row>
    <row r="56" spans="6:18" ht="14.25" customHeight="1" x14ac:dyDescent="0.35">
      <c r="F56" s="228"/>
      <c r="G56" s="408"/>
      <c r="H56" s="411"/>
      <c r="I56" s="412"/>
      <c r="J56" s="412"/>
      <c r="K56" s="412"/>
      <c r="L56" s="412"/>
      <c r="M56" s="412"/>
      <c r="N56" s="412"/>
      <c r="O56" s="412"/>
      <c r="P56" s="412"/>
      <c r="Q56" s="228"/>
      <c r="R56" s="228"/>
    </row>
    <row r="57" spans="6:18" ht="14.25" customHeight="1" x14ac:dyDescent="0.35">
      <c r="F57" s="228"/>
      <c r="G57" s="408"/>
      <c r="H57" s="411"/>
      <c r="I57" s="412"/>
      <c r="J57" s="412"/>
      <c r="K57" s="412"/>
      <c r="L57" s="412"/>
      <c r="M57" s="412"/>
      <c r="N57" s="412"/>
      <c r="O57" s="412"/>
      <c r="P57" s="412"/>
      <c r="Q57" s="228"/>
      <c r="R57" s="228"/>
    </row>
    <row r="58" spans="6:18" ht="14.25" customHeight="1" x14ac:dyDescent="0.35">
      <c r="F58" s="228"/>
      <c r="G58" s="413"/>
      <c r="H58" s="411"/>
      <c r="I58" s="412"/>
      <c r="J58" s="412"/>
      <c r="K58" s="412"/>
      <c r="L58" s="412"/>
      <c r="M58" s="412"/>
      <c r="N58" s="412"/>
      <c r="O58" s="412"/>
      <c r="P58" s="412"/>
      <c r="Q58" s="228"/>
      <c r="R58" s="228"/>
    </row>
    <row r="59" spans="6:18" ht="14.25" customHeight="1" x14ac:dyDescent="0.35">
      <c r="F59" s="228"/>
      <c r="G59" s="228"/>
      <c r="H59" s="414"/>
      <c r="I59" s="412"/>
      <c r="J59" s="412"/>
      <c r="K59" s="412"/>
      <c r="L59" s="412"/>
      <c r="M59" s="412"/>
      <c r="N59" s="412"/>
      <c r="O59" s="412"/>
      <c r="P59" s="412"/>
      <c r="Q59" s="228"/>
      <c r="R59" s="228"/>
    </row>
    <row r="60" spans="6:18" ht="14.25" customHeight="1" x14ac:dyDescent="0.35">
      <c r="H60" s="228"/>
      <c r="I60" s="228"/>
      <c r="J60" s="228"/>
      <c r="K60" s="228"/>
      <c r="L60" s="228"/>
      <c r="M60" s="228"/>
      <c r="N60" s="228"/>
      <c r="O60" s="228"/>
      <c r="P60" s="228"/>
      <c r="Q60" s="228"/>
      <c r="R60" s="228"/>
    </row>
  </sheetData>
  <mergeCells count="15">
    <mergeCell ref="B1:Q2"/>
    <mergeCell ref="B3:Q3"/>
    <mergeCell ref="B4:B5"/>
    <mergeCell ref="C4:H4"/>
    <mergeCell ref="I4:I5"/>
    <mergeCell ref="J4:M4"/>
    <mergeCell ref="N4:N5"/>
    <mergeCell ref="O4:Q4"/>
    <mergeCell ref="M18:N18"/>
    <mergeCell ref="M19:N19"/>
    <mergeCell ref="B12:D13"/>
    <mergeCell ref="M12:N12"/>
    <mergeCell ref="M13:N13"/>
    <mergeCell ref="M15:N15"/>
    <mergeCell ref="M16:N16"/>
  </mergeCells>
  <hyperlinks>
    <hyperlink ref="B6" r:id="rId1" xr:uid="{00000000-0004-0000-1400-000000000000}"/>
    <hyperlink ref="B7" r:id="rId2" xr:uid="{00000000-0004-0000-1400-000001000000}"/>
    <hyperlink ref="B8" r:id="rId3" xr:uid="{00000000-0004-0000-1400-000002000000}"/>
    <hyperlink ref="B9" r:id="rId4" xr:uid="{00000000-0004-0000-1400-000003000000}"/>
    <hyperlink ref="B10" r:id="rId5" xr:uid="{00000000-0004-0000-1400-000004000000}"/>
  </hyperlinks>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3:S47"/>
  <sheetViews>
    <sheetView showGridLines="0" tabSelected="1" zoomScale="70" zoomScaleNormal="80" workbookViewId="0">
      <selection activeCell="O21" sqref="O21"/>
    </sheetView>
  </sheetViews>
  <sheetFormatPr defaultColWidth="8.6328125" defaultRowHeight="14.5" x14ac:dyDescent="0.35"/>
  <cols>
    <col min="1" max="1" width="3" customWidth="1"/>
    <col min="2" max="2" width="45.08984375" customWidth="1"/>
    <col min="3" max="3" width="8.1796875" customWidth="1"/>
    <col min="4" max="4" width="8" customWidth="1"/>
    <col min="5" max="5" width="10.90625" customWidth="1"/>
    <col min="6" max="6" width="9.7265625" customWidth="1"/>
    <col min="7" max="7" width="29.1796875" customWidth="1"/>
    <col min="8" max="9" width="7.1796875" customWidth="1"/>
    <col min="10" max="10" width="8.26953125" customWidth="1"/>
    <col min="11" max="11" width="10.26953125" customWidth="1"/>
    <col min="14" max="14" width="7.36328125" customWidth="1"/>
    <col min="15" max="15" width="15.1796875" customWidth="1"/>
    <col min="16" max="16" width="8.36328125" customWidth="1"/>
    <col min="17" max="17" width="10.08984375" customWidth="1"/>
    <col min="18" max="18" width="8.54296875" customWidth="1"/>
  </cols>
  <sheetData>
    <row r="3" spans="2:19" ht="21" x14ac:dyDescent="0.5">
      <c r="B3" s="726" t="s">
        <v>752</v>
      </c>
      <c r="C3" s="727"/>
      <c r="D3" s="727"/>
      <c r="E3" s="727"/>
      <c r="F3" s="727"/>
      <c r="G3" s="727"/>
      <c r="H3" s="727"/>
      <c r="I3" s="727"/>
      <c r="J3" s="727"/>
      <c r="K3" s="727"/>
    </row>
    <row r="5" spans="2:19" ht="14.25" customHeight="1" x14ac:dyDescent="0.35">
      <c r="B5" s="509" t="s">
        <v>753</v>
      </c>
    </row>
    <row r="7" spans="2:19" ht="14.25" customHeight="1" x14ac:dyDescent="0.35">
      <c r="B7" s="267" t="s">
        <v>754</v>
      </c>
      <c r="C7" s="267"/>
    </row>
    <row r="8" spans="2:19" ht="42" customHeight="1" x14ac:dyDescent="0.35">
      <c r="B8" s="510"/>
      <c r="C8" s="510"/>
      <c r="D8" s="510"/>
      <c r="E8" s="510"/>
      <c r="F8" s="510"/>
      <c r="G8" s="510"/>
      <c r="H8" s="510"/>
      <c r="I8" s="510"/>
      <c r="J8" s="510"/>
      <c r="K8" s="510"/>
      <c r="N8" s="733" t="s">
        <v>610</v>
      </c>
      <c r="O8" s="734" t="s">
        <v>611</v>
      </c>
      <c r="P8" s="735" t="s">
        <v>612</v>
      </c>
      <c r="Q8" s="735" t="s">
        <v>755</v>
      </c>
      <c r="R8" s="735" t="s">
        <v>614</v>
      </c>
      <c r="S8" s="736" t="s">
        <v>756</v>
      </c>
    </row>
    <row r="9" spans="2:19" ht="14.25" customHeight="1" x14ac:dyDescent="0.35">
      <c r="B9" s="511"/>
      <c r="C9" s="511"/>
      <c r="D9" s="512"/>
      <c r="E9" s="512"/>
      <c r="F9" s="512"/>
      <c r="G9" s="512"/>
      <c r="H9" s="512" t="s">
        <v>757</v>
      </c>
      <c r="I9" s="512" t="s">
        <v>757</v>
      </c>
      <c r="J9" s="512" t="s">
        <v>758</v>
      </c>
      <c r="K9" s="512" t="s">
        <v>759</v>
      </c>
      <c r="N9" s="513">
        <v>1</v>
      </c>
      <c r="O9" s="514" t="s">
        <v>378</v>
      </c>
      <c r="P9" s="515">
        <v>18116</v>
      </c>
      <c r="Q9" s="515">
        <v>163892.22</v>
      </c>
      <c r="R9" s="515">
        <v>1524.02</v>
      </c>
      <c r="S9" s="515">
        <v>0.24</v>
      </c>
    </row>
    <row r="10" spans="2:19" ht="16.5" customHeight="1" x14ac:dyDescent="0.35">
      <c r="B10" s="516" t="s">
        <v>760</v>
      </c>
      <c r="C10" s="516"/>
      <c r="D10" s="517" t="s">
        <v>761</v>
      </c>
      <c r="E10" s="517" t="s">
        <v>762</v>
      </c>
      <c r="F10" s="517" t="s">
        <v>763</v>
      </c>
      <c r="G10" s="517" t="s">
        <v>764</v>
      </c>
      <c r="H10" s="517" t="s">
        <v>765</v>
      </c>
      <c r="I10" s="517" t="s">
        <v>766</v>
      </c>
      <c r="J10" s="517" t="s">
        <v>767</v>
      </c>
      <c r="K10" s="517" t="s">
        <v>768</v>
      </c>
      <c r="N10" s="518">
        <v>2</v>
      </c>
      <c r="O10" s="411" t="s">
        <v>621</v>
      </c>
      <c r="P10" s="519">
        <v>524.75</v>
      </c>
      <c r="Q10" s="519">
        <v>2815.26</v>
      </c>
      <c r="R10" s="519">
        <v>32.1</v>
      </c>
      <c r="S10" s="519">
        <v>0.12</v>
      </c>
    </row>
    <row r="11" spans="2:19" ht="14.25" customHeight="1" x14ac:dyDescent="0.35">
      <c r="D11" s="362"/>
      <c r="E11" s="362"/>
      <c r="F11" s="362"/>
      <c r="G11" s="362"/>
      <c r="H11" s="362"/>
      <c r="I11" s="362"/>
      <c r="J11" s="362"/>
      <c r="K11" s="362"/>
      <c r="N11" s="513">
        <v>3</v>
      </c>
      <c r="O11" s="520" t="s">
        <v>622</v>
      </c>
      <c r="P11" s="515">
        <v>296</v>
      </c>
      <c r="Q11" s="515">
        <v>1474.23</v>
      </c>
      <c r="R11" s="515">
        <v>166.49</v>
      </c>
      <c r="S11" s="515">
        <v>0.06</v>
      </c>
    </row>
    <row r="12" spans="2:19" ht="14.25" customHeight="1" x14ac:dyDescent="0.35">
      <c r="B12" s="521" t="s">
        <v>378</v>
      </c>
      <c r="C12" s="521"/>
      <c r="D12" s="522" t="s">
        <v>769</v>
      </c>
      <c r="E12" s="522">
        <f>P9</f>
        <v>18116</v>
      </c>
      <c r="F12" s="522">
        <f>R9</f>
        <v>1524.02</v>
      </c>
      <c r="G12" s="523">
        <v>0.25</v>
      </c>
      <c r="H12" s="524">
        <f>S9</f>
        <v>0.24</v>
      </c>
      <c r="I12" s="524">
        <f>F12/(F12+E12)</f>
        <v>7.7597680654093018E-2</v>
      </c>
      <c r="J12" s="525">
        <f>Beta!K9</f>
        <v>0.66451766622924502</v>
      </c>
      <c r="K12" s="526">
        <f>J12/(1+(1-G12)*H12)</f>
        <v>0.56315056460105517</v>
      </c>
      <c r="N12" s="518">
        <v>4</v>
      </c>
      <c r="O12" s="411" t="s">
        <v>381</v>
      </c>
      <c r="P12" s="519">
        <v>4643.6000000000004</v>
      </c>
      <c r="Q12" s="519">
        <v>464.36</v>
      </c>
      <c r="R12" s="519">
        <v>45.05</v>
      </c>
      <c r="S12" s="519">
        <v>0.32</v>
      </c>
    </row>
    <row r="13" spans="2:19" ht="14.25" customHeight="1" x14ac:dyDescent="0.35">
      <c r="B13" s="521" t="s">
        <v>621</v>
      </c>
      <c r="C13" s="521"/>
      <c r="D13" s="522" t="s">
        <v>769</v>
      </c>
      <c r="E13" s="522">
        <f>P10</f>
        <v>524.75</v>
      </c>
      <c r="F13" s="522">
        <f>R10</f>
        <v>32.1</v>
      </c>
      <c r="G13" s="523">
        <v>0.25</v>
      </c>
      <c r="H13" s="524">
        <f>S10</f>
        <v>0.12</v>
      </c>
      <c r="I13" s="524">
        <f>F13/(F13+E13)</f>
        <v>5.76456855526623E-2</v>
      </c>
      <c r="J13" s="525">
        <v>0.23</v>
      </c>
      <c r="K13" s="526">
        <f>J13/(1+(1-G13)*H13)</f>
        <v>0.21100917431192659</v>
      </c>
      <c r="N13" s="513">
        <v>5</v>
      </c>
      <c r="O13" s="520" t="s">
        <v>623</v>
      </c>
      <c r="P13" s="515">
        <v>232.65</v>
      </c>
      <c r="Q13" s="515">
        <v>352.51</v>
      </c>
      <c r="R13" s="515">
        <v>23.31</v>
      </c>
      <c r="S13" s="515">
        <v>0.22</v>
      </c>
    </row>
    <row r="14" spans="2:19" ht="14.25" customHeight="1" x14ac:dyDescent="0.35">
      <c r="B14" s="521" t="s">
        <v>622</v>
      </c>
      <c r="C14" s="521"/>
      <c r="D14" s="522" t="s">
        <v>769</v>
      </c>
      <c r="E14" s="522">
        <f>P11</f>
        <v>296</v>
      </c>
      <c r="F14" s="522">
        <f>R11</f>
        <v>166.49</v>
      </c>
      <c r="G14" s="523">
        <v>0.25</v>
      </c>
      <c r="H14" s="524">
        <f>S11</f>
        <v>0.06</v>
      </c>
      <c r="I14" s="524">
        <f>F14/(F14+E14)</f>
        <v>0.35998616186295923</v>
      </c>
      <c r="J14" s="525">
        <v>1.47</v>
      </c>
      <c r="K14" s="526">
        <f>J14/(1+(1-G14)*H14)</f>
        <v>1.4066985645933014</v>
      </c>
    </row>
    <row r="15" spans="2:19" ht="14.25" customHeight="1" x14ac:dyDescent="0.35">
      <c r="B15" s="521" t="s">
        <v>381</v>
      </c>
      <c r="C15" s="521"/>
      <c r="D15" s="522" t="s">
        <v>769</v>
      </c>
      <c r="E15" s="522">
        <f>P12</f>
        <v>4643.6000000000004</v>
      </c>
      <c r="F15" s="522">
        <f>R12</f>
        <v>45.05</v>
      </c>
      <c r="G15" s="523">
        <v>0.25</v>
      </c>
      <c r="H15" s="524">
        <f>S12</f>
        <v>0.32</v>
      </c>
      <c r="I15" s="524">
        <f>F15/(F15+E15)</f>
        <v>9.6083094280869745E-3</v>
      </c>
      <c r="J15" s="525">
        <v>0.13</v>
      </c>
      <c r="K15" s="526">
        <f>J15/(1+(1-G15)*H15)</f>
        <v>0.10483870967741936</v>
      </c>
    </row>
    <row r="16" spans="2:19" ht="14.25" customHeight="1" x14ac:dyDescent="0.35">
      <c r="B16" s="521" t="s">
        <v>623</v>
      </c>
      <c r="C16" s="521"/>
      <c r="D16" s="522" t="s">
        <v>769</v>
      </c>
      <c r="E16" s="522">
        <f>P13</f>
        <v>232.65</v>
      </c>
      <c r="F16" s="522">
        <f>R13</f>
        <v>23.31</v>
      </c>
      <c r="G16" s="523">
        <v>0.25</v>
      </c>
      <c r="H16" s="524">
        <f>S13</f>
        <v>0.22</v>
      </c>
      <c r="I16" s="524">
        <f>F16/(F16+E16)</f>
        <v>9.1068917018284096E-2</v>
      </c>
      <c r="J16" s="525">
        <v>0.86</v>
      </c>
      <c r="K16" s="526">
        <f>J16/(1+(1-G16)*H16)</f>
        <v>0.73819742489270379</v>
      </c>
    </row>
    <row r="18" spans="2:11" ht="14.25" customHeight="1" x14ac:dyDescent="0.35">
      <c r="F18" s="527" t="s">
        <v>770</v>
      </c>
      <c r="G18" s="528">
        <f>AVERAGE(G12:G16)</f>
        <v>0.25</v>
      </c>
      <c r="H18" s="528">
        <f>AVERAGE(H12:H16)</f>
        <v>0.192</v>
      </c>
      <c r="I18" s="528">
        <f>AVERAGE(I12:I16)</f>
        <v>0.11918135090321713</v>
      </c>
      <c r="J18" s="529">
        <f>AVERAGE(J12:J16)</f>
        <v>0.67090353324584895</v>
      </c>
      <c r="K18" s="529">
        <f>AVERAGE(K12:K16)</f>
        <v>0.6047788876152812</v>
      </c>
    </row>
    <row r="19" spans="2:11" ht="14.25" customHeight="1" x14ac:dyDescent="0.35">
      <c r="F19" s="530" t="s">
        <v>771</v>
      </c>
      <c r="G19" s="531">
        <f>MEDIAN(G12:G16)</f>
        <v>0.25</v>
      </c>
      <c r="H19" s="531">
        <f>MEDIAN(H12:H16)</f>
        <v>0.22</v>
      </c>
      <c r="I19" s="531">
        <f>MEDIAN(I12:I16)</f>
        <v>7.7597680654093018E-2</v>
      </c>
      <c r="J19" s="532">
        <f>MEDIAN(J12:J16)</f>
        <v>0.66451766622924502</v>
      </c>
      <c r="K19" s="532">
        <f>MEDIAN(K12:K16)</f>
        <v>0.56315056460105517</v>
      </c>
    </row>
    <row r="22" spans="2:11" ht="14.25" customHeight="1" x14ac:dyDescent="0.35">
      <c r="B22" s="728" t="s">
        <v>772</v>
      </c>
      <c r="C22" s="728"/>
      <c r="D22" s="728"/>
      <c r="E22" s="729"/>
      <c r="G22" s="728" t="s">
        <v>773</v>
      </c>
      <c r="H22" s="728"/>
      <c r="I22" s="730"/>
      <c r="J22" s="730"/>
      <c r="K22" s="730"/>
    </row>
    <row r="24" spans="2:11" ht="14.25" customHeight="1" x14ac:dyDescent="0.35">
      <c r="B24" t="s">
        <v>774</v>
      </c>
      <c r="E24" s="533">
        <f>'Consolidated Profit &amp; Loss'!G16/COC!R9</f>
        <v>7.6442566370520076E-2</v>
      </c>
      <c r="G24" t="s">
        <v>711</v>
      </c>
      <c r="J24" s="482"/>
      <c r="K24" s="533">
        <f>Wacc!C7</f>
        <v>7.0900000000000005E-2</v>
      </c>
    </row>
    <row r="25" spans="2:11" ht="14.25" customHeight="1" x14ac:dyDescent="0.35">
      <c r="B25" t="s">
        <v>668</v>
      </c>
      <c r="E25" s="482">
        <f>G19</f>
        <v>0.25</v>
      </c>
      <c r="G25" t="s">
        <v>775</v>
      </c>
      <c r="J25" s="482"/>
      <c r="K25" s="482">
        <f>Wacc!C11</f>
        <v>9.3592307692307655E-2</v>
      </c>
    </row>
    <row r="26" spans="2:11" ht="16.5" customHeight="1" x14ac:dyDescent="0.35">
      <c r="B26" s="534" t="s">
        <v>776</v>
      </c>
      <c r="C26" s="534"/>
      <c r="D26" s="534"/>
      <c r="E26" s="535">
        <f>E24*(1-E25)</f>
        <v>5.7331924777890057E-2</v>
      </c>
      <c r="G26" t="s">
        <v>777</v>
      </c>
      <c r="K26" s="486">
        <f>K35</f>
        <v>0.62029942701435137</v>
      </c>
    </row>
    <row r="27" spans="2:11" ht="15" customHeight="1" x14ac:dyDescent="0.35">
      <c r="G27" s="536" t="s">
        <v>773</v>
      </c>
      <c r="H27" s="536"/>
      <c r="I27" s="536"/>
      <c r="J27" s="535"/>
      <c r="K27" s="535">
        <f>K24+(K25*K26)</f>
        <v>0.12895525483448933</v>
      </c>
    </row>
    <row r="28" spans="2:11" ht="15" customHeight="1" x14ac:dyDescent="0.35"/>
    <row r="30" spans="2:11" ht="14.25" customHeight="1" x14ac:dyDescent="0.35">
      <c r="B30" s="728" t="s">
        <v>778</v>
      </c>
      <c r="C30" s="730"/>
      <c r="D30" s="730"/>
      <c r="E30" s="730"/>
      <c r="G30" s="728" t="s">
        <v>779</v>
      </c>
      <c r="H30" s="730"/>
      <c r="I30" s="730"/>
      <c r="J30" s="730"/>
      <c r="K30" s="730"/>
    </row>
    <row r="32" spans="2:11" ht="14.25" customHeight="1" x14ac:dyDescent="0.35">
      <c r="D32" s="537" t="s">
        <v>780</v>
      </c>
      <c r="E32" s="537" t="s">
        <v>781</v>
      </c>
      <c r="G32" t="s">
        <v>782</v>
      </c>
      <c r="K32" s="486">
        <f>K19</f>
        <v>0.56315056460105517</v>
      </c>
    </row>
    <row r="33" spans="2:11" ht="14.25" customHeight="1" x14ac:dyDescent="0.35">
      <c r="B33" t="s">
        <v>783</v>
      </c>
      <c r="C33" s="487">
        <f>F12</f>
        <v>1524.02</v>
      </c>
      <c r="D33" s="538">
        <f>C33/$C$35</f>
        <v>7.7597680654093018E-2</v>
      </c>
      <c r="E33" s="539">
        <f>I18</f>
        <v>0.11918135090321713</v>
      </c>
      <c r="G33" t="s">
        <v>784</v>
      </c>
      <c r="J33" s="482"/>
      <c r="K33" s="482">
        <f>E37</f>
        <v>0.13530747904285312</v>
      </c>
    </row>
    <row r="34" spans="2:11" ht="14.25" customHeight="1" x14ac:dyDescent="0.35">
      <c r="B34" t="s">
        <v>785</v>
      </c>
      <c r="C34" s="540">
        <f>E12</f>
        <v>18116</v>
      </c>
      <c r="D34" s="538">
        <f>C34/$C$35</f>
        <v>0.922402319345907</v>
      </c>
      <c r="E34" s="539">
        <f>E35-E33</f>
        <v>0.88081864909678287</v>
      </c>
      <c r="G34" t="s">
        <v>668</v>
      </c>
      <c r="J34" s="482"/>
      <c r="K34" s="482">
        <v>0.25</v>
      </c>
    </row>
    <row r="35" spans="2:11" ht="15" customHeight="1" x14ac:dyDescent="0.35">
      <c r="B35" t="s">
        <v>567</v>
      </c>
      <c r="C35" s="541">
        <f>SUM(C33:C34)</f>
        <v>19640.02</v>
      </c>
      <c r="D35" s="538">
        <f>C35/$C$35</f>
        <v>1</v>
      </c>
      <c r="E35" s="542">
        <f>D35</f>
        <v>1</v>
      </c>
      <c r="G35" s="536" t="s">
        <v>786</v>
      </c>
      <c r="H35" s="536"/>
      <c r="I35" s="536"/>
      <c r="J35" s="536"/>
      <c r="K35" s="543">
        <f>K32*(1+(1-K34)*K33)</f>
        <v>0.62029942701435137</v>
      </c>
    </row>
    <row r="36" spans="2:11" ht="15" customHeight="1" x14ac:dyDescent="0.35">
      <c r="C36" s="544"/>
      <c r="D36" s="482"/>
      <c r="E36" s="482"/>
    </row>
    <row r="37" spans="2:11" ht="15" customHeight="1" x14ac:dyDescent="0.35">
      <c r="B37" s="534" t="s">
        <v>787</v>
      </c>
      <c r="C37" s="534"/>
      <c r="D37" s="545">
        <f>D33/D34</f>
        <v>8.412563479796864E-2</v>
      </c>
      <c r="E37" s="545">
        <f>E33/E34</f>
        <v>0.13530747904285312</v>
      </c>
      <c r="G37" s="546"/>
      <c r="H37" s="228"/>
      <c r="I37" s="228"/>
      <c r="J37" s="228"/>
      <c r="K37" s="228"/>
    </row>
    <row r="38" spans="2:11" ht="15" customHeight="1" x14ac:dyDescent="0.35">
      <c r="D38" s="547"/>
      <c r="E38" s="547"/>
      <c r="G38" s="731" t="s">
        <v>788</v>
      </c>
      <c r="H38" s="732"/>
      <c r="I38" s="732"/>
      <c r="J38" s="732"/>
      <c r="K38" s="728"/>
    </row>
    <row r="39" spans="2:11" ht="14.25" customHeight="1" x14ac:dyDescent="0.35">
      <c r="G39" s="342"/>
      <c r="H39" s="342"/>
      <c r="I39" s="342"/>
      <c r="J39" s="342"/>
      <c r="K39" s="342"/>
    </row>
    <row r="40" spans="2:11" ht="14.25" customHeight="1" x14ac:dyDescent="0.35">
      <c r="B40" s="548" t="s">
        <v>789</v>
      </c>
      <c r="C40" s="342"/>
      <c r="D40" s="342"/>
      <c r="G40" s="549" t="s">
        <v>773</v>
      </c>
      <c r="H40" s="342"/>
      <c r="I40" s="342"/>
      <c r="J40" s="342"/>
      <c r="K40" s="550">
        <f>K27</f>
        <v>0.12895525483448933</v>
      </c>
    </row>
    <row r="41" spans="2:11" ht="14.25" customHeight="1" x14ac:dyDescent="0.35">
      <c r="B41" s="548" t="s">
        <v>790</v>
      </c>
      <c r="C41" s="551"/>
      <c r="D41" s="551"/>
      <c r="G41" s="549" t="s">
        <v>791</v>
      </c>
      <c r="H41" s="342"/>
      <c r="I41" s="342"/>
      <c r="J41" s="342"/>
      <c r="K41" s="550">
        <f>E34</f>
        <v>0.88081864909678287</v>
      </c>
    </row>
    <row r="42" spans="2:11" ht="14.25" customHeight="1" x14ac:dyDescent="0.35">
      <c r="B42" s="548" t="s">
        <v>792</v>
      </c>
      <c r="C42" s="551"/>
      <c r="D42" s="551"/>
      <c r="G42" s="342"/>
      <c r="H42" s="342"/>
      <c r="I42" s="342"/>
      <c r="J42" s="342"/>
      <c r="K42" s="342"/>
    </row>
    <row r="43" spans="2:11" ht="14.25" customHeight="1" x14ac:dyDescent="0.35">
      <c r="B43" s="548" t="s">
        <v>793</v>
      </c>
      <c r="C43" s="551"/>
      <c r="D43" s="551"/>
      <c r="G43" s="549" t="s">
        <v>772</v>
      </c>
      <c r="H43" s="342"/>
      <c r="I43" s="342"/>
      <c r="J43" s="342"/>
      <c r="K43" s="550">
        <f>E26</f>
        <v>5.7331924777890057E-2</v>
      </c>
    </row>
    <row r="44" spans="2:11" ht="14.25" customHeight="1" x14ac:dyDescent="0.35">
      <c r="G44" s="549" t="s">
        <v>794</v>
      </c>
      <c r="H44" s="342"/>
      <c r="I44" s="342"/>
      <c r="J44" s="342"/>
      <c r="K44" s="550">
        <f>E33</f>
        <v>0.11918135090321713</v>
      </c>
    </row>
    <row r="45" spans="2:11" ht="14.25" customHeight="1" x14ac:dyDescent="0.35">
      <c r="G45" s="342"/>
      <c r="H45" s="342"/>
      <c r="I45" s="342"/>
      <c r="J45" s="342"/>
      <c r="K45" s="342"/>
    </row>
    <row r="46" spans="2:11" ht="15" customHeight="1" x14ac:dyDescent="0.35">
      <c r="G46" s="552" t="s">
        <v>570</v>
      </c>
      <c r="H46" s="553"/>
      <c r="I46" s="553"/>
      <c r="J46" s="553"/>
      <c r="K46" s="554">
        <f>(K40*K41)+(K43*K44)</f>
        <v>0.12041908960215685</v>
      </c>
    </row>
    <row r="47" spans="2:11" ht="15" customHeight="1" x14ac:dyDescent="0.35"/>
  </sheetData>
  <hyperlinks>
    <hyperlink ref="O9" r:id="rId1" xr:uid="{00000000-0004-0000-1900-000000000000}"/>
    <hyperlink ref="O10" r:id="rId2" xr:uid="{00000000-0004-0000-1900-000001000000}"/>
    <hyperlink ref="O11" r:id="rId3" xr:uid="{00000000-0004-0000-1900-000002000000}"/>
    <hyperlink ref="O12" r:id="rId4" xr:uid="{00000000-0004-0000-1900-000003000000}"/>
    <hyperlink ref="O13" r:id="rId5" xr:uid="{00000000-0004-0000-1900-000004000000}"/>
  </hyperlinks>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I104"/>
  <sheetViews>
    <sheetView showGridLines="0" zoomScale="79" zoomScaleNormal="89" workbookViewId="0">
      <selection activeCell="G14" sqref="G14"/>
    </sheetView>
  </sheetViews>
  <sheetFormatPr defaultColWidth="8.7265625" defaultRowHeight="14" x14ac:dyDescent="0.3"/>
  <cols>
    <col min="1" max="1" width="2.81640625" style="1" customWidth="1"/>
    <col min="2" max="2" width="42.90625" style="1" customWidth="1"/>
    <col min="3" max="7" width="11.1796875" style="1" customWidth="1"/>
    <col min="8" max="16384" width="8.7265625" style="1"/>
  </cols>
  <sheetData>
    <row r="1" spans="2:9" ht="24.75" customHeight="1" x14ac:dyDescent="0.5">
      <c r="B1" s="704" t="s">
        <v>652</v>
      </c>
      <c r="C1" s="704"/>
      <c r="D1" s="704"/>
      <c r="E1" s="704"/>
      <c r="F1" s="704"/>
      <c r="G1" s="704"/>
    </row>
    <row r="2" spans="2:9" ht="13.5" customHeight="1" x14ac:dyDescent="0.3">
      <c r="B2" s="705" t="s">
        <v>653</v>
      </c>
      <c r="C2" s="706">
        <v>44256</v>
      </c>
      <c r="D2" s="706">
        <v>44621</v>
      </c>
      <c r="E2" s="706">
        <v>44986</v>
      </c>
      <c r="F2" s="706">
        <v>45352</v>
      </c>
      <c r="G2" s="706">
        <v>45717</v>
      </c>
    </row>
    <row r="3" spans="2:9" ht="13.5" customHeight="1" x14ac:dyDescent="0.3">
      <c r="B3" s="415" t="s">
        <v>654</v>
      </c>
      <c r="C3" s="416">
        <f>'Consolidated Profit &amp; Loss'!C6</f>
        <v>2441.92</v>
      </c>
      <c r="D3" s="416">
        <f>'Consolidated Profit &amp; Loss'!D6</f>
        <v>3828.51</v>
      </c>
      <c r="E3" s="416">
        <f>'Consolidated Profit &amp; Loss'!E6</f>
        <v>6804.35</v>
      </c>
      <c r="F3" s="416">
        <f>'Consolidated Profit &amp; Loss'!F6</f>
        <v>5909.02</v>
      </c>
      <c r="G3" s="416">
        <f>'Consolidated Profit &amp; Loss'!G6</f>
        <v>7360.06</v>
      </c>
      <c r="I3" s="1" t="s">
        <v>655</v>
      </c>
    </row>
    <row r="4" spans="2:9" ht="13.5" customHeight="1" x14ac:dyDescent="0.3">
      <c r="B4" s="246" t="s">
        <v>656</v>
      </c>
      <c r="C4" s="417"/>
      <c r="D4" s="280">
        <f>(D3/C3)-1</f>
        <v>0.56782777486567948</v>
      </c>
      <c r="E4" s="280">
        <f>(E3/D3)-1</f>
        <v>0.77728411314062118</v>
      </c>
      <c r="F4" s="280">
        <f>(F3/E3)-1</f>
        <v>-0.13158200268945597</v>
      </c>
      <c r="G4" s="280">
        <f>(G3/F3)-1</f>
        <v>0.24556356214736108</v>
      </c>
      <c r="I4" s="308">
        <f>MEDIAN(D4:G4)</f>
        <v>0.40669566850652028</v>
      </c>
    </row>
    <row r="5" spans="2:9" ht="13.5" customHeight="1" x14ac:dyDescent="0.3">
      <c r="B5" s="246" t="s">
        <v>657</v>
      </c>
      <c r="C5" s="417">
        <f>'Consolidated Profit &amp; Loss'!C12</f>
        <v>1185.08</v>
      </c>
      <c r="D5" s="417">
        <f>'Consolidated Profit &amp; Loss'!D12</f>
        <v>2065.5300000000002</v>
      </c>
      <c r="E5" s="417">
        <f>'Consolidated Profit &amp; Loss'!E12</f>
        <v>3819.54</v>
      </c>
      <c r="F5" s="417">
        <f>'Consolidated Profit &amp; Loss'!F12</f>
        <v>2709.97</v>
      </c>
      <c r="G5" s="417">
        <f>'Consolidated Profit &amp; Loss'!G12</f>
        <v>3375.36</v>
      </c>
      <c r="I5" s="308"/>
    </row>
    <row r="6" spans="2:9" ht="13.5" customHeight="1" x14ac:dyDescent="0.3">
      <c r="B6" s="246" t="s">
        <v>658</v>
      </c>
      <c r="C6" s="417">
        <f>'Consolidated Profit &amp; Loss'!C15</f>
        <v>230.64</v>
      </c>
      <c r="D6" s="417">
        <f>'Consolidated Profit &amp; Loss'!D15</f>
        <v>289.63</v>
      </c>
      <c r="E6" s="417">
        <f>'Consolidated Profit &amp; Loss'!E15</f>
        <v>352.72</v>
      </c>
      <c r="F6" s="417">
        <f>'Consolidated Profit &amp; Loss'!F15</f>
        <v>433.46</v>
      </c>
      <c r="G6" s="417">
        <f>'Consolidated Profit &amp; Loss'!G15</f>
        <v>600.07000000000005</v>
      </c>
    </row>
    <row r="7" spans="2:9" ht="14.25" customHeight="1" x14ac:dyDescent="0.3">
      <c r="B7" s="1" t="s">
        <v>659</v>
      </c>
      <c r="C7" s="417">
        <f>'Consolidated Profit &amp; Loss'!C13</f>
        <v>199.37</v>
      </c>
      <c r="D7" s="417">
        <f>'Consolidated Profit &amp; Loss'!D13</f>
        <v>301.85000000000002</v>
      </c>
      <c r="E7" s="417">
        <f>'Consolidated Profit &amp; Loss'!E13</f>
        <v>560.22</v>
      </c>
      <c r="F7" s="417">
        <f>'Consolidated Profit &amp; Loss'!F13</f>
        <v>402.58</v>
      </c>
      <c r="G7" s="417">
        <f>'Consolidated Profit &amp; Loss'!G13</f>
        <v>557.44000000000005</v>
      </c>
    </row>
    <row r="8" spans="2:9" ht="13.5" customHeight="1" x14ac:dyDescent="0.3">
      <c r="B8" s="246" t="s">
        <v>660</v>
      </c>
      <c r="C8" s="417">
        <f>'Consolidated Profit &amp; Loss'!C18</f>
        <v>423.62</v>
      </c>
      <c r="D8" s="417">
        <f>'Consolidated Profit &amp; Loss'!D18</f>
        <v>50.25</v>
      </c>
      <c r="E8" s="417">
        <f>'Consolidated Profit &amp; Loss'!E18</f>
        <v>938.52</v>
      </c>
      <c r="F8" s="417">
        <f>'Consolidated Profit &amp; Loss'!F18</f>
        <v>1070.68</v>
      </c>
      <c r="G8" s="417">
        <f>'Consolidated Profit &amp; Loss'!G18</f>
        <v>1072.54</v>
      </c>
    </row>
    <row r="9" spans="2:9" ht="13.5" customHeight="1" x14ac:dyDescent="0.3">
      <c r="B9" s="246" t="s">
        <v>661</v>
      </c>
      <c r="C9" s="417">
        <f>'Consolidated Profit &amp; Loss'!C14</f>
        <v>-37.68</v>
      </c>
      <c r="D9" s="417">
        <f>'Consolidated Profit &amp; Loss'!D14</f>
        <v>-40.049999999999997</v>
      </c>
      <c r="E9" s="417">
        <f>'Consolidated Profit &amp; Loss'!E14</f>
        <v>-37.39</v>
      </c>
      <c r="F9" s="417">
        <f>'Consolidated Profit &amp; Loss'!F14</f>
        <v>83.62</v>
      </c>
      <c r="G9" s="417">
        <f>'Consolidated Profit &amp; Loss'!G14</f>
        <v>-25.51</v>
      </c>
    </row>
    <row r="10" spans="2:9" ht="13.5" customHeight="1" x14ac:dyDescent="0.3">
      <c r="B10" s="246" t="s">
        <v>263</v>
      </c>
      <c r="C10" s="417">
        <f>C5+C6+C7+C8+C9</f>
        <v>2001.0299999999995</v>
      </c>
      <c r="D10" s="417">
        <f>D5+D6+D7+D8+D9</f>
        <v>2667.21</v>
      </c>
      <c r="E10" s="417">
        <f>E5+E6+E7+E8+E9</f>
        <v>5633.61</v>
      </c>
      <c r="F10" s="417">
        <f>F5+F6+F7+F8+F9</f>
        <v>4700.3099999999995</v>
      </c>
      <c r="G10" s="417">
        <f>G5+G6+G7+G8+G9</f>
        <v>5579.9000000000005</v>
      </c>
    </row>
    <row r="11" spans="2:9" ht="13.5" customHeight="1" x14ac:dyDescent="0.3">
      <c r="B11" s="415" t="s">
        <v>265</v>
      </c>
      <c r="C11" s="416">
        <f>C3-C10</f>
        <v>440.89000000000055</v>
      </c>
      <c r="D11" s="416">
        <f>D3-D10</f>
        <v>1161.3000000000002</v>
      </c>
      <c r="E11" s="416">
        <f>E3-E10</f>
        <v>1170.7400000000007</v>
      </c>
      <c r="F11" s="416">
        <f>F3-F10</f>
        <v>1208.7100000000009</v>
      </c>
      <c r="G11" s="416">
        <f>G3-G10</f>
        <v>1780.1599999999999</v>
      </c>
    </row>
    <row r="12" spans="2:9" ht="13.5" customHeight="1" x14ac:dyDescent="0.3">
      <c r="B12" s="246" t="s">
        <v>662</v>
      </c>
      <c r="C12" s="417">
        <f>'Consolidated Profit &amp; Loss'!C17</f>
        <v>93.53</v>
      </c>
      <c r="D12" s="417">
        <f>'Consolidated Profit &amp; Loss'!D17</f>
        <v>583.39</v>
      </c>
      <c r="E12" s="417">
        <f>'Consolidated Profit &amp; Loss'!E17</f>
        <v>128.21</v>
      </c>
      <c r="F12" s="417">
        <f>'Consolidated Profit &amp; Loss'!F17</f>
        <v>143.38</v>
      </c>
      <c r="G12" s="417">
        <f>'Consolidated Profit &amp; Loss'!G17</f>
        <v>181.5</v>
      </c>
    </row>
    <row r="13" spans="2:9" ht="13.5" customHeight="1" x14ac:dyDescent="0.3">
      <c r="B13" s="415" t="s">
        <v>663</v>
      </c>
      <c r="C13" s="416">
        <f>C11-C12</f>
        <v>347.36000000000058</v>
      </c>
      <c r="D13" s="416">
        <f>D11-D12</f>
        <v>577.9100000000002</v>
      </c>
      <c r="E13" s="416">
        <f>E11-E12</f>
        <v>1042.5300000000007</v>
      </c>
      <c r="F13" s="416">
        <f>F11-F12</f>
        <v>1065.3300000000008</v>
      </c>
      <c r="G13" s="416">
        <f>G11-G12</f>
        <v>1598.6599999999999</v>
      </c>
    </row>
    <row r="14" spans="2:9" ht="13.5" customHeight="1" x14ac:dyDescent="0.3">
      <c r="B14" s="246" t="s">
        <v>664</v>
      </c>
      <c r="C14" s="417">
        <f>'Consolidated Profit &amp; Loss'!C9</f>
        <v>21.42</v>
      </c>
      <c r="D14" s="417">
        <f>'Consolidated Profit &amp; Loss'!D9</f>
        <v>19.66</v>
      </c>
      <c r="E14" s="417">
        <f>'Consolidated Profit &amp; Loss'!E9</f>
        <v>31.52</v>
      </c>
      <c r="F14" s="417">
        <f>'Consolidated Profit &amp; Loss'!F9</f>
        <v>44.47</v>
      </c>
      <c r="G14" s="417">
        <f>'Consolidated Profit &amp; Loss'!G9</f>
        <v>70.83</v>
      </c>
    </row>
    <row r="15" spans="2:9" ht="13.5" customHeight="1" x14ac:dyDescent="0.3">
      <c r="B15" s="246" t="s">
        <v>665</v>
      </c>
      <c r="C15" s="417">
        <f>'Consolidated Profit &amp; Loss'!C16</f>
        <v>45.39</v>
      </c>
      <c r="D15" s="417">
        <f>'Consolidated Profit &amp; Loss'!D16</f>
        <v>109.25</v>
      </c>
      <c r="E15" s="417">
        <f>'Consolidated Profit &amp; Loss'!E16</f>
        <v>90.38</v>
      </c>
      <c r="F15" s="417">
        <f>'Consolidated Profit &amp; Loss'!F16</f>
        <v>109.37</v>
      </c>
      <c r="G15" s="417">
        <f>'Consolidated Profit &amp; Loss'!G16</f>
        <v>116.5</v>
      </c>
    </row>
    <row r="16" spans="2:9" ht="13.5" customHeight="1" x14ac:dyDescent="0.3">
      <c r="B16" s="415" t="s">
        <v>666</v>
      </c>
      <c r="C16" s="416">
        <f>C13+C14-C15</f>
        <v>323.39000000000061</v>
      </c>
      <c r="D16" s="416">
        <f>D13+D14-D15</f>
        <v>488.32000000000016</v>
      </c>
      <c r="E16" s="416">
        <f>E13+E14-E15</f>
        <v>983.67000000000064</v>
      </c>
      <c r="F16" s="416">
        <f>F13+F14-F15</f>
        <v>1000.4300000000009</v>
      </c>
      <c r="G16" s="416">
        <f>G13+G14-G15</f>
        <v>1552.9899999999998</v>
      </c>
    </row>
    <row r="17" spans="2:7" ht="13.5" customHeight="1" x14ac:dyDescent="0.3">
      <c r="B17" s="246" t="s">
        <v>667</v>
      </c>
      <c r="C17" s="417">
        <f>'Consolidated Profit &amp; Loss'!C27</f>
        <v>109.03</v>
      </c>
      <c r="D17" s="417">
        <f>'Consolidated Profit &amp; Loss'!D27</f>
        <v>151.94999999999999</v>
      </c>
      <c r="E17" s="417">
        <f>'Consolidated Profit &amp; Loss'!E27</f>
        <v>290.41000000000003</v>
      </c>
      <c r="F17" s="417">
        <f>'Consolidated Profit &amp; Loss'!F27</f>
        <v>286.05</v>
      </c>
      <c r="G17" s="417">
        <f>'Consolidated Profit &amp; Loss'!G27</f>
        <v>450.81</v>
      </c>
    </row>
    <row r="18" spans="2:7" ht="13.5" customHeight="1" x14ac:dyDescent="0.3">
      <c r="B18" s="415" t="s">
        <v>668</v>
      </c>
      <c r="C18" s="416">
        <f>C17/C16</f>
        <v>0.33714709793128977</v>
      </c>
      <c r="D18" s="416">
        <f>D17/D16</f>
        <v>0.31116890563564864</v>
      </c>
      <c r="E18" s="416">
        <f>E17/E16</f>
        <v>0.29523112425915177</v>
      </c>
      <c r="F18" s="416">
        <f>F17/F16</f>
        <v>0.28592705136791158</v>
      </c>
      <c r="G18" s="416">
        <f>G17/G16</f>
        <v>0.29028519179131873</v>
      </c>
    </row>
    <row r="19" spans="2:7" ht="13.5" customHeight="1" x14ac:dyDescent="0.3">
      <c r="B19" s="246" t="s">
        <v>669</v>
      </c>
      <c r="C19" s="417">
        <f>-'Consolidated Profit &amp; Loss'!C31</f>
        <v>11.72</v>
      </c>
      <c r="D19" s="417">
        <f>-'Consolidated Profit &amp; Loss'!D31</f>
        <v>14.19</v>
      </c>
      <c r="E19" s="417">
        <f>-'Consolidated Profit &amp; Loss'!E31</f>
        <v>53.98</v>
      </c>
      <c r="F19" s="417">
        <f>-'Consolidated Profit &amp; Loss'!F31</f>
        <v>39.299999999999997</v>
      </c>
      <c r="G19" s="417">
        <f>-'Consolidated Profit &amp; Loss'!G31</f>
        <v>78.489999999999995</v>
      </c>
    </row>
    <row r="20" spans="2:7" ht="13.5" customHeight="1" x14ac:dyDescent="0.3">
      <c r="B20" s="415" t="s">
        <v>670</v>
      </c>
      <c r="C20" s="416">
        <f>C16-C17-C19</f>
        <v>202.64000000000061</v>
      </c>
      <c r="D20" s="416">
        <f>D16-D17-D19</f>
        <v>322.18000000000018</v>
      </c>
      <c r="E20" s="416">
        <f>E16-E17-E19</f>
        <v>639.28000000000065</v>
      </c>
      <c r="F20" s="416">
        <f>F16-F17-F19</f>
        <v>675.08000000000084</v>
      </c>
      <c r="G20" s="416">
        <f>G16-G17-G19</f>
        <v>1023.6899999999998</v>
      </c>
    </row>
    <row r="22" spans="2:7" ht="13.5" customHeight="1" x14ac:dyDescent="0.3">
      <c r="B22" s="572" t="s">
        <v>671</v>
      </c>
      <c r="C22" s="572"/>
      <c r="D22" s="572"/>
    </row>
    <row r="23" spans="2:7" ht="13.5" customHeight="1" x14ac:dyDescent="0.3">
      <c r="B23" s="418" t="s">
        <v>672</v>
      </c>
      <c r="C23" s="419">
        <f>AVERAGE(D4:G4)</f>
        <v>0.36477336186605142</v>
      </c>
      <c r="D23" s="246"/>
    </row>
    <row r="24" spans="2:7" ht="13.5" customHeight="1" x14ac:dyDescent="0.3">
      <c r="B24" s="418" t="s">
        <v>673</v>
      </c>
      <c r="C24" s="419">
        <f>(G3/C3)^(1/4)-1</f>
        <v>0.31761181570910058</v>
      </c>
      <c r="D24" s="419">
        <f>_xlfn.RRI(4,C3,G3)</f>
        <v>0.31761181570910058</v>
      </c>
      <c r="E24" s="1" t="s">
        <v>674</v>
      </c>
    </row>
    <row r="26" spans="2:7" ht="13.5" customHeight="1" x14ac:dyDescent="0.3">
      <c r="B26" s="420" t="s">
        <v>675</v>
      </c>
    </row>
    <row r="27" spans="2:7" ht="13.5" customHeight="1" x14ac:dyDescent="0.3">
      <c r="B27" s="421" t="s">
        <v>265</v>
      </c>
      <c r="C27" s="419">
        <f>C11/C3</f>
        <v>0.18055055038658127</v>
      </c>
      <c r="D27" s="419">
        <f>D11/D3</f>
        <v>0.30332949371948881</v>
      </c>
      <c r="E27" s="419">
        <f>E11/E3</f>
        <v>0.1720575808122746</v>
      </c>
      <c r="F27" s="419">
        <f>F11/F3</f>
        <v>0.20455337771745583</v>
      </c>
      <c r="G27" s="419">
        <f>G11/G3</f>
        <v>0.24186759347070536</v>
      </c>
    </row>
    <row r="28" spans="2:7" ht="13.5" customHeight="1" x14ac:dyDescent="0.3">
      <c r="B28" s="421" t="s">
        <v>267</v>
      </c>
      <c r="C28" s="419">
        <f>C13/C3</f>
        <v>0.14224872231686564</v>
      </c>
      <c r="D28" s="419">
        <f>D13/D3</f>
        <v>0.15094906373497788</v>
      </c>
      <c r="E28" s="419">
        <f>E13/E3</f>
        <v>0.15321522261494494</v>
      </c>
      <c r="F28" s="419">
        <f>F13/F3</f>
        <v>0.18028877884996172</v>
      </c>
      <c r="G28" s="419">
        <f>G13/G3</f>
        <v>0.21720746841737701</v>
      </c>
    </row>
    <row r="29" spans="2:7" ht="13.5" customHeight="1" x14ac:dyDescent="0.3">
      <c r="B29" s="421" t="s">
        <v>676</v>
      </c>
      <c r="C29" s="419">
        <f>C16/C3</f>
        <v>0.13243267592713956</v>
      </c>
      <c r="D29" s="419">
        <f>D16/D3</f>
        <v>0.12754831514087731</v>
      </c>
      <c r="E29" s="419">
        <f>E16/E3</f>
        <v>0.14456487394093492</v>
      </c>
      <c r="F29" s="419">
        <f>F16/F3</f>
        <v>0.16930557012838013</v>
      </c>
      <c r="G29" s="419">
        <f>G16/G3</f>
        <v>0.21100235595905464</v>
      </c>
    </row>
    <row r="30" spans="2:7" ht="13.5" customHeight="1" x14ac:dyDescent="0.3">
      <c r="B30" s="421" t="s">
        <v>677</v>
      </c>
      <c r="C30" s="419">
        <f>C20/C3</f>
        <v>8.2983881535840895E-2</v>
      </c>
      <c r="D30" s="419">
        <f>D20/D3</f>
        <v>8.4152842750835219E-2</v>
      </c>
      <c r="E30" s="419">
        <f>E20/E3</f>
        <v>9.3951663274229075E-2</v>
      </c>
      <c r="F30" s="419">
        <f>F20/F3</f>
        <v>0.11424567864045151</v>
      </c>
      <c r="G30" s="419">
        <f>G20/G3</f>
        <v>0.13908718135449979</v>
      </c>
    </row>
    <row r="31" spans="2:7" ht="13.5" customHeight="1" x14ac:dyDescent="0.3">
      <c r="B31" s="422"/>
    </row>
    <row r="32" spans="2:7" ht="13.5" customHeight="1" x14ac:dyDescent="0.3">
      <c r="B32" s="420" t="s">
        <v>668</v>
      </c>
    </row>
    <row r="33" spans="2:8" ht="13.5" customHeight="1" x14ac:dyDescent="0.3">
      <c r="B33" s="421" t="s">
        <v>678</v>
      </c>
      <c r="C33" s="419">
        <f>C17/C16</f>
        <v>0.33714709793128977</v>
      </c>
      <c r="D33" s="419">
        <f>D17/D16</f>
        <v>0.31116890563564864</v>
      </c>
      <c r="E33" s="419">
        <f>E17/E16</f>
        <v>0.29523112425915177</v>
      </c>
      <c r="F33" s="419">
        <f>F17/F16</f>
        <v>0.28592705136791158</v>
      </c>
      <c r="G33" s="419">
        <f>G17/G16</f>
        <v>0.29028519179131873</v>
      </c>
    </row>
    <row r="34" spans="2:8" ht="13.5" customHeight="1" x14ac:dyDescent="0.3">
      <c r="B34" s="421" t="s">
        <v>679</v>
      </c>
      <c r="C34" s="423">
        <v>0.25</v>
      </c>
      <c r="D34" s="423">
        <v>0.25</v>
      </c>
      <c r="E34" s="423">
        <v>0.25</v>
      </c>
      <c r="F34" s="423">
        <v>0.25</v>
      </c>
      <c r="G34" s="423">
        <v>0.25</v>
      </c>
    </row>
    <row r="35" spans="2:8" ht="13.5" customHeight="1" x14ac:dyDescent="0.3">
      <c r="B35" s="422"/>
    </row>
    <row r="36" spans="2:8" ht="13.5" customHeight="1" x14ac:dyDescent="0.3">
      <c r="B36" s="420" t="s">
        <v>680</v>
      </c>
    </row>
    <row r="37" spans="2:8" ht="13.5" customHeight="1" x14ac:dyDescent="0.3">
      <c r="B37" s="421" t="s">
        <v>681</v>
      </c>
      <c r="C37" s="424">
        <f>C13*(1-C34)</f>
        <v>260.52000000000044</v>
      </c>
      <c r="D37" s="424">
        <f>D13*(1-D34)</f>
        <v>433.43250000000012</v>
      </c>
      <c r="E37" s="424">
        <f>E13*(1-E34)</f>
        <v>781.89750000000049</v>
      </c>
      <c r="F37" s="424">
        <f>F13*(1-F34)</f>
        <v>798.99750000000063</v>
      </c>
      <c r="G37" s="424">
        <f>G13*(1-G34)</f>
        <v>1198.9949999999999</v>
      </c>
    </row>
    <row r="38" spans="2:8" ht="13.5" customHeight="1" x14ac:dyDescent="0.3">
      <c r="B38" s="421" t="s">
        <v>682</v>
      </c>
      <c r="C38" s="424">
        <f>'Consolidated Balance Sheet'!C10</f>
        <v>1579.41</v>
      </c>
      <c r="D38" s="424">
        <f>'Consolidated Balance Sheet'!D10</f>
        <v>1914.28</v>
      </c>
      <c r="E38" s="424">
        <f>'Consolidated Balance Sheet'!E10</f>
        <v>2610.34</v>
      </c>
      <c r="F38" s="424">
        <f>'Consolidated Balance Sheet'!F10</f>
        <v>3305.6</v>
      </c>
      <c r="G38" s="424">
        <f>'Consolidated Balance Sheet'!G10</f>
        <v>4386.34</v>
      </c>
    </row>
    <row r="39" spans="2:8" ht="13.5" customHeight="1" x14ac:dyDescent="0.3">
      <c r="B39" s="421" t="s">
        <v>683</v>
      </c>
      <c r="C39" s="424">
        <f>'Consolidated Balance Sheet'!C13+'Consolidated Balance Sheet'!C19</f>
        <v>627.23</v>
      </c>
      <c r="D39" s="424">
        <f>'Consolidated Balance Sheet'!D13+'Consolidated Balance Sheet'!D19</f>
        <v>866.11</v>
      </c>
      <c r="E39" s="424">
        <f>'Consolidated Balance Sheet'!E13+'Consolidated Balance Sheet'!E19</f>
        <v>1169.23</v>
      </c>
      <c r="F39" s="424">
        <f>'Consolidated Balance Sheet'!F13+'Consolidated Balance Sheet'!F19</f>
        <v>1104.9699999999998</v>
      </c>
      <c r="G39" s="424">
        <f>'Consolidated Balance Sheet'!G13+'Consolidated Balance Sheet'!G19</f>
        <v>939.59</v>
      </c>
    </row>
    <row r="40" spans="2:8" ht="13.5" customHeight="1" x14ac:dyDescent="0.3">
      <c r="B40" s="421" t="s">
        <v>684</v>
      </c>
      <c r="C40" s="424">
        <f>'Consolidated Balance Sheet'!C41</f>
        <v>181.2</v>
      </c>
      <c r="D40" s="424">
        <f>'Consolidated Balance Sheet'!D41</f>
        <v>98.75</v>
      </c>
      <c r="E40" s="424">
        <f>'Consolidated Balance Sheet'!E41</f>
        <v>260.08999999999997</v>
      </c>
      <c r="F40" s="424">
        <f>'Consolidated Balance Sheet'!F41</f>
        <v>287.26</v>
      </c>
      <c r="G40" s="424">
        <f>'Consolidated Balance Sheet'!G41</f>
        <v>725.48</v>
      </c>
    </row>
    <row r="41" spans="2:8" ht="13.5" customHeight="1" x14ac:dyDescent="0.3">
      <c r="B41" s="421" t="s">
        <v>685</v>
      </c>
      <c r="C41" s="424">
        <f>C38+C39+C40</f>
        <v>2387.84</v>
      </c>
      <c r="D41" s="424">
        <f>D38+D39+D40</f>
        <v>2879.14</v>
      </c>
      <c r="E41" s="424">
        <f>E38+E39+E40</f>
        <v>4039.6600000000003</v>
      </c>
      <c r="F41" s="424">
        <f>F38+F39+F40</f>
        <v>4697.83</v>
      </c>
      <c r="G41" s="424">
        <f>G38+G39+G40</f>
        <v>6051.41</v>
      </c>
    </row>
    <row r="42" spans="2:8" ht="13.5" customHeight="1" x14ac:dyDescent="0.3">
      <c r="B42" s="422"/>
    </row>
    <row r="43" spans="2:8" ht="13.5" customHeight="1" x14ac:dyDescent="0.3">
      <c r="B43" s="421" t="s">
        <v>686</v>
      </c>
      <c r="C43" s="419">
        <f>C13/C41</f>
        <v>0.14547038327526157</v>
      </c>
      <c r="D43" s="419">
        <f>D13/D41</f>
        <v>0.20072313260209654</v>
      </c>
      <c r="E43" s="419">
        <f>E13/E41</f>
        <v>0.25807369927172102</v>
      </c>
      <c r="F43" s="419">
        <f>F13/F41</f>
        <v>0.2267706579420713</v>
      </c>
      <c r="G43" s="419">
        <f>G13/G41</f>
        <v>0.26417975314843978</v>
      </c>
    </row>
    <row r="44" spans="2:8" ht="13.5" customHeight="1" x14ac:dyDescent="0.3">
      <c r="B44" s="421" t="s">
        <v>687</v>
      </c>
      <c r="C44" s="419">
        <f>C37/C41</f>
        <v>0.10910278745644617</v>
      </c>
      <c r="D44" s="419">
        <f>D37/D41</f>
        <v>0.15054234945157238</v>
      </c>
      <c r="E44" s="419">
        <f>E37/E41</f>
        <v>0.19355527445379078</v>
      </c>
      <c r="F44" s="419">
        <f>F37/F41</f>
        <v>0.17007799345655347</v>
      </c>
      <c r="G44" s="280">
        <f>G37/G41</f>
        <v>0.19813481486132983</v>
      </c>
    </row>
    <row r="45" spans="2:8" ht="13.5" customHeight="1" x14ac:dyDescent="0.3">
      <c r="B45" s="422"/>
    </row>
    <row r="46" spans="2:8" ht="13.5" customHeight="1" x14ac:dyDescent="0.3">
      <c r="B46" s="425" t="s">
        <v>688</v>
      </c>
      <c r="C46" s="426"/>
      <c r="D46" s="427">
        <f>'Fixed assets scheduled'!D13*Assumption!G44</f>
        <v>1.2150625771569197E-2</v>
      </c>
      <c r="E46" s="308"/>
      <c r="F46" s="308"/>
      <c r="G46" s="308"/>
      <c r="H46" s="308"/>
    </row>
    <row r="50" spans="2:2" ht="13.5" customHeight="1" x14ac:dyDescent="0.3">
      <c r="B50" s="428"/>
    </row>
    <row r="51" spans="2:2" ht="13.5" customHeight="1" x14ac:dyDescent="0.3">
      <c r="B51" s="428"/>
    </row>
    <row r="52" spans="2:2" ht="13.5" customHeight="1" x14ac:dyDescent="0.3">
      <c r="B52" s="428"/>
    </row>
    <row r="53" spans="2:2" ht="13.5" customHeight="1" x14ac:dyDescent="0.3">
      <c r="B53" s="429"/>
    </row>
    <row r="54" spans="2:2" ht="13.5" customHeight="1" x14ac:dyDescent="0.3">
      <c r="B54" s="428"/>
    </row>
    <row r="55" spans="2:2" ht="13.5" customHeight="1" x14ac:dyDescent="0.3">
      <c r="B55" s="428"/>
    </row>
    <row r="56" spans="2:2" ht="13.5" customHeight="1" x14ac:dyDescent="0.3">
      <c r="B56" s="428"/>
    </row>
    <row r="57" spans="2:2" ht="13.5" customHeight="1" x14ac:dyDescent="0.3">
      <c r="B57" s="428"/>
    </row>
    <row r="58" spans="2:2" ht="13.5" customHeight="1" x14ac:dyDescent="0.3">
      <c r="B58" s="430"/>
    </row>
    <row r="59" spans="2:2" ht="13.5" customHeight="1" x14ac:dyDescent="0.3">
      <c r="B59" s="429"/>
    </row>
    <row r="60" spans="2:2" ht="13.5" customHeight="1" x14ac:dyDescent="0.3">
      <c r="B60" s="428"/>
    </row>
    <row r="61" spans="2:2" ht="13.5" customHeight="1" x14ac:dyDescent="0.3">
      <c r="B61" s="428"/>
    </row>
    <row r="62" spans="2:2" ht="13.5" customHeight="1" x14ac:dyDescent="0.3">
      <c r="B62" s="428"/>
    </row>
    <row r="63" spans="2:2" ht="13.5" customHeight="1" x14ac:dyDescent="0.3">
      <c r="B63" s="430"/>
    </row>
    <row r="65" spans="2:2" ht="14.25" customHeight="1" x14ac:dyDescent="0.3">
      <c r="B65" s="431"/>
    </row>
    <row r="66" spans="2:2" ht="14.25" customHeight="1" x14ac:dyDescent="0.3"/>
    <row r="67" spans="2:2" ht="14.25" customHeight="1" x14ac:dyDescent="0.35">
      <c r="B67" s="243"/>
    </row>
    <row r="69" spans="2:2" ht="13.5" customHeight="1" x14ac:dyDescent="0.3">
      <c r="B69" s="432"/>
    </row>
    <row r="70" spans="2:2" ht="13.5" customHeight="1" x14ac:dyDescent="0.3">
      <c r="B70" s="433"/>
    </row>
    <row r="71" spans="2:2" ht="13.5" customHeight="1" x14ac:dyDescent="0.3">
      <c r="B71" s="434"/>
    </row>
    <row r="72" spans="2:2" ht="13.5" customHeight="1" x14ac:dyDescent="0.3">
      <c r="B72" s="434"/>
    </row>
    <row r="73" spans="2:2" ht="13.5" customHeight="1" x14ac:dyDescent="0.3">
      <c r="B73" s="434"/>
    </row>
    <row r="74" spans="2:2" ht="13.5" customHeight="1" x14ac:dyDescent="0.3">
      <c r="B74" s="434"/>
    </row>
    <row r="75" spans="2:2" ht="13.5" customHeight="1" x14ac:dyDescent="0.3">
      <c r="B75" s="434"/>
    </row>
    <row r="76" spans="2:2" ht="13.5" customHeight="1" x14ac:dyDescent="0.3">
      <c r="B76" s="434"/>
    </row>
    <row r="77" spans="2:2" ht="13.5" customHeight="1" x14ac:dyDescent="0.3">
      <c r="B77" s="434"/>
    </row>
    <row r="78" spans="2:2" ht="13.5" customHeight="1" x14ac:dyDescent="0.3">
      <c r="B78" s="434"/>
    </row>
    <row r="79" spans="2:2" ht="13.5" customHeight="1" x14ac:dyDescent="0.3">
      <c r="B79" s="433"/>
    </row>
    <row r="81" spans="2:2" ht="13.5" customHeight="1" x14ac:dyDescent="0.3">
      <c r="B81" s="435"/>
    </row>
    <row r="82" spans="2:2" ht="13.5" customHeight="1" x14ac:dyDescent="0.3">
      <c r="B82" s="434"/>
    </row>
    <row r="83" spans="2:2" ht="13.5" customHeight="1" x14ac:dyDescent="0.3">
      <c r="B83" s="434"/>
    </row>
    <row r="84" spans="2:2" ht="13.5" customHeight="1" x14ac:dyDescent="0.3">
      <c r="B84" s="434"/>
    </row>
    <row r="85" spans="2:2" ht="13.5" customHeight="1" x14ac:dyDescent="0.3">
      <c r="B85" s="434"/>
    </row>
    <row r="86" spans="2:2" ht="13.5" customHeight="1" x14ac:dyDescent="0.3">
      <c r="B86" s="434"/>
    </row>
    <row r="87" spans="2:2" ht="13.5" customHeight="1" x14ac:dyDescent="0.3">
      <c r="B87" s="434"/>
    </row>
    <row r="88" spans="2:2" ht="13.5" customHeight="1" x14ac:dyDescent="0.3">
      <c r="B88" s="434"/>
    </row>
    <row r="89" spans="2:2" ht="13.5" customHeight="1" x14ac:dyDescent="0.3">
      <c r="B89" s="434"/>
    </row>
    <row r="90" spans="2:2" ht="13.5" customHeight="1" x14ac:dyDescent="0.3">
      <c r="B90" s="434"/>
    </row>
    <row r="91" spans="2:2" ht="13.5" customHeight="1" x14ac:dyDescent="0.3">
      <c r="B91" s="433"/>
    </row>
    <row r="92" spans="2:2" ht="13.5" customHeight="1" x14ac:dyDescent="0.3">
      <c r="B92" s="434"/>
    </row>
    <row r="93" spans="2:2" ht="13.5" customHeight="1" x14ac:dyDescent="0.3">
      <c r="B93" s="433"/>
    </row>
    <row r="94" spans="2:2" ht="13.5" customHeight="1" x14ac:dyDescent="0.3">
      <c r="B94" s="434"/>
    </row>
    <row r="95" spans="2:2" ht="13.5" customHeight="1" x14ac:dyDescent="0.3">
      <c r="B95" s="434"/>
    </row>
    <row r="96" spans="2:2" ht="13.5" customHeight="1" x14ac:dyDescent="0.3">
      <c r="B96" s="434"/>
    </row>
    <row r="97" spans="2:2" ht="13.5" customHeight="1" x14ac:dyDescent="0.3">
      <c r="B97" s="434"/>
    </row>
    <row r="98" spans="2:2" ht="13.5" customHeight="1" x14ac:dyDescent="0.3">
      <c r="B98" s="434"/>
    </row>
    <row r="99" spans="2:2" ht="13.5" customHeight="1" x14ac:dyDescent="0.3">
      <c r="B99" s="434"/>
    </row>
    <row r="100" spans="2:2" ht="13.5" customHeight="1" x14ac:dyDescent="0.3">
      <c r="B100" s="434"/>
    </row>
    <row r="101" spans="2:2" ht="13.5" customHeight="1" x14ac:dyDescent="0.3">
      <c r="B101" s="433"/>
    </row>
    <row r="102" spans="2:2" ht="13.5" customHeight="1" x14ac:dyDescent="0.3">
      <c r="B102" s="433"/>
    </row>
    <row r="103" spans="2:2" ht="14.25" customHeight="1" x14ac:dyDescent="0.3">
      <c r="B103" s="436"/>
    </row>
    <row r="104" spans="2:2" ht="14.25" customHeight="1" x14ac:dyDescent="0.3"/>
  </sheetData>
  <mergeCells count="2">
    <mergeCell ref="B1:G1"/>
    <mergeCell ref="B22:D22"/>
  </mergeCells>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14"/>
  <sheetViews>
    <sheetView showGridLines="0" zoomScale="88" zoomScaleNormal="89" workbookViewId="0">
      <selection activeCell="M26" sqref="M26"/>
    </sheetView>
  </sheetViews>
  <sheetFormatPr defaultColWidth="8.6328125" defaultRowHeight="14.5" x14ac:dyDescent="0.35"/>
  <cols>
    <col min="1" max="1" width="2.90625" customWidth="1"/>
    <col min="2" max="2" width="11" customWidth="1"/>
    <col min="3" max="3" width="15.26953125" customWidth="1"/>
    <col min="4" max="4" width="12.81640625" customWidth="1"/>
    <col min="5" max="5" width="11.81640625" customWidth="1"/>
    <col min="7" max="7" width="11" customWidth="1"/>
    <col min="8" max="8" width="15.54296875" customWidth="1"/>
    <col min="9" max="9" width="14" customWidth="1"/>
    <col min="10" max="10" width="13.81640625" customWidth="1"/>
    <col min="12" max="12" width="11.1796875" customWidth="1"/>
    <col min="13" max="13" width="10.26953125" customWidth="1"/>
    <col min="14" max="14" width="7.1796875" customWidth="1"/>
    <col min="15" max="15" width="14" customWidth="1"/>
  </cols>
  <sheetData>
    <row r="1" spans="2:15" ht="14.25" customHeight="1" x14ac:dyDescent="0.35">
      <c r="B1" s="708" t="s">
        <v>689</v>
      </c>
      <c r="C1" s="708"/>
      <c r="D1" s="708"/>
      <c r="E1" s="708"/>
      <c r="F1" s="708"/>
      <c r="G1" s="708"/>
      <c r="H1" s="708"/>
      <c r="I1" s="708"/>
      <c r="J1" s="708"/>
      <c r="K1" s="708"/>
      <c r="L1" s="708"/>
      <c r="M1" s="708"/>
      <c r="N1" s="708"/>
      <c r="O1" s="708"/>
    </row>
    <row r="2" spans="2:15" ht="14.25" customHeight="1" x14ac:dyDescent="0.35">
      <c r="B2" s="708"/>
      <c r="C2" s="708"/>
      <c r="D2" s="708"/>
      <c r="E2" s="708"/>
      <c r="F2" s="708"/>
      <c r="G2" s="708"/>
      <c r="H2" s="708"/>
      <c r="I2" s="708"/>
      <c r="J2" s="708"/>
      <c r="K2" s="708"/>
      <c r="L2" s="708"/>
      <c r="M2" s="708"/>
      <c r="N2" s="708"/>
      <c r="O2" s="708"/>
    </row>
    <row r="3" spans="2:15" ht="15" customHeight="1" x14ac:dyDescent="0.35">
      <c r="B3" s="709" t="s">
        <v>690</v>
      </c>
      <c r="C3" s="709"/>
      <c r="D3" s="709"/>
      <c r="E3" s="709"/>
      <c r="F3" s="511"/>
      <c r="G3" s="710" t="s">
        <v>691</v>
      </c>
      <c r="H3" s="710"/>
      <c r="I3" s="710"/>
      <c r="J3" s="710"/>
      <c r="K3" s="511"/>
      <c r="L3" s="710" t="s">
        <v>692</v>
      </c>
      <c r="M3" s="710"/>
      <c r="N3" s="710"/>
      <c r="O3" s="710"/>
    </row>
    <row r="4" spans="2:15" ht="14.25" customHeight="1" x14ac:dyDescent="0.35">
      <c r="B4" s="703" t="s">
        <v>693</v>
      </c>
      <c r="C4" s="703" t="s">
        <v>538</v>
      </c>
      <c r="D4" s="703" t="s">
        <v>354</v>
      </c>
      <c r="E4" s="703" t="s">
        <v>470</v>
      </c>
      <c r="G4" s="703" t="s">
        <v>693</v>
      </c>
      <c r="H4" s="707" t="s">
        <v>538</v>
      </c>
      <c r="I4" s="707" t="s">
        <v>265</v>
      </c>
      <c r="J4" s="707" t="s">
        <v>694</v>
      </c>
      <c r="L4" s="703" t="s">
        <v>693</v>
      </c>
      <c r="M4" s="707" t="s">
        <v>538</v>
      </c>
      <c r="N4" s="707" t="s">
        <v>347</v>
      </c>
      <c r="O4" s="707" t="s">
        <v>695</v>
      </c>
    </row>
    <row r="5" spans="2:15" ht="14.25" customHeight="1" x14ac:dyDescent="0.35">
      <c r="B5" s="437">
        <v>1</v>
      </c>
      <c r="C5" s="438">
        <v>2021</v>
      </c>
      <c r="D5" s="439">
        <f t="array" ref="D5:D9">TRANSPOSE('Consolidated Profit &amp; Loss'!C6:G6)</f>
        <v>2441.92</v>
      </c>
      <c r="E5" s="287"/>
      <c r="G5" s="437">
        <v>1</v>
      </c>
      <c r="H5" s="438">
        <f>C5</f>
        <v>2021</v>
      </c>
      <c r="I5" s="440">
        <f>Assumption!C11</f>
        <v>440.89000000000055</v>
      </c>
      <c r="J5" s="441"/>
      <c r="L5" s="251">
        <v>1</v>
      </c>
      <c r="M5" s="442">
        <f t="shared" ref="M5:M14" si="0">H5</f>
        <v>2021</v>
      </c>
      <c r="N5" s="251">
        <f t="array" ref="N5:N9">TRANSPOSE('Consolidated Profit &amp; Loss'!C36:G36)</f>
        <v>31</v>
      </c>
      <c r="O5" s="251"/>
    </row>
    <row r="6" spans="2:15" ht="14.25" customHeight="1" x14ac:dyDescent="0.35">
      <c r="B6" s="437">
        <f t="shared" ref="B6:C9" si="1">B5+1</f>
        <v>2</v>
      </c>
      <c r="C6" s="438">
        <f t="shared" si="1"/>
        <v>2022</v>
      </c>
      <c r="D6" s="439">
        <v>3828.51</v>
      </c>
      <c r="E6" s="443">
        <f t="shared" ref="E6:E14" si="2">(D6-D5)/D5</f>
        <v>0.56782777486567948</v>
      </c>
      <c r="G6" s="437">
        <f t="shared" ref="G6:G14" si="3">G5+1</f>
        <v>2</v>
      </c>
      <c r="H6" s="438">
        <f>C6</f>
        <v>2022</v>
      </c>
      <c r="I6" s="440">
        <f>Assumption!D11</f>
        <v>1161.3000000000002</v>
      </c>
      <c r="J6" s="441">
        <f t="shared" ref="J6:J14" si="4">(I6-I5)/I5</f>
        <v>1.6339903377259606</v>
      </c>
      <c r="L6" s="251">
        <v>2</v>
      </c>
      <c r="M6" s="442">
        <f t="shared" si="0"/>
        <v>2022</v>
      </c>
      <c r="N6" s="251">
        <v>49</v>
      </c>
      <c r="O6" s="280">
        <f t="shared" ref="O6:O14" si="5">(N6-N5)/N5</f>
        <v>0.58064516129032262</v>
      </c>
    </row>
    <row r="7" spans="2:15" ht="14.25" customHeight="1" x14ac:dyDescent="0.35">
      <c r="B7" s="437">
        <f t="shared" si="1"/>
        <v>3</v>
      </c>
      <c r="C7" s="438">
        <f t="shared" si="1"/>
        <v>2023</v>
      </c>
      <c r="D7" s="439">
        <v>6804.35</v>
      </c>
      <c r="E7" s="443">
        <f t="shared" si="2"/>
        <v>0.77728411314062129</v>
      </c>
      <c r="G7" s="437">
        <f t="shared" si="3"/>
        <v>3</v>
      </c>
      <c r="H7" s="438">
        <f>C7</f>
        <v>2023</v>
      </c>
      <c r="I7" s="440">
        <f>Assumption!E11</f>
        <v>1170.7400000000007</v>
      </c>
      <c r="J7" s="441">
        <f t="shared" si="4"/>
        <v>8.1288211487130866E-3</v>
      </c>
      <c r="L7" s="251">
        <v>3</v>
      </c>
      <c r="M7" s="442">
        <f t="shared" si="0"/>
        <v>2023</v>
      </c>
      <c r="N7" s="251">
        <v>84</v>
      </c>
      <c r="O7" s="280">
        <f t="shared" si="5"/>
        <v>0.7142857142857143</v>
      </c>
    </row>
    <row r="8" spans="2:15" ht="14.25" customHeight="1" x14ac:dyDescent="0.35">
      <c r="B8" s="437">
        <f t="shared" si="1"/>
        <v>4</v>
      </c>
      <c r="C8" s="438">
        <f t="shared" si="1"/>
        <v>2024</v>
      </c>
      <c r="D8" s="439">
        <v>5909.02</v>
      </c>
      <c r="E8" s="443">
        <f t="shared" si="2"/>
        <v>-0.131582002689456</v>
      </c>
      <c r="G8" s="437">
        <f t="shared" si="3"/>
        <v>4</v>
      </c>
      <c r="H8" s="438">
        <f>C8</f>
        <v>2024</v>
      </c>
      <c r="I8" s="440">
        <f>Assumption!F11</f>
        <v>1208.7100000000009</v>
      </c>
      <c r="J8" s="441">
        <f t="shared" si="4"/>
        <v>3.2432478603276756E-2</v>
      </c>
      <c r="L8" s="251">
        <v>4</v>
      </c>
      <c r="M8" s="442">
        <f t="shared" si="0"/>
        <v>2024</v>
      </c>
      <c r="N8" s="251">
        <v>92</v>
      </c>
      <c r="O8" s="280">
        <f t="shared" si="5"/>
        <v>9.5238095238095233E-2</v>
      </c>
    </row>
    <row r="9" spans="2:15" ht="14.25" customHeight="1" x14ac:dyDescent="0.35">
      <c r="B9" s="437">
        <f t="shared" si="1"/>
        <v>5</v>
      </c>
      <c r="C9" s="438">
        <f t="shared" si="1"/>
        <v>2025</v>
      </c>
      <c r="D9" s="439">
        <v>7360.06</v>
      </c>
      <c r="E9" s="443">
        <f t="shared" si="2"/>
        <v>0.24556356214736114</v>
      </c>
      <c r="G9" s="437">
        <f t="shared" si="3"/>
        <v>5</v>
      </c>
      <c r="H9" s="438">
        <f>C9</f>
        <v>2025</v>
      </c>
      <c r="I9" s="440">
        <f>Assumption!G11</f>
        <v>1780.1599999999999</v>
      </c>
      <c r="J9" s="441">
        <f t="shared" si="4"/>
        <v>0.47277676200246416</v>
      </c>
      <c r="L9" s="251">
        <v>5</v>
      </c>
      <c r="M9" s="442">
        <f t="shared" si="0"/>
        <v>2025</v>
      </c>
      <c r="N9" s="251">
        <v>134</v>
      </c>
      <c r="O9" s="280">
        <f t="shared" si="5"/>
        <v>0.45652173913043476</v>
      </c>
    </row>
    <row r="10" spans="2:15" ht="14.25" customHeight="1" x14ac:dyDescent="0.35">
      <c r="B10" s="444">
        <f>B9+1</f>
        <v>6</v>
      </c>
      <c r="C10" s="445">
        <v>2026</v>
      </c>
      <c r="D10" s="446">
        <f>FORECAST(B10,$D$5:$D$9,$B$5:$B$9)</f>
        <v>8843.8090000000011</v>
      </c>
      <c r="E10" s="447">
        <f t="shared" si="2"/>
        <v>0.20159468808678199</v>
      </c>
      <c r="G10" s="444">
        <f t="shared" si="3"/>
        <v>6</v>
      </c>
      <c r="H10" s="448">
        <v>46221</v>
      </c>
      <c r="I10" s="449">
        <f>FORECAST(G10,$I$5:$I$9,$G$5:$G$9)</f>
        <v>1970.145</v>
      </c>
      <c r="J10" s="450">
        <f t="shared" si="4"/>
        <v>0.10672355293906174</v>
      </c>
      <c r="L10" s="251">
        <v>6</v>
      </c>
      <c r="M10" s="451">
        <f t="shared" si="0"/>
        <v>46221</v>
      </c>
      <c r="N10" s="251">
        <f>FORECAST(L10,$N$5:$N$9,$L$5:$L$9)</f>
        <v>152.69999999999999</v>
      </c>
      <c r="O10" s="280">
        <f t="shared" si="5"/>
        <v>0.13955223880597006</v>
      </c>
    </row>
    <row r="11" spans="2:15" ht="14.25" customHeight="1" x14ac:dyDescent="0.35">
      <c r="B11" s="444">
        <f>B10+1</f>
        <v>7</v>
      </c>
      <c r="C11" s="445">
        <f>C10+1</f>
        <v>2027</v>
      </c>
      <c r="D11" s="446">
        <f>FORECAST(B11,$D$5:$D$9,$B$5:$B$9)</f>
        <v>10035.488000000001</v>
      </c>
      <c r="E11" s="447">
        <f t="shared" si="2"/>
        <v>0.13474725652713665</v>
      </c>
      <c r="G11" s="444">
        <f t="shared" si="3"/>
        <v>7</v>
      </c>
      <c r="H11" s="448">
        <v>46587</v>
      </c>
      <c r="I11" s="449">
        <f>FORECAST(G11,$I$5:$I$9,$G$5:$G$9)</f>
        <v>2242.7400000000002</v>
      </c>
      <c r="J11" s="450">
        <f t="shared" si="4"/>
        <v>0.13836291237447004</v>
      </c>
      <c r="L11" s="251">
        <v>7</v>
      </c>
      <c r="M11" s="451">
        <f t="shared" si="0"/>
        <v>46587</v>
      </c>
      <c r="N11" s="251">
        <f>FORECAST(L11,$N$5:$N$9,$L$5:$L$9)</f>
        <v>177.6</v>
      </c>
      <c r="O11" s="280">
        <f t="shared" si="5"/>
        <v>0.16306483300589397</v>
      </c>
    </row>
    <row r="12" spans="2:15" ht="14.25" customHeight="1" x14ac:dyDescent="0.35">
      <c r="B12" s="444">
        <f>B11+1</f>
        <v>8</v>
      </c>
      <c r="C12" s="445">
        <f>C11+1</f>
        <v>2028</v>
      </c>
      <c r="D12" s="446">
        <f>FORECAST(B12,$D$5:$D$9,$B$5:$B$9)</f>
        <v>11227.167000000001</v>
      </c>
      <c r="E12" s="447">
        <f t="shared" si="2"/>
        <v>0.11874649244760195</v>
      </c>
      <c r="G12" s="444">
        <f t="shared" si="3"/>
        <v>8</v>
      </c>
      <c r="H12" s="448">
        <v>46953</v>
      </c>
      <c r="I12" s="449">
        <f>FORECAST(G12,$I$5:$I$9,$G$5:$G$9)</f>
        <v>2515.335</v>
      </c>
      <c r="J12" s="450">
        <f t="shared" si="4"/>
        <v>0.12154552021188357</v>
      </c>
      <c r="L12" s="251">
        <v>8</v>
      </c>
      <c r="M12" s="451">
        <f t="shared" si="0"/>
        <v>46953</v>
      </c>
      <c r="N12" s="251">
        <f>FORECAST(L12,$N$5:$N$9,$L$5:$L$9)</f>
        <v>202.5</v>
      </c>
      <c r="O12" s="280">
        <f t="shared" si="5"/>
        <v>0.14020270270270274</v>
      </c>
    </row>
    <row r="13" spans="2:15" ht="14.25" customHeight="1" x14ac:dyDescent="0.35">
      <c r="B13" s="444">
        <f>B12+1</f>
        <v>9</v>
      </c>
      <c r="C13" s="445">
        <f>C12+1</f>
        <v>2029</v>
      </c>
      <c r="D13" s="446">
        <f>FORECAST(B13,$D$5:$D$9,$B$5:$B$9)</f>
        <v>12418.846000000001</v>
      </c>
      <c r="E13" s="447">
        <f t="shared" si="2"/>
        <v>0.10614244893658391</v>
      </c>
      <c r="G13" s="444">
        <f t="shared" si="3"/>
        <v>9</v>
      </c>
      <c r="H13" s="448">
        <v>47319</v>
      </c>
      <c r="I13" s="449">
        <f>FORECAST(G13,$I$5:$I$9,$G$5:$G$9)</f>
        <v>2787.93</v>
      </c>
      <c r="J13" s="450">
        <f t="shared" si="4"/>
        <v>0.10837323855470536</v>
      </c>
      <c r="L13" s="251">
        <v>9</v>
      </c>
      <c r="M13" s="451">
        <f t="shared" si="0"/>
        <v>47319</v>
      </c>
      <c r="N13" s="251">
        <f>FORECAST(L13,$N$5:$N$9,$L$5:$L$9)</f>
        <v>227.4</v>
      </c>
      <c r="O13" s="280">
        <f t="shared" si="5"/>
        <v>0.122962962962963</v>
      </c>
    </row>
    <row r="14" spans="2:15" ht="14.25" customHeight="1" x14ac:dyDescent="0.35">
      <c r="B14" s="444">
        <f>B13+1</f>
        <v>10</v>
      </c>
      <c r="C14" s="445">
        <f>C13+1</f>
        <v>2030</v>
      </c>
      <c r="D14" s="446">
        <f>FORECAST(B14,$D$5:$D$9,$B$5:$B$9)</f>
        <v>13610.525000000001</v>
      </c>
      <c r="E14" s="447">
        <f t="shared" si="2"/>
        <v>9.5957305533863613E-2</v>
      </c>
      <c r="G14" s="444">
        <f t="shared" si="3"/>
        <v>10</v>
      </c>
      <c r="H14" s="448">
        <v>47685</v>
      </c>
      <c r="I14" s="449">
        <f>FORECAST(G14,$I$5:$I$9,$G$5:$G$9)</f>
        <v>3060.5249999999996</v>
      </c>
      <c r="J14" s="450">
        <f t="shared" si="4"/>
        <v>9.7776845186213365E-2</v>
      </c>
      <c r="L14" s="251">
        <v>10</v>
      </c>
      <c r="M14" s="451">
        <f t="shared" si="0"/>
        <v>47685</v>
      </c>
      <c r="N14" s="251">
        <f>FORECAST(L14,$N$5:$N$9,$L$5:$L$9)</f>
        <v>252.3</v>
      </c>
      <c r="O14" s="280">
        <f t="shared" si="5"/>
        <v>0.1094986807387863</v>
      </c>
    </row>
  </sheetData>
  <mergeCells count="4">
    <mergeCell ref="B1:O2"/>
    <mergeCell ref="B3:E3"/>
    <mergeCell ref="G3:J3"/>
    <mergeCell ref="L3:O3"/>
  </mergeCells>
  <pageMargins left="0.7" right="0.7" top="0.75" bottom="0.75" header="0.511811023622047" footer="0.511811023622047"/>
  <pageSetup paperSize="9" orientation="portrait" horizontalDpi="300" verticalDpi="30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T26"/>
  <sheetViews>
    <sheetView showGridLines="0" zoomScale="74" zoomScaleNormal="74" workbookViewId="0">
      <selection activeCell="N3" sqref="N3"/>
    </sheetView>
  </sheetViews>
  <sheetFormatPr defaultColWidth="8.7265625" defaultRowHeight="14" x14ac:dyDescent="0.3"/>
  <cols>
    <col min="1" max="1" width="2.453125" style="1" customWidth="1"/>
    <col min="2" max="2" width="31" style="1" customWidth="1"/>
    <col min="3" max="3" width="10.1796875" style="1" customWidth="1"/>
    <col min="4" max="11" width="11.08984375" style="1" customWidth="1"/>
    <col min="12" max="13" width="12.7265625" style="1" customWidth="1"/>
    <col min="14" max="14" width="25.90625" style="1" customWidth="1"/>
    <col min="15" max="15" width="26.90625" style="1" customWidth="1"/>
    <col min="16" max="16" width="6.6328125" style="1" customWidth="1"/>
    <col min="17" max="16384" width="8.7265625" style="1"/>
  </cols>
  <sheetData>
    <row r="1" spans="2:20" ht="13.5" customHeight="1" x14ac:dyDescent="0.3">
      <c r="B1" s="711" t="s">
        <v>696</v>
      </c>
      <c r="C1" s="711"/>
      <c r="D1" s="711"/>
      <c r="E1" s="711"/>
      <c r="F1" s="711"/>
      <c r="G1" s="711"/>
      <c r="H1" s="711"/>
      <c r="I1" s="711"/>
      <c r="J1" s="711"/>
      <c r="K1" s="711"/>
      <c r="L1" s="711"/>
      <c r="M1" s="711"/>
    </row>
    <row r="2" spans="2:20" ht="13.5" customHeight="1" x14ac:dyDescent="0.3">
      <c r="B2" s="711"/>
      <c r="C2" s="711"/>
      <c r="D2" s="711"/>
      <c r="E2" s="711"/>
      <c r="F2" s="711"/>
      <c r="G2" s="711"/>
      <c r="H2" s="711"/>
      <c r="I2" s="711"/>
      <c r="J2" s="711"/>
      <c r="K2" s="711"/>
      <c r="L2" s="711"/>
      <c r="M2" s="711"/>
    </row>
    <row r="3" spans="2:20" ht="13.5" customHeight="1" x14ac:dyDescent="0.3">
      <c r="Q3" s="452"/>
    </row>
    <row r="4" spans="2:20" ht="15" customHeight="1" x14ac:dyDescent="0.35">
      <c r="B4" s="712" t="s">
        <v>697</v>
      </c>
      <c r="C4" s="453"/>
      <c r="D4" s="454"/>
      <c r="E4" s="454"/>
      <c r="F4" s="454"/>
      <c r="G4" s="454"/>
      <c r="H4" s="454"/>
      <c r="I4" s="454"/>
      <c r="J4" s="454"/>
      <c r="K4" s="454"/>
      <c r="L4" s="454"/>
      <c r="M4" s="455"/>
    </row>
    <row r="5" spans="2:20" ht="15" customHeight="1" x14ac:dyDescent="0.35">
      <c r="B5" s="713" t="s">
        <v>698</v>
      </c>
      <c r="C5" s="456" t="s">
        <v>699</v>
      </c>
      <c r="D5" s="456" t="s">
        <v>700</v>
      </c>
      <c r="E5" s="456" t="s">
        <v>701</v>
      </c>
      <c r="F5" s="456" t="s">
        <v>702</v>
      </c>
      <c r="G5" s="456" t="s">
        <v>703</v>
      </c>
      <c r="H5" s="456" t="s">
        <v>704</v>
      </c>
      <c r="I5" s="456" t="s">
        <v>705</v>
      </c>
      <c r="J5" s="456" t="s">
        <v>706</v>
      </c>
      <c r="K5" s="456" t="s">
        <v>707</v>
      </c>
      <c r="L5" s="456" t="s">
        <v>708</v>
      </c>
      <c r="M5" s="456" t="s">
        <v>709</v>
      </c>
      <c r="N5" s="715" t="s">
        <v>710</v>
      </c>
      <c r="O5" s="457">
        <f>Assumption!I4</f>
        <v>0.40669566850652028</v>
      </c>
    </row>
    <row r="6" spans="2:20" ht="15" customHeight="1" x14ac:dyDescent="0.35">
      <c r="B6" s="714" t="s">
        <v>354</v>
      </c>
      <c r="C6" s="458">
        <f>'Consolidated Profit &amp; Loss'!G6</f>
        <v>7360.06</v>
      </c>
      <c r="D6" s="458">
        <f t="shared" ref="D6:M6" si="0">C6*(1+D7)</f>
        <v>10353.3645219481</v>
      </c>
      <c r="E6" s="458">
        <f t="shared" si="0"/>
        <v>14177.742476277999</v>
      </c>
      <c r="F6" s="458">
        <f t="shared" si="0"/>
        <v>18885.807927751157</v>
      </c>
      <c r="G6" s="458">
        <f t="shared" si="0"/>
        <v>24452.660042085343</v>
      </c>
      <c r="H6" s="458">
        <f t="shared" si="0"/>
        <v>30748.074375510703</v>
      </c>
      <c r="I6" s="458">
        <f t="shared" si="0"/>
        <v>37517.03293327344</v>
      </c>
      <c r="J6" s="458">
        <f t="shared" si="0"/>
        <v>44376.342952979088</v>
      </c>
      <c r="K6" s="458">
        <f t="shared" si="0"/>
        <v>50834.044278960915</v>
      </c>
      <c r="L6" s="458">
        <f t="shared" si="0"/>
        <v>56334.828227399667</v>
      </c>
      <c r="M6" s="458">
        <f t="shared" si="0"/>
        <v>60328.967548722299</v>
      </c>
      <c r="N6" s="716" t="s">
        <v>711</v>
      </c>
      <c r="O6" s="459">
        <f>Wacc!C7</f>
        <v>7.0900000000000005E-2</v>
      </c>
    </row>
    <row r="7" spans="2:20" ht="15.75" customHeight="1" x14ac:dyDescent="0.35">
      <c r="B7" s="714" t="s">
        <v>712</v>
      </c>
      <c r="C7" s="460"/>
      <c r="D7" s="461">
        <f>O5</f>
        <v>0.40669566850652028</v>
      </c>
      <c r="E7" s="461">
        <f t="shared" ref="E7:M7" si="1">D7-$O$8</f>
        <v>0.36938503867246247</v>
      </c>
      <c r="F7" s="461">
        <f t="shared" si="1"/>
        <v>0.33207440883840467</v>
      </c>
      <c r="G7" s="461">
        <f t="shared" si="1"/>
        <v>0.29476377900434686</v>
      </c>
      <c r="H7" s="461">
        <f t="shared" si="1"/>
        <v>0.25745314917028905</v>
      </c>
      <c r="I7" s="461">
        <f t="shared" si="1"/>
        <v>0.22014251933623125</v>
      </c>
      <c r="J7" s="461">
        <f t="shared" si="1"/>
        <v>0.18283188950217344</v>
      </c>
      <c r="K7" s="461">
        <f t="shared" si="1"/>
        <v>0.14552125966811563</v>
      </c>
      <c r="L7" s="461">
        <f t="shared" si="1"/>
        <v>0.10821062983405783</v>
      </c>
      <c r="M7" s="461">
        <f t="shared" si="1"/>
        <v>7.0900000000000019E-2</v>
      </c>
      <c r="N7" s="717"/>
      <c r="O7" s="462">
        <f>O5-O6</f>
        <v>0.33579566850652026</v>
      </c>
      <c r="Q7" s="2"/>
      <c r="R7" s="2"/>
      <c r="S7" s="2"/>
    </row>
    <row r="8" spans="2:20" ht="15.75" customHeight="1" x14ac:dyDescent="0.35">
      <c r="B8" s="714"/>
      <c r="C8" s="463"/>
      <c r="D8" s="464"/>
      <c r="E8" s="464"/>
      <c r="F8" s="464"/>
      <c r="G8" s="464"/>
      <c r="H8" s="464"/>
      <c r="I8" s="464"/>
      <c r="J8" s="464"/>
      <c r="K8" s="464"/>
      <c r="L8" s="464"/>
      <c r="M8" s="465"/>
      <c r="N8" s="718" t="s">
        <v>713</v>
      </c>
      <c r="O8" s="466">
        <f>O7/9</f>
        <v>3.7310629834057807E-2</v>
      </c>
      <c r="Q8" s="467"/>
      <c r="R8" s="2"/>
      <c r="S8" s="2"/>
    </row>
    <row r="9" spans="2:20" ht="15" customHeight="1" x14ac:dyDescent="0.35">
      <c r="B9" s="712" t="s">
        <v>714</v>
      </c>
      <c r="C9" s="468"/>
      <c r="D9" s="469"/>
      <c r="E9" s="469"/>
      <c r="F9" s="469"/>
      <c r="G9" s="469"/>
      <c r="H9" s="469"/>
      <c r="I9" s="469"/>
      <c r="J9" s="469"/>
      <c r="K9" s="469"/>
      <c r="L9" s="469"/>
      <c r="M9" s="470"/>
      <c r="N9" s="719"/>
      <c r="Q9" s="2"/>
      <c r="R9" s="2"/>
      <c r="S9" s="2"/>
      <c r="T9" s="2"/>
    </row>
    <row r="10" spans="2:20" ht="15" customHeight="1" x14ac:dyDescent="0.35">
      <c r="B10" s="713" t="s">
        <v>698</v>
      </c>
      <c r="C10" s="456" t="s">
        <v>699</v>
      </c>
      <c r="D10" s="456" t="s">
        <v>700</v>
      </c>
      <c r="E10" s="456" t="s">
        <v>701</v>
      </c>
      <c r="F10" s="456" t="s">
        <v>702</v>
      </c>
      <c r="G10" s="456" t="s">
        <v>703</v>
      </c>
      <c r="H10" s="456" t="s">
        <v>704</v>
      </c>
      <c r="I10" s="456" t="s">
        <v>705</v>
      </c>
      <c r="J10" s="456" t="s">
        <v>706</v>
      </c>
      <c r="K10" s="456" t="s">
        <v>707</v>
      </c>
      <c r="L10" s="456" t="s">
        <v>708</v>
      </c>
      <c r="M10" s="456" t="s">
        <v>709</v>
      </c>
      <c r="N10" s="715" t="s">
        <v>710</v>
      </c>
      <c r="O10" s="471">
        <f>Assumption!C23</f>
        <v>0.36477336186605142</v>
      </c>
      <c r="Q10" s="2"/>
      <c r="R10" s="2"/>
      <c r="S10" s="2"/>
      <c r="T10" s="2"/>
    </row>
    <row r="11" spans="2:20" ht="15" customHeight="1" x14ac:dyDescent="0.35">
      <c r="B11" s="714" t="s">
        <v>354</v>
      </c>
      <c r="C11" s="458">
        <f>C6</f>
        <v>7360.06</v>
      </c>
      <c r="D11" s="458">
        <f t="shared" ref="D11:M11" si="2">C11*(1+D12)</f>
        <v>10044.813829735851</v>
      </c>
      <c r="E11" s="458">
        <f t="shared" si="2"/>
        <v>13380.905094231308</v>
      </c>
      <c r="F11" s="458">
        <f t="shared" si="2"/>
        <v>17388.06026029745</v>
      </c>
      <c r="G11" s="458">
        <f t="shared" si="2"/>
        <v>22027.465549434608</v>
      </c>
      <c r="H11" s="458">
        <f t="shared" si="2"/>
        <v>27185.482498223399</v>
      </c>
      <c r="I11" s="458">
        <f t="shared" si="2"/>
        <v>32663.639489882378</v>
      </c>
      <c r="J11" s="458">
        <f t="shared" si="2"/>
        <v>38179.14937893919</v>
      </c>
      <c r="K11" s="458">
        <f t="shared" si="2"/>
        <v>43379.347732389324</v>
      </c>
      <c r="L11" s="458">
        <f t="shared" si="2"/>
        <v>47871.391792579474</v>
      </c>
      <c r="M11" s="458">
        <f t="shared" si="2"/>
        <v>51265.473470673365</v>
      </c>
      <c r="N11" s="716" t="s">
        <v>711</v>
      </c>
      <c r="O11" s="472">
        <f>Wacc!C7</f>
        <v>7.0900000000000005E-2</v>
      </c>
      <c r="Q11" s="2"/>
      <c r="R11" s="2"/>
      <c r="S11" s="2"/>
      <c r="T11" s="2"/>
    </row>
    <row r="12" spans="2:20" ht="15.75" customHeight="1" x14ac:dyDescent="0.35">
      <c r="B12" s="714" t="s">
        <v>712</v>
      </c>
      <c r="C12" s="460"/>
      <c r="D12" s="473">
        <f>O10</f>
        <v>0.36477336186605142</v>
      </c>
      <c r="E12" s="473">
        <f t="shared" ref="E12:M12" si="3">D12-$O$13</f>
        <v>0.33212076610315683</v>
      </c>
      <c r="F12" s="473">
        <f t="shared" si="3"/>
        <v>0.29946817034026224</v>
      </c>
      <c r="G12" s="473">
        <f t="shared" si="3"/>
        <v>0.26681557457736765</v>
      </c>
      <c r="H12" s="473">
        <f t="shared" si="3"/>
        <v>0.23416297881447307</v>
      </c>
      <c r="I12" s="473">
        <f t="shared" si="3"/>
        <v>0.20151038305157848</v>
      </c>
      <c r="J12" s="473">
        <f t="shared" si="3"/>
        <v>0.16885778728868389</v>
      </c>
      <c r="K12" s="473">
        <f t="shared" si="3"/>
        <v>0.1362051915257893</v>
      </c>
      <c r="L12" s="473">
        <f t="shared" si="3"/>
        <v>0.1035525957628947</v>
      </c>
      <c r="M12" s="473">
        <f t="shared" si="3"/>
        <v>7.0900000000000102E-2</v>
      </c>
      <c r="N12" s="717"/>
      <c r="O12" s="474">
        <f>O10-O11</f>
        <v>0.2938733618660514</v>
      </c>
      <c r="Q12" s="2"/>
      <c r="R12" s="2"/>
      <c r="S12" s="2"/>
      <c r="T12" s="2"/>
    </row>
    <row r="13" spans="2:20" ht="15.75" customHeight="1" x14ac:dyDescent="0.35">
      <c r="B13" s="714"/>
      <c r="C13" s="463"/>
      <c r="D13" s="475"/>
      <c r="E13" s="475"/>
      <c r="F13" s="475"/>
      <c r="G13" s="475"/>
      <c r="H13" s="475"/>
      <c r="I13" s="475"/>
      <c r="J13" s="475"/>
      <c r="K13" s="475"/>
      <c r="L13" s="475"/>
      <c r="M13" s="476"/>
      <c r="N13" s="718" t="s">
        <v>713</v>
      </c>
      <c r="O13" s="477">
        <f>O12/9</f>
        <v>3.2652595762894601E-2</v>
      </c>
      <c r="Q13" s="2"/>
      <c r="R13" s="2"/>
      <c r="S13" s="2"/>
      <c r="T13" s="2"/>
    </row>
    <row r="14" spans="2:20" ht="15" customHeight="1" x14ac:dyDescent="0.35">
      <c r="B14" s="712" t="s">
        <v>715</v>
      </c>
      <c r="C14" s="463"/>
      <c r="D14" s="475"/>
      <c r="E14" s="475"/>
      <c r="F14" s="475"/>
      <c r="G14" s="475"/>
      <c r="H14" s="475"/>
      <c r="I14" s="475"/>
      <c r="J14" s="475"/>
      <c r="K14" s="475"/>
      <c r="L14" s="475"/>
      <c r="M14" s="476"/>
      <c r="N14" s="719"/>
      <c r="Q14" s="2"/>
      <c r="R14" s="2"/>
      <c r="S14" s="2"/>
      <c r="T14" s="2"/>
    </row>
    <row r="15" spans="2:20" ht="15" customHeight="1" x14ac:dyDescent="0.35">
      <c r="B15" s="713" t="s">
        <v>698</v>
      </c>
      <c r="C15" s="456" t="s">
        <v>699</v>
      </c>
      <c r="D15" s="456" t="s">
        <v>700</v>
      </c>
      <c r="E15" s="456" t="s">
        <v>701</v>
      </c>
      <c r="F15" s="456" t="s">
        <v>702</v>
      </c>
      <c r="G15" s="456" t="s">
        <v>703</v>
      </c>
      <c r="H15" s="456" t="s">
        <v>704</v>
      </c>
      <c r="I15" s="456" t="s">
        <v>705</v>
      </c>
      <c r="J15" s="456" t="s">
        <v>706</v>
      </c>
      <c r="K15" s="456" t="s">
        <v>707</v>
      </c>
      <c r="L15" s="456" t="s">
        <v>708</v>
      </c>
      <c r="M15" s="456" t="s">
        <v>709</v>
      </c>
      <c r="N15" s="715" t="s">
        <v>710</v>
      </c>
      <c r="O15" s="478">
        <f>Assumption!D46</f>
        <v>1.2150625771569197E-2</v>
      </c>
      <c r="Q15" s="2"/>
      <c r="R15" s="2"/>
      <c r="S15" s="2"/>
      <c r="T15" s="2"/>
    </row>
    <row r="16" spans="2:20" ht="15" customHeight="1" x14ac:dyDescent="0.35">
      <c r="B16" s="714" t="s">
        <v>354</v>
      </c>
      <c r="C16" s="458">
        <f>C11</f>
        <v>7360.06</v>
      </c>
      <c r="D16" s="458">
        <f t="shared" ref="D16:M16" si="4">C16*(1+D17)</f>
        <v>7449.4893347162952</v>
      </c>
      <c r="E16" s="458">
        <f t="shared" si="4"/>
        <v>7491.3771988410672</v>
      </c>
      <c r="F16" s="458">
        <f t="shared" si="4"/>
        <v>7533.5005949710676</v>
      </c>
      <c r="G16" s="458">
        <f t="shared" si="4"/>
        <v>7575.8608474833363</v>
      </c>
      <c r="H16" s="458">
        <f t="shared" si="4"/>
        <v>7618.459288201776</v>
      </c>
      <c r="I16" s="458">
        <f t="shared" si="4"/>
        <v>7661.2972564390247</v>
      </c>
      <c r="J16" s="458">
        <f t="shared" si="4"/>
        <v>7704.3760990385663</v>
      </c>
      <c r="K16" s="458">
        <f t="shared" si="4"/>
        <v>7747.6971704170728</v>
      </c>
      <c r="L16" s="458">
        <f t="shared" si="4"/>
        <v>7791.2618326069905</v>
      </c>
      <c r="M16" s="458">
        <f t="shared" si="4"/>
        <v>7835.0714552993613</v>
      </c>
      <c r="N16" s="716" t="s">
        <v>711</v>
      </c>
      <c r="O16" s="478">
        <f>Wacc!C7</f>
        <v>7.0900000000000005E-2</v>
      </c>
      <c r="Q16" s="2"/>
      <c r="R16" s="2"/>
      <c r="S16" s="2"/>
      <c r="T16" s="2"/>
    </row>
    <row r="17" spans="2:20" ht="15.75" customHeight="1" x14ac:dyDescent="0.35">
      <c r="B17" s="714" t="s">
        <v>712</v>
      </c>
      <c r="C17" s="460"/>
      <c r="D17" s="473">
        <f>O15</f>
        <v>1.2150625771569197E-2</v>
      </c>
      <c r="E17" s="473">
        <f t="shared" ref="E17:M17" si="5">D17-(-O18)</f>
        <v>5.6229175239657743E-3</v>
      </c>
      <c r="F17" s="473">
        <f t="shared" si="5"/>
        <v>5.6229175239657743E-3</v>
      </c>
      <c r="G17" s="473">
        <f t="shared" si="5"/>
        <v>5.6229175239657743E-3</v>
      </c>
      <c r="H17" s="473">
        <f t="shared" si="5"/>
        <v>5.6229175239657743E-3</v>
      </c>
      <c r="I17" s="473">
        <f t="shared" si="5"/>
        <v>5.6229175239657743E-3</v>
      </c>
      <c r="J17" s="473">
        <f t="shared" si="5"/>
        <v>5.6229175239657743E-3</v>
      </c>
      <c r="K17" s="473">
        <f t="shared" si="5"/>
        <v>5.6229175239657743E-3</v>
      </c>
      <c r="L17" s="473">
        <f t="shared" si="5"/>
        <v>5.6229175239657743E-3</v>
      </c>
      <c r="M17" s="473">
        <f t="shared" si="5"/>
        <v>5.6229175239657743E-3</v>
      </c>
      <c r="N17" s="717"/>
      <c r="O17" s="479">
        <f>O15-O16</f>
        <v>-5.8749374228430809E-2</v>
      </c>
      <c r="Q17" s="2"/>
      <c r="R17" s="2"/>
      <c r="S17" s="2"/>
      <c r="T17" s="2"/>
    </row>
    <row r="18" spans="2:20" ht="15.75" customHeight="1" x14ac:dyDescent="0.35">
      <c r="B18" s="714"/>
      <c r="C18" s="463"/>
      <c r="D18" s="475"/>
      <c r="E18" s="475"/>
      <c r="F18" s="475"/>
      <c r="G18" s="475"/>
      <c r="H18" s="475"/>
      <c r="I18" s="475"/>
      <c r="J18" s="475"/>
      <c r="K18" s="475"/>
      <c r="L18" s="475"/>
      <c r="M18" s="476"/>
      <c r="N18" s="718" t="s">
        <v>713</v>
      </c>
      <c r="O18" s="477">
        <f>O17/9</f>
        <v>-6.5277082476034231E-3</v>
      </c>
    </row>
    <row r="19" spans="2:20" ht="15" customHeight="1" x14ac:dyDescent="0.35">
      <c r="B19" s="712" t="s">
        <v>716</v>
      </c>
      <c r="C19" s="480">
        <v>2</v>
      </c>
      <c r="D19" s="475"/>
      <c r="E19" s="475"/>
      <c r="F19" s="475"/>
      <c r="G19" s="475"/>
      <c r="H19" s="475"/>
      <c r="I19" s="475"/>
      <c r="J19" s="475"/>
      <c r="K19" s="475"/>
      <c r="L19" s="475"/>
      <c r="M19" s="476"/>
    </row>
    <row r="20" spans="2:20" ht="15" customHeight="1" x14ac:dyDescent="0.35">
      <c r="B20" s="713" t="s">
        <v>698</v>
      </c>
      <c r="C20" s="456" t="s">
        <v>699</v>
      </c>
      <c r="D20" s="456" t="s">
        <v>700</v>
      </c>
      <c r="E20" s="456" t="s">
        <v>701</v>
      </c>
      <c r="F20" s="456" t="s">
        <v>702</v>
      </c>
      <c r="G20" s="456" t="s">
        <v>703</v>
      </c>
      <c r="H20" s="456" t="s">
        <v>704</v>
      </c>
      <c r="I20" s="456" t="s">
        <v>705</v>
      </c>
      <c r="J20" s="456" t="s">
        <v>706</v>
      </c>
      <c r="K20" s="456" t="s">
        <v>707</v>
      </c>
      <c r="L20" s="456" t="s">
        <v>708</v>
      </c>
      <c r="M20" s="456" t="s">
        <v>709</v>
      </c>
    </row>
    <row r="21" spans="2:20" ht="15" customHeight="1" x14ac:dyDescent="0.35">
      <c r="B21" s="714" t="s">
        <v>354</v>
      </c>
      <c r="C21" s="458">
        <f>C6</f>
        <v>7360.06</v>
      </c>
      <c r="D21" s="458">
        <f t="shared" ref="D21:M21" si="6">C21*(1+D22)</f>
        <v>10044.813829735851</v>
      </c>
      <c r="E21" s="458">
        <f t="shared" si="6"/>
        <v>13380.905094231308</v>
      </c>
      <c r="F21" s="458">
        <f t="shared" si="6"/>
        <v>17388.06026029745</v>
      </c>
      <c r="G21" s="458">
        <f t="shared" si="6"/>
        <v>22027.465549434608</v>
      </c>
      <c r="H21" s="458">
        <f t="shared" si="6"/>
        <v>27185.482498223399</v>
      </c>
      <c r="I21" s="458">
        <f t="shared" si="6"/>
        <v>32663.639489882378</v>
      </c>
      <c r="J21" s="458">
        <f t="shared" si="6"/>
        <v>38179.14937893919</v>
      </c>
      <c r="K21" s="458">
        <f t="shared" si="6"/>
        <v>43379.347732389324</v>
      </c>
      <c r="L21" s="458">
        <f t="shared" si="6"/>
        <v>47871.391792579474</v>
      </c>
      <c r="M21" s="458">
        <f t="shared" si="6"/>
        <v>51265.473470673365</v>
      </c>
    </row>
    <row r="22" spans="2:20" ht="15" customHeight="1" x14ac:dyDescent="0.35">
      <c r="B22" s="714" t="s">
        <v>712</v>
      </c>
      <c r="C22" s="460"/>
      <c r="D22" s="473">
        <f t="shared" ref="D22:M22" si="7">CHOOSE($C$19,D7,D12,D17)</f>
        <v>0.36477336186605142</v>
      </c>
      <c r="E22" s="473">
        <f t="shared" si="7"/>
        <v>0.33212076610315683</v>
      </c>
      <c r="F22" s="473">
        <f t="shared" si="7"/>
        <v>0.29946817034026224</v>
      </c>
      <c r="G22" s="473">
        <f t="shared" si="7"/>
        <v>0.26681557457736765</v>
      </c>
      <c r="H22" s="473">
        <f t="shared" si="7"/>
        <v>0.23416297881447307</v>
      </c>
      <c r="I22" s="473">
        <f t="shared" si="7"/>
        <v>0.20151038305157848</v>
      </c>
      <c r="J22" s="473">
        <f t="shared" si="7"/>
        <v>0.16885778728868389</v>
      </c>
      <c r="K22" s="473">
        <f t="shared" si="7"/>
        <v>0.1362051915257893</v>
      </c>
      <c r="L22" s="473">
        <f t="shared" si="7"/>
        <v>0.1035525957628947</v>
      </c>
      <c r="M22" s="473">
        <f t="shared" si="7"/>
        <v>7.0900000000000102E-2</v>
      </c>
    </row>
    <row r="23" spans="2:20" ht="13.5" customHeight="1" x14ac:dyDescent="0.3">
      <c r="O23" s="304" t="s">
        <v>717</v>
      </c>
    </row>
    <row r="24" spans="2:20" ht="13.5" customHeight="1" x14ac:dyDescent="0.3">
      <c r="O24" s="304" t="s">
        <v>718</v>
      </c>
    </row>
    <row r="25" spans="2:20" ht="13.5" customHeight="1" x14ac:dyDescent="0.3">
      <c r="O25" s="304" t="s">
        <v>719</v>
      </c>
    </row>
    <row r="26" spans="2:20" ht="13.5" customHeight="1" x14ac:dyDescent="0.3">
      <c r="O26" s="304" t="s">
        <v>720</v>
      </c>
    </row>
  </sheetData>
  <mergeCells count="1">
    <mergeCell ref="B1:M2"/>
  </mergeCells>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S35"/>
  <sheetViews>
    <sheetView showGridLines="0" zoomScale="55" zoomScaleNormal="73" workbookViewId="0">
      <selection activeCell="J33" sqref="J33"/>
    </sheetView>
  </sheetViews>
  <sheetFormatPr defaultColWidth="8.6328125" defaultRowHeight="14.5" x14ac:dyDescent="0.35"/>
  <cols>
    <col min="1" max="1" width="2.54296875" customWidth="1"/>
    <col min="2" max="2" width="30.453125" customWidth="1"/>
    <col min="3" max="3" width="9.54296875" bestFit="1" customWidth="1"/>
    <col min="4" max="4" width="12.7265625" customWidth="1"/>
    <col min="5" max="5" width="11.453125" customWidth="1"/>
    <col min="6" max="6" width="13.90625" customWidth="1"/>
    <col min="7" max="8" width="11.453125" customWidth="1"/>
    <col min="9" max="9" width="15.36328125" customWidth="1"/>
    <col min="10" max="13" width="11.453125" customWidth="1"/>
    <col min="14" max="14" width="21.81640625" customWidth="1"/>
    <col min="15" max="15" width="12.7265625" customWidth="1"/>
    <col min="17" max="17" width="43" customWidth="1"/>
    <col min="18" max="18" width="7.26953125" customWidth="1"/>
  </cols>
  <sheetData>
    <row r="1" spans="2:19" ht="14.25" customHeight="1" x14ac:dyDescent="0.35">
      <c r="B1" s="723" t="s">
        <v>629</v>
      </c>
      <c r="C1" s="723"/>
      <c r="D1" s="723"/>
      <c r="E1" s="723"/>
      <c r="F1" s="723"/>
      <c r="G1" s="723"/>
      <c r="H1" s="723"/>
      <c r="I1" s="723"/>
      <c r="J1" s="723"/>
      <c r="K1" s="723"/>
      <c r="L1" s="723"/>
      <c r="M1" s="723"/>
    </row>
    <row r="2" spans="2:19" ht="14.25" customHeight="1" x14ac:dyDescent="0.35">
      <c r="B2" s="723"/>
      <c r="C2" s="723"/>
      <c r="D2" s="723"/>
      <c r="E2" s="723"/>
      <c r="F2" s="723"/>
      <c r="G2" s="723"/>
      <c r="H2" s="723"/>
      <c r="I2" s="723"/>
      <c r="J2" s="723"/>
      <c r="K2" s="723"/>
      <c r="L2" s="723"/>
      <c r="M2" s="723"/>
    </row>
    <row r="3" spans="2:19" ht="14.25" customHeight="1" x14ac:dyDescent="0.35">
      <c r="B3" s="720"/>
      <c r="C3" s="720"/>
      <c r="D3" s="721">
        <v>1</v>
      </c>
      <c r="E3" s="721">
        <v>2</v>
      </c>
      <c r="F3" s="721">
        <v>3</v>
      </c>
      <c r="G3" s="721">
        <v>4</v>
      </c>
      <c r="H3" s="721">
        <v>5</v>
      </c>
      <c r="I3" s="721">
        <v>6</v>
      </c>
      <c r="J3" s="721">
        <v>7</v>
      </c>
      <c r="K3" s="721">
        <v>8</v>
      </c>
      <c r="L3" s="721">
        <v>9</v>
      </c>
      <c r="M3" s="721">
        <v>10</v>
      </c>
    </row>
    <row r="4" spans="2:19" ht="14.25" customHeight="1" x14ac:dyDescent="0.35">
      <c r="B4" s="722" t="s">
        <v>721</v>
      </c>
      <c r="C4" s="707" t="s">
        <v>699</v>
      </c>
      <c r="D4" s="707" t="s">
        <v>700</v>
      </c>
      <c r="E4" s="707" t="s">
        <v>701</v>
      </c>
      <c r="F4" s="707" t="s">
        <v>702</v>
      </c>
      <c r="G4" s="707" t="s">
        <v>703</v>
      </c>
      <c r="H4" s="707" t="s">
        <v>704</v>
      </c>
      <c r="I4" s="707" t="s">
        <v>705</v>
      </c>
      <c r="J4" s="707" t="s">
        <v>706</v>
      </c>
      <c r="K4" s="707" t="s">
        <v>707</v>
      </c>
      <c r="L4" s="707" t="s">
        <v>708</v>
      </c>
      <c r="M4" s="707" t="s">
        <v>709</v>
      </c>
      <c r="N4" s="267"/>
      <c r="O4" s="481" t="s">
        <v>722</v>
      </c>
      <c r="Q4" s="333" t="s">
        <v>723</v>
      </c>
      <c r="R4" s="482">
        <v>7.5999999999999998E-2</v>
      </c>
    </row>
    <row r="5" spans="2:19" ht="14.25" customHeight="1" x14ac:dyDescent="0.35">
      <c r="B5" s="264" t="s">
        <v>724</v>
      </c>
      <c r="C5" s="483">
        <f>'Growth Scenerio'!C21</f>
        <v>7360.06</v>
      </c>
      <c r="D5" s="483">
        <f>'Growth Scenerio'!D21</f>
        <v>10044.813829735851</v>
      </c>
      <c r="E5" s="483">
        <f>'Growth Scenerio'!E21</f>
        <v>13380.905094231308</v>
      </c>
      <c r="F5" s="483">
        <f>'Growth Scenerio'!F21</f>
        <v>17388.06026029745</v>
      </c>
      <c r="G5" s="483">
        <f>'Growth Scenerio'!G21</f>
        <v>22027.465549434608</v>
      </c>
      <c r="H5" s="483">
        <f>'Growth Scenerio'!H21</f>
        <v>27185.482498223399</v>
      </c>
      <c r="I5" s="483">
        <f>'Growth Scenerio'!I21</f>
        <v>32663.639489882378</v>
      </c>
      <c r="J5" s="483">
        <f>'Growth Scenerio'!J21</f>
        <v>38179.14937893919</v>
      </c>
      <c r="K5" s="483">
        <f>'Growth Scenerio'!K21</f>
        <v>43379.347732389324</v>
      </c>
      <c r="L5" s="483">
        <f>'Growth Scenerio'!L21</f>
        <v>47871.391792579474</v>
      </c>
      <c r="M5" s="483">
        <f>'Growth Scenerio'!M21</f>
        <v>51265.473470673365</v>
      </c>
      <c r="N5" s="484" t="s">
        <v>725</v>
      </c>
      <c r="O5" s="483">
        <f>M5*(1+R4)</f>
        <v>55161.649454444545</v>
      </c>
      <c r="Q5" s="333" t="s">
        <v>726</v>
      </c>
      <c r="R5" s="482">
        <f>COC!K46</f>
        <v>0.12041908960215685</v>
      </c>
    </row>
    <row r="6" spans="2:19" ht="14.25" customHeight="1" x14ac:dyDescent="0.35">
      <c r="B6" s="264" t="s">
        <v>470</v>
      </c>
      <c r="D6" s="482">
        <f>'Growth Scenerio'!D22</f>
        <v>0.36477336186605142</v>
      </c>
      <c r="E6" s="482">
        <f>'Growth Scenerio'!E22</f>
        <v>0.33212076610315683</v>
      </c>
      <c r="F6" s="482">
        <f>'Growth Scenerio'!F22</f>
        <v>0.29946817034026224</v>
      </c>
      <c r="G6" s="482">
        <f>'Growth Scenerio'!G22</f>
        <v>0.26681557457736765</v>
      </c>
      <c r="H6" s="482">
        <f>'Growth Scenerio'!H22</f>
        <v>0.23416297881447307</v>
      </c>
      <c r="I6" s="482">
        <f>'Growth Scenerio'!I22</f>
        <v>0.20151038305157848</v>
      </c>
      <c r="J6" s="482">
        <f>'Growth Scenerio'!J22</f>
        <v>0.16885778728868389</v>
      </c>
      <c r="K6" s="482">
        <f>'Growth Scenerio'!K22</f>
        <v>0.1362051915257893</v>
      </c>
      <c r="L6" s="482">
        <f>'Growth Scenerio'!L22</f>
        <v>0.1035525957628947</v>
      </c>
      <c r="M6" s="482">
        <f>'Growth Scenerio'!M22</f>
        <v>7.0900000000000102E-2</v>
      </c>
      <c r="N6" s="484" t="s">
        <v>727</v>
      </c>
      <c r="O6" s="482">
        <f>R4</f>
        <v>7.5999999999999998E-2</v>
      </c>
      <c r="Q6" s="333" t="s">
        <v>728</v>
      </c>
      <c r="R6" s="482">
        <f>R4*R5</f>
        <v>9.1518508097639204E-3</v>
      </c>
    </row>
    <row r="7" spans="2:19" ht="14.25" customHeight="1" x14ac:dyDescent="0.35">
      <c r="B7" s="264" t="s">
        <v>267</v>
      </c>
      <c r="D7" s="485">
        <f t="shared" ref="D7:M7" si="0">D8*D5</f>
        <v>1695.3822730098427</v>
      </c>
      <c r="E7" s="485">
        <f t="shared" si="0"/>
        <v>2258.4539323595832</v>
      </c>
      <c r="F7" s="485">
        <f t="shared" si="0"/>
        <v>2934.7889992810778</v>
      </c>
      <c r="G7" s="485">
        <f t="shared" si="0"/>
        <v>3717.8364123875963</v>
      </c>
      <c r="H7" s="485">
        <f t="shared" si="0"/>
        <v>4588.4160614571892</v>
      </c>
      <c r="I7" s="485">
        <f t="shared" si="0"/>
        <v>5513.0295396014426</v>
      </c>
      <c r="J7" s="485">
        <f t="shared" si="0"/>
        <v>6443.947508915694</v>
      </c>
      <c r="K7" s="485">
        <f t="shared" si="0"/>
        <v>7321.6466135496894</v>
      </c>
      <c r="L7" s="485">
        <f t="shared" si="0"/>
        <v>8079.8221256413663</v>
      </c>
      <c r="M7" s="485">
        <f t="shared" si="0"/>
        <v>8652.6815143493404</v>
      </c>
      <c r="N7" s="484" t="s">
        <v>267</v>
      </c>
      <c r="O7" s="486">
        <f>O8*O5</f>
        <v>9310.2853094398906</v>
      </c>
      <c r="Q7" s="333"/>
    </row>
    <row r="8" spans="2:19" ht="14.25" customHeight="1" x14ac:dyDescent="0.35">
      <c r="B8" s="264" t="s">
        <v>729</v>
      </c>
      <c r="D8" s="482">
        <f>AVERAGE(Assumption!$C$28:$G$28)</f>
        <v>0.16878185118682545</v>
      </c>
      <c r="E8" s="482">
        <f>AVERAGE(Assumption!$C$28:$G$28)</f>
        <v>0.16878185118682545</v>
      </c>
      <c r="F8" s="482">
        <f>AVERAGE(Assumption!$C$28:$G$28)</f>
        <v>0.16878185118682545</v>
      </c>
      <c r="G8" s="482">
        <f>AVERAGE(Assumption!$C$28:$G$28)</f>
        <v>0.16878185118682545</v>
      </c>
      <c r="H8" s="482">
        <f>AVERAGE(Assumption!$C$28:$G$28)</f>
        <v>0.16878185118682545</v>
      </c>
      <c r="I8" s="482">
        <f>AVERAGE(Assumption!$C$28:$G$28)</f>
        <v>0.16878185118682545</v>
      </c>
      <c r="J8" s="482">
        <f>AVERAGE(Assumption!$C$28:$G$28)</f>
        <v>0.16878185118682545</v>
      </c>
      <c r="K8" s="482">
        <f>AVERAGE(Assumption!$C$28:$G$28)</f>
        <v>0.16878185118682545</v>
      </c>
      <c r="L8" s="482">
        <f>AVERAGE(Assumption!$C$28:$G$28)</f>
        <v>0.16878185118682545</v>
      </c>
      <c r="M8" s="482">
        <f>AVERAGE(Assumption!$C$28:$G$28)</f>
        <v>0.16878185118682545</v>
      </c>
      <c r="N8" s="484" t="s">
        <v>480</v>
      </c>
      <c r="O8" s="482">
        <f>M8</f>
        <v>0.16878185118682545</v>
      </c>
      <c r="Q8" s="333" t="s">
        <v>730</v>
      </c>
    </row>
    <row r="9" spans="2:19" ht="14.25" customHeight="1" x14ac:dyDescent="0.35">
      <c r="B9" s="264" t="s">
        <v>519</v>
      </c>
      <c r="D9" s="483">
        <f>D7*Assumption!C34</f>
        <v>423.84556825246068</v>
      </c>
      <c r="E9" s="483">
        <f>E7*Assumption!D34</f>
        <v>564.61348308989579</v>
      </c>
      <c r="F9" s="483">
        <f>F7*Assumption!E34</f>
        <v>733.69724982026946</v>
      </c>
      <c r="G9" s="483">
        <f>G7*Assumption!F34</f>
        <v>929.45910309689907</v>
      </c>
      <c r="H9" s="483">
        <f>H7*Assumption!$G$34</f>
        <v>1147.1040153642973</v>
      </c>
      <c r="I9" s="483">
        <f>I7*Assumption!$G$34</f>
        <v>1378.2573849003606</v>
      </c>
      <c r="J9" s="483">
        <f>J7*Assumption!$G$34</f>
        <v>1610.9868772289235</v>
      </c>
      <c r="K9" s="483">
        <f>K7*Assumption!$G$34</f>
        <v>1830.4116533874223</v>
      </c>
      <c r="L9" s="483">
        <f>L7*Assumption!$G$34</f>
        <v>2019.9555314103416</v>
      </c>
      <c r="M9" s="483">
        <f>M7*Assumption!$G$34</f>
        <v>2163.1703785873351</v>
      </c>
      <c r="N9" s="487" t="s">
        <v>731</v>
      </c>
      <c r="O9" s="486">
        <f>25%*O7</f>
        <v>2327.5713273599727</v>
      </c>
    </row>
    <row r="10" spans="2:19" ht="14.25" customHeight="1" x14ac:dyDescent="0.35">
      <c r="B10" s="488" t="s">
        <v>732</v>
      </c>
      <c r="C10" s="267"/>
      <c r="D10" s="489">
        <f t="shared" ref="D10:M10" si="1">D7-D9</f>
        <v>1271.536704757382</v>
      </c>
      <c r="E10" s="489">
        <f t="shared" si="1"/>
        <v>1693.8404492696873</v>
      </c>
      <c r="F10" s="489">
        <f t="shared" si="1"/>
        <v>2201.0917494608084</v>
      </c>
      <c r="G10" s="489">
        <f t="shared" si="1"/>
        <v>2788.3773092906972</v>
      </c>
      <c r="H10" s="490">
        <f t="shared" si="1"/>
        <v>3441.3120460928922</v>
      </c>
      <c r="I10" s="489">
        <f t="shared" si="1"/>
        <v>4134.7721547010824</v>
      </c>
      <c r="J10" s="489">
        <f t="shared" si="1"/>
        <v>4832.9606316867703</v>
      </c>
      <c r="K10" s="489">
        <f t="shared" si="1"/>
        <v>5491.2349601622673</v>
      </c>
      <c r="L10" s="489">
        <f t="shared" si="1"/>
        <v>6059.8665942310245</v>
      </c>
      <c r="M10" s="489">
        <f t="shared" si="1"/>
        <v>6489.5111357620053</v>
      </c>
      <c r="N10" s="487" t="s">
        <v>732</v>
      </c>
      <c r="O10" s="491">
        <f>O7-O9</f>
        <v>6982.7139820799184</v>
      </c>
      <c r="P10" s="267"/>
      <c r="Q10" s="267"/>
      <c r="R10" s="267"/>
      <c r="S10" s="267"/>
    </row>
    <row r="11" spans="2:19" ht="14.25" customHeight="1" x14ac:dyDescent="0.35">
      <c r="B11" s="264" t="s">
        <v>733</v>
      </c>
      <c r="D11" s="486">
        <f>D5*'Fixed assets scheduled'!$D$13</f>
        <v>615.99862636772718</v>
      </c>
      <c r="E11" s="486">
        <f>E5*'Fixed assets scheduled'!$D$13</f>
        <v>820.58456207546919</v>
      </c>
      <c r="F11" s="486">
        <f>F5*'Fixed assets scheduled'!$D$13</f>
        <v>1066.3235194896752</v>
      </c>
      <c r="G11" s="486">
        <f>G5*'Fixed assets scheduled'!$D$13</f>
        <v>1350.8352420276738</v>
      </c>
      <c r="H11" s="486">
        <f>H5*'Fixed assets scheduled'!$D$13</f>
        <v>1667.1508461884434</v>
      </c>
      <c r="I11" s="486">
        <f>I5*'Fixed assets scheduled'!$D$13</f>
        <v>2003.0990518086398</v>
      </c>
      <c r="J11" s="486">
        <f>J5*'Fixed assets scheduled'!$D$13</f>
        <v>2341.3379254171073</v>
      </c>
      <c r="K11" s="486">
        <f>K5*'Fixed assets scheduled'!$D$13</f>
        <v>2660.2403059751387</v>
      </c>
      <c r="L11" s="486">
        <f>L5*'Fixed assets scheduled'!$D$13</f>
        <v>2935.7150950119412</v>
      </c>
      <c r="M11" s="486">
        <f>M5*'Fixed assets scheduled'!$D$13</f>
        <v>3143.8572952482887</v>
      </c>
    </row>
    <row r="12" spans="2:19" ht="14.25" customHeight="1" x14ac:dyDescent="0.35">
      <c r="B12" s="264" t="s">
        <v>734</v>
      </c>
      <c r="C12" s="492">
        <f>'Change In Working Capital'!G7</f>
        <v>1391.4299999999998</v>
      </c>
      <c r="D12" s="483">
        <f>D5*'Change In Working Capital'!$D$11</f>
        <v>595.32317195974815</v>
      </c>
      <c r="E12" s="483">
        <f>E5*'Change In Working Capital'!$D$11</f>
        <v>793.0423599099812</v>
      </c>
      <c r="F12" s="483">
        <f>F5*'Change In Working Capital'!$D$11</f>
        <v>1030.5333044345468</v>
      </c>
      <c r="G12" s="483">
        <f>G5*'Change In Working Capital'!$D$11</f>
        <v>1305.4956401783638</v>
      </c>
      <c r="H12" s="483">
        <f>H5*'Change In Working Capital'!$D$11</f>
        <v>1611.194388111837</v>
      </c>
      <c r="I12" s="483">
        <f>I5*'Change In Working Capital'!$D$11</f>
        <v>1935.866786430807</v>
      </c>
      <c r="J12" s="483">
        <f>J5*'Change In Working Capital'!$D$11</f>
        <v>2262.752968473168</v>
      </c>
      <c r="K12" s="483">
        <f>K5*'Change In Working Capital'!$D$11</f>
        <v>2570.9516699196042</v>
      </c>
      <c r="L12" s="483">
        <f>L5*'Change In Working Capital'!$D$11</f>
        <v>2837.1803889207281</v>
      </c>
      <c r="M12" s="483">
        <f>M5*'Change In Working Capital'!$D$11</f>
        <v>3038.3364784952078</v>
      </c>
    </row>
    <row r="13" spans="2:19" ht="14.25" customHeight="1" x14ac:dyDescent="0.35">
      <c r="B13" s="264" t="s">
        <v>735</v>
      </c>
      <c r="D13" s="483">
        <f t="shared" ref="D13:M13" si="2">D12-C12</f>
        <v>-796.10682804025168</v>
      </c>
      <c r="E13" s="483">
        <f t="shared" si="2"/>
        <v>197.71918795023305</v>
      </c>
      <c r="F13" s="483">
        <f t="shared" si="2"/>
        <v>237.49094452456563</v>
      </c>
      <c r="G13" s="483">
        <f t="shared" si="2"/>
        <v>274.96233574381699</v>
      </c>
      <c r="H13" s="483">
        <f t="shared" si="2"/>
        <v>305.69874793347321</v>
      </c>
      <c r="I13" s="483">
        <f t="shared" si="2"/>
        <v>324.67239831896995</v>
      </c>
      <c r="J13" s="483">
        <f t="shared" si="2"/>
        <v>326.88618204236104</v>
      </c>
      <c r="K13" s="483">
        <f t="shared" si="2"/>
        <v>308.19870144643619</v>
      </c>
      <c r="L13" s="483">
        <f t="shared" si="2"/>
        <v>266.22871900112386</v>
      </c>
      <c r="M13" s="483">
        <f t="shared" si="2"/>
        <v>201.15608957447967</v>
      </c>
    </row>
    <row r="14" spans="2:19" ht="14.25" customHeight="1" x14ac:dyDescent="0.35">
      <c r="B14" s="264" t="s">
        <v>523</v>
      </c>
      <c r="D14" s="486">
        <f t="shared" ref="D14:M14" si="3">D11+D13</f>
        <v>-180.1082016725245</v>
      </c>
      <c r="E14" s="486">
        <f t="shared" si="3"/>
        <v>1018.3037500257022</v>
      </c>
      <c r="F14" s="486">
        <f t="shared" si="3"/>
        <v>1303.8144640142409</v>
      </c>
      <c r="G14" s="486">
        <f t="shared" si="3"/>
        <v>1625.7975777714908</v>
      </c>
      <c r="H14" s="486">
        <f t="shared" si="3"/>
        <v>1972.8495941219167</v>
      </c>
      <c r="I14" s="486">
        <f t="shared" si="3"/>
        <v>2327.7714501276096</v>
      </c>
      <c r="J14" s="486">
        <f t="shared" si="3"/>
        <v>2668.2241074594685</v>
      </c>
      <c r="K14" s="486">
        <f t="shared" si="3"/>
        <v>2968.4390074215748</v>
      </c>
      <c r="L14" s="486">
        <f t="shared" si="3"/>
        <v>3201.9438140130651</v>
      </c>
      <c r="M14" s="486">
        <f t="shared" si="3"/>
        <v>3345.0133848227683</v>
      </c>
      <c r="O14" s="486">
        <f>O10*O16</f>
        <v>63.904756611247947</v>
      </c>
    </row>
    <row r="15" spans="2:19" ht="14.25" customHeight="1" x14ac:dyDescent="0.35">
      <c r="B15" s="488" t="s">
        <v>736</v>
      </c>
      <c r="D15" s="489">
        <f t="shared" ref="D15:M15" si="4">D10-D14</f>
        <v>1451.6449064299065</v>
      </c>
      <c r="E15" s="489">
        <f t="shared" si="4"/>
        <v>675.53669924398503</v>
      </c>
      <c r="F15" s="489">
        <f t="shared" si="4"/>
        <v>897.27728544656748</v>
      </c>
      <c r="G15" s="489">
        <f t="shared" si="4"/>
        <v>1162.5797315192065</v>
      </c>
      <c r="H15" s="490">
        <f t="shared" si="4"/>
        <v>1468.4624519709755</v>
      </c>
      <c r="I15" s="489">
        <f t="shared" si="4"/>
        <v>1807.0007045734728</v>
      </c>
      <c r="J15" s="489">
        <f t="shared" si="4"/>
        <v>2164.7365242273017</v>
      </c>
      <c r="K15" s="489">
        <f t="shared" si="4"/>
        <v>2522.7959527406924</v>
      </c>
      <c r="L15" s="489">
        <f t="shared" si="4"/>
        <v>2857.9227802179594</v>
      </c>
      <c r="M15" s="489">
        <f t="shared" si="4"/>
        <v>3144.497750939237</v>
      </c>
      <c r="O15" s="486">
        <f>O10-O14</f>
        <v>6918.8092254686708</v>
      </c>
    </row>
    <row r="16" spans="2:19" ht="14.25" customHeight="1" x14ac:dyDescent="0.35">
      <c r="B16" t="s">
        <v>737</v>
      </c>
      <c r="D16" s="288">
        <f t="shared" ref="D16:M16" si="5">D14/D10</f>
        <v>-0.14164608933321385</v>
      </c>
      <c r="E16" s="288">
        <f t="shared" si="5"/>
        <v>0.60118044203322218</v>
      </c>
      <c r="F16" s="288">
        <f t="shared" si="5"/>
        <v>0.59234898514958789</v>
      </c>
      <c r="G16" s="288">
        <f t="shared" si="5"/>
        <v>0.58306226074729406</v>
      </c>
      <c r="H16" s="288">
        <f t="shared" si="5"/>
        <v>0.57328413340539686</v>
      </c>
      <c r="I16" s="288">
        <f t="shared" si="5"/>
        <v>0.56297453959609844</v>
      </c>
      <c r="J16" s="288">
        <f t="shared" si="5"/>
        <v>0.55208893901712197</v>
      </c>
      <c r="K16" s="288">
        <f t="shared" si="5"/>
        <v>0.5405776713174657</v>
      </c>
      <c r="L16" s="288">
        <f t="shared" si="5"/>
        <v>0.52838519862158462</v>
      </c>
      <c r="M16" s="288">
        <f t="shared" si="5"/>
        <v>0.51544920947731654</v>
      </c>
      <c r="O16" s="482">
        <f>R6</f>
        <v>9.1518508097639204E-3</v>
      </c>
    </row>
    <row r="18" spans="2:13" ht="14.25" customHeight="1" x14ac:dyDescent="0.35">
      <c r="B18" t="s">
        <v>738</v>
      </c>
      <c r="M18" s="493">
        <f>O15/(R5-R4)</f>
        <v>155762.06733270633</v>
      </c>
    </row>
    <row r="20" spans="2:13" ht="14.25" customHeight="1" x14ac:dyDescent="0.35">
      <c r="B20" t="s">
        <v>739</v>
      </c>
      <c r="D20" s="494">
        <f>1/(1+$R$5)^1</f>
        <v>0.89252317215969978</v>
      </c>
      <c r="E20" s="494">
        <f>1/(1+$R$5)^2</f>
        <v>0.79659761284201314</v>
      </c>
      <c r="F20" s="494">
        <f>1/(1+$R$5)^3</f>
        <v>0.71098182834859802</v>
      </c>
      <c r="G20" s="494">
        <f>1/(1+$R$5)^4</f>
        <v>0.63456775678559385</v>
      </c>
      <c r="H20" s="494">
        <f>1/(1+$R$5)^5</f>
        <v>0.56636642723654307</v>
      </c>
      <c r="I20" s="494">
        <f>1/(1+$R$5)^6</f>
        <v>0.50549516024191532</v>
      </c>
      <c r="J20" s="494">
        <f>1/(1+$R$5)^7</f>
        <v>0.45116614393048998</v>
      </c>
      <c r="K20" s="494">
        <f>1/(1+$R$5)^8</f>
        <v>0.40267623795190061</v>
      </c>
      <c r="L20" s="494">
        <f>1/(1+$R$5)^9</f>
        <v>0.35939787325016442</v>
      </c>
      <c r="M20" s="494">
        <f>1/(1+$R$5)^10</f>
        <v>0.32077092990068651</v>
      </c>
    </row>
    <row r="22" spans="2:13" ht="14.25" customHeight="1" x14ac:dyDescent="0.35">
      <c r="B22" t="s">
        <v>740</v>
      </c>
      <c r="C22" s="493">
        <f>SUM(D22:M22)</f>
        <v>8982.8796895616215</v>
      </c>
      <c r="D22" s="493">
        <f t="shared" ref="D22:M22" si="6">D15*D20</f>
        <v>1295.6267167362907</v>
      </c>
      <c r="E22" s="493">
        <f t="shared" si="6"/>
        <v>538.13092200493145</v>
      </c>
      <c r="F22" s="493">
        <f t="shared" si="6"/>
        <v>637.94784494246744</v>
      </c>
      <c r="G22" s="493">
        <f t="shared" si="6"/>
        <v>737.73561231454084</v>
      </c>
      <c r="H22" s="493">
        <f t="shared" si="6"/>
        <v>831.68783245381508</v>
      </c>
      <c r="I22" s="493">
        <f t="shared" si="6"/>
        <v>913.43011071562148</v>
      </c>
      <c r="J22" s="493">
        <f t="shared" si="6"/>
        <v>976.65583026112347</v>
      </c>
      <c r="K22" s="493">
        <f t="shared" si="6"/>
        <v>1015.8699833699029</v>
      </c>
      <c r="L22" s="493">
        <f t="shared" si="6"/>
        <v>1027.1313691235316</v>
      </c>
      <c r="M22" s="493">
        <f t="shared" si="6"/>
        <v>1008.6634676393963</v>
      </c>
    </row>
    <row r="23" spans="2:13" ht="14.25" customHeight="1" x14ac:dyDescent="0.35">
      <c r="B23" t="s">
        <v>741</v>
      </c>
      <c r="D23" s="483"/>
      <c r="M23" s="493">
        <f>M18*M20</f>
        <v>49963.943181565555</v>
      </c>
    </row>
    <row r="24" spans="2:13" ht="14.25" customHeight="1" x14ac:dyDescent="0.35">
      <c r="D24" s="483"/>
      <c r="I24" s="725" t="s">
        <v>742</v>
      </c>
      <c r="J24" s="724"/>
      <c r="K24" s="724"/>
      <c r="L24" s="724"/>
      <c r="M24" s="724"/>
    </row>
    <row r="25" spans="2:13" ht="14.25" customHeight="1" x14ac:dyDescent="0.35">
      <c r="B25" s="267" t="s">
        <v>743</v>
      </c>
      <c r="C25" s="493">
        <f>C22+M23</f>
        <v>58946.82287112718</v>
      </c>
      <c r="D25" s="489"/>
      <c r="I25" s="495"/>
      <c r="J25" s="496">
        <v>0.13139999999999999</v>
      </c>
      <c r="K25" s="496">
        <v>0.1414</v>
      </c>
      <c r="L25" s="496">
        <v>0.15140000000000001</v>
      </c>
      <c r="M25" s="496">
        <v>0.16139999999999999</v>
      </c>
    </row>
    <row r="26" spans="2:13" ht="14.25" customHeight="1" x14ac:dyDescent="0.35">
      <c r="B26" s="264" t="s">
        <v>744</v>
      </c>
      <c r="C26" s="497">
        <v>725.48</v>
      </c>
      <c r="D26" s="492"/>
      <c r="I26" s="498">
        <v>0.03</v>
      </c>
      <c r="J26" s="499">
        <v>2638</v>
      </c>
      <c r="K26" s="499">
        <v>2347</v>
      </c>
      <c r="L26" s="499">
        <v>2112</v>
      </c>
      <c r="M26" s="499">
        <v>504</v>
      </c>
    </row>
    <row r="27" spans="2:13" ht="14.25" customHeight="1" x14ac:dyDescent="0.35">
      <c r="B27" s="264" t="s">
        <v>745</v>
      </c>
      <c r="C27" s="497">
        <v>939.59</v>
      </c>
      <c r="D27" s="492"/>
      <c r="I27" s="498">
        <v>0.04</v>
      </c>
      <c r="J27" s="499">
        <v>2839</v>
      </c>
      <c r="K27" s="499">
        <v>2502</v>
      </c>
      <c r="L27" s="499">
        <v>2233</v>
      </c>
      <c r="M27" s="499">
        <v>520</v>
      </c>
    </row>
    <row r="28" spans="2:13" ht="14.25" customHeight="1" x14ac:dyDescent="0.35">
      <c r="B28" s="264" t="s">
        <v>746</v>
      </c>
      <c r="C28" s="497">
        <v>150.28</v>
      </c>
      <c r="D28" s="492"/>
      <c r="I28" s="498">
        <v>0.05</v>
      </c>
      <c r="J28" s="499">
        <v>3082</v>
      </c>
      <c r="K28" s="500">
        <v>2687</v>
      </c>
      <c r="L28" s="501">
        <v>2376</v>
      </c>
      <c r="M28" s="499">
        <v>539</v>
      </c>
    </row>
    <row r="29" spans="2:13" ht="15" customHeight="1" x14ac:dyDescent="0.35">
      <c r="B29" s="502" t="s">
        <v>747</v>
      </c>
      <c r="C29" s="503">
        <f>C25+C26-C27-C28</f>
        <v>58582.432871127188</v>
      </c>
      <c r="D29" s="504"/>
      <c r="I29" s="498">
        <v>0.06</v>
      </c>
      <c r="J29" s="499">
        <v>3386</v>
      </c>
      <c r="K29" s="505">
        <v>2912</v>
      </c>
      <c r="L29" s="499">
        <v>2548</v>
      </c>
      <c r="M29" s="499">
        <v>561</v>
      </c>
    </row>
    <row r="30" spans="2:13" ht="15" customHeight="1" x14ac:dyDescent="0.35">
      <c r="I30" s="498">
        <v>7.0000000000000007E-2</v>
      </c>
      <c r="J30" s="499">
        <v>3775</v>
      </c>
      <c r="K30" s="499">
        <v>3193</v>
      </c>
      <c r="L30" s="499">
        <v>2756</v>
      </c>
      <c r="M30" s="499">
        <v>589</v>
      </c>
    </row>
    <row r="31" spans="2:13" ht="14.25" customHeight="1" x14ac:dyDescent="0.35">
      <c r="B31" s="264" t="s">
        <v>748</v>
      </c>
      <c r="C31" s="497">
        <v>9.1</v>
      </c>
      <c r="D31" s="483"/>
    </row>
    <row r="32" spans="2:13" ht="15" customHeight="1" x14ac:dyDescent="0.35">
      <c r="B32" s="502" t="s">
        <v>749</v>
      </c>
      <c r="C32" s="506">
        <f>C29/C31</f>
        <v>6437.6299858381526</v>
      </c>
      <c r="D32" s="507"/>
      <c r="F32" s="502" t="s">
        <v>750</v>
      </c>
    </row>
    <row r="33" spans="2:2" ht="15" customHeight="1" x14ac:dyDescent="0.35"/>
    <row r="35" spans="2:2" x14ac:dyDescent="0.35">
      <c r="B35" s="508" t="s">
        <v>751</v>
      </c>
    </row>
  </sheetData>
  <mergeCells count="1">
    <mergeCell ref="B1:M2"/>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About</vt:lpstr>
      <vt:lpstr>Promoter</vt:lpstr>
      <vt:lpstr>Public</vt:lpstr>
      <vt:lpstr>Standalone Quarterly Result</vt:lpstr>
      <vt:lpstr>Consolidated Quarterly Result</vt:lpstr>
      <vt:lpstr>Standalone Balance Sheet</vt:lpstr>
      <vt:lpstr>Standalone Profit &amp; Loss</vt:lpstr>
      <vt:lpstr>Peers Comparison</vt:lpstr>
      <vt:lpstr>Stock Analysis</vt:lpstr>
      <vt:lpstr>Consolidated Profit &amp; Loss</vt:lpstr>
      <vt:lpstr>Consolidated Balance Sheet</vt:lpstr>
      <vt:lpstr>Consolidated Cash Flow</vt:lpstr>
      <vt:lpstr>Historical FS</vt:lpstr>
      <vt:lpstr>Fixed assets scheduled</vt:lpstr>
      <vt:lpstr>FCFF</vt:lpstr>
      <vt:lpstr>Change In Working Capital</vt:lpstr>
      <vt:lpstr>Rm</vt:lpstr>
      <vt:lpstr>Wacc</vt:lpstr>
      <vt:lpstr>Beta</vt:lpstr>
      <vt:lpstr>Peer Comp.</vt:lpstr>
      <vt:lpstr>Relative Valuation</vt:lpstr>
      <vt:lpstr>COC</vt:lpstr>
      <vt:lpstr>Assumption</vt:lpstr>
      <vt:lpstr>Forecasting</vt:lpstr>
      <vt:lpstr>Growth Scenerio</vt:lpstr>
      <vt:lpstr>DCF 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Naina Sinsinwar</cp:lastModifiedBy>
  <cp:revision>0</cp:revision>
  <dcterms:created xsi:type="dcterms:W3CDTF">2026-05-11T10:32:03Z</dcterms:created>
  <dcterms:modified xsi:type="dcterms:W3CDTF">2026-06-29T11:13:07Z</dcterms:modified>
  <dc:language>en-US</dc:language>
</cp:coreProperties>
</file>